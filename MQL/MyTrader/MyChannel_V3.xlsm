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ocuments\Dev\MyTrader\"/>
    </mc:Choice>
  </mc:AlternateContent>
  <bookViews>
    <workbookView xWindow="0" yWindow="0" windowWidth="29070" windowHeight="15870" tabRatio="721" activeTab="5"/>
  </bookViews>
  <sheets>
    <sheet name="Account Overview" sheetId="10" r:id="rId1"/>
    <sheet name="PL by Pair" sheetId="11" r:id="rId2"/>
    <sheet name="Closed_Profits" sheetId="1" r:id="rId3"/>
    <sheet name="Open_Trades" sheetId="2" r:id="rId4"/>
    <sheet name="Closed_vs_Open" sheetId="3" r:id="rId5"/>
    <sheet name="Equity" sheetId="4" r:id="rId6"/>
    <sheet name="Channel Status" sheetId="9" r:id="rId7"/>
    <sheet name="Balancing" sheetId="5" r:id="rId8"/>
    <sheet name="Summary" sheetId="6" r:id="rId9"/>
    <sheet name="Step_Check" sheetId="7" r:id="rId10"/>
    <sheet name="Closed Accounts" sheetId="12" r:id="rId11"/>
  </sheets>
  <definedNames>
    <definedName name="Query_from_MyNN" localSheetId="9" hidden="1">Step_Check!$A$1:$F$782</definedName>
    <definedName name="Query_from_MyNN" localSheetId="8" hidden="1">Summary!$F$102</definedName>
    <definedName name="Slicer_ACCOUNT">#N/A</definedName>
    <definedName name="Slicer_TRADEITEM">#N/A</definedName>
  </definedNames>
  <calcPr calcId="152511"/>
  <pivotCaches>
    <pivotCache cacheId="1" r:id="rId12"/>
    <pivotCache cacheId="2" r:id="rId13"/>
    <pivotCache cacheId="3" r:id="rId14"/>
    <pivotCache cacheId="4" r:id="rId15"/>
    <pivotCache cacheId="5" r:id="rId16"/>
    <pivotCache cacheId="6" r:id="rId17"/>
    <pivotCache cacheId="7" r:id="rId18"/>
    <pivotCache cacheId="10" r:id="rId19"/>
  </pivotCaches>
  <extLst>
    <ext xmlns:x14="http://schemas.microsoft.com/office/spreadsheetml/2009/9/main" uri="{BBE1A952-AA13-448e-AADC-164F8A28A991}">
      <x14:slicerCaches>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5" i="12" l="1"/>
  <c r="H15" i="12"/>
  <c r="I15" i="12" s="1"/>
  <c r="D15" i="12"/>
  <c r="G14" i="12" l="1"/>
  <c r="H14" i="12" s="1"/>
  <c r="I14" i="12" s="1"/>
  <c r="D14" i="12"/>
  <c r="G13" i="12" l="1"/>
  <c r="H13" i="12" s="1"/>
  <c r="I13" i="12" s="1"/>
  <c r="D13" i="12"/>
  <c r="G12" i="12" l="1"/>
  <c r="H12" i="12"/>
  <c r="I12" i="12" s="1"/>
  <c r="D12" i="12"/>
  <c r="G11" i="12" l="1"/>
  <c r="H11" i="12" s="1"/>
  <c r="I11" i="12" s="1"/>
  <c r="D11" i="12"/>
  <c r="D10" i="12"/>
  <c r="G10" i="12"/>
  <c r="H10" i="12" s="1"/>
  <c r="I10" i="12" s="1"/>
  <c r="G9" i="12"/>
  <c r="H9" i="12" s="1"/>
  <c r="I9" i="12" s="1"/>
  <c r="D9" i="12"/>
  <c r="G8" i="12"/>
  <c r="H8" i="12" s="1"/>
  <c r="I8" i="12" s="1"/>
  <c r="D8" i="12"/>
  <c r="G7" i="12"/>
  <c r="H7" i="12" s="1"/>
  <c r="I7" i="12" s="1"/>
  <c r="D7" i="12"/>
  <c r="G6" i="12"/>
  <c r="H6" i="12" s="1"/>
  <c r="I6" i="12" s="1"/>
  <c r="D6" i="12"/>
  <c r="G5" i="12"/>
  <c r="H5" i="12" s="1"/>
  <c r="I5" i="12" s="1"/>
  <c r="D5" i="12"/>
  <c r="G4" i="12"/>
  <c r="H4" i="12" s="1"/>
  <c r="I4" i="12" s="1"/>
  <c r="D4" i="12"/>
  <c r="G3" i="12"/>
  <c r="H3" i="12" s="1"/>
  <c r="I3" i="12" s="1"/>
  <c r="D3" i="12"/>
  <c r="G2" i="12"/>
  <c r="H2" i="12" s="1"/>
  <c r="I2" i="12" s="1"/>
  <c r="D2" i="12"/>
  <c r="K100" i="11" l="1"/>
  <c r="K100" i="9" l="1"/>
  <c r="E103" i="6" l="1"/>
  <c r="K100" i="3"/>
  <c r="K100" i="5" l="1"/>
  <c r="K100" i="4"/>
  <c r="K100" i="2"/>
  <c r="K100" i="1"/>
</calcChain>
</file>

<file path=xl/connections.xml><?xml version="1.0" encoding="utf-8"?>
<connections xmlns="http://schemas.openxmlformats.org/spreadsheetml/2006/main">
  <connection id="1" name="Q_Balancing" type="1" refreshedVersion="5" savePassword="1" saveData="1">
    <dbPr connection="DSN=MyNN;UID=GridUser;PWD=GridPwd;DBQ=MYNN;DBA=W;APA=T;EXC=F;FEN=T;QTO=T;FRC=10;FDL=10;LOB=T;RST=T;BTD=F;BNF=F;BAM=IfAllSuccessful;NUM=NLS;DPM=F;MTS=T;MDI=F;CSR=F;FWC=F;FBS=64000;TLO=O;MLD=0;ODA=F;" command="select ot1.accountnumber||' - '||ac.description &quot;Account&quot;, _x000d__x000a_ot1.tradeitem, _x000d__x000a_sum(ot1.tradeprofit+ot1.tradeswap) OpenPL, _x000d__x000a_avg(ot1.currentask) avgAsk,_x000d__x000a_min(ot3.chMin) chMin, _x000d__x000a_max(ot3.chMax) chMax_x000d__x000a_from _x000d__x000a_opentrades ot1, _x000d__x000a_accounts ac,_x000d__x000a_(_x000d__x000a_select accountnumber, tradeitem, max(snapshottime) LatestSnapshot_x000d__x000a_from opentrades _x000d__x000a_group by accountnumber , tradeitem_x000d__x000a_having (sysdate-max(snapshottime)&lt;2)_x000d__x000a_) ot2,_x000d__x000a_(_x000d__x000a_select accountnumber, tradeitem, min(openprice) chMin, max(openprice) chMax_x000d__x000a_from opentrades_x000d__x000a_group by accountnumber , tradeitem_x000d__x000a_) ot3_x000d__x000a_where_x000d__x000a_ot1.accountnumber=ot2.accountnumber and _x000d__x000a_ot1.tradeitem=ot2.tradeitem and_x000d__x000a_ot1.accountnumber=ot3.accountnumber and _x000d__x000a_ot1.tradeitem=ot3.tradeitem and_x000d__x000a_ot1.snapshottime=ot2.latestsnapshot and_x000d__x000a_ot1.accountnumber=ac.accountnumber and_x000d__x000a_ot1.tradeitem is not null_x000d__x000a_group by ot1.accountnumber||' - '||ac.description, ot1.tradeitem_x000d__x000a_order by 1,2"/>
  </connection>
  <connection id="2" name="Q_ChannelStatus" type="1" refreshedVersion="5" savePassword="1" saveData="1">
    <dbPr connection="DSN=MyNN;UID=GridUser;PWD=GridPwd;DBQ=MYNN;DBA=W;APA=T;EXC=F;FEN=T;QTO=T;FRC=10;FDL=10;LOB=T;RST=T;BTD=F;BNF=F;BAM=IfAllSuccessful;NUM=NLS;DPM=F;MTS=T;MDI=F;CSR=F;FWC=F;FBS=64000;TLO=O;MLD=0;ODA=F;" command="select _x0009__x000d__x000a_ot.accountnumber||' - '||ac.description_x0009__x0009__x0009__x0009__x0009__x0009__x0009__x0009__x0009__x0009__x0009__x0009__x0009__x0009__x0009__x0009__x0009__x0009__x0009_Account,_x000d__x000a_MyWeekNo(ot.snapshottime)_x0009__x0009__x0009__x0009__x0009__x0009__x0009__x0009__x0009__x0009__x0009__x0009__x0009__x0009__x0009__x0009__x0009__x0009__x0009__x0009__x0009__x0009_Week,_x000d__x000a_ot.TradeItem_x0009__x0009__x0009__x0009__x0009__x0009__x0009__x0009__x0009__x0009__x0009__x0009__x0009__x0009__x0009__x0009__x0009__x0009__x0009__x0009__x0009__x0009__x0009__x0009__x0009_TradeItem,_x000d__x000a_last_value(ot.currentbid)_x0009_over(partition by ot.accountnumber,ot.tradeitem order by MyWeekNo(ot.snapshottime)) chCur,_x000d__x000a_min(ot.openprice)_x0009__x0009__x0009_over(partition by ot.accountnumber,ot.tradeitem order by MyWeekNo(ot.snapshottime)) chMin,_x000d__x000a_max(ot.openprice)_x0009__x0009__x0009_over(partition by ot.accountnumber,ot.tradeitem order by MyWeekNo(ot.snapshottime)) chMax,_x000d__x000a_(_x000d__x000a_min(ot.openprice)_x0009__x0009__x0009_over(partition by ot.accountnumber,ot.tradeitem order by MyWeekNo(ot.snapshottime))_x000d__x000a_+_x000d__x000a_max(ot.openprice)_x0009__x0009__x0009_over(partition by ot.accountnumber,ot.tradeitem order by MyWeekNo(ot.snapshottime))_x000d__x000a_)/2_x0009__x0009__x0009__x0009__x0009__x0009__x0009__x0009__x0009__x0009__x0009__x0009__x0009__x0009__x0009__x0009__x0009__x0009__x0009__x0009__x0009__x0009__x0009__x0009__x0009__x0009__x0009__x0009_chAvg,_x000d__x000a_(_x000d__x000a_max(ot.openprice)_x0009__x0009__x0009_over(partition by ot.accountnumber,ot.tradeitem order by MyWeekNo(ot.snapshottime))_x000d__x000a_-_x000d__x000a_min(ot.openprice)_x0009__x0009__x0009_over(partition by ot.accountnumber,ot.tradeitem order by MyWeekNo(ot.snapshottime))_x000d__x000a_)*10000/p.pscale_x0009__x0009__x0009__x0009__x0009__x0009__x0009__x0009__x0009__x0009__x0009__x0009__x0009__x0009__x0009__x0009__x0009__x0009__x0009__x0009__x0009__x0009__x0009__x0009_chWidth_x000d__x000a_from opentrades ot, accounts ac, pairs p,_x000d__x000a_(_x000d__x000a__x0009_select Myweekno(snapshottime) WeekNo, accountnumber,_x000d__x000a__x0009_max(snapshottime) Latest _x000d__x000a__x0009_from opentrades _x000d__x000a__x0009_group by Myweekno(snapshottime), accountnumber_x000d__x000a_) wot_x000d__x000a_where_x000d__x000a_ot.accountnumber=ac.accountnumber and_x000d__x000a_ot.tradeitem=p.symbol and_x000d__x000a_ot.accountnumber=wot.accountnumber and_x000d__x000a_ot.snapshottime=wot.Latest and_x000d__x000a_ot.accountnumber=wot.accountnumber_x000d__x000a_order by 1,2"/>
  </connection>
  <connection id="3" name="Q_ClosedProfits" type="1" refreshedVersion="5" savePassword="1" saveData="1">
    <dbPr connection="DSN=MyNN;UID=GridUser;PWD=GridPwd;DBQ=MYNN;DBA=W;APA=T;EXC=F;FEN=T;QTO=T;FRC=10;FDL=10;LOB=T;RST=T;BTD=F;BNF=F;BAM=IfAllSuccessful;NUM=NLS;DPM=F;MTS=T;MDI=F;CSR=F;FWC=F;FBS=64000;TLO=O;MLD=0;ODA=F;" command="select _x000d__x000a_th.accountnumber||' - '||ac.description Account, _x000d__x000a_MyWeekNo(th.closetime) Week,_x000d__x000a_th.tradeitem Item, _x000d__x000a_sum( th.tradeprofit+th.tradeswap ) TradeProfit_x000d__x000a_from _x000d__x000a_tradehistory th, accounts ac_x000d__x000a_where _x000d__x000a_ac.accountnumber=th.accountnumber and_x000d__x000a_th.tradeitem is not null_x000d__x000a_group by _x000d__x000a_th.accountnumber||' - '||ac.description, _x000d__x000a_MyWeekNo(th.closetime),_x000d__x000a_th.tradeitem_x000d__x000a_order by 1,2"/>
  </connection>
  <connection id="4" name="Q_Equity" type="1" refreshedVersion="5" savePassword="1" saveData="1">
    <dbPr connection="DSN=AlgoDB;UID=GridUser;PWD=GridPwd;DBQ=ALGO;DBA=W;APA=T;EXC=F;FEN=T;QTO=T;FRC=10;FDL=10;LOB=T;RST=T;BTD=F;BNF=F;BAM=IfAllSuccessful;NUM=NLS;DPM=F;MTS=T;MDI=F;CSR=F;FWC=F;FBS=64000;TLO=O;MLD=0;ODA=F;STE=F;TSZ=8192;AST=FLOAT;" command="select vc.accountnumber||' - '||ac.description Account, vc.week, vh.closedplprog, vot.openpl, vc.amount Cash, (vh.closedplprog+vot.openpl+vc.amount) Equity_x000d__x000a_from vcash vc, vopentrades vot, vhistory vh, accounts ac where_x000d__x000a_vh.accountnumber=vc.accountnumber and vh.week=vc.week and vot.accountnumber=vc.accountnumber and vot.week=vc.week and ac.accountnumber=vh.accountnumber_x000d__x000a_order by 1,2"/>
  </connection>
  <connection id="5" name="Q_Margin" type="1" refreshedVersion="5" savePassword="1" background="1" saveData="1">
    <dbPr connection="DSN=MyNN;UID=GridUser;PWD=GridPwd;DBQ=MYNN;DBA=W;APA=T;EXC=F;FEN=T;QTO=T;FRC=10;FDL=10;LOB=T;RST=T;BTD=F;BNF=F;BAM=IfAllSuccessful;NUM=NLS;DPM=F;MTS=T;MDI=F;CSR=F;FWC=F;FBS=64000;TLO=O;MLD=0;ODA=F;" command="select decode(marginp,0,0,(accountequity/marginp))  from accounts where (accountnumber||' - '||description)=?1"/>
    <parameters count="1">
      <parameter name="Parameter1" parameterType="cell" refreshOnChange="1" cell="Summary!$B$102"/>
    </parameters>
  </connection>
  <connection id="6" name="Q_OpenTrades" type="1" refreshedVersion="5" savePassword="1" saveData="1">
    <dbPr connection="DSN=MyNN;UID=GridUser;PWD=GridPwd;DBQ=MYNN;DBA=W;APA=T;EXC=F;FEN=T;QTO=T;FRC=10;FDL=10;LOB=T;RST=T;BTD=F;BNF=F;BAM=IfAllSuccessful;NUM=NLS;DPM=F;MTS=T;MDI=F;CSR=F;FWC=F;FBS=64000;TLO=O;MLD=0;ODA=F;" command="select _x000d__x000a_ot1.accountnumber||' - '||ac.description Account, _x000d__x000a_MyWeekNo(ot1.snapshottime) Week,_x000d__x000a_ot1.tradeitem, _x000d__x000a_sum(ot1.tradeprofit+ot1.tradeswap) OpenPL_x000d__x000a_from _x000d__x000a_opentrades ot1, _x000d__x000a_(_x000d__x000a__x0009_select accountnumber, MyWeekNo(snapshottime) Week, max(snapshottime) latestsnapshot from opentrades group by accountnumber, MyWeekNo(snapshottime)_x000d__x000a_) ot2,_x000d__x000a_accounts ac_x000d__x000a_where ot1.accountnumber=ot2.accountnumber and _x000d__x000a_MyWeekNo(ot1.snapshottime)=ot2.Week and_x000d__x000a_ot1.snapshottime=ot2.latestsnapshot and_x000d__x000a_ac.accountnumber=ot1.accountnumber_x000d__x000a_group by ot1.accountnumber||' - '||ac.description, MyWeekNo(ot1.snapshottime), ot1.tradeitem_x000d__x000a_order by 1,2"/>
  </connection>
  <connection id="7" name="Q_Overview" type="1" refreshedVersion="5" savePassword="1" saveData="1">
    <dbPr connection="DSN=MyNN;UID=GridUser;PWD=GridPwd;DBQ=MYNN;DBA=W;APA=T;EXC=F;FEN=T;QTO=T;FRC=10;FDL=10;LOB=T;RST=T;BTD=F;BNF=F;BAM=IfAllSuccessful;NUM=NLS;DPM=F;MTS=T;MDI=F;CSR=F;FWC=F;FBS=64000;TLO=O;MLD=0;ODA=F;" command="select  a.description, a.accountnumber, a.startdate, a.vpsenv, a.startbalance, a.accountbalance, a.accountprofit, latestupdate, a.accountequity, a.netbalance, a.marginp,_x000d__x000a_(sysdate-a.startdate)/30 &quot;Months&quot; ,_x000d__x000a_decode(a.StartBalance,0,0,(a.NetBalance-a.StartBalance)) &quot;Net Profit&quot;,_x000d__x000a_decode(a.StartBalance,0,0,(a.NetBalance-a.StartBalance)/a.StartBalance) &quot;Net Profit %&quot;,_x000d__x000a_decode(a.StartBalance,0,0,(a.NetBalance-a.StartBalance)/StartBalance*365/(sysdate-a.startdate)) &quot;Annualized Net Profit%&quot;,_x000d__x000a_a.AbsSize, _x000d__x000a_decode(a.StartBalance,0,0,(a.AbsSize/a.StartBalance)*100000) &quot;Size-Rel&quot;,_x000d__x000a_a.accountnumber,_x000d__x000a_100*decode(MarginP,0,0,(AccountEquity/MarginP)) &quot;Margin%&quot;_x000d__x000a_from Accounts a where a.IsDemo='N' and closedate is null"/>
  </connection>
  <connection id="8" name="Query from MyNN" type="1" refreshedVersion="5" savePassword="1" saveData="1">
    <dbPr connection="DSN=MyNN;UID=GridUser;PWD=GridPwd;DBQ=MYNN;DBA=W;APA=T;EXC=F;FEN=T;QTO=T;FRC=10;FDL=10;LOB=T;RST=T;BTD=F;BNF=F;BAM=IfAllSuccessful;NUM=NLS;DPM=F;MTS=T;MDI=F;CSR=F;FWC=F;FBS=64000;TLO=O;MLD=0;ODA=F;" command="select ot.accountnumber||' - '||ac.description Account, ot.tradeitem, sum(ot.tradeprofit+ot.tradeswap) OpenPL,_x000d__x000a_0 ClosedPL_x000d__x000a_from opentrades ot, accounts ac,_x000d__x000a_(_x000d__x000a__x0009_select accountnumber, tradeitem, max(snapshottime) latestsnapshot from opentrades group by accountnumber, tradeitem_x000d__x000a__x0009_having ( sysdate - max(snapshottime) ) &lt;1_x000d__x000a_) lot_x000d__x000a_where _x000d__x000a_ac.accountnumber=ot.accountnumber and_x000d__x000a_ot.accountnumber=lot.accountnumber and ot.tradeitem=lot.tradeitem and ot.snapshottime between lot.latestsnapshot-5/1440 and lot.latestsnapshot_x000d__x000a_group by ot.accountnumber||' - '||ac.description, ot.tradeitem_x000d__x000a_--order by 1,2_x000d__x000a_--/_x000d__x000a_union all_x000d__x000a_select th.accountnumber||' - '||ac.description Account, th.tradeitem, _x000d__x000a_--sum(th.tradeprofit), sum(th.tradeswap), _x000d__x000a_0 OpenPL, sum(th.tradeprofit+th.tradeswap) ClosedPL_x000d__x000a_from tradehistory th, accounts ac_x000d__x000a_where _x000d__x000a_ac.accountnumber=th.accountnumber and_x000d__x000a_tradeitem is not null_x000d__x000a_group by th.accountnumber||' - '||ac.description, th.tradeitem_x000d__x000a_--order by 1,2"/>
  </connection>
  <connection id="9" name="Query from MyNN2" type="1" refreshedVersion="5" savePassword="1" background="1" saveData="1">
    <dbPr connection="DSN=MyNN;UID=GridUser;PWD=GridPwd;DBQ=MYNN;DBA=W;APA=T;EXC=F;FEN=T;QTO=T;FRC=10;FDL=10;LOB=T;RST=T;BTD=F;BNF=F;BAM=IfAllSuccessful;NUM=NLS;DPM=F;MTS=T;MDI=F;CSR=F;FWC=F;FBS=64000;TLO=O;MLD=0;ODA=F;" command="select ot.accountnumber, ot.tradeitem, ot.openprice, ot.tradetype, ot.tradetp,_x000d__x000a_(ot.openprice-lag(ot.openprice,1,ot.openprice-p.step/10000*p.pscale) over (partition by ot.accountnumber, tradeitem order by ot.openprice))*10000/p.pscale &quot;OP_Step&quot;_x000d__x000a_from opentrades ot, VLatestOpenTrades vlot , pairs p_x000d__x000a_where_x000d__x000a_ot.snapshottime=vlot.t2 and_x000d__x000a_ot.tradeitem=p.symbol_x000d__x000a_order by 1,2,3;"/>
  </connection>
  <connection id="10" name="Query from MyNN21" type="1" refreshedVersion="5" savePassword="1" saveData="1">
    <dbPr connection="DSN=MyNN;UID=GridUser;PWD=GridPwd;DBQ=MYNN;DBA=W;APA=T;EXC=F;FEN=T;QTO=T;FRC=10;FDL=10;LOB=T;RST=T;BTD=F;BNF=F;BAM=IfAllSuccessful;NUM=NLS;DPM=F;MTS=T;MDI=F;CSR=F;FWC=F;FBS=64000;TLO=O;MLD=0;ODA=F;" command="select_x000d__x000a_ot.accountnumber||' - '||ac.description,_x000d__x000a_ot.tradeitem,_x000d__x000a_0 &quot;Closed&quot;,_x000d__x000a_0 &quot;pScale&quot;,_x000d__x000a_avg((currentask+currentbid)/2) &quot;Current&quot;,_x000d__x000a_sum(ot.tradeprofit+ot.tradeswap) PL,_x000d__x000a_100000 chMin,_x000d__x000a_0 chMax,_x000d__x000a_0 chW_x000d__x000a_from opentrades ot, accounts ac_x000d__x000a_where_x000d__x000a_ac.accountnumber=ot.accountnumber and_x000d__x000a_ot.snapshottime=(select max(snapshottime) from griduser.opentrades where accountnumber=ot.accountnumber)_x000d__x000a_/*_x000d__x000a_ot.snapshottime between _x000d__x000a__x0009__x0009__x0009_(select max(snapshottime)-10/1440 from griduser.opentrades where accountnumber=ot.accountnumber) _x000d__x000a__x0009__x0009__x0009_and _x000d__x000a__x0009__x0009__x0009_(select max(snapshottime) from griduser.opentrades where accountnumber=ot.accountnumber)_x000d__x000a_*/_x000d__x000a_group by ot.accountnumber||' - '||ac.description , ot.tradeitem _x000d__x000a_having sum(ot.tradeprofit+ot.tradeswap)!=0_x000d__x000a_union all_x000d__x000a_select_x000d__x000a_ot.accountnumber||' - '||ac.description,_x000d__x000a_ot.tradeitem,_x000d__x000a_0 &quot;Closed&quot;,_x000d__x000a_p.pscale &quot;pScale&quot;,_x000d__x000a_0 &quot;Current&quot;,_x000d__x000a_0 PL,_x000d__x000a_min(ot.openprice) chMin,_x000d__x000a_max(ot.openprice) chMax,_x000d__x000a_(max(ot.openprice)-min(ot.openprice)) chW_x000d__x000a_from opentrades ot, accounts ac, pairs p_x000d__x000a_where_x000d__x000a_p.symbol=ot.tradeitem and_x000d__x000a_ac.accountnumber=ot.accountnumber and (sysdate-ot.snapshottime)&lt;1_x000d__x000a_group by 'Open', ot.accountnumber||' - '||ac.description , ot.tradeitem, p.pscale_x000d__x000a_union all_x000d__x000a_select_x000d__x000a_th.accountnumber||' - '||ac.description,_x000d__x000a_th.tradeitem,_x000d__x000a_sum(th.tradeprofit+th.tradeswap) &quot;Closed&quot;,_x000d__x000a_0 &quot;pScale&quot;,_x000d__x000a_0 &quot;Current&quot;,_x000d__x000a_0 PL,_x000d__x000a_100000 chMin,_x000d__x000a_0 chMax,_x000d__x000a_0 chW_x000d__x000a_from TradeHistory th, Accounts ac_x000d__x000a_where ac.AccountNumber=th.AccountNumber and_x000d__x000a_tradeitem is not null_x000d__x000a_group by _x000d__x000a_th.accountnumber||' - '||ac.description,_x000d__x000a_th.tradeitem"/>
  </connection>
  <connection id="11" name="Query from MyNN8" type="1" refreshedVersion="5" savePassword="1" saveData="1">
    <dbPr connection="DSN=MyNN;UID=GridUser;PWD=GridPwd;DBQ=MYNN;DBA=W;APA=T;EXC=F;FEN=T;QTO=T;FRC=10;FDL=10;LOB=T;RST=T;BTD=F;BNF=F;BAM=IfAllSuccessful;NUM=NLS;DPM=F;MTS=T;MDI=F;CSR=F;FWC=F;FBS=64000;TLO=O;MLD=0;ODA=F;" command="-- Closed_x000d__x000a_select _x000d__x000a_th.accountnumber||' - '||ac.description _x0009_Account, _x000d__x000a_MyWeekNo(th.closetime) _x0009__x0009__x0009__x0009_Week,_x000d__x000a_th.tradeitem _x0009__x0009__x0009__x0009__x0009_TradeItem, _x000d__x000a_sum( th.tradeprofit+th.tradeswap ) _x0009__x0009_ClosedProfit,_x000d__x000a_0_x0009__x0009__x0009__x0009__x0009__x0009_OpenPL_x000d__x000a_from _x000d__x000a_tradehistory th, accounts ac_x000d__x000a_where _x000d__x000a_ac.accountnumber=th.accountnumber and_x000d__x000a_th.tradeitem is not null_x000d__x000a_group by _x000d__x000a_th.accountnumber||' - '||ac.description, _x000d__x000a_MyWeekNo(th.closetime),_x000d__x000a_th.tradeitem_x000d__x000a_union all_x000d__x000a_--Open_x000d__x000a_select _x000d__x000a_ot1.accountnumber||' - '||ac.description _x0009_Account, _x000d__x000a_MyWeekNo(ot1.snapshottime) _x0009__x0009__x0009_Week,_x000d__x000a_ot1.tradeitem _x0009__x0009__x0009__x0009__x0009_TradeItem, _x000d__x000a_0_x0009__x0009__x0009__x0009__x0009__x0009_ClosedProfit,_x000d__x000a_sum(ot1.tradeprofit+ot1.tradeswap) _x0009__x0009_OpenPL_x000d__x000a_from _x000d__x000a_opentrades ot1, _x000d__x000a_(_x000d__x000a__x0009_select accountnumber, MyWeekNo(snapshottime) Week, max(snapshottime) latestsnapshot from opentrades group by accountnumber, MyWeekNo(snapshottime)_x000d__x000a_) ot2,_x000d__x000a_accounts ac_x000d__x000a_where ot1.accountnumber=ot2.accountnumber and _x000d__x000a_MyWeekNo(ot1.snapshottime)=ot2.Week and_x000d__x000a_ot1.snapshottime=ot2.latestsnapshot and_x000d__x000a_ac.accountnumber=ot1.accountnumber_x000d__x000a_group by ot1.accountnumber||' - '||ac.description, MyWeekNo(ot1.snapshottime), ot1.tradeitem_x000d__x000a_order by 1,2"/>
  </connection>
</connections>
</file>

<file path=xl/sharedStrings.xml><?xml version="1.0" encoding="utf-8"?>
<sst xmlns="http://schemas.openxmlformats.org/spreadsheetml/2006/main" count="1675" uniqueCount="77">
  <si>
    <t>ACCOUNT</t>
  </si>
  <si>
    <t>Profit</t>
  </si>
  <si>
    <t>Column Labels</t>
  </si>
  <si>
    <t>Row Labels</t>
  </si>
  <si>
    <t>AUDJPY</t>
  </si>
  <si>
    <t>EURUSD</t>
  </si>
  <si>
    <t>GBPNZD</t>
  </si>
  <si>
    <t>USDJPY</t>
  </si>
  <si>
    <t>Grand Total</t>
  </si>
  <si>
    <t>Open P/L</t>
  </si>
  <si>
    <t>TRADEITEM</t>
  </si>
  <si>
    <t>Closed</t>
  </si>
  <si>
    <t>Open</t>
  </si>
  <si>
    <t>Sum of EQUITY</t>
  </si>
  <si>
    <t>Account</t>
  </si>
  <si>
    <t>Average of Position</t>
  </si>
  <si>
    <t>ACCOUNTNUMBER</t>
  </si>
  <si>
    <t>OPENPRICE</t>
  </si>
  <si>
    <t>OP_Step</t>
  </si>
  <si>
    <t>TRADETP</t>
  </si>
  <si>
    <t>TRADETYPE</t>
  </si>
  <si>
    <t>EURAUD</t>
  </si>
  <si>
    <t>SELL</t>
  </si>
  <si>
    <t>BUY</t>
  </si>
  <si>
    <t>GBPAUD</t>
  </si>
  <si>
    <t>NZDUSD</t>
  </si>
  <si>
    <t>CADJPY</t>
  </si>
  <si>
    <t>AUDUSD</t>
  </si>
  <si>
    <t>EURGBP</t>
  </si>
  <si>
    <t>USDCHF</t>
  </si>
  <si>
    <t>Margin Level:</t>
  </si>
  <si>
    <t>Net Equity</t>
  </si>
  <si>
    <t>blah</t>
  </si>
  <si>
    <t>Account Number</t>
  </si>
  <si>
    <t>Min of LATESTUPDATE</t>
  </si>
  <si>
    <t>Start Date</t>
  </si>
  <si>
    <t>Start Balance</t>
  </si>
  <si>
    <t>Account Balance</t>
  </si>
  <si>
    <t>Account Profit</t>
  </si>
  <si>
    <t>Account Equity</t>
  </si>
  <si>
    <t>Net Balance</t>
  </si>
  <si>
    <t>Margin %</t>
  </si>
  <si>
    <t>Months since Start</t>
  </si>
  <si>
    <t>Net_Profit</t>
  </si>
  <si>
    <t>Net_Profit%</t>
  </si>
  <si>
    <t>Annualized Net_Profit%</t>
  </si>
  <si>
    <t>Abs.Size</t>
  </si>
  <si>
    <t>G-XM</t>
  </si>
  <si>
    <t>IN-Alpari</t>
  </si>
  <si>
    <t>G-Alpari2</t>
  </si>
  <si>
    <t>V-Alpari</t>
  </si>
  <si>
    <t>M-Alpari</t>
  </si>
  <si>
    <t>R-Alpari</t>
  </si>
  <si>
    <t>A-Alpari</t>
  </si>
  <si>
    <t>I-Alpari</t>
  </si>
  <si>
    <t>S-Alpari</t>
  </si>
  <si>
    <t>L-XM</t>
  </si>
  <si>
    <t>G-Alpari</t>
  </si>
  <si>
    <t>I-XM</t>
  </si>
  <si>
    <t>T-Alpari</t>
  </si>
  <si>
    <t>LE-Alpari</t>
  </si>
  <si>
    <t>PL</t>
  </si>
  <si>
    <t>Open Date</t>
  </si>
  <si>
    <t>Close Date</t>
  </si>
  <si>
    <t>Months</t>
  </si>
  <si>
    <t>Open Value</t>
  </si>
  <si>
    <t>Close Value</t>
  </si>
  <si>
    <t>Gain</t>
  </si>
  <si>
    <t>Gain%</t>
  </si>
  <si>
    <t>Gain% - Annualized</t>
  </si>
  <si>
    <t>G-eToro</t>
  </si>
  <si>
    <t>T-FXCM</t>
  </si>
  <si>
    <t>MZ-Alpari</t>
  </si>
  <si>
    <t>Sara-MX</t>
  </si>
  <si>
    <t>x</t>
  </si>
  <si>
    <t>774678 - M-Alpari</t>
  </si>
  <si>
    <t>776980 - R-Alpari</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</si>
</sst>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
    <numFmt numFmtId="165" formatCode="0.0000"/>
    <numFmt numFmtId="166" formatCode="0.00000"/>
    <numFmt numFmtId="167" formatCode="dd\-mmm\-yy\ hh:mm;@"/>
    <numFmt numFmtId="168" formatCode="[$-409]d\-mmm\-yy;@"/>
    <numFmt numFmtId="169" formatCode="0.0"/>
  </numFmts>
  <fonts count="4" x14ac:knownFonts="1">
    <font>
      <sz val="11"/>
      <color theme="1"/>
      <name val="Calibri"/>
      <family val="2"/>
      <scheme val="minor"/>
    </font>
    <font>
      <b/>
      <sz val="12"/>
      <color theme="1"/>
      <name val="Calibri"/>
      <family val="2"/>
      <scheme val="minor"/>
    </font>
    <font>
      <sz val="11"/>
      <color theme="0"/>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26">
    <xf numFmtId="0" fontId="0" fillId="0" borderId="0" xfId="0"/>
    <xf numFmtId="2" fontId="0" fillId="0" borderId="0" xfId="0" applyNumberFormat="1" applyAlignment="1">
      <alignment horizontal="left"/>
    </xf>
    <xf numFmtId="4" fontId="0" fillId="0" borderId="0" xfId="0" applyNumberFormat="1"/>
    <xf numFmtId="0" fontId="0" fillId="0" borderId="0" xfId="0" applyAlignment="1">
      <alignment horizontal="right"/>
    </xf>
    <xf numFmtId="0" fontId="0" fillId="0" borderId="0" xfId="0" applyAlignment="1">
      <alignment horizontal="left"/>
    </xf>
    <xf numFmtId="164" fontId="0" fillId="0" borderId="0" xfId="0" applyNumberFormat="1"/>
    <xf numFmtId="0" fontId="0" fillId="0" borderId="0" xfId="0" applyNumberFormat="1"/>
    <xf numFmtId="165" fontId="0" fillId="0" borderId="0" xfId="0" applyNumberFormat="1"/>
    <xf numFmtId="166" fontId="0" fillId="0" borderId="0" xfId="0" applyNumberFormat="1"/>
    <xf numFmtId="0" fontId="0" fillId="0" borderId="0" xfId="0" pivotButton="1"/>
    <xf numFmtId="164" fontId="1" fillId="0" borderId="0" xfId="0" applyNumberFormat="1" applyFont="1"/>
    <xf numFmtId="1" fontId="0" fillId="0" borderId="0" xfId="0" applyNumberFormat="1"/>
    <xf numFmtId="0" fontId="2" fillId="0" borderId="0" xfId="0" applyFont="1"/>
    <xf numFmtId="0" fontId="0" fillId="0" borderId="0" xfId="0" applyAlignment="1">
      <alignment wrapText="1"/>
    </xf>
    <xf numFmtId="167" fontId="0" fillId="0" borderId="0" xfId="0" applyNumberFormat="1"/>
    <xf numFmtId="168" fontId="0" fillId="0" borderId="0" xfId="0" applyNumberFormat="1"/>
    <xf numFmtId="3" fontId="0" fillId="0" borderId="0" xfId="0" applyNumberFormat="1"/>
    <xf numFmtId="169" fontId="0" fillId="0" borderId="0" xfId="0" applyNumberFormat="1"/>
    <xf numFmtId="2" fontId="0" fillId="0" borderId="0" xfId="0" applyNumberFormat="1"/>
    <xf numFmtId="168" fontId="2" fillId="0" borderId="0" xfId="0" applyNumberFormat="1" applyFont="1"/>
    <xf numFmtId="169" fontId="2" fillId="0" borderId="0" xfId="0" applyNumberFormat="1" applyFont="1"/>
    <xf numFmtId="1" fontId="2" fillId="0" borderId="0" xfId="0" applyNumberFormat="1" applyFont="1"/>
    <xf numFmtId="164" fontId="2" fillId="0" borderId="0" xfId="0" applyNumberFormat="1" applyFont="1"/>
    <xf numFmtId="0" fontId="0" fillId="0" borderId="0" xfId="0" pivotButton="1" applyAlignment="1">
      <alignment wrapText="1"/>
    </xf>
    <xf numFmtId="0" fontId="3" fillId="0" borderId="0" xfId="0" applyFont="1" applyAlignment="1">
      <alignment wrapText="1"/>
    </xf>
    <xf numFmtId="15" fontId="0" fillId="0" borderId="0" xfId="0" applyNumberFormat="1"/>
  </cellXfs>
  <cellStyles count="1">
    <cellStyle name="Normal" xfId="0" builtinId="0"/>
  </cellStyles>
  <dxfs count="36">
    <dxf>
      <numFmt numFmtId="165" formatCode="0.0000"/>
    </dxf>
    <dxf>
      <numFmt numFmtId="166" formatCode="0.00000"/>
    </dxf>
    <dxf>
      <font>
        <b/>
        <strike val="0"/>
        <outline val="0"/>
        <shadow val="0"/>
        <u val="none"/>
        <vertAlign val="baseline"/>
        <sz val="12"/>
        <color theme="1"/>
        <name val="Calibri"/>
        <scheme val="minor"/>
      </font>
      <numFmt numFmtId="164" formatCode="0.0%"/>
    </dxf>
    <dxf>
      <font>
        <b/>
        <i val="0"/>
        <strike val="0"/>
        <condense val="0"/>
        <extend val="0"/>
        <outline val="0"/>
        <shadow val="0"/>
        <u val="none"/>
        <vertAlign val="baseline"/>
        <sz val="14"/>
        <color theme="1"/>
        <name val="Calibri"/>
        <scheme val="minor"/>
      </font>
      <numFmt numFmtId="14" formatCode="0.00%"/>
    </dxf>
    <dxf>
      <font>
        <b/>
        <strike val="0"/>
        <outline val="0"/>
        <shadow val="0"/>
        <u val="none"/>
        <vertAlign val="baseline"/>
        <sz val="12"/>
        <color theme="1"/>
        <name val="Calibri"/>
        <scheme val="minor"/>
      </font>
      <numFmt numFmtId="164" formatCode="0.0%"/>
    </dxf>
    <dxf>
      <font>
        <b/>
        <i val="0"/>
        <strike val="0"/>
        <condense val="0"/>
        <extend val="0"/>
        <outline val="0"/>
        <shadow val="0"/>
        <u val="none"/>
        <vertAlign val="baseline"/>
        <sz val="12"/>
        <color theme="1"/>
        <name val="Calibri"/>
        <scheme val="minor"/>
      </font>
      <numFmt numFmtId="164" formatCode="0.0%"/>
    </dxf>
    <dxf>
      <alignment horizontal="right" readingOrder="0"/>
    </dxf>
    <dxf>
      <numFmt numFmtId="4" formatCode="#,##0.00"/>
    </dxf>
    <dxf>
      <numFmt numFmtId="4" formatCode="#,##0.00"/>
    </dxf>
    <dxf>
      <font>
        <color theme="0"/>
      </font>
    </dxf>
    <dxf>
      <alignment horizontal="right" readingOrder="0"/>
    </dxf>
    <dxf>
      <alignment horizontal="right" readingOrder="0"/>
    </dxf>
    <dxf>
      <font>
        <color theme="0"/>
      </font>
      <numFmt numFmtId="168" formatCode="[$-409]d\-mmm\-yy;@"/>
    </dxf>
    <dxf>
      <numFmt numFmtId="167" formatCode="dd\-mmm\-yy\ hh:mm;@"/>
    </dxf>
    <dxf>
      <font>
        <color theme="0"/>
      </font>
    </dxf>
    <dxf>
      <font>
        <color theme="0"/>
      </font>
    </dxf>
    <dxf>
      <font>
        <color theme="0"/>
      </font>
    </dxf>
    <dxf>
      <font>
        <color theme="0"/>
      </font>
    </dxf>
    <dxf>
      <font>
        <color theme="0"/>
      </font>
    </dxf>
    <dxf>
      <alignment wrapText="1" readingOrder="0"/>
    </dxf>
    <dxf>
      <numFmt numFmtId="1" formatCode="0"/>
    </dxf>
    <dxf>
      <numFmt numFmtId="169" formatCode="0.0"/>
    </dxf>
    <dxf>
      <numFmt numFmtId="164" formatCode="0.0%"/>
    </dxf>
    <dxf>
      <alignment wrapText="1" readingOrder="0"/>
    </dxf>
    <dxf>
      <alignment wrapText="1" readingOrder="0"/>
    </dxf>
    <dxf>
      <fill>
        <patternFill>
          <bgColor rgb="FFFB4F4F"/>
        </patternFill>
      </fill>
    </dxf>
    <dxf>
      <fill>
        <patternFill>
          <bgColor rgb="FF92D050"/>
        </patternFill>
      </fill>
    </dxf>
    <dxf>
      <fill>
        <patternFill>
          <bgColor rgb="FFC00000"/>
        </patternFill>
      </fill>
    </dxf>
    <dxf>
      <fill>
        <patternFill>
          <bgColor rgb="FFFB4F4F"/>
        </patternFill>
      </fill>
    </dxf>
    <dxf>
      <fill>
        <patternFill>
          <bgColor rgb="FF92D050"/>
        </patternFill>
      </fill>
    </dxf>
    <dxf>
      <fill>
        <patternFill>
          <bgColor rgb="FFFB4F4F"/>
        </patternFill>
      </fill>
    </dxf>
    <dxf>
      <fill>
        <patternFill>
          <bgColor rgb="FF92D050"/>
        </patternFill>
      </fill>
    </dxf>
    <dxf>
      <fill>
        <patternFill>
          <bgColor rgb="FFFB4F4F"/>
        </patternFill>
      </fill>
    </dxf>
    <dxf>
      <fill>
        <patternFill>
          <bgColor rgb="FF92D050"/>
        </patternFill>
      </fill>
    </dxf>
    <dxf>
      <fill>
        <patternFill>
          <bgColor rgb="FFFB4F4F"/>
        </patternFill>
      </fill>
    </dxf>
    <dxf>
      <fill>
        <patternFill>
          <bgColor rgb="FF92D050"/>
        </patternFill>
      </fill>
    </dxf>
  </dxfs>
  <tableStyles count="0" defaultTableStyle="TableStyleMedium2" defaultPivotStyle="PivotStyleLight16"/>
  <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2.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pivotCacheDefinition" Target="pivotCache/pivotCacheDefinition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[MyChannel_V3.xlsm]PL by Pair!PivotTable3</c:name>
    <c:fmtId val="1"/>
  </c:pivotSource>
  <c:chart>
    <c:title>
      <c:tx>
        <c:strRef>
          <c:f>'PL by Pair'!$K$100</c:f>
          <c:strCache>
            <c:ptCount val="1"/>
            <c:pt idx="0">
              <c:v>P/L by Pair, 774678 - M-Alpari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rgbClr val="FF5050">
              <a:alpha val="95000"/>
            </a:srgbClr>
          </a:solidFill>
          <a:ln>
            <a:noFill/>
          </a:ln>
          <a:effectLst/>
        </c:spPr>
        <c:marker>
          <c:symbol val="none"/>
        </c:marker>
      </c:pivotFmt>
      <c:pivotFmt>
        <c:idx val="5"/>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pivotFmt>
      <c:pivotFmt>
        <c:idx val="7"/>
        <c:spPr>
          <a:solidFill>
            <a:schemeClr val="accent6">
              <a:lumMod val="60000"/>
              <a:lumOff val="40000"/>
            </a:schemeClr>
          </a:solidFill>
          <a:ln>
            <a:noFill/>
          </a:ln>
          <a:effectLst/>
        </c:spPr>
      </c:pivotFmt>
    </c:pivotFmts>
    <c:plotArea>
      <c:layout/>
      <c:barChart>
        <c:barDir val="col"/>
        <c:grouping val="clustered"/>
        <c:varyColors val="0"/>
        <c:ser>
          <c:idx val="0"/>
          <c:order val="0"/>
          <c:tx>
            <c:strRef>
              <c:f>'PL by Pair'!$K$100</c:f>
              <c:strCache>
                <c:ptCount val="1"/>
                <c:pt idx="0">
                  <c:v>Closed</c:v>
                </c:pt>
              </c:strCache>
            </c:strRef>
          </c:tx>
          <c:spPr>
            <a:solidFill>
              <a:schemeClr val="accent1"/>
            </a:solidFill>
            <a:ln>
              <a:noFill/>
            </a:ln>
            <a:effectLst/>
          </c:spPr>
          <c:invertIfNegative val="0"/>
          <c:cat>
            <c:strRef>
              <c:f>'PL by Pair'!$K$100</c:f>
              <c:strCache>
                <c:ptCount val="3"/>
                <c:pt idx="0">
                  <c:v>AUDJPY</c:v>
                </c:pt>
                <c:pt idx="1">
                  <c:v>NZDUSD</c:v>
                </c:pt>
                <c:pt idx="2">
                  <c:v>EURUSD</c:v>
                </c:pt>
              </c:strCache>
            </c:strRef>
          </c:cat>
          <c:val>
            <c:numRef>
              <c:f>'PL by Pair'!$K$100</c:f>
              <c:numCache>
                <c:formatCode>#,##0.00</c:formatCode>
                <c:ptCount val="3"/>
                <c:pt idx="0">
                  <c:v>1999.97</c:v>
                </c:pt>
                <c:pt idx="1">
                  <c:v>-11928.55</c:v>
                </c:pt>
                <c:pt idx="2">
                  <c:v>-45968.22</c:v>
                </c:pt>
              </c:numCache>
            </c:numRef>
          </c:val>
        </c:ser>
        <c:ser>
          <c:idx val="1"/>
          <c:order val="1"/>
          <c:tx>
            <c:strRef>
              <c:f>'PL by Pair'!$K$100</c:f>
              <c:strCache>
                <c:ptCount val="1"/>
                <c:pt idx="0">
                  <c:v>Open</c:v>
                </c:pt>
              </c:strCache>
            </c:strRef>
          </c:tx>
          <c:spPr>
            <a:solidFill>
              <a:srgbClr val="FF5050">
                <a:alpha val="95000"/>
              </a:srgbClr>
            </a:solidFill>
            <a:ln>
              <a:noFill/>
            </a:ln>
            <a:effectLst/>
          </c:spPr>
          <c:invertIfNegative val="0"/>
          <c:cat>
            <c:strRef>
              <c:f>'PL by Pair'!$K$100</c:f>
              <c:strCache>
                <c:ptCount val="3"/>
                <c:pt idx="0">
                  <c:v>AUDJPY</c:v>
                </c:pt>
                <c:pt idx="1">
                  <c:v>NZDUSD</c:v>
                </c:pt>
                <c:pt idx="2">
                  <c:v>EURUSD</c:v>
                </c:pt>
              </c:strCache>
            </c:strRef>
          </c:cat>
          <c:val>
            <c:numRef>
              <c:f>'PL by Pair'!$K$100</c:f>
              <c:numCache>
                <c:formatCode>#,##0.00</c:formatCode>
                <c:ptCount val="3"/>
                <c:pt idx="0">
                  <c:v>0</c:v>
                </c:pt>
                <c:pt idx="1">
                  <c:v>-7172.22</c:v>
                </c:pt>
                <c:pt idx="2">
                  <c:v>-1637.58</c:v>
                </c:pt>
              </c:numCache>
            </c:numRef>
          </c:val>
        </c:ser>
        <c:ser>
          <c:idx val="2"/>
          <c:order val="2"/>
          <c:tx>
            <c:strRef>
              <c:f>'PL by Pair'!$K$100</c:f>
              <c:strCache>
                <c:ptCount val="1"/>
                <c:pt idx="0">
                  <c:v>PL</c:v>
                </c:pt>
              </c:strCache>
            </c:strRef>
          </c:tx>
          <c:spPr>
            <a:solidFill>
              <a:schemeClr val="accent6">
                <a:lumMod val="60000"/>
                <a:lumOff val="40000"/>
              </a:schemeClr>
            </a:solidFill>
            <a:ln>
              <a:noFill/>
            </a:ln>
            <a:effectLst/>
          </c:spPr>
          <c:invertIfNegative val="0"/>
          <c:dPt>
            <c:idx val="0"/>
            <c:invertIfNegative val="0"/>
            <c:bubble3D val="0"/>
          </c:dPt>
          <c:dPt>
            <c:idx val="1"/>
            <c:invertIfNegative val="0"/>
            <c:bubble3D val="0"/>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 by Pair'!$K$100</c:f>
              <c:strCache>
                <c:ptCount val="3"/>
                <c:pt idx="0">
                  <c:v>AUDJPY</c:v>
                </c:pt>
                <c:pt idx="1">
                  <c:v>NZDUSD</c:v>
                </c:pt>
                <c:pt idx="2">
                  <c:v>EURUSD</c:v>
                </c:pt>
              </c:strCache>
            </c:strRef>
          </c:cat>
          <c:val>
            <c:numRef>
              <c:f>'PL by Pair'!$K$100</c:f>
              <c:numCache>
                <c:formatCode>#,##0.00</c:formatCode>
                <c:ptCount val="3"/>
                <c:pt idx="0">
                  <c:v>1999.97</c:v>
                </c:pt>
                <c:pt idx="1">
                  <c:v>-19100.77</c:v>
                </c:pt>
                <c:pt idx="2">
                  <c:v>-47605.8</c:v>
                </c:pt>
              </c:numCache>
            </c:numRef>
          </c:val>
        </c:ser>
        <c:dLbls>
          <c:showLegendKey val="0"/>
          <c:showVal val="0"/>
          <c:showCatName val="0"/>
          <c:showSerName val="0"/>
          <c:showPercent val="0"/>
          <c:showBubbleSize val="0"/>
        </c:dLbls>
        <c:gapWidth val="100"/>
        <c:axId val="410701904"/>
        <c:axId val="410714416"/>
      </c:barChart>
      <c:catAx>
        <c:axId val="410701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410714416"/>
        <c:crosses val="autoZero"/>
        <c:auto val="1"/>
        <c:lblAlgn val="ctr"/>
        <c:lblOffset val="100"/>
        <c:noMultiLvlLbl val="0"/>
      </c:catAx>
      <c:valAx>
        <c:axId val="410714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01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[MyChannel_V3.xlsm]Closed_Profits!CloseDProfits_Pivot</c:name>
    <c:fmtId val="23"/>
  </c:pivotSource>
  <c:chart>
    <c:title>
      <c:tx>
        <c:strRef>
          <c:f>Closed_Profits!$K$100</c:f>
          <c:strCache>
            <c:ptCount val="1"/>
            <c:pt idx="0">
              <c:v>Closed Profits, 774678 - M-Alpari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s>
    <c:plotArea>
      <c:layout/>
      <c:barChart>
        <c:barDir val="col"/>
        <c:grouping val="stacked"/>
        <c:varyColors val="0"/>
        <c:ser>
          <c:idx val="0"/>
          <c:order val="0"/>
          <c:tx>
            <c:strRef>
              <c:f>Closed_Profits!$K$100</c:f>
              <c:strCache>
                <c:ptCount val="1"/>
                <c:pt idx="0">
                  <c:v>AUDJPY</c:v>
                </c:pt>
              </c:strCache>
            </c:strRef>
          </c:tx>
          <c:spPr>
            <a:solidFill>
              <a:schemeClr val="accent1"/>
            </a:solidFill>
            <a:ln>
              <a:noFill/>
            </a:ln>
            <a:effectLst/>
          </c:spPr>
          <c:invertIfNegative val="0"/>
          <c:cat>
            <c:strRef>
              <c:f>Closed_Profits!$K$100</c:f>
              <c:strCache>
                <c:ptCount val="58"/>
                <c:pt idx="0">
                  <c:v>13.46</c:v>
                </c:pt>
                <c:pt idx="1">
                  <c:v>13.47</c:v>
                </c:pt>
                <c:pt idx="2">
                  <c:v>13.48</c:v>
                </c:pt>
                <c:pt idx="3">
                  <c:v>13.49</c:v>
                </c:pt>
                <c:pt idx="4">
                  <c:v>13.50</c:v>
                </c:pt>
                <c:pt idx="5">
                  <c:v>13.51</c:v>
                </c:pt>
                <c:pt idx="6">
                  <c:v>13.52</c:v>
                </c:pt>
                <c:pt idx="7">
                  <c:v>13.53</c:v>
                </c:pt>
                <c:pt idx="8">
                  <c:v>14.01</c:v>
                </c:pt>
                <c:pt idx="9">
                  <c:v>14.02</c:v>
                </c:pt>
                <c:pt idx="10">
                  <c:v>14.03</c:v>
                </c:pt>
                <c:pt idx="11">
                  <c:v>14.04</c:v>
                </c:pt>
                <c:pt idx="12">
                  <c:v>14.05</c:v>
                </c:pt>
                <c:pt idx="13">
                  <c:v>14.06</c:v>
                </c:pt>
                <c:pt idx="14">
                  <c:v>14.07</c:v>
                </c:pt>
                <c:pt idx="15">
                  <c:v>14.08</c:v>
                </c:pt>
                <c:pt idx="16">
                  <c:v>14.09</c:v>
                </c:pt>
                <c:pt idx="17">
                  <c:v>14.10</c:v>
                </c:pt>
                <c:pt idx="18">
                  <c:v>14.11</c:v>
                </c:pt>
                <c:pt idx="19">
                  <c:v>14.12</c:v>
                </c:pt>
                <c:pt idx="20">
                  <c:v>14.13</c:v>
                </c:pt>
                <c:pt idx="21">
                  <c:v>14.14</c:v>
                </c:pt>
                <c:pt idx="22">
                  <c:v>14.15</c:v>
                </c:pt>
                <c:pt idx="23">
                  <c:v>14.16</c:v>
                </c:pt>
                <c:pt idx="24">
                  <c:v>14.17</c:v>
                </c:pt>
                <c:pt idx="25">
                  <c:v>14.18</c:v>
                </c:pt>
                <c:pt idx="26">
                  <c:v>14.19</c:v>
                </c:pt>
                <c:pt idx="27">
                  <c:v>14.20</c:v>
                </c:pt>
                <c:pt idx="28">
                  <c:v>14.21</c:v>
                </c:pt>
                <c:pt idx="29">
                  <c:v>14.22</c:v>
                </c:pt>
                <c:pt idx="30">
                  <c:v>14.23</c:v>
                </c:pt>
                <c:pt idx="31">
                  <c:v>14.24</c:v>
                </c:pt>
                <c:pt idx="32">
                  <c:v>14.25</c:v>
                </c:pt>
                <c:pt idx="33">
                  <c:v>14.26</c:v>
                </c:pt>
                <c:pt idx="34">
                  <c:v>14.27</c:v>
                </c:pt>
                <c:pt idx="35">
                  <c:v>14.28</c:v>
                </c:pt>
                <c:pt idx="36">
                  <c:v>14.29</c:v>
                </c:pt>
                <c:pt idx="37">
                  <c:v>14.30</c:v>
                </c:pt>
                <c:pt idx="38">
                  <c:v>14.31</c:v>
                </c:pt>
                <c:pt idx="39">
                  <c:v>14.32</c:v>
                </c:pt>
                <c:pt idx="40">
                  <c:v>14.33</c:v>
                </c:pt>
                <c:pt idx="41">
                  <c:v>14.34</c:v>
                </c:pt>
                <c:pt idx="42">
                  <c:v>14.35</c:v>
                </c:pt>
                <c:pt idx="43">
                  <c:v>14.36</c:v>
                </c:pt>
                <c:pt idx="44">
                  <c:v>14.37</c:v>
                </c:pt>
                <c:pt idx="45">
                  <c:v>14.38</c:v>
                </c:pt>
                <c:pt idx="46">
                  <c:v>14.39</c:v>
                </c:pt>
                <c:pt idx="47">
                  <c:v>14.40</c:v>
                </c:pt>
                <c:pt idx="48">
                  <c:v>14.41</c:v>
                </c:pt>
                <c:pt idx="49">
                  <c:v>14.42</c:v>
                </c:pt>
                <c:pt idx="50">
                  <c:v>14.43</c:v>
                </c:pt>
                <c:pt idx="51">
                  <c:v>14.44</c:v>
                </c:pt>
                <c:pt idx="52">
                  <c:v>14.45</c:v>
                </c:pt>
                <c:pt idx="53">
                  <c:v>14.46</c:v>
                </c:pt>
                <c:pt idx="54">
                  <c:v>14.47</c:v>
                </c:pt>
                <c:pt idx="55">
                  <c:v>14.48</c:v>
                </c:pt>
                <c:pt idx="56">
                  <c:v>14.49</c:v>
                </c:pt>
                <c:pt idx="57">
                  <c:v>14.50</c:v>
                </c:pt>
              </c:strCache>
            </c:strRef>
          </c:cat>
          <c:val>
            <c:numRef>
              <c:f>Closed_Profits!$K$100</c:f>
              <c:numCache>
                <c:formatCode>#,##0.00</c:formatCode>
                <c:ptCount val="58"/>
                <c:pt idx="0">
                  <c:v>14.8</c:v>
                </c:pt>
                <c:pt idx="1">
                  <c:v>494.55</c:v>
                </c:pt>
                <c:pt idx="2">
                  <c:v>424.27</c:v>
                </c:pt>
                <c:pt idx="3">
                  <c:v>659.5</c:v>
                </c:pt>
                <c:pt idx="4">
                  <c:v>674.96</c:v>
                </c:pt>
                <c:pt idx="5">
                  <c:v>530.13</c:v>
                </c:pt>
                <c:pt idx="6">
                  <c:v>82.5</c:v>
                </c:pt>
                <c:pt idx="7">
                  <c:v>101.41</c:v>
                </c:pt>
                <c:pt idx="8">
                  <c:v>224.17</c:v>
                </c:pt>
                <c:pt idx="9">
                  <c:v>205.63</c:v>
                </c:pt>
                <c:pt idx="10">
                  <c:v>188.07</c:v>
                </c:pt>
                <c:pt idx="11">
                  <c:v>900.46</c:v>
                </c:pt>
                <c:pt idx="12">
                  <c:v>1300.1600000000001</c:v>
                </c:pt>
                <c:pt idx="13">
                  <c:v>1214.83</c:v>
                </c:pt>
                <c:pt idx="14">
                  <c:v>646.17999999999995</c:v>
                </c:pt>
                <c:pt idx="15">
                  <c:v>-3194.44</c:v>
                </c:pt>
                <c:pt idx="16">
                  <c:v>630.23</c:v>
                </c:pt>
                <c:pt idx="17">
                  <c:v>1502.97</c:v>
                </c:pt>
                <c:pt idx="18">
                  <c:v>1569.5</c:v>
                </c:pt>
                <c:pt idx="19">
                  <c:v>854.18</c:v>
                </c:pt>
                <c:pt idx="20">
                  <c:v>775.59</c:v>
                </c:pt>
                <c:pt idx="21">
                  <c:v>447.61</c:v>
                </c:pt>
                <c:pt idx="22">
                  <c:v>879.24</c:v>
                </c:pt>
                <c:pt idx="23">
                  <c:v>589.54999999999995</c:v>
                </c:pt>
                <c:pt idx="24">
                  <c:v>358.16</c:v>
                </c:pt>
                <c:pt idx="25">
                  <c:v>514.6</c:v>
                </c:pt>
                <c:pt idx="26">
                  <c:v>424.83</c:v>
                </c:pt>
                <c:pt idx="27">
                  <c:v>379.21</c:v>
                </c:pt>
                <c:pt idx="28">
                  <c:v>82.24</c:v>
                </c:pt>
                <c:pt idx="29">
                  <c:v>293.98</c:v>
                </c:pt>
                <c:pt idx="30">
                  <c:v>469.9</c:v>
                </c:pt>
                <c:pt idx="31">
                  <c:v>298.27999999999997</c:v>
                </c:pt>
                <c:pt idx="32">
                  <c:v>101.32</c:v>
                </c:pt>
                <c:pt idx="33">
                  <c:v>263.99</c:v>
                </c:pt>
                <c:pt idx="34">
                  <c:v>388.39</c:v>
                </c:pt>
                <c:pt idx="35">
                  <c:v>145.85</c:v>
                </c:pt>
                <c:pt idx="36">
                  <c:v>274.60000000000002</c:v>
                </c:pt>
                <c:pt idx="37">
                  <c:v>285.55</c:v>
                </c:pt>
                <c:pt idx="38">
                  <c:v>110.66</c:v>
                </c:pt>
                <c:pt idx="39">
                  <c:v>80.430000000000007</c:v>
                </c:pt>
                <c:pt idx="40">
                  <c:v>221.2</c:v>
                </c:pt>
                <c:pt idx="41">
                  <c:v>501.05</c:v>
                </c:pt>
                <c:pt idx="42">
                  <c:v>269.19</c:v>
                </c:pt>
                <c:pt idx="43">
                  <c:v>90.65</c:v>
                </c:pt>
                <c:pt idx="44">
                  <c:v>42.51</c:v>
                </c:pt>
                <c:pt idx="45">
                  <c:v>28.49</c:v>
                </c:pt>
                <c:pt idx="46">
                  <c:v>-50.07</c:v>
                </c:pt>
                <c:pt idx="47">
                  <c:v>-60.12</c:v>
                </c:pt>
                <c:pt idx="48">
                  <c:v>-15230.97</c:v>
                </c:pt>
                <c:pt idx="53">
                  <c:v>0</c:v>
                </c:pt>
                <c:pt idx="55">
                  <c:v>0</c:v>
                </c:pt>
                <c:pt idx="57">
                  <c:v>0</c:v>
                </c:pt>
              </c:numCache>
            </c:numRef>
          </c:val>
        </c:ser>
        <c:ser>
          <c:idx val="1"/>
          <c:order val="1"/>
          <c:tx>
            <c:strRef>
              <c:f>Closed_Profits!$K$100</c:f>
              <c:strCache>
                <c:ptCount val="1"/>
                <c:pt idx="0">
                  <c:v>EURUSD</c:v>
                </c:pt>
              </c:strCache>
            </c:strRef>
          </c:tx>
          <c:spPr>
            <a:solidFill>
              <a:schemeClr val="accent2"/>
            </a:solidFill>
            <a:ln>
              <a:noFill/>
            </a:ln>
            <a:effectLst/>
          </c:spPr>
          <c:invertIfNegative val="0"/>
          <c:cat>
            <c:strRef>
              <c:f>Closed_Profits!$K$100</c:f>
              <c:strCache>
                <c:ptCount val="58"/>
                <c:pt idx="0">
                  <c:v>13.46</c:v>
                </c:pt>
                <c:pt idx="1">
                  <c:v>13.47</c:v>
                </c:pt>
                <c:pt idx="2">
                  <c:v>13.48</c:v>
                </c:pt>
                <c:pt idx="3">
                  <c:v>13.49</c:v>
                </c:pt>
                <c:pt idx="4">
                  <c:v>13.50</c:v>
                </c:pt>
                <c:pt idx="5">
                  <c:v>13.51</c:v>
                </c:pt>
                <c:pt idx="6">
                  <c:v>13.52</c:v>
                </c:pt>
                <c:pt idx="7">
                  <c:v>13.53</c:v>
                </c:pt>
                <c:pt idx="8">
                  <c:v>14.01</c:v>
                </c:pt>
                <c:pt idx="9">
                  <c:v>14.02</c:v>
                </c:pt>
                <c:pt idx="10">
                  <c:v>14.03</c:v>
                </c:pt>
                <c:pt idx="11">
                  <c:v>14.04</c:v>
                </c:pt>
                <c:pt idx="12">
                  <c:v>14.05</c:v>
                </c:pt>
                <c:pt idx="13">
                  <c:v>14.06</c:v>
                </c:pt>
                <c:pt idx="14">
                  <c:v>14.07</c:v>
                </c:pt>
                <c:pt idx="15">
                  <c:v>14.08</c:v>
                </c:pt>
                <c:pt idx="16">
                  <c:v>14.09</c:v>
                </c:pt>
                <c:pt idx="17">
                  <c:v>14.10</c:v>
                </c:pt>
                <c:pt idx="18">
                  <c:v>14.11</c:v>
                </c:pt>
                <c:pt idx="19">
                  <c:v>14.12</c:v>
                </c:pt>
                <c:pt idx="20">
                  <c:v>14.13</c:v>
                </c:pt>
                <c:pt idx="21">
                  <c:v>14.14</c:v>
                </c:pt>
                <c:pt idx="22">
                  <c:v>14.15</c:v>
                </c:pt>
                <c:pt idx="23">
                  <c:v>14.16</c:v>
                </c:pt>
                <c:pt idx="24">
                  <c:v>14.17</c:v>
                </c:pt>
                <c:pt idx="25">
                  <c:v>14.18</c:v>
                </c:pt>
                <c:pt idx="26">
                  <c:v>14.19</c:v>
                </c:pt>
                <c:pt idx="27">
                  <c:v>14.20</c:v>
                </c:pt>
                <c:pt idx="28">
                  <c:v>14.21</c:v>
                </c:pt>
                <c:pt idx="29">
                  <c:v>14.22</c:v>
                </c:pt>
                <c:pt idx="30">
                  <c:v>14.23</c:v>
                </c:pt>
                <c:pt idx="31">
                  <c:v>14.24</c:v>
                </c:pt>
                <c:pt idx="32">
                  <c:v>14.25</c:v>
                </c:pt>
                <c:pt idx="33">
                  <c:v>14.26</c:v>
                </c:pt>
                <c:pt idx="34">
                  <c:v>14.27</c:v>
                </c:pt>
                <c:pt idx="35">
                  <c:v>14.28</c:v>
                </c:pt>
                <c:pt idx="36">
                  <c:v>14.29</c:v>
                </c:pt>
                <c:pt idx="37">
                  <c:v>14.30</c:v>
                </c:pt>
                <c:pt idx="38">
                  <c:v>14.31</c:v>
                </c:pt>
                <c:pt idx="39">
                  <c:v>14.32</c:v>
                </c:pt>
                <c:pt idx="40">
                  <c:v>14.33</c:v>
                </c:pt>
                <c:pt idx="41">
                  <c:v>14.34</c:v>
                </c:pt>
                <c:pt idx="42">
                  <c:v>14.35</c:v>
                </c:pt>
                <c:pt idx="43">
                  <c:v>14.36</c:v>
                </c:pt>
                <c:pt idx="44">
                  <c:v>14.37</c:v>
                </c:pt>
                <c:pt idx="45">
                  <c:v>14.38</c:v>
                </c:pt>
                <c:pt idx="46">
                  <c:v>14.39</c:v>
                </c:pt>
                <c:pt idx="47">
                  <c:v>14.40</c:v>
                </c:pt>
                <c:pt idx="48">
                  <c:v>14.41</c:v>
                </c:pt>
                <c:pt idx="49">
                  <c:v>14.42</c:v>
                </c:pt>
                <c:pt idx="50">
                  <c:v>14.43</c:v>
                </c:pt>
                <c:pt idx="51">
                  <c:v>14.44</c:v>
                </c:pt>
                <c:pt idx="52">
                  <c:v>14.45</c:v>
                </c:pt>
                <c:pt idx="53">
                  <c:v>14.46</c:v>
                </c:pt>
                <c:pt idx="54">
                  <c:v>14.47</c:v>
                </c:pt>
                <c:pt idx="55">
                  <c:v>14.48</c:v>
                </c:pt>
                <c:pt idx="56">
                  <c:v>14.49</c:v>
                </c:pt>
                <c:pt idx="57">
                  <c:v>14.50</c:v>
                </c:pt>
              </c:strCache>
            </c:strRef>
          </c:cat>
          <c:val>
            <c:numRef>
              <c:f>Closed_Profits!$K$100</c:f>
              <c:numCache>
                <c:formatCode>#,##0.00</c:formatCode>
                <c:ptCount val="58"/>
                <c:pt idx="0">
                  <c:v>22.02</c:v>
                </c:pt>
                <c:pt idx="1">
                  <c:v>243.1</c:v>
                </c:pt>
                <c:pt idx="2">
                  <c:v>131.94999999999999</c:v>
                </c:pt>
                <c:pt idx="3">
                  <c:v>371.68</c:v>
                </c:pt>
                <c:pt idx="4">
                  <c:v>151.46</c:v>
                </c:pt>
                <c:pt idx="5">
                  <c:v>348.48</c:v>
                </c:pt>
                <c:pt idx="6">
                  <c:v>259.77999999999997</c:v>
                </c:pt>
                <c:pt idx="7">
                  <c:v>65.38</c:v>
                </c:pt>
                <c:pt idx="8">
                  <c:v>172.54</c:v>
                </c:pt>
                <c:pt idx="9">
                  <c:v>240</c:v>
                </c:pt>
                <c:pt idx="10">
                  <c:v>173.97</c:v>
                </c:pt>
                <c:pt idx="11">
                  <c:v>285.19</c:v>
                </c:pt>
                <c:pt idx="12">
                  <c:v>328.12</c:v>
                </c:pt>
                <c:pt idx="13">
                  <c:v>308.57</c:v>
                </c:pt>
                <c:pt idx="14">
                  <c:v>240.42</c:v>
                </c:pt>
                <c:pt idx="15">
                  <c:v>-1713.17</c:v>
                </c:pt>
                <c:pt idx="16">
                  <c:v>426.28</c:v>
                </c:pt>
                <c:pt idx="17">
                  <c:v>778.72</c:v>
                </c:pt>
                <c:pt idx="18">
                  <c:v>387.12</c:v>
                </c:pt>
                <c:pt idx="19">
                  <c:v>516.55999999999995</c:v>
                </c:pt>
                <c:pt idx="20">
                  <c:v>563.17999999999995</c:v>
                </c:pt>
                <c:pt idx="21">
                  <c:v>431.56</c:v>
                </c:pt>
                <c:pt idx="22">
                  <c:v>259.32</c:v>
                </c:pt>
                <c:pt idx="23">
                  <c:v>264.13</c:v>
                </c:pt>
                <c:pt idx="24">
                  <c:v>172.44</c:v>
                </c:pt>
                <c:pt idx="25">
                  <c:v>478.02</c:v>
                </c:pt>
                <c:pt idx="26">
                  <c:v>507.3</c:v>
                </c:pt>
                <c:pt idx="27">
                  <c:v>291.18</c:v>
                </c:pt>
                <c:pt idx="28">
                  <c:v>185.94</c:v>
                </c:pt>
                <c:pt idx="29">
                  <c:v>121.7</c:v>
                </c:pt>
                <c:pt idx="30">
                  <c:v>702.62</c:v>
                </c:pt>
                <c:pt idx="31">
                  <c:v>220.72</c:v>
                </c:pt>
                <c:pt idx="32">
                  <c:v>482.37</c:v>
                </c:pt>
                <c:pt idx="33">
                  <c:v>175.87</c:v>
                </c:pt>
                <c:pt idx="34">
                  <c:v>154.12</c:v>
                </c:pt>
                <c:pt idx="35">
                  <c:v>228.4</c:v>
                </c:pt>
                <c:pt idx="36">
                  <c:v>134.28</c:v>
                </c:pt>
                <c:pt idx="37">
                  <c:v>224.84</c:v>
                </c:pt>
                <c:pt idx="38">
                  <c:v>271.27999999999997</c:v>
                </c:pt>
                <c:pt idx="39">
                  <c:v>358.71</c:v>
                </c:pt>
                <c:pt idx="40">
                  <c:v>403.95</c:v>
                </c:pt>
                <c:pt idx="41">
                  <c:v>319.77</c:v>
                </c:pt>
                <c:pt idx="42">
                  <c:v>350.48</c:v>
                </c:pt>
                <c:pt idx="43">
                  <c:v>95.12</c:v>
                </c:pt>
                <c:pt idx="48">
                  <c:v>47.1</c:v>
                </c:pt>
                <c:pt idx="49">
                  <c:v>517.51</c:v>
                </c:pt>
                <c:pt idx="50">
                  <c:v>140.81</c:v>
                </c:pt>
                <c:pt idx="51">
                  <c:v>0</c:v>
                </c:pt>
                <c:pt idx="52">
                  <c:v>-41956.26</c:v>
                </c:pt>
                <c:pt idx="53">
                  <c:v>0</c:v>
                </c:pt>
                <c:pt idx="54">
                  <c:v>0</c:v>
                </c:pt>
                <c:pt idx="56">
                  <c:v>-5247.01</c:v>
                </c:pt>
                <c:pt idx="57">
                  <c:v>-10605.84</c:v>
                </c:pt>
              </c:numCache>
            </c:numRef>
          </c:val>
        </c:ser>
        <c:ser>
          <c:idx val="2"/>
          <c:order val="2"/>
          <c:tx>
            <c:strRef>
              <c:f>Closed_Profits!$K$100</c:f>
              <c:strCache>
                <c:ptCount val="1"/>
                <c:pt idx="0">
                  <c:v>NZDUSD</c:v>
                </c:pt>
              </c:strCache>
            </c:strRef>
          </c:tx>
          <c:spPr>
            <a:solidFill>
              <a:schemeClr val="accent3"/>
            </a:solidFill>
            <a:ln>
              <a:noFill/>
            </a:ln>
            <a:effectLst/>
          </c:spPr>
          <c:invertIfNegative val="0"/>
          <c:cat>
            <c:strRef>
              <c:f>Closed_Profits!$K$100</c:f>
              <c:strCache>
                <c:ptCount val="58"/>
                <c:pt idx="0">
                  <c:v>13.46</c:v>
                </c:pt>
                <c:pt idx="1">
                  <c:v>13.47</c:v>
                </c:pt>
                <c:pt idx="2">
                  <c:v>13.48</c:v>
                </c:pt>
                <c:pt idx="3">
                  <c:v>13.49</c:v>
                </c:pt>
                <c:pt idx="4">
                  <c:v>13.50</c:v>
                </c:pt>
                <c:pt idx="5">
                  <c:v>13.51</c:v>
                </c:pt>
                <c:pt idx="6">
                  <c:v>13.52</c:v>
                </c:pt>
                <c:pt idx="7">
                  <c:v>13.53</c:v>
                </c:pt>
                <c:pt idx="8">
                  <c:v>14.01</c:v>
                </c:pt>
                <c:pt idx="9">
                  <c:v>14.02</c:v>
                </c:pt>
                <c:pt idx="10">
                  <c:v>14.03</c:v>
                </c:pt>
                <c:pt idx="11">
                  <c:v>14.04</c:v>
                </c:pt>
                <c:pt idx="12">
                  <c:v>14.05</c:v>
                </c:pt>
                <c:pt idx="13">
                  <c:v>14.06</c:v>
                </c:pt>
                <c:pt idx="14">
                  <c:v>14.07</c:v>
                </c:pt>
                <c:pt idx="15">
                  <c:v>14.08</c:v>
                </c:pt>
                <c:pt idx="16">
                  <c:v>14.09</c:v>
                </c:pt>
                <c:pt idx="17">
                  <c:v>14.10</c:v>
                </c:pt>
                <c:pt idx="18">
                  <c:v>14.11</c:v>
                </c:pt>
                <c:pt idx="19">
                  <c:v>14.12</c:v>
                </c:pt>
                <c:pt idx="20">
                  <c:v>14.13</c:v>
                </c:pt>
                <c:pt idx="21">
                  <c:v>14.14</c:v>
                </c:pt>
                <c:pt idx="22">
                  <c:v>14.15</c:v>
                </c:pt>
                <c:pt idx="23">
                  <c:v>14.16</c:v>
                </c:pt>
                <c:pt idx="24">
                  <c:v>14.17</c:v>
                </c:pt>
                <c:pt idx="25">
                  <c:v>14.18</c:v>
                </c:pt>
                <c:pt idx="26">
                  <c:v>14.19</c:v>
                </c:pt>
                <c:pt idx="27">
                  <c:v>14.20</c:v>
                </c:pt>
                <c:pt idx="28">
                  <c:v>14.21</c:v>
                </c:pt>
                <c:pt idx="29">
                  <c:v>14.22</c:v>
                </c:pt>
                <c:pt idx="30">
                  <c:v>14.23</c:v>
                </c:pt>
                <c:pt idx="31">
                  <c:v>14.24</c:v>
                </c:pt>
                <c:pt idx="32">
                  <c:v>14.25</c:v>
                </c:pt>
                <c:pt idx="33">
                  <c:v>14.26</c:v>
                </c:pt>
                <c:pt idx="34">
                  <c:v>14.27</c:v>
                </c:pt>
                <c:pt idx="35">
                  <c:v>14.28</c:v>
                </c:pt>
                <c:pt idx="36">
                  <c:v>14.29</c:v>
                </c:pt>
                <c:pt idx="37">
                  <c:v>14.30</c:v>
                </c:pt>
                <c:pt idx="38">
                  <c:v>14.31</c:v>
                </c:pt>
                <c:pt idx="39">
                  <c:v>14.32</c:v>
                </c:pt>
                <c:pt idx="40">
                  <c:v>14.33</c:v>
                </c:pt>
                <c:pt idx="41">
                  <c:v>14.34</c:v>
                </c:pt>
                <c:pt idx="42">
                  <c:v>14.35</c:v>
                </c:pt>
                <c:pt idx="43">
                  <c:v>14.36</c:v>
                </c:pt>
                <c:pt idx="44">
                  <c:v>14.37</c:v>
                </c:pt>
                <c:pt idx="45">
                  <c:v>14.38</c:v>
                </c:pt>
                <c:pt idx="46">
                  <c:v>14.39</c:v>
                </c:pt>
                <c:pt idx="47">
                  <c:v>14.40</c:v>
                </c:pt>
                <c:pt idx="48">
                  <c:v>14.41</c:v>
                </c:pt>
                <c:pt idx="49">
                  <c:v>14.42</c:v>
                </c:pt>
                <c:pt idx="50">
                  <c:v>14.43</c:v>
                </c:pt>
                <c:pt idx="51">
                  <c:v>14.44</c:v>
                </c:pt>
                <c:pt idx="52">
                  <c:v>14.45</c:v>
                </c:pt>
                <c:pt idx="53">
                  <c:v>14.46</c:v>
                </c:pt>
                <c:pt idx="54">
                  <c:v>14.47</c:v>
                </c:pt>
                <c:pt idx="55">
                  <c:v>14.48</c:v>
                </c:pt>
                <c:pt idx="56">
                  <c:v>14.49</c:v>
                </c:pt>
                <c:pt idx="57">
                  <c:v>14.50</c:v>
                </c:pt>
              </c:strCache>
            </c:strRef>
          </c:cat>
          <c:val>
            <c:numRef>
              <c:f>Closed_Profits!$K$100</c:f>
              <c:numCache>
                <c:formatCode>#,##0.00</c:formatCode>
                <c:ptCount val="58"/>
                <c:pt idx="0">
                  <c:v>29.68</c:v>
                </c:pt>
                <c:pt idx="1">
                  <c:v>502.44</c:v>
                </c:pt>
                <c:pt idx="2">
                  <c:v>361.97</c:v>
                </c:pt>
                <c:pt idx="3">
                  <c:v>526.37</c:v>
                </c:pt>
                <c:pt idx="4">
                  <c:v>426.15</c:v>
                </c:pt>
                <c:pt idx="5">
                  <c:v>471.47</c:v>
                </c:pt>
                <c:pt idx="6">
                  <c:v>68.94</c:v>
                </c:pt>
                <c:pt idx="7">
                  <c:v>80.7</c:v>
                </c:pt>
                <c:pt idx="8">
                  <c:v>214.96</c:v>
                </c:pt>
                <c:pt idx="9">
                  <c:v>234.29</c:v>
                </c:pt>
                <c:pt idx="10">
                  <c:v>426.8</c:v>
                </c:pt>
                <c:pt idx="11">
                  <c:v>417.17</c:v>
                </c:pt>
                <c:pt idx="12">
                  <c:v>409.49</c:v>
                </c:pt>
                <c:pt idx="13">
                  <c:v>501.75</c:v>
                </c:pt>
                <c:pt idx="14">
                  <c:v>281.13</c:v>
                </c:pt>
                <c:pt idx="15">
                  <c:v>-1485.97</c:v>
                </c:pt>
                <c:pt idx="16">
                  <c:v>269.69</c:v>
                </c:pt>
                <c:pt idx="17">
                  <c:v>500.8</c:v>
                </c:pt>
                <c:pt idx="18">
                  <c:v>651.11</c:v>
                </c:pt>
                <c:pt idx="19">
                  <c:v>535.54999999999995</c:v>
                </c:pt>
                <c:pt idx="20">
                  <c:v>403.17</c:v>
                </c:pt>
                <c:pt idx="21">
                  <c:v>455.37</c:v>
                </c:pt>
                <c:pt idx="22">
                  <c:v>726.88</c:v>
                </c:pt>
                <c:pt idx="23">
                  <c:v>338.61</c:v>
                </c:pt>
                <c:pt idx="24">
                  <c:v>329.79</c:v>
                </c:pt>
                <c:pt idx="25">
                  <c:v>346.46</c:v>
                </c:pt>
                <c:pt idx="26">
                  <c:v>497.57</c:v>
                </c:pt>
                <c:pt idx="27">
                  <c:v>261.22000000000003</c:v>
                </c:pt>
                <c:pt idx="28">
                  <c:v>123.78</c:v>
                </c:pt>
                <c:pt idx="29">
                  <c:v>83.74</c:v>
                </c:pt>
                <c:pt idx="30">
                  <c:v>142.34</c:v>
                </c:pt>
                <c:pt idx="31">
                  <c:v>581</c:v>
                </c:pt>
                <c:pt idx="32">
                  <c:v>323.95</c:v>
                </c:pt>
                <c:pt idx="33">
                  <c:v>343.47</c:v>
                </c:pt>
                <c:pt idx="34">
                  <c:v>283.37</c:v>
                </c:pt>
                <c:pt idx="35">
                  <c:v>211.13</c:v>
                </c:pt>
                <c:pt idx="36">
                  <c:v>168.19</c:v>
                </c:pt>
                <c:pt idx="37">
                  <c:v>41.36</c:v>
                </c:pt>
                <c:pt idx="38">
                  <c:v>144.06</c:v>
                </c:pt>
                <c:pt idx="39">
                  <c:v>91.3</c:v>
                </c:pt>
                <c:pt idx="40">
                  <c:v>237.03</c:v>
                </c:pt>
                <c:pt idx="41">
                  <c:v>-295.63</c:v>
                </c:pt>
                <c:pt idx="42">
                  <c:v>-329.76</c:v>
                </c:pt>
                <c:pt idx="43">
                  <c:v>2.88</c:v>
                </c:pt>
                <c:pt idx="44">
                  <c:v>-112.4</c:v>
                </c:pt>
                <c:pt idx="48">
                  <c:v>63.04</c:v>
                </c:pt>
                <c:pt idx="49">
                  <c:v>439.43</c:v>
                </c:pt>
                <c:pt idx="50">
                  <c:v>253.86</c:v>
                </c:pt>
                <c:pt idx="51">
                  <c:v>0</c:v>
                </c:pt>
                <c:pt idx="52">
                  <c:v>-11247.33</c:v>
                </c:pt>
                <c:pt idx="53">
                  <c:v>0</c:v>
                </c:pt>
                <c:pt idx="56">
                  <c:v>0</c:v>
                </c:pt>
                <c:pt idx="57">
                  <c:v>-12260.92</c:v>
                </c:pt>
              </c:numCache>
            </c:numRef>
          </c:val>
        </c:ser>
        <c:dLbls>
          <c:showLegendKey val="0"/>
          <c:showVal val="0"/>
          <c:showCatName val="0"/>
          <c:showSerName val="0"/>
          <c:showPercent val="0"/>
          <c:showBubbleSize val="0"/>
        </c:dLbls>
        <c:gapWidth val="219"/>
        <c:overlap val="100"/>
        <c:axId val="410702448"/>
        <c:axId val="410700272"/>
      </c:barChart>
      <c:catAx>
        <c:axId val="41070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00272"/>
        <c:crosses val="autoZero"/>
        <c:auto val="1"/>
        <c:lblAlgn val="ctr"/>
        <c:lblOffset val="100"/>
        <c:noMultiLvlLbl val="0"/>
      </c:catAx>
      <c:valAx>
        <c:axId val="41070027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02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[MyChannel_V3.xlsm]Open_Trades!OpenTrades_Pivot</c:name>
    <c:fmtId val="18"/>
  </c:pivotSource>
  <c:chart>
    <c:title>
      <c:tx>
        <c:strRef>
          <c:f>Open_Trades!$K$100</c:f>
          <c:strCache>
            <c:ptCount val="1"/>
            <c:pt idx="0">
              <c:v>Open Trades, 774678 - M-Alpari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s>
    <c:plotArea>
      <c:layout/>
      <c:barChart>
        <c:barDir val="col"/>
        <c:grouping val="stacked"/>
        <c:varyColors val="0"/>
        <c:ser>
          <c:idx val="0"/>
          <c:order val="0"/>
          <c:tx>
            <c:strRef>
              <c:f>Open_Trades!$K$100</c:f>
              <c:strCache>
                <c:ptCount val="1"/>
                <c:pt idx="0">
                  <c:v>AUDJPY</c:v>
                </c:pt>
              </c:strCache>
            </c:strRef>
          </c:tx>
          <c:spPr>
            <a:solidFill>
              <a:schemeClr val="accent1"/>
            </a:solidFill>
            <a:ln>
              <a:noFill/>
            </a:ln>
            <a:effectLst/>
          </c:spPr>
          <c:invertIfNegative val="0"/>
          <c:cat>
            <c:strRef>
              <c:f>Open_Trades!$K$100</c:f>
              <c:strCache>
                <c:ptCount val="56"/>
                <c:pt idx="0">
                  <c:v>13.46</c:v>
                </c:pt>
                <c:pt idx="1">
                  <c:v>13.47</c:v>
                </c:pt>
                <c:pt idx="2">
                  <c:v>13.48</c:v>
                </c:pt>
                <c:pt idx="3">
                  <c:v>13.49</c:v>
                </c:pt>
                <c:pt idx="4">
                  <c:v>13.50</c:v>
                </c:pt>
                <c:pt idx="5">
                  <c:v>13.51</c:v>
                </c:pt>
                <c:pt idx="6">
                  <c:v>14.01</c:v>
                </c:pt>
                <c:pt idx="7">
                  <c:v>14.03</c:v>
                </c:pt>
                <c:pt idx="8">
                  <c:v>14.04</c:v>
                </c:pt>
                <c:pt idx="9">
                  <c:v>14.05</c:v>
                </c:pt>
                <c:pt idx="10">
                  <c:v>14.06</c:v>
                </c:pt>
                <c:pt idx="11">
                  <c:v>14.07</c:v>
                </c:pt>
                <c:pt idx="12">
                  <c:v>14.08</c:v>
                </c:pt>
                <c:pt idx="13">
                  <c:v>14.09</c:v>
                </c:pt>
                <c:pt idx="14">
                  <c:v>14.10</c:v>
                </c:pt>
                <c:pt idx="15">
                  <c:v>14.11</c:v>
                </c:pt>
                <c:pt idx="16">
                  <c:v>14.12</c:v>
                </c:pt>
                <c:pt idx="17">
                  <c:v>14.13</c:v>
                </c:pt>
                <c:pt idx="18">
                  <c:v>14.14</c:v>
                </c:pt>
                <c:pt idx="19">
                  <c:v>14.15</c:v>
                </c:pt>
                <c:pt idx="20">
                  <c:v>14.16</c:v>
                </c:pt>
                <c:pt idx="21">
                  <c:v>14.17</c:v>
                </c:pt>
                <c:pt idx="22">
                  <c:v>14.18</c:v>
                </c:pt>
                <c:pt idx="23">
                  <c:v>14.19</c:v>
                </c:pt>
                <c:pt idx="24">
                  <c:v>14.20</c:v>
                </c:pt>
                <c:pt idx="25">
                  <c:v>14.21</c:v>
                </c:pt>
                <c:pt idx="26">
                  <c:v>14.22</c:v>
                </c:pt>
                <c:pt idx="27">
                  <c:v>14.23</c:v>
                </c:pt>
                <c:pt idx="28">
                  <c:v>14.24</c:v>
                </c:pt>
                <c:pt idx="29">
                  <c:v>14.25</c:v>
                </c:pt>
                <c:pt idx="30">
                  <c:v>14.26</c:v>
                </c:pt>
                <c:pt idx="31">
                  <c:v>14.27</c:v>
                </c:pt>
                <c:pt idx="32">
                  <c:v>14.28</c:v>
                </c:pt>
                <c:pt idx="33">
                  <c:v>14.29</c:v>
                </c:pt>
                <c:pt idx="34">
                  <c:v>14.30</c:v>
                </c:pt>
                <c:pt idx="35">
                  <c:v>14.31</c:v>
                </c:pt>
                <c:pt idx="36">
                  <c:v>14.32</c:v>
                </c:pt>
                <c:pt idx="37">
                  <c:v>14.33</c:v>
                </c:pt>
                <c:pt idx="38">
                  <c:v>14.34</c:v>
                </c:pt>
                <c:pt idx="39">
                  <c:v>14.35</c:v>
                </c:pt>
                <c:pt idx="40">
                  <c:v>14.36</c:v>
                </c:pt>
                <c:pt idx="41">
                  <c:v>14.37</c:v>
                </c:pt>
                <c:pt idx="42">
                  <c:v>14.38</c:v>
                </c:pt>
                <c:pt idx="43">
                  <c:v>14.39</c:v>
                </c:pt>
                <c:pt idx="44">
                  <c:v>14.40</c:v>
                </c:pt>
                <c:pt idx="45">
                  <c:v>14.41</c:v>
                </c:pt>
                <c:pt idx="46">
                  <c:v>14.42</c:v>
                </c:pt>
                <c:pt idx="47">
                  <c:v>14.43</c:v>
                </c:pt>
                <c:pt idx="48">
                  <c:v>14.44</c:v>
                </c:pt>
                <c:pt idx="49">
                  <c:v>14.45</c:v>
                </c:pt>
                <c:pt idx="50">
                  <c:v>14.46</c:v>
                </c:pt>
                <c:pt idx="51">
                  <c:v>14.47</c:v>
                </c:pt>
                <c:pt idx="52">
                  <c:v>14.48</c:v>
                </c:pt>
                <c:pt idx="53">
                  <c:v>14.49</c:v>
                </c:pt>
                <c:pt idx="54">
                  <c:v>14.50</c:v>
                </c:pt>
                <c:pt idx="55">
                  <c:v>14.51</c:v>
                </c:pt>
              </c:strCache>
            </c:strRef>
          </c:cat>
          <c:val>
            <c:numRef>
              <c:f>Open_Trades!$K$100</c:f>
              <c:numCache>
                <c:formatCode>#,##0.00</c:formatCode>
                <c:ptCount val="56"/>
                <c:pt idx="0">
                  <c:v>-48.39</c:v>
                </c:pt>
                <c:pt idx="1">
                  <c:v>-574.79999999999995</c:v>
                </c:pt>
                <c:pt idx="2">
                  <c:v>-501.98</c:v>
                </c:pt>
                <c:pt idx="3">
                  <c:v>-886.57</c:v>
                </c:pt>
                <c:pt idx="4">
                  <c:v>-1010.78</c:v>
                </c:pt>
                <c:pt idx="5">
                  <c:v>-1203.3900000000001</c:v>
                </c:pt>
                <c:pt idx="6">
                  <c:v>-1521.78</c:v>
                </c:pt>
                <c:pt idx="7">
                  <c:v>-1630.34</c:v>
                </c:pt>
                <c:pt idx="8">
                  <c:v>-5894.44</c:v>
                </c:pt>
                <c:pt idx="9">
                  <c:v>-5147.97</c:v>
                </c:pt>
                <c:pt idx="10">
                  <c:v>-3504.87</c:v>
                </c:pt>
                <c:pt idx="11">
                  <c:v>-3690.06</c:v>
                </c:pt>
                <c:pt idx="12">
                  <c:v>-8.5399999999999991</c:v>
                </c:pt>
                <c:pt idx="13">
                  <c:v>-978.85</c:v>
                </c:pt>
                <c:pt idx="14">
                  <c:v>-4921.9799999999996</c:v>
                </c:pt>
                <c:pt idx="15">
                  <c:v>-4073.75</c:v>
                </c:pt>
                <c:pt idx="16">
                  <c:v>-3986.46</c:v>
                </c:pt>
                <c:pt idx="17">
                  <c:v>-9416.56</c:v>
                </c:pt>
                <c:pt idx="18">
                  <c:v>-13199.4</c:v>
                </c:pt>
                <c:pt idx="19">
                  <c:v>-12348.41</c:v>
                </c:pt>
                <c:pt idx="20">
                  <c:v>-12817.94</c:v>
                </c:pt>
                <c:pt idx="21">
                  <c:v>-10433.799999999999</c:v>
                </c:pt>
                <c:pt idx="22">
                  <c:v>-10397.290000000001</c:v>
                </c:pt>
                <c:pt idx="23">
                  <c:v>-12167.1</c:v>
                </c:pt>
                <c:pt idx="24">
                  <c:v>-12068.53</c:v>
                </c:pt>
                <c:pt idx="25">
                  <c:v>-9193.49</c:v>
                </c:pt>
                <c:pt idx="26">
                  <c:v>-10794.16</c:v>
                </c:pt>
                <c:pt idx="27">
                  <c:v>-13315.47</c:v>
                </c:pt>
                <c:pt idx="28">
                  <c:v>-14746.6</c:v>
                </c:pt>
                <c:pt idx="29">
                  <c:v>-15103.09</c:v>
                </c:pt>
                <c:pt idx="30">
                  <c:v>-14488.28</c:v>
                </c:pt>
                <c:pt idx="31">
                  <c:v>-14506.67</c:v>
                </c:pt>
                <c:pt idx="32">
                  <c:v>-13318.67</c:v>
                </c:pt>
                <c:pt idx="33">
                  <c:v>-13521.58</c:v>
                </c:pt>
                <c:pt idx="34">
                  <c:v>-15150.91</c:v>
                </c:pt>
                <c:pt idx="35">
                  <c:v>-14920.21</c:v>
                </c:pt>
                <c:pt idx="36">
                  <c:v>-12229.8</c:v>
                </c:pt>
                <c:pt idx="37">
                  <c:v>-14389.7</c:v>
                </c:pt>
                <c:pt idx="38">
                  <c:v>-20930.82</c:v>
                </c:pt>
                <c:pt idx="39">
                  <c:v>-23707.3</c:v>
                </c:pt>
                <c:pt idx="40">
                  <c:v>-31581.919999999998</c:v>
                </c:pt>
                <c:pt idx="41">
                  <c:v>-22665.35</c:v>
                </c:pt>
                <c:pt idx="42">
                  <c:v>-24334.25</c:v>
                </c:pt>
                <c:pt idx="43">
                  <c:v>-17648.349999999999</c:v>
                </c:pt>
                <c:pt idx="44">
                  <c:v>-15194.74</c:v>
                </c:pt>
              </c:numCache>
            </c:numRef>
          </c:val>
        </c:ser>
        <c:ser>
          <c:idx val="1"/>
          <c:order val="1"/>
          <c:tx>
            <c:strRef>
              <c:f>Open_Trades!$K$100</c:f>
              <c:strCache>
                <c:ptCount val="1"/>
                <c:pt idx="0">
                  <c:v>EURUSD</c:v>
                </c:pt>
              </c:strCache>
            </c:strRef>
          </c:tx>
          <c:spPr>
            <a:solidFill>
              <a:schemeClr val="accent2"/>
            </a:solidFill>
            <a:ln>
              <a:noFill/>
            </a:ln>
            <a:effectLst/>
          </c:spPr>
          <c:invertIfNegative val="0"/>
          <c:cat>
            <c:strRef>
              <c:f>Open_Trades!$K$100</c:f>
              <c:strCache>
                <c:ptCount val="56"/>
                <c:pt idx="0">
                  <c:v>13.46</c:v>
                </c:pt>
                <c:pt idx="1">
                  <c:v>13.47</c:v>
                </c:pt>
                <c:pt idx="2">
                  <c:v>13.48</c:v>
                </c:pt>
                <c:pt idx="3">
                  <c:v>13.49</c:v>
                </c:pt>
                <c:pt idx="4">
                  <c:v>13.50</c:v>
                </c:pt>
                <c:pt idx="5">
                  <c:v>13.51</c:v>
                </c:pt>
                <c:pt idx="6">
                  <c:v>14.01</c:v>
                </c:pt>
                <c:pt idx="7">
                  <c:v>14.03</c:v>
                </c:pt>
                <c:pt idx="8">
                  <c:v>14.04</c:v>
                </c:pt>
                <c:pt idx="9">
                  <c:v>14.05</c:v>
                </c:pt>
                <c:pt idx="10">
                  <c:v>14.06</c:v>
                </c:pt>
                <c:pt idx="11">
                  <c:v>14.07</c:v>
                </c:pt>
                <c:pt idx="12">
                  <c:v>14.08</c:v>
                </c:pt>
                <c:pt idx="13">
                  <c:v>14.09</c:v>
                </c:pt>
                <c:pt idx="14">
                  <c:v>14.10</c:v>
                </c:pt>
                <c:pt idx="15">
                  <c:v>14.11</c:v>
                </c:pt>
                <c:pt idx="16">
                  <c:v>14.12</c:v>
                </c:pt>
                <c:pt idx="17">
                  <c:v>14.13</c:v>
                </c:pt>
                <c:pt idx="18">
                  <c:v>14.14</c:v>
                </c:pt>
                <c:pt idx="19">
                  <c:v>14.15</c:v>
                </c:pt>
                <c:pt idx="20">
                  <c:v>14.16</c:v>
                </c:pt>
                <c:pt idx="21">
                  <c:v>14.17</c:v>
                </c:pt>
                <c:pt idx="22">
                  <c:v>14.18</c:v>
                </c:pt>
                <c:pt idx="23">
                  <c:v>14.19</c:v>
                </c:pt>
                <c:pt idx="24">
                  <c:v>14.20</c:v>
                </c:pt>
                <c:pt idx="25">
                  <c:v>14.21</c:v>
                </c:pt>
                <c:pt idx="26">
                  <c:v>14.22</c:v>
                </c:pt>
                <c:pt idx="27">
                  <c:v>14.23</c:v>
                </c:pt>
                <c:pt idx="28">
                  <c:v>14.24</c:v>
                </c:pt>
                <c:pt idx="29">
                  <c:v>14.25</c:v>
                </c:pt>
                <c:pt idx="30">
                  <c:v>14.26</c:v>
                </c:pt>
                <c:pt idx="31">
                  <c:v>14.27</c:v>
                </c:pt>
                <c:pt idx="32">
                  <c:v>14.28</c:v>
                </c:pt>
                <c:pt idx="33">
                  <c:v>14.29</c:v>
                </c:pt>
                <c:pt idx="34">
                  <c:v>14.30</c:v>
                </c:pt>
                <c:pt idx="35">
                  <c:v>14.31</c:v>
                </c:pt>
                <c:pt idx="36">
                  <c:v>14.32</c:v>
                </c:pt>
                <c:pt idx="37">
                  <c:v>14.33</c:v>
                </c:pt>
                <c:pt idx="38">
                  <c:v>14.34</c:v>
                </c:pt>
                <c:pt idx="39">
                  <c:v>14.35</c:v>
                </c:pt>
                <c:pt idx="40">
                  <c:v>14.36</c:v>
                </c:pt>
                <c:pt idx="41">
                  <c:v>14.37</c:v>
                </c:pt>
                <c:pt idx="42">
                  <c:v>14.38</c:v>
                </c:pt>
                <c:pt idx="43">
                  <c:v>14.39</c:v>
                </c:pt>
                <c:pt idx="44">
                  <c:v>14.40</c:v>
                </c:pt>
                <c:pt idx="45">
                  <c:v>14.41</c:v>
                </c:pt>
                <c:pt idx="46">
                  <c:v>14.42</c:v>
                </c:pt>
                <c:pt idx="47">
                  <c:v>14.43</c:v>
                </c:pt>
                <c:pt idx="48">
                  <c:v>14.44</c:v>
                </c:pt>
                <c:pt idx="49">
                  <c:v>14.45</c:v>
                </c:pt>
                <c:pt idx="50">
                  <c:v>14.46</c:v>
                </c:pt>
                <c:pt idx="51">
                  <c:v>14.47</c:v>
                </c:pt>
                <c:pt idx="52">
                  <c:v>14.48</c:v>
                </c:pt>
                <c:pt idx="53">
                  <c:v>14.49</c:v>
                </c:pt>
                <c:pt idx="54">
                  <c:v>14.50</c:v>
                </c:pt>
                <c:pt idx="55">
                  <c:v>14.51</c:v>
                </c:pt>
              </c:strCache>
            </c:strRef>
          </c:cat>
          <c:val>
            <c:numRef>
              <c:f>Open_Trades!$K$100</c:f>
              <c:numCache>
                <c:formatCode>#,##0.00</c:formatCode>
                <c:ptCount val="56"/>
                <c:pt idx="0">
                  <c:v>-29.84</c:v>
                </c:pt>
                <c:pt idx="1">
                  <c:v>-381.2</c:v>
                </c:pt>
                <c:pt idx="2">
                  <c:v>-530.51</c:v>
                </c:pt>
                <c:pt idx="3">
                  <c:v>-1269.5999999999999</c:v>
                </c:pt>
                <c:pt idx="4">
                  <c:v>-1629.85</c:v>
                </c:pt>
                <c:pt idx="5">
                  <c:v>-1384.14</c:v>
                </c:pt>
                <c:pt idx="6">
                  <c:v>-1680.87</c:v>
                </c:pt>
                <c:pt idx="7">
                  <c:v>-1860.14</c:v>
                </c:pt>
                <c:pt idx="8">
                  <c:v>-1656.86</c:v>
                </c:pt>
                <c:pt idx="9">
                  <c:v>-2225.6799999999998</c:v>
                </c:pt>
                <c:pt idx="10">
                  <c:v>-1611.53</c:v>
                </c:pt>
                <c:pt idx="11">
                  <c:v>-1681.06</c:v>
                </c:pt>
                <c:pt idx="13">
                  <c:v>-644.79</c:v>
                </c:pt>
                <c:pt idx="14">
                  <c:v>-1399</c:v>
                </c:pt>
                <c:pt idx="15">
                  <c:v>-1838.71</c:v>
                </c:pt>
                <c:pt idx="16">
                  <c:v>-1204.43</c:v>
                </c:pt>
                <c:pt idx="17">
                  <c:v>-1301.29</c:v>
                </c:pt>
                <c:pt idx="18">
                  <c:v>-1667.11</c:v>
                </c:pt>
                <c:pt idx="19">
                  <c:v>-1572.86</c:v>
                </c:pt>
                <c:pt idx="20">
                  <c:v>-1414.53</c:v>
                </c:pt>
                <c:pt idx="21">
                  <c:v>-1298.6199999999999</c:v>
                </c:pt>
                <c:pt idx="22">
                  <c:v>-1470.03</c:v>
                </c:pt>
                <c:pt idx="23">
                  <c:v>-1624.04</c:v>
                </c:pt>
                <c:pt idx="24">
                  <c:v>-2137.12</c:v>
                </c:pt>
                <c:pt idx="25">
                  <c:v>-3148.7</c:v>
                </c:pt>
                <c:pt idx="26">
                  <c:v>-3074.98</c:v>
                </c:pt>
                <c:pt idx="27">
                  <c:v>-3373.46</c:v>
                </c:pt>
                <c:pt idx="28">
                  <c:v>-5094.22</c:v>
                </c:pt>
                <c:pt idx="29">
                  <c:v>-3870.42</c:v>
                </c:pt>
                <c:pt idx="30">
                  <c:v>-3277.77</c:v>
                </c:pt>
                <c:pt idx="31">
                  <c:v>-3887.11</c:v>
                </c:pt>
                <c:pt idx="32">
                  <c:v>-3929.5</c:v>
                </c:pt>
                <c:pt idx="33">
                  <c:v>-5391.28</c:v>
                </c:pt>
                <c:pt idx="34">
                  <c:v>-7770.9</c:v>
                </c:pt>
                <c:pt idx="35">
                  <c:v>-7985.41</c:v>
                </c:pt>
                <c:pt idx="36">
                  <c:v>-8518.23</c:v>
                </c:pt>
                <c:pt idx="37">
                  <c:v>-8522.7900000000009</c:v>
                </c:pt>
                <c:pt idx="38">
                  <c:v>-14278.05</c:v>
                </c:pt>
                <c:pt idx="39">
                  <c:v>-18779.68</c:v>
                </c:pt>
                <c:pt idx="40">
                  <c:v>-27482.51</c:v>
                </c:pt>
                <c:pt idx="41">
                  <c:v>-26901.3</c:v>
                </c:pt>
                <c:pt idx="42">
                  <c:v>-33537.86</c:v>
                </c:pt>
                <c:pt idx="43">
                  <c:v>-40835.199999999997</c:v>
                </c:pt>
                <c:pt idx="44">
                  <c:v>-49437.86</c:v>
                </c:pt>
                <c:pt idx="45">
                  <c:v>-43686.75</c:v>
                </c:pt>
                <c:pt idx="46">
                  <c:v>-37306.18</c:v>
                </c:pt>
                <c:pt idx="47">
                  <c:v>-42363.76</c:v>
                </c:pt>
                <c:pt idx="48">
                  <c:v>-50593.94</c:v>
                </c:pt>
                <c:pt idx="49">
                  <c:v>-14629.62</c:v>
                </c:pt>
                <c:pt idx="50">
                  <c:v>-13091.92</c:v>
                </c:pt>
                <c:pt idx="51">
                  <c:v>-16064.52</c:v>
                </c:pt>
                <c:pt idx="52">
                  <c:v>-14769.14</c:v>
                </c:pt>
                <c:pt idx="53">
                  <c:v>-13305.81</c:v>
                </c:pt>
                <c:pt idx="54">
                  <c:v>-1808.7</c:v>
                </c:pt>
                <c:pt idx="55">
                  <c:v>-1809.66</c:v>
                </c:pt>
              </c:numCache>
            </c:numRef>
          </c:val>
        </c:ser>
        <c:ser>
          <c:idx val="2"/>
          <c:order val="2"/>
          <c:tx>
            <c:strRef>
              <c:f>Open_Trades!$K$100</c:f>
              <c:strCache>
                <c:ptCount val="1"/>
                <c:pt idx="0">
                  <c:v>NZDUSD</c:v>
                </c:pt>
              </c:strCache>
            </c:strRef>
          </c:tx>
          <c:spPr>
            <a:solidFill>
              <a:schemeClr val="accent3"/>
            </a:solidFill>
            <a:ln>
              <a:noFill/>
            </a:ln>
            <a:effectLst/>
          </c:spPr>
          <c:invertIfNegative val="0"/>
          <c:cat>
            <c:strRef>
              <c:f>Open_Trades!$K$100</c:f>
              <c:strCache>
                <c:ptCount val="56"/>
                <c:pt idx="0">
                  <c:v>13.46</c:v>
                </c:pt>
                <c:pt idx="1">
                  <c:v>13.47</c:v>
                </c:pt>
                <c:pt idx="2">
                  <c:v>13.48</c:v>
                </c:pt>
                <c:pt idx="3">
                  <c:v>13.49</c:v>
                </c:pt>
                <c:pt idx="4">
                  <c:v>13.50</c:v>
                </c:pt>
                <c:pt idx="5">
                  <c:v>13.51</c:v>
                </c:pt>
                <c:pt idx="6">
                  <c:v>14.01</c:v>
                </c:pt>
                <c:pt idx="7">
                  <c:v>14.03</c:v>
                </c:pt>
                <c:pt idx="8">
                  <c:v>14.04</c:v>
                </c:pt>
                <c:pt idx="9">
                  <c:v>14.05</c:v>
                </c:pt>
                <c:pt idx="10">
                  <c:v>14.06</c:v>
                </c:pt>
                <c:pt idx="11">
                  <c:v>14.07</c:v>
                </c:pt>
                <c:pt idx="12">
                  <c:v>14.08</c:v>
                </c:pt>
                <c:pt idx="13">
                  <c:v>14.09</c:v>
                </c:pt>
                <c:pt idx="14">
                  <c:v>14.10</c:v>
                </c:pt>
                <c:pt idx="15">
                  <c:v>14.11</c:v>
                </c:pt>
                <c:pt idx="16">
                  <c:v>14.12</c:v>
                </c:pt>
                <c:pt idx="17">
                  <c:v>14.13</c:v>
                </c:pt>
                <c:pt idx="18">
                  <c:v>14.14</c:v>
                </c:pt>
                <c:pt idx="19">
                  <c:v>14.15</c:v>
                </c:pt>
                <c:pt idx="20">
                  <c:v>14.16</c:v>
                </c:pt>
                <c:pt idx="21">
                  <c:v>14.17</c:v>
                </c:pt>
                <c:pt idx="22">
                  <c:v>14.18</c:v>
                </c:pt>
                <c:pt idx="23">
                  <c:v>14.19</c:v>
                </c:pt>
                <c:pt idx="24">
                  <c:v>14.20</c:v>
                </c:pt>
                <c:pt idx="25">
                  <c:v>14.21</c:v>
                </c:pt>
                <c:pt idx="26">
                  <c:v>14.22</c:v>
                </c:pt>
                <c:pt idx="27">
                  <c:v>14.23</c:v>
                </c:pt>
                <c:pt idx="28">
                  <c:v>14.24</c:v>
                </c:pt>
                <c:pt idx="29">
                  <c:v>14.25</c:v>
                </c:pt>
                <c:pt idx="30">
                  <c:v>14.26</c:v>
                </c:pt>
                <c:pt idx="31">
                  <c:v>14.27</c:v>
                </c:pt>
                <c:pt idx="32">
                  <c:v>14.28</c:v>
                </c:pt>
                <c:pt idx="33">
                  <c:v>14.29</c:v>
                </c:pt>
                <c:pt idx="34">
                  <c:v>14.30</c:v>
                </c:pt>
                <c:pt idx="35">
                  <c:v>14.31</c:v>
                </c:pt>
                <c:pt idx="36">
                  <c:v>14.32</c:v>
                </c:pt>
                <c:pt idx="37">
                  <c:v>14.33</c:v>
                </c:pt>
                <c:pt idx="38">
                  <c:v>14.34</c:v>
                </c:pt>
                <c:pt idx="39">
                  <c:v>14.35</c:v>
                </c:pt>
                <c:pt idx="40">
                  <c:v>14.36</c:v>
                </c:pt>
                <c:pt idx="41">
                  <c:v>14.37</c:v>
                </c:pt>
                <c:pt idx="42">
                  <c:v>14.38</c:v>
                </c:pt>
                <c:pt idx="43">
                  <c:v>14.39</c:v>
                </c:pt>
                <c:pt idx="44">
                  <c:v>14.40</c:v>
                </c:pt>
                <c:pt idx="45">
                  <c:v>14.41</c:v>
                </c:pt>
                <c:pt idx="46">
                  <c:v>14.42</c:v>
                </c:pt>
                <c:pt idx="47">
                  <c:v>14.43</c:v>
                </c:pt>
                <c:pt idx="48">
                  <c:v>14.44</c:v>
                </c:pt>
                <c:pt idx="49">
                  <c:v>14.45</c:v>
                </c:pt>
                <c:pt idx="50">
                  <c:v>14.46</c:v>
                </c:pt>
                <c:pt idx="51">
                  <c:v>14.47</c:v>
                </c:pt>
                <c:pt idx="52">
                  <c:v>14.48</c:v>
                </c:pt>
                <c:pt idx="53">
                  <c:v>14.49</c:v>
                </c:pt>
                <c:pt idx="54">
                  <c:v>14.50</c:v>
                </c:pt>
                <c:pt idx="55">
                  <c:v>14.51</c:v>
                </c:pt>
              </c:strCache>
            </c:strRef>
          </c:cat>
          <c:val>
            <c:numRef>
              <c:f>Open_Trades!$K$100</c:f>
              <c:numCache>
                <c:formatCode>#,##0.00</c:formatCode>
                <c:ptCount val="56"/>
                <c:pt idx="0">
                  <c:v>-168.21</c:v>
                </c:pt>
                <c:pt idx="1">
                  <c:v>-559.65</c:v>
                </c:pt>
                <c:pt idx="2">
                  <c:v>-844.08</c:v>
                </c:pt>
                <c:pt idx="3">
                  <c:v>-943.31</c:v>
                </c:pt>
                <c:pt idx="4">
                  <c:v>-983.04</c:v>
                </c:pt>
                <c:pt idx="5">
                  <c:v>-730.62</c:v>
                </c:pt>
                <c:pt idx="6">
                  <c:v>-972.94</c:v>
                </c:pt>
                <c:pt idx="7">
                  <c:v>-1047.73</c:v>
                </c:pt>
                <c:pt idx="8">
                  <c:v>-853.26</c:v>
                </c:pt>
                <c:pt idx="9">
                  <c:v>-930.79</c:v>
                </c:pt>
                <c:pt idx="10">
                  <c:v>-1585.74</c:v>
                </c:pt>
                <c:pt idx="11">
                  <c:v>-2695.52</c:v>
                </c:pt>
                <c:pt idx="12">
                  <c:v>-14.44</c:v>
                </c:pt>
                <c:pt idx="13">
                  <c:v>-900.92</c:v>
                </c:pt>
                <c:pt idx="14">
                  <c:v>-1616.5</c:v>
                </c:pt>
                <c:pt idx="15">
                  <c:v>-2962.73</c:v>
                </c:pt>
                <c:pt idx="16">
                  <c:v>-3300.04</c:v>
                </c:pt>
                <c:pt idx="17">
                  <c:v>-6054.06</c:v>
                </c:pt>
                <c:pt idx="18">
                  <c:v>-4931.93</c:v>
                </c:pt>
                <c:pt idx="19">
                  <c:v>-7056.47</c:v>
                </c:pt>
                <c:pt idx="20">
                  <c:v>-5397.57</c:v>
                </c:pt>
                <c:pt idx="21">
                  <c:v>-5590.66</c:v>
                </c:pt>
                <c:pt idx="22">
                  <c:v>-6752.17</c:v>
                </c:pt>
                <c:pt idx="23">
                  <c:v>-6453.24</c:v>
                </c:pt>
                <c:pt idx="24">
                  <c:v>-6790.49</c:v>
                </c:pt>
                <c:pt idx="25">
                  <c:v>-6186.11</c:v>
                </c:pt>
                <c:pt idx="26">
                  <c:v>-5825.41</c:v>
                </c:pt>
                <c:pt idx="27">
                  <c:v>-5879.84</c:v>
                </c:pt>
                <c:pt idx="28">
                  <c:v>-7522.27</c:v>
                </c:pt>
                <c:pt idx="29">
                  <c:v>-8036.21</c:v>
                </c:pt>
                <c:pt idx="30">
                  <c:v>-10608.72</c:v>
                </c:pt>
                <c:pt idx="31">
                  <c:v>-9942.32</c:v>
                </c:pt>
                <c:pt idx="32">
                  <c:v>-13402.89</c:v>
                </c:pt>
                <c:pt idx="33">
                  <c:v>-9635.9500000000007</c:v>
                </c:pt>
                <c:pt idx="34">
                  <c:v>-7474.06</c:v>
                </c:pt>
                <c:pt idx="35">
                  <c:v>-7287.88</c:v>
                </c:pt>
                <c:pt idx="36">
                  <c:v>-7340.65</c:v>
                </c:pt>
                <c:pt idx="37">
                  <c:v>-6737.7</c:v>
                </c:pt>
                <c:pt idx="38">
                  <c:v>-8008.42</c:v>
                </c:pt>
                <c:pt idx="39">
                  <c:v>-8411.56</c:v>
                </c:pt>
                <c:pt idx="40">
                  <c:v>-8143.09</c:v>
                </c:pt>
                <c:pt idx="41">
                  <c:v>-14763.31</c:v>
                </c:pt>
                <c:pt idx="42">
                  <c:v>-15412.17</c:v>
                </c:pt>
                <c:pt idx="43">
                  <c:v>-24585.49</c:v>
                </c:pt>
                <c:pt idx="44">
                  <c:v>-28557.439999999999</c:v>
                </c:pt>
                <c:pt idx="45">
                  <c:v>-26625.07</c:v>
                </c:pt>
                <c:pt idx="46">
                  <c:v>-22501.439999999999</c:v>
                </c:pt>
                <c:pt idx="47">
                  <c:v>-25493.45</c:v>
                </c:pt>
                <c:pt idx="48">
                  <c:v>-28147.59</c:v>
                </c:pt>
                <c:pt idx="49">
                  <c:v>-19190.23</c:v>
                </c:pt>
                <c:pt idx="50">
                  <c:v>-14405.06</c:v>
                </c:pt>
                <c:pt idx="51">
                  <c:v>-15308.02</c:v>
                </c:pt>
                <c:pt idx="52">
                  <c:v>-16661.96</c:v>
                </c:pt>
                <c:pt idx="53">
                  <c:v>-20211.89</c:v>
                </c:pt>
                <c:pt idx="54">
                  <c:v>-7387.96</c:v>
                </c:pt>
                <c:pt idx="55">
                  <c:v>-8189.38</c:v>
                </c:pt>
              </c:numCache>
            </c:numRef>
          </c:val>
        </c:ser>
        <c:dLbls>
          <c:showLegendKey val="0"/>
          <c:showVal val="0"/>
          <c:showCatName val="0"/>
          <c:showSerName val="0"/>
          <c:showPercent val="0"/>
          <c:showBubbleSize val="0"/>
        </c:dLbls>
        <c:gapWidth val="150"/>
        <c:overlap val="100"/>
        <c:axId val="410708976"/>
        <c:axId val="410712240"/>
      </c:barChart>
      <c:catAx>
        <c:axId val="410708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12240"/>
        <c:crosses val="autoZero"/>
        <c:auto val="1"/>
        <c:lblAlgn val="ctr"/>
        <c:lblOffset val="100"/>
        <c:noMultiLvlLbl val="0"/>
      </c:catAx>
      <c:valAx>
        <c:axId val="410712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089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[MyChannel_V3.xlsm]Closed_vs_Open!ClosedOpen_Pivot</c:name>
    <c:fmtId val="18"/>
  </c:pivotSource>
  <c:chart>
    <c:title>
      <c:tx>
        <c:strRef>
          <c:f>Closed_vs_Open!$K$100</c:f>
          <c:strCache>
            <c:ptCount val="1"/>
            <c:pt idx="0">
              <c:v>Closed vs. Open, 774678 - M-Alpari</c:v>
            </c:pt>
          </c:strCache>
        </c:strRef>
      </c:tx>
      <c:layout>
        <c:manualLayout>
          <c:xMode val="edge"/>
          <c:yMode val="edge"/>
          <c:x val="0.31421441936982758"/>
          <c:y val="5.38530401542130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Closed_vs_Open!$K$100</c:f>
              <c:strCache>
                <c:ptCount val="1"/>
                <c:pt idx="0">
                  <c:v>Closed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Closed_vs_Open!$K$100</c:f>
              <c:strCache>
                <c:ptCount val="59"/>
                <c:pt idx="0">
                  <c:v>13.46</c:v>
                </c:pt>
                <c:pt idx="1">
                  <c:v>13.47</c:v>
                </c:pt>
                <c:pt idx="2">
                  <c:v>13.48</c:v>
                </c:pt>
                <c:pt idx="3">
                  <c:v>13.49</c:v>
                </c:pt>
                <c:pt idx="4">
                  <c:v>13.50</c:v>
                </c:pt>
                <c:pt idx="5">
                  <c:v>13.51</c:v>
                </c:pt>
                <c:pt idx="6">
                  <c:v>13.52</c:v>
                </c:pt>
                <c:pt idx="7">
                  <c:v>13.53</c:v>
                </c:pt>
                <c:pt idx="8">
                  <c:v>14.01</c:v>
                </c:pt>
                <c:pt idx="9">
                  <c:v>14.02</c:v>
                </c:pt>
                <c:pt idx="10">
                  <c:v>14.03</c:v>
                </c:pt>
                <c:pt idx="11">
                  <c:v>14.04</c:v>
                </c:pt>
                <c:pt idx="12">
                  <c:v>14.05</c:v>
                </c:pt>
                <c:pt idx="13">
                  <c:v>14.06</c:v>
                </c:pt>
                <c:pt idx="14">
                  <c:v>14.07</c:v>
                </c:pt>
                <c:pt idx="15">
                  <c:v>14.08</c:v>
                </c:pt>
                <c:pt idx="16">
                  <c:v>14.09</c:v>
                </c:pt>
                <c:pt idx="17">
                  <c:v>14.10</c:v>
                </c:pt>
                <c:pt idx="18">
                  <c:v>14.11</c:v>
                </c:pt>
                <c:pt idx="19">
                  <c:v>14.12</c:v>
                </c:pt>
                <c:pt idx="20">
                  <c:v>14.13</c:v>
                </c:pt>
                <c:pt idx="21">
                  <c:v>14.14</c:v>
                </c:pt>
                <c:pt idx="22">
                  <c:v>14.15</c:v>
                </c:pt>
                <c:pt idx="23">
                  <c:v>14.16</c:v>
                </c:pt>
                <c:pt idx="24">
                  <c:v>14.17</c:v>
                </c:pt>
                <c:pt idx="25">
                  <c:v>14.18</c:v>
                </c:pt>
                <c:pt idx="26">
                  <c:v>14.19</c:v>
                </c:pt>
                <c:pt idx="27">
                  <c:v>14.20</c:v>
                </c:pt>
                <c:pt idx="28">
                  <c:v>14.21</c:v>
                </c:pt>
                <c:pt idx="29">
                  <c:v>14.22</c:v>
                </c:pt>
                <c:pt idx="30">
                  <c:v>14.23</c:v>
                </c:pt>
                <c:pt idx="31">
                  <c:v>14.24</c:v>
                </c:pt>
                <c:pt idx="32">
                  <c:v>14.25</c:v>
                </c:pt>
                <c:pt idx="33">
                  <c:v>14.26</c:v>
                </c:pt>
                <c:pt idx="34">
                  <c:v>14.27</c:v>
                </c:pt>
                <c:pt idx="35">
                  <c:v>14.28</c:v>
                </c:pt>
                <c:pt idx="36">
                  <c:v>14.29</c:v>
                </c:pt>
                <c:pt idx="37">
                  <c:v>14.30</c:v>
                </c:pt>
                <c:pt idx="38">
                  <c:v>14.31</c:v>
                </c:pt>
                <c:pt idx="39">
                  <c:v>14.32</c:v>
                </c:pt>
                <c:pt idx="40">
                  <c:v>14.33</c:v>
                </c:pt>
                <c:pt idx="41">
                  <c:v>14.34</c:v>
                </c:pt>
                <c:pt idx="42">
                  <c:v>14.35</c:v>
                </c:pt>
                <c:pt idx="43">
                  <c:v>14.36</c:v>
                </c:pt>
                <c:pt idx="44">
                  <c:v>14.37</c:v>
                </c:pt>
                <c:pt idx="45">
                  <c:v>14.38</c:v>
                </c:pt>
                <c:pt idx="46">
                  <c:v>14.39</c:v>
                </c:pt>
                <c:pt idx="47">
                  <c:v>14.40</c:v>
                </c:pt>
                <c:pt idx="48">
                  <c:v>14.41</c:v>
                </c:pt>
                <c:pt idx="49">
                  <c:v>14.42</c:v>
                </c:pt>
                <c:pt idx="50">
                  <c:v>14.43</c:v>
                </c:pt>
                <c:pt idx="51">
                  <c:v>14.44</c:v>
                </c:pt>
                <c:pt idx="52">
                  <c:v>14.45</c:v>
                </c:pt>
                <c:pt idx="53">
                  <c:v>14.46</c:v>
                </c:pt>
                <c:pt idx="54">
                  <c:v>14.47</c:v>
                </c:pt>
                <c:pt idx="55">
                  <c:v>14.48</c:v>
                </c:pt>
                <c:pt idx="56">
                  <c:v>14.49</c:v>
                </c:pt>
                <c:pt idx="57">
                  <c:v>14.50</c:v>
                </c:pt>
                <c:pt idx="58">
                  <c:v>14.51</c:v>
                </c:pt>
              </c:strCache>
            </c:strRef>
          </c:cat>
          <c:val>
            <c:numRef>
              <c:f>Closed_vs_Open!$K$100</c:f>
              <c:numCache>
                <c:formatCode>#,##0.00</c:formatCode>
                <c:ptCount val="59"/>
                <c:pt idx="0">
                  <c:v>66.5</c:v>
                </c:pt>
                <c:pt idx="1">
                  <c:v>1306.5899999999999</c:v>
                </c:pt>
                <c:pt idx="2">
                  <c:v>2224.7799999999997</c:v>
                </c:pt>
                <c:pt idx="3">
                  <c:v>3782.33</c:v>
                </c:pt>
                <c:pt idx="4">
                  <c:v>5034.8999999999996</c:v>
                </c:pt>
                <c:pt idx="5">
                  <c:v>6384.98</c:v>
                </c:pt>
                <c:pt idx="6">
                  <c:v>6796.2</c:v>
                </c:pt>
                <c:pt idx="7">
                  <c:v>7043.69</c:v>
                </c:pt>
                <c:pt idx="8">
                  <c:v>7655.36</c:v>
                </c:pt>
                <c:pt idx="9">
                  <c:v>8335.2799999999988</c:v>
                </c:pt>
                <c:pt idx="10">
                  <c:v>9124.119999999999</c:v>
                </c:pt>
                <c:pt idx="11">
                  <c:v>10726.939999999999</c:v>
                </c:pt>
                <c:pt idx="12">
                  <c:v>12764.71</c:v>
                </c:pt>
                <c:pt idx="13">
                  <c:v>14789.859999999999</c:v>
                </c:pt>
                <c:pt idx="14">
                  <c:v>15957.589999999998</c:v>
                </c:pt>
                <c:pt idx="15">
                  <c:v>9564.0099999999984</c:v>
                </c:pt>
                <c:pt idx="16">
                  <c:v>10890.21</c:v>
                </c:pt>
                <c:pt idx="17">
                  <c:v>13672.699999999999</c:v>
                </c:pt>
                <c:pt idx="18">
                  <c:v>16280.429999999998</c:v>
                </c:pt>
                <c:pt idx="19">
                  <c:v>18186.719999999998</c:v>
                </c:pt>
                <c:pt idx="20">
                  <c:v>19928.659999999996</c:v>
                </c:pt>
                <c:pt idx="21">
                  <c:v>21263.199999999997</c:v>
                </c:pt>
                <c:pt idx="22">
                  <c:v>23128.639999999996</c:v>
                </c:pt>
                <c:pt idx="23">
                  <c:v>24320.929999999997</c:v>
                </c:pt>
                <c:pt idx="24">
                  <c:v>25181.319999999996</c:v>
                </c:pt>
                <c:pt idx="25">
                  <c:v>26520.399999999994</c:v>
                </c:pt>
                <c:pt idx="26">
                  <c:v>27950.099999999995</c:v>
                </c:pt>
                <c:pt idx="27">
                  <c:v>28881.709999999995</c:v>
                </c:pt>
                <c:pt idx="28">
                  <c:v>29273.669999999995</c:v>
                </c:pt>
                <c:pt idx="29">
                  <c:v>29773.089999999993</c:v>
                </c:pt>
                <c:pt idx="30">
                  <c:v>31087.949999999993</c:v>
                </c:pt>
                <c:pt idx="31">
                  <c:v>32187.949999999993</c:v>
                </c:pt>
                <c:pt idx="32">
                  <c:v>33095.589999999997</c:v>
                </c:pt>
                <c:pt idx="33">
                  <c:v>33878.92</c:v>
                </c:pt>
                <c:pt idx="34">
                  <c:v>34704.799999999996</c:v>
                </c:pt>
                <c:pt idx="35">
                  <c:v>35290.179999999993</c:v>
                </c:pt>
                <c:pt idx="36">
                  <c:v>35867.249999999993</c:v>
                </c:pt>
                <c:pt idx="37">
                  <c:v>36418.999999999993</c:v>
                </c:pt>
                <c:pt idx="38">
                  <c:v>36944.999999999993</c:v>
                </c:pt>
                <c:pt idx="39">
                  <c:v>37475.439999999995</c:v>
                </c:pt>
                <c:pt idx="40">
                  <c:v>38337.619999999995</c:v>
                </c:pt>
                <c:pt idx="41">
                  <c:v>38862.81</c:v>
                </c:pt>
                <c:pt idx="42">
                  <c:v>39152.720000000001</c:v>
                </c:pt>
                <c:pt idx="43">
                  <c:v>39341.370000000003</c:v>
                </c:pt>
                <c:pt idx="44">
                  <c:v>39271.480000000003</c:v>
                </c:pt>
                <c:pt idx="45">
                  <c:v>39299.97</c:v>
                </c:pt>
                <c:pt idx="46">
                  <c:v>39249.9</c:v>
                </c:pt>
                <c:pt idx="47">
                  <c:v>39189.78</c:v>
                </c:pt>
                <c:pt idx="48">
                  <c:v>24068.95</c:v>
                </c:pt>
                <c:pt idx="49">
                  <c:v>25025.89</c:v>
                </c:pt>
                <c:pt idx="50">
                  <c:v>25420.559999999998</c:v>
                </c:pt>
                <c:pt idx="51">
                  <c:v>25420.559999999998</c:v>
                </c:pt>
                <c:pt idx="52">
                  <c:v>-27783.030000000006</c:v>
                </c:pt>
                <c:pt idx="53">
                  <c:v>-27783.030000000006</c:v>
                </c:pt>
                <c:pt idx="54">
                  <c:v>-27783.030000000006</c:v>
                </c:pt>
                <c:pt idx="55">
                  <c:v>-27783.030000000006</c:v>
                </c:pt>
                <c:pt idx="56">
                  <c:v>-33030.040000000008</c:v>
                </c:pt>
                <c:pt idx="57">
                  <c:v>-55896.80000000001</c:v>
                </c:pt>
                <c:pt idx="58">
                  <c:v>-55896.80000000001</c:v>
                </c:pt>
              </c:numCache>
            </c:numRef>
          </c:val>
          <c:smooth val="0"/>
        </c:ser>
        <c:ser>
          <c:idx val="1"/>
          <c:order val="1"/>
          <c:tx>
            <c:strRef>
              <c:f>Closed_vs_Open!$K$100</c:f>
              <c:strCache>
                <c:ptCount val="1"/>
                <c:pt idx="0">
                  <c:v>Open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Closed_vs_Open!$K$100</c:f>
              <c:strCache>
                <c:ptCount val="59"/>
                <c:pt idx="0">
                  <c:v>13.46</c:v>
                </c:pt>
                <c:pt idx="1">
                  <c:v>13.47</c:v>
                </c:pt>
                <c:pt idx="2">
                  <c:v>13.48</c:v>
                </c:pt>
                <c:pt idx="3">
                  <c:v>13.49</c:v>
                </c:pt>
                <c:pt idx="4">
                  <c:v>13.50</c:v>
                </c:pt>
                <c:pt idx="5">
                  <c:v>13.51</c:v>
                </c:pt>
                <c:pt idx="6">
                  <c:v>13.52</c:v>
                </c:pt>
                <c:pt idx="7">
                  <c:v>13.53</c:v>
                </c:pt>
                <c:pt idx="8">
                  <c:v>14.01</c:v>
                </c:pt>
                <c:pt idx="9">
                  <c:v>14.02</c:v>
                </c:pt>
                <c:pt idx="10">
                  <c:v>14.03</c:v>
                </c:pt>
                <c:pt idx="11">
                  <c:v>14.04</c:v>
                </c:pt>
                <c:pt idx="12">
                  <c:v>14.05</c:v>
                </c:pt>
                <c:pt idx="13">
                  <c:v>14.06</c:v>
                </c:pt>
                <c:pt idx="14">
                  <c:v>14.07</c:v>
                </c:pt>
                <c:pt idx="15">
                  <c:v>14.08</c:v>
                </c:pt>
                <c:pt idx="16">
                  <c:v>14.09</c:v>
                </c:pt>
                <c:pt idx="17">
                  <c:v>14.10</c:v>
                </c:pt>
                <c:pt idx="18">
                  <c:v>14.11</c:v>
                </c:pt>
                <c:pt idx="19">
                  <c:v>14.12</c:v>
                </c:pt>
                <c:pt idx="20">
                  <c:v>14.13</c:v>
                </c:pt>
                <c:pt idx="21">
                  <c:v>14.14</c:v>
                </c:pt>
                <c:pt idx="22">
                  <c:v>14.15</c:v>
                </c:pt>
                <c:pt idx="23">
                  <c:v>14.16</c:v>
                </c:pt>
                <c:pt idx="24">
                  <c:v>14.17</c:v>
                </c:pt>
                <c:pt idx="25">
                  <c:v>14.18</c:v>
                </c:pt>
                <c:pt idx="26">
                  <c:v>14.19</c:v>
                </c:pt>
                <c:pt idx="27">
                  <c:v>14.20</c:v>
                </c:pt>
                <c:pt idx="28">
                  <c:v>14.21</c:v>
                </c:pt>
                <c:pt idx="29">
                  <c:v>14.22</c:v>
                </c:pt>
                <c:pt idx="30">
                  <c:v>14.23</c:v>
                </c:pt>
                <c:pt idx="31">
                  <c:v>14.24</c:v>
                </c:pt>
                <c:pt idx="32">
                  <c:v>14.25</c:v>
                </c:pt>
                <c:pt idx="33">
                  <c:v>14.26</c:v>
                </c:pt>
                <c:pt idx="34">
                  <c:v>14.27</c:v>
                </c:pt>
                <c:pt idx="35">
                  <c:v>14.28</c:v>
                </c:pt>
                <c:pt idx="36">
                  <c:v>14.29</c:v>
                </c:pt>
                <c:pt idx="37">
                  <c:v>14.30</c:v>
                </c:pt>
                <c:pt idx="38">
                  <c:v>14.31</c:v>
                </c:pt>
                <c:pt idx="39">
                  <c:v>14.32</c:v>
                </c:pt>
                <c:pt idx="40">
                  <c:v>14.33</c:v>
                </c:pt>
                <c:pt idx="41">
                  <c:v>14.34</c:v>
                </c:pt>
                <c:pt idx="42">
                  <c:v>14.35</c:v>
                </c:pt>
                <c:pt idx="43">
                  <c:v>14.36</c:v>
                </c:pt>
                <c:pt idx="44">
                  <c:v>14.37</c:v>
                </c:pt>
                <c:pt idx="45">
                  <c:v>14.38</c:v>
                </c:pt>
                <c:pt idx="46">
                  <c:v>14.39</c:v>
                </c:pt>
                <c:pt idx="47">
                  <c:v>14.40</c:v>
                </c:pt>
                <c:pt idx="48">
                  <c:v>14.41</c:v>
                </c:pt>
                <c:pt idx="49">
                  <c:v>14.42</c:v>
                </c:pt>
                <c:pt idx="50">
                  <c:v>14.43</c:v>
                </c:pt>
                <c:pt idx="51">
                  <c:v>14.44</c:v>
                </c:pt>
                <c:pt idx="52">
                  <c:v>14.45</c:v>
                </c:pt>
                <c:pt idx="53">
                  <c:v>14.46</c:v>
                </c:pt>
                <c:pt idx="54">
                  <c:v>14.47</c:v>
                </c:pt>
                <c:pt idx="55">
                  <c:v>14.48</c:v>
                </c:pt>
                <c:pt idx="56">
                  <c:v>14.49</c:v>
                </c:pt>
                <c:pt idx="57">
                  <c:v>14.50</c:v>
                </c:pt>
                <c:pt idx="58">
                  <c:v>14.51</c:v>
                </c:pt>
              </c:strCache>
            </c:strRef>
          </c:cat>
          <c:val>
            <c:numRef>
              <c:f>Closed_vs_Open!$K$100</c:f>
              <c:numCache>
                <c:formatCode>#,##0.00</c:formatCode>
                <c:ptCount val="59"/>
                <c:pt idx="0">
                  <c:v>-246.44</c:v>
                </c:pt>
                <c:pt idx="1">
                  <c:v>-1515.6499999999999</c:v>
                </c:pt>
                <c:pt idx="2">
                  <c:v>-1876.5700000000002</c:v>
                </c:pt>
                <c:pt idx="3">
                  <c:v>-3099.48</c:v>
                </c:pt>
                <c:pt idx="4">
                  <c:v>-3623.67</c:v>
                </c:pt>
                <c:pt idx="5">
                  <c:v>-3318.1500000000005</c:v>
                </c:pt>
                <c:pt idx="6">
                  <c:v>0</c:v>
                </c:pt>
                <c:pt idx="7">
                  <c:v>0</c:v>
                </c:pt>
                <c:pt idx="8">
                  <c:v>-4175.59</c:v>
                </c:pt>
                <c:pt idx="9">
                  <c:v>0</c:v>
                </c:pt>
                <c:pt idx="10">
                  <c:v>-4538.21</c:v>
                </c:pt>
                <c:pt idx="11">
                  <c:v>-8404.56</c:v>
                </c:pt>
                <c:pt idx="12">
                  <c:v>-8304.4399999999987</c:v>
                </c:pt>
                <c:pt idx="13">
                  <c:v>-6702.1399999999994</c:v>
                </c:pt>
                <c:pt idx="14">
                  <c:v>-8066.6399999999994</c:v>
                </c:pt>
                <c:pt idx="15">
                  <c:v>-22.979999999999997</c:v>
                </c:pt>
                <c:pt idx="16">
                  <c:v>-2524.56</c:v>
                </c:pt>
                <c:pt idx="17">
                  <c:v>-7937.48</c:v>
                </c:pt>
                <c:pt idx="18">
                  <c:v>-8875.19</c:v>
                </c:pt>
                <c:pt idx="19">
                  <c:v>-8490.93</c:v>
                </c:pt>
                <c:pt idx="20">
                  <c:v>-16771.91</c:v>
                </c:pt>
                <c:pt idx="21">
                  <c:v>-19798.440000000002</c:v>
                </c:pt>
                <c:pt idx="22">
                  <c:v>-20977.74</c:v>
                </c:pt>
                <c:pt idx="23">
                  <c:v>-19630.04</c:v>
                </c:pt>
                <c:pt idx="24">
                  <c:v>-17323.079999999998</c:v>
                </c:pt>
                <c:pt idx="25">
                  <c:v>-18619.490000000002</c:v>
                </c:pt>
                <c:pt idx="26">
                  <c:v>-20244.38</c:v>
                </c:pt>
                <c:pt idx="27">
                  <c:v>-20996.14</c:v>
                </c:pt>
                <c:pt idx="28">
                  <c:v>-18528.3</c:v>
                </c:pt>
                <c:pt idx="29">
                  <c:v>-19694.55</c:v>
                </c:pt>
                <c:pt idx="30">
                  <c:v>-22568.769999999997</c:v>
                </c:pt>
                <c:pt idx="31">
                  <c:v>-27363.090000000004</c:v>
                </c:pt>
                <c:pt idx="32">
                  <c:v>-27009.72</c:v>
                </c:pt>
                <c:pt idx="33">
                  <c:v>-28374.769999999997</c:v>
                </c:pt>
                <c:pt idx="34">
                  <c:v>-28336.1</c:v>
                </c:pt>
                <c:pt idx="35">
                  <c:v>-30651.059999999998</c:v>
                </c:pt>
                <c:pt idx="36">
                  <c:v>-28548.809999999998</c:v>
                </c:pt>
                <c:pt idx="37">
                  <c:v>-30395.87</c:v>
                </c:pt>
                <c:pt idx="38">
                  <c:v>-30193.5</c:v>
                </c:pt>
                <c:pt idx="39">
                  <c:v>-28088.679999999997</c:v>
                </c:pt>
                <c:pt idx="40">
                  <c:v>-29650.190000000002</c:v>
                </c:pt>
                <c:pt idx="41">
                  <c:v>-43217.289999999994</c:v>
                </c:pt>
                <c:pt idx="42">
                  <c:v>-50898.54</c:v>
                </c:pt>
                <c:pt idx="43">
                  <c:v>-67207.51999999999</c:v>
                </c:pt>
                <c:pt idx="44">
                  <c:v>-64329.959999999992</c:v>
                </c:pt>
                <c:pt idx="45">
                  <c:v>-73284.28</c:v>
                </c:pt>
                <c:pt idx="46">
                  <c:v>-83069.039999999994</c:v>
                </c:pt>
                <c:pt idx="47">
                  <c:v>-93190.04</c:v>
                </c:pt>
                <c:pt idx="48">
                  <c:v>-70311.820000000007</c:v>
                </c:pt>
                <c:pt idx="49">
                  <c:v>-59807.619999999995</c:v>
                </c:pt>
                <c:pt idx="50">
                  <c:v>-67857.210000000006</c:v>
                </c:pt>
                <c:pt idx="51">
                  <c:v>-78741.53</c:v>
                </c:pt>
                <c:pt idx="52">
                  <c:v>-33819.85</c:v>
                </c:pt>
                <c:pt idx="53">
                  <c:v>-27496.98</c:v>
                </c:pt>
                <c:pt idx="54">
                  <c:v>-31372.54</c:v>
                </c:pt>
                <c:pt idx="55">
                  <c:v>-31431.1</c:v>
                </c:pt>
                <c:pt idx="56">
                  <c:v>-33517.699999999997</c:v>
                </c:pt>
                <c:pt idx="57">
                  <c:v>-9196.66</c:v>
                </c:pt>
                <c:pt idx="58">
                  <c:v>-9662.2099999999991</c:v>
                </c:pt>
              </c:numCache>
            </c:numRef>
          </c:val>
          <c:smooth val="0"/>
        </c:ser>
        <c:dLbls>
          <c:showLegendKey val="0"/>
          <c:showVal val="0"/>
          <c:showCatName val="0"/>
          <c:showSerName val="0"/>
          <c:showPercent val="0"/>
          <c:showBubbleSize val="0"/>
        </c:dLbls>
        <c:marker val="1"/>
        <c:smooth val="0"/>
        <c:axId val="410704624"/>
        <c:axId val="410702992"/>
      </c:lineChart>
      <c:catAx>
        <c:axId val="410704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02992"/>
        <c:crosses val="autoZero"/>
        <c:auto val="1"/>
        <c:lblAlgn val="ctr"/>
        <c:lblOffset val="100"/>
        <c:noMultiLvlLbl val="0"/>
      </c:catAx>
      <c:valAx>
        <c:axId val="410702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04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[MyChannel_V3.xlsm]Equity!Equity_Pivot</c:name>
    <c:fmtId val="22"/>
  </c:pivotSource>
  <c:chart>
    <c:title>
      <c:tx>
        <c:strRef>
          <c:f>Equity!$K$100</c:f>
          <c:strCache>
            <c:ptCount val="1"/>
            <c:pt idx="0">
              <c:v>Equity, 776980 - R-Alpari</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lumMod val="75000"/>
              </a:schemeClr>
            </a:solidFill>
            <a:round/>
          </a:ln>
          <a:effectLst/>
        </c:spPr>
        <c:marker>
          <c:symbol val="circle"/>
          <c:size val="5"/>
          <c:spPr>
            <a:solidFill>
              <a:schemeClr val="accent1">
                <a:lumMod val="50000"/>
              </a:schemeClr>
            </a:solidFill>
            <a:ln w="9525">
              <a:solidFill>
                <a:schemeClr val="accent1"/>
              </a:solidFill>
            </a:ln>
            <a:effectLst/>
          </c:spPr>
        </c:marker>
      </c:pivotFmt>
      <c:pivotFmt>
        <c:idx val="4"/>
        <c:spPr>
          <a:solidFill>
            <a:schemeClr val="accent1"/>
          </a:solidFill>
          <a:ln w="28575" cap="rnd">
            <a:solidFill>
              <a:srgbClr val="C00000"/>
            </a:solidFill>
            <a:round/>
          </a:ln>
          <a:effectLst/>
        </c:spPr>
        <c:marker>
          <c:symbol val="circle"/>
          <c:size val="5"/>
          <c:spPr>
            <a:solidFill>
              <a:schemeClr val="accent2">
                <a:lumMod val="50000"/>
              </a:schemeClr>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Equity!$K$100</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Equity!$K$100</c:f>
              <c:strCache>
                <c:ptCount val="46"/>
                <c:pt idx="0">
                  <c:v>14.01</c:v>
                </c:pt>
                <c:pt idx="1">
                  <c:v>14.10</c:v>
                </c:pt>
                <c:pt idx="2">
                  <c:v>14.11</c:v>
                </c:pt>
                <c:pt idx="3">
                  <c:v>14.12</c:v>
                </c:pt>
                <c:pt idx="4">
                  <c:v>14.13</c:v>
                </c:pt>
                <c:pt idx="5">
                  <c:v>14.14</c:v>
                </c:pt>
                <c:pt idx="6">
                  <c:v>14.15</c:v>
                </c:pt>
                <c:pt idx="7">
                  <c:v>14.16</c:v>
                </c:pt>
                <c:pt idx="8">
                  <c:v>14.17</c:v>
                </c:pt>
                <c:pt idx="9">
                  <c:v>14.18</c:v>
                </c:pt>
                <c:pt idx="10">
                  <c:v>14.19</c:v>
                </c:pt>
                <c:pt idx="11">
                  <c:v>14.20</c:v>
                </c:pt>
                <c:pt idx="12">
                  <c:v>14.21</c:v>
                </c:pt>
                <c:pt idx="13">
                  <c:v>14.22</c:v>
                </c:pt>
                <c:pt idx="14">
                  <c:v>14.23</c:v>
                </c:pt>
                <c:pt idx="15">
                  <c:v>14.24</c:v>
                </c:pt>
                <c:pt idx="16">
                  <c:v>14.25</c:v>
                </c:pt>
                <c:pt idx="17">
                  <c:v>14.26</c:v>
                </c:pt>
                <c:pt idx="18">
                  <c:v>14.27</c:v>
                </c:pt>
                <c:pt idx="19">
                  <c:v>14.28</c:v>
                </c:pt>
                <c:pt idx="20">
                  <c:v>14.29</c:v>
                </c:pt>
                <c:pt idx="21">
                  <c:v>14.30</c:v>
                </c:pt>
                <c:pt idx="22">
                  <c:v>14.31</c:v>
                </c:pt>
                <c:pt idx="23">
                  <c:v>14.32</c:v>
                </c:pt>
                <c:pt idx="24">
                  <c:v>14.33</c:v>
                </c:pt>
                <c:pt idx="25">
                  <c:v>14.34</c:v>
                </c:pt>
                <c:pt idx="26">
                  <c:v>14.35</c:v>
                </c:pt>
                <c:pt idx="27">
                  <c:v>14.36</c:v>
                </c:pt>
                <c:pt idx="28">
                  <c:v>14.37</c:v>
                </c:pt>
                <c:pt idx="29">
                  <c:v>14.38</c:v>
                </c:pt>
                <c:pt idx="30">
                  <c:v>14.39</c:v>
                </c:pt>
                <c:pt idx="31">
                  <c:v>14.40</c:v>
                </c:pt>
                <c:pt idx="32">
                  <c:v>14.41</c:v>
                </c:pt>
                <c:pt idx="33">
                  <c:v>14.42</c:v>
                </c:pt>
                <c:pt idx="34">
                  <c:v>14.43</c:v>
                </c:pt>
                <c:pt idx="35">
                  <c:v>14.44</c:v>
                </c:pt>
                <c:pt idx="36">
                  <c:v>14.45</c:v>
                </c:pt>
                <c:pt idx="37">
                  <c:v>14.46</c:v>
                </c:pt>
                <c:pt idx="38">
                  <c:v>14.47</c:v>
                </c:pt>
                <c:pt idx="39">
                  <c:v>14.48</c:v>
                </c:pt>
                <c:pt idx="40">
                  <c:v>14.49</c:v>
                </c:pt>
                <c:pt idx="41">
                  <c:v>14.50</c:v>
                </c:pt>
                <c:pt idx="42">
                  <c:v>14.51</c:v>
                </c:pt>
                <c:pt idx="43">
                  <c:v>15.01</c:v>
                </c:pt>
                <c:pt idx="44">
                  <c:v>15.02</c:v>
                </c:pt>
                <c:pt idx="45">
                  <c:v>15.03</c:v>
                </c:pt>
              </c:strCache>
            </c:strRef>
          </c:cat>
          <c:val>
            <c:numRef>
              <c:f>Equity!$K$100</c:f>
              <c:numCache>
                <c:formatCode>#,##0.00</c:formatCode>
                <c:ptCount val="46"/>
                <c:pt idx="0">
                  <c:v>-39737.21</c:v>
                </c:pt>
                <c:pt idx="1">
                  <c:v>49827.62</c:v>
                </c:pt>
                <c:pt idx="2">
                  <c:v>48855.65</c:v>
                </c:pt>
                <c:pt idx="3">
                  <c:v>49309.53</c:v>
                </c:pt>
                <c:pt idx="4">
                  <c:v>48628.44</c:v>
                </c:pt>
                <c:pt idx="5">
                  <c:v>47858.44</c:v>
                </c:pt>
                <c:pt idx="6">
                  <c:v>47543.66</c:v>
                </c:pt>
                <c:pt idx="7">
                  <c:v>48217.39</c:v>
                </c:pt>
                <c:pt idx="8">
                  <c:v>49063.64</c:v>
                </c:pt>
                <c:pt idx="9">
                  <c:v>49507.81</c:v>
                </c:pt>
                <c:pt idx="10">
                  <c:v>48176.160000000003</c:v>
                </c:pt>
                <c:pt idx="11">
                  <c:v>48135.4</c:v>
                </c:pt>
                <c:pt idx="12">
                  <c:v>48253.21</c:v>
                </c:pt>
                <c:pt idx="13">
                  <c:v>48953.71</c:v>
                </c:pt>
                <c:pt idx="14">
                  <c:v>49020.85</c:v>
                </c:pt>
                <c:pt idx="15">
                  <c:v>45069.95</c:v>
                </c:pt>
                <c:pt idx="16">
                  <c:v>44848.32</c:v>
                </c:pt>
                <c:pt idx="17">
                  <c:v>44077.72</c:v>
                </c:pt>
                <c:pt idx="18">
                  <c:v>41683.480000000003</c:v>
                </c:pt>
                <c:pt idx="19">
                  <c:v>43791.15</c:v>
                </c:pt>
                <c:pt idx="20">
                  <c:v>43134.47</c:v>
                </c:pt>
                <c:pt idx="21">
                  <c:v>43404.4</c:v>
                </c:pt>
                <c:pt idx="22">
                  <c:v>46685.19</c:v>
                </c:pt>
                <c:pt idx="23">
                  <c:v>47631.199999999997</c:v>
                </c:pt>
                <c:pt idx="24">
                  <c:v>58340.86</c:v>
                </c:pt>
                <c:pt idx="25">
                  <c:v>47114.19</c:v>
                </c:pt>
                <c:pt idx="26">
                  <c:v>44173.36</c:v>
                </c:pt>
                <c:pt idx="27">
                  <c:v>43170.61</c:v>
                </c:pt>
                <c:pt idx="28">
                  <c:v>45010.28</c:v>
                </c:pt>
                <c:pt idx="29">
                  <c:v>34944.5</c:v>
                </c:pt>
                <c:pt idx="30">
                  <c:v>32977.129999999997</c:v>
                </c:pt>
                <c:pt idx="31">
                  <c:v>32628.98</c:v>
                </c:pt>
                <c:pt idx="32">
                  <c:v>36701.56</c:v>
                </c:pt>
                <c:pt idx="33">
                  <c:v>43049.97</c:v>
                </c:pt>
                <c:pt idx="34">
                  <c:v>43710.47</c:v>
                </c:pt>
                <c:pt idx="35">
                  <c:v>36981.199999999997</c:v>
                </c:pt>
                <c:pt idx="36">
                  <c:v>29189.59</c:v>
                </c:pt>
                <c:pt idx="37">
                  <c:v>31254.7</c:v>
                </c:pt>
                <c:pt idx="38">
                  <c:v>21232.66</c:v>
                </c:pt>
                <c:pt idx="39">
                  <c:v>20342.38</c:v>
                </c:pt>
                <c:pt idx="40">
                  <c:v>5773.16</c:v>
                </c:pt>
                <c:pt idx="41">
                  <c:v>12627.65</c:v>
                </c:pt>
                <c:pt idx="42">
                  <c:v>7428.75</c:v>
                </c:pt>
                <c:pt idx="43">
                  <c:v>7808.89</c:v>
                </c:pt>
                <c:pt idx="44">
                  <c:v>13076.04</c:v>
                </c:pt>
                <c:pt idx="45">
                  <c:v>-2562.04</c:v>
                </c:pt>
              </c:numCache>
            </c:numRef>
          </c:val>
          <c:smooth val="0"/>
        </c:ser>
        <c:dLbls>
          <c:showLegendKey val="0"/>
          <c:showVal val="0"/>
          <c:showCatName val="0"/>
          <c:showSerName val="0"/>
          <c:showPercent val="0"/>
          <c:showBubbleSize val="0"/>
        </c:dLbls>
        <c:marker val="1"/>
        <c:smooth val="0"/>
        <c:axId val="410707344"/>
        <c:axId val="410704080"/>
      </c:lineChart>
      <c:catAx>
        <c:axId val="410707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04080"/>
        <c:crosses val="autoZero"/>
        <c:auto val="1"/>
        <c:lblAlgn val="ctr"/>
        <c:lblOffset val="100"/>
        <c:noMultiLvlLbl val="0"/>
      </c:catAx>
      <c:valAx>
        <c:axId val="4107040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0734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[MyChannel_V3.xlsm]Channel Status!PivotTable4</c:name>
    <c:fmtId val="9"/>
  </c:pivotSource>
  <c:chart>
    <c:title>
      <c:tx>
        <c:strRef>
          <c:f>'Channel Status'!$K$100</c:f>
          <c:strCache>
            <c:ptCount val="1"/>
            <c:pt idx="0">
              <c:v>Channel Status -  (774678 - M-Alpari)</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cap="rnd">
            <a:solidFill>
              <a:srgbClr val="C00000"/>
            </a:solidFill>
            <a:round/>
          </a:ln>
          <a:effectLst/>
        </c:spPr>
        <c:marker>
          <c:symbol val="none"/>
        </c:marker>
      </c:pivotFmt>
      <c:pivotFmt>
        <c:idx val="1"/>
        <c:spPr>
          <a:solidFill>
            <a:schemeClr val="accent1"/>
          </a:solidFill>
          <a:ln w="25400" cap="rnd">
            <a:solidFill>
              <a:srgbClr val="C00000"/>
            </a:solidFill>
            <a:round/>
          </a:ln>
          <a:effectLst/>
        </c:spPr>
        <c:marker>
          <c:symbol val="none"/>
        </c:marker>
      </c:pivotFmt>
      <c:pivotFmt>
        <c:idx val="2"/>
        <c:spPr>
          <a:solidFill>
            <a:schemeClr val="accent1"/>
          </a:solidFill>
          <a:ln w="19050" cap="rnd">
            <a:solidFill>
              <a:schemeClr val="accent5"/>
            </a:solidFill>
            <a:round/>
          </a:ln>
          <a:effectLst/>
        </c:spPr>
        <c:marker>
          <c:symbol val="none"/>
        </c:marker>
      </c:pivotFmt>
      <c:pivotFmt>
        <c:idx val="3"/>
        <c:spPr>
          <a:solidFill>
            <a:schemeClr val="accent1"/>
          </a:solidFill>
          <a:ln w="25400" cap="rnd">
            <a:solidFill>
              <a:srgbClr val="C00000"/>
            </a:solidFill>
            <a:round/>
          </a:ln>
          <a:effectLst/>
        </c:spPr>
        <c:marker>
          <c:symbol val="none"/>
        </c:marker>
      </c:pivotFmt>
      <c:pivotFmt>
        <c:idx val="4"/>
        <c:spPr>
          <a:solidFill>
            <a:schemeClr val="accent1"/>
          </a:solidFill>
          <a:ln w="25400" cap="rnd">
            <a:solidFill>
              <a:srgbClr val="C00000"/>
            </a:solidFill>
            <a:round/>
          </a:ln>
          <a:effectLst/>
        </c:spPr>
        <c:marker>
          <c:symbol val="none"/>
        </c:marker>
      </c:pivotFmt>
      <c:pivotFmt>
        <c:idx val="5"/>
        <c:spPr>
          <a:solidFill>
            <a:schemeClr val="accent1"/>
          </a:solidFill>
          <a:ln w="19050" cap="rnd">
            <a:solidFill>
              <a:schemeClr val="accent5"/>
            </a:solidFill>
            <a:round/>
          </a:ln>
          <a:effectLst/>
        </c:spPr>
        <c:marker>
          <c:symbol val="none"/>
        </c:marker>
      </c:pivotFmt>
      <c:pivotFmt>
        <c:idx val="6"/>
        <c:spPr>
          <a:solidFill>
            <a:schemeClr val="accent1"/>
          </a:solidFill>
          <a:ln w="25400"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cap="rnd">
            <a:solidFill>
              <a:srgbClr val="C00000"/>
            </a:solidFill>
            <a:round/>
          </a:ln>
          <a:effectLst/>
        </c:spPr>
        <c:marker>
          <c:symbol val="none"/>
        </c:marker>
      </c:pivotFmt>
      <c:pivotFmt>
        <c:idx val="13"/>
        <c:spPr>
          <a:solidFill>
            <a:schemeClr val="accent1"/>
          </a:solidFill>
          <a:ln w="25400" cap="rnd">
            <a:solidFill>
              <a:srgbClr val="C00000"/>
            </a:solidFill>
            <a:round/>
          </a:ln>
          <a:effectLst/>
        </c:spPr>
        <c:marker>
          <c:symbol val="none"/>
        </c:marker>
      </c:pivotFmt>
      <c:pivotFmt>
        <c:idx val="14"/>
        <c:spPr>
          <a:solidFill>
            <a:schemeClr val="accent1"/>
          </a:solidFill>
          <a:ln w="19050" cap="rnd">
            <a:solidFill>
              <a:schemeClr val="accent5"/>
            </a:solidFill>
            <a:round/>
          </a:ln>
          <a:effectLst/>
        </c:spPr>
        <c:marker>
          <c:symbol val="none"/>
        </c:marker>
      </c:pivotFmt>
      <c:pivotFmt>
        <c:idx val="15"/>
        <c:spPr>
          <a:solidFill>
            <a:schemeClr val="accent1"/>
          </a:solidFill>
          <a:ln w="25400" cap="rnd">
            <a:solidFill>
              <a:srgbClr val="C00000"/>
            </a:solidFill>
            <a:round/>
          </a:ln>
          <a:effectLst/>
        </c:spPr>
        <c:marker>
          <c:symbol val="none"/>
        </c:marker>
      </c:pivotFmt>
      <c:pivotFmt>
        <c:idx val="16"/>
        <c:spPr>
          <a:solidFill>
            <a:schemeClr val="accent1"/>
          </a:solidFill>
          <a:ln w="25400" cap="rnd">
            <a:solidFill>
              <a:srgbClr val="C00000"/>
            </a:solidFill>
            <a:round/>
          </a:ln>
          <a:effectLst/>
        </c:spPr>
        <c:marker>
          <c:symbol val="none"/>
        </c:marker>
      </c:pivotFmt>
      <c:pivotFmt>
        <c:idx val="17"/>
        <c:spPr>
          <a:solidFill>
            <a:schemeClr val="accent1"/>
          </a:solidFill>
          <a:ln w="19050" cap="rnd">
            <a:solidFill>
              <a:schemeClr val="accent5"/>
            </a:solidFill>
            <a:round/>
          </a:ln>
          <a:effectLst/>
        </c:spPr>
        <c:marker>
          <c:symbol val="none"/>
        </c:marker>
      </c:pivotFmt>
      <c:pivotFmt>
        <c:idx val="18"/>
        <c:spPr>
          <a:solidFill>
            <a:schemeClr val="accent1"/>
          </a:solidFill>
          <a:ln w="25400" cap="rnd">
            <a:solidFill>
              <a:srgbClr val="C00000"/>
            </a:solidFill>
            <a:round/>
          </a:ln>
          <a:effectLst/>
        </c:spPr>
        <c:marker>
          <c:symbol val="none"/>
        </c:marker>
      </c:pivotFmt>
      <c:pivotFmt>
        <c:idx val="19"/>
        <c:spPr>
          <a:solidFill>
            <a:schemeClr val="accent1"/>
          </a:solidFill>
          <a:ln w="25400" cap="rnd">
            <a:solidFill>
              <a:srgbClr val="C00000"/>
            </a:solidFill>
            <a:round/>
          </a:ln>
          <a:effectLst/>
        </c:spPr>
        <c:marker>
          <c:symbol val="none"/>
        </c:marker>
      </c:pivotFmt>
      <c:pivotFmt>
        <c:idx val="20"/>
        <c:spPr>
          <a:solidFill>
            <a:schemeClr val="accent1"/>
          </a:solidFill>
          <a:ln w="19050" cap="rnd">
            <a:solidFill>
              <a:schemeClr val="accent5"/>
            </a:solidFill>
            <a:round/>
          </a:ln>
          <a:effectLst/>
        </c:spPr>
        <c:marker>
          <c:symbol val="none"/>
        </c:marker>
      </c:pivotFmt>
      <c:pivotFmt>
        <c:idx val="21"/>
        <c:spPr>
          <a:solidFill>
            <a:schemeClr val="accent1"/>
          </a:solidFill>
          <a:ln w="25400" cap="rnd">
            <a:solidFill>
              <a:srgbClr val="C00000"/>
            </a:solidFill>
            <a:round/>
          </a:ln>
          <a:effectLst/>
        </c:spPr>
        <c:marker>
          <c:symbol val="none"/>
        </c:marker>
      </c:pivotFmt>
      <c:pivotFmt>
        <c:idx val="22"/>
        <c:spPr>
          <a:solidFill>
            <a:schemeClr val="accent1"/>
          </a:solidFill>
          <a:ln w="25400" cap="rnd">
            <a:solidFill>
              <a:srgbClr val="C00000"/>
            </a:solidFill>
            <a:round/>
          </a:ln>
          <a:effectLst/>
        </c:spPr>
        <c:marker>
          <c:symbol val="none"/>
        </c:marker>
      </c:pivotFmt>
      <c:pivotFmt>
        <c:idx val="23"/>
        <c:spPr>
          <a:solidFill>
            <a:schemeClr val="accent1"/>
          </a:solidFill>
          <a:ln w="19050" cap="rnd">
            <a:solidFill>
              <a:schemeClr val="accent5"/>
            </a:solidFill>
            <a:round/>
          </a:ln>
          <a:effectLst/>
        </c:spPr>
        <c:marker>
          <c:symbol val="none"/>
        </c:marker>
      </c:pivotFmt>
      <c:pivotFmt>
        <c:idx val="24"/>
        <c:spPr>
          <a:solidFill>
            <a:schemeClr val="accent1"/>
          </a:solidFill>
          <a:ln w="25400" cap="rnd">
            <a:solidFill>
              <a:srgbClr val="C00000"/>
            </a:solidFill>
            <a:round/>
          </a:ln>
          <a:effectLst/>
        </c:spPr>
        <c:marker>
          <c:symbol val="none"/>
        </c:marker>
      </c:pivotFmt>
      <c:pivotFmt>
        <c:idx val="25"/>
        <c:spPr>
          <a:solidFill>
            <a:schemeClr val="accent1"/>
          </a:solidFill>
          <a:ln w="25400" cap="rnd">
            <a:solidFill>
              <a:srgbClr val="C00000"/>
            </a:solidFill>
            <a:round/>
          </a:ln>
          <a:effectLst/>
        </c:spPr>
        <c:marker>
          <c:symbol val="none"/>
        </c:marker>
      </c:pivotFmt>
      <c:pivotFmt>
        <c:idx val="26"/>
        <c:spPr>
          <a:solidFill>
            <a:schemeClr val="accent1"/>
          </a:solidFill>
          <a:ln w="19050" cap="rnd">
            <a:solidFill>
              <a:schemeClr val="accent5"/>
            </a:solidFill>
            <a:round/>
          </a:ln>
          <a:effectLst/>
        </c:spPr>
        <c:marker>
          <c:symbol val="none"/>
        </c:marker>
      </c:pivotFmt>
      <c:pivotFmt>
        <c:idx val="27"/>
        <c:spPr>
          <a:solidFill>
            <a:schemeClr val="accent1"/>
          </a:solidFill>
          <a:ln w="25400" cap="rnd">
            <a:solidFill>
              <a:srgbClr val="C00000"/>
            </a:solidFill>
            <a:round/>
          </a:ln>
          <a:effectLst/>
        </c:spPr>
        <c:marker>
          <c:symbol val="none"/>
        </c:marker>
      </c:pivotFmt>
      <c:pivotFmt>
        <c:idx val="28"/>
        <c:spPr>
          <a:solidFill>
            <a:schemeClr val="accent1"/>
          </a:solidFill>
          <a:ln w="25400" cap="rnd">
            <a:solidFill>
              <a:srgbClr val="C00000"/>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5400" cap="rnd">
            <a:solidFill>
              <a:srgbClr val="C00000"/>
            </a:solidFill>
            <a:round/>
          </a:ln>
          <a:effectLst/>
        </c:spPr>
        <c:marker>
          <c:symbol val="none"/>
        </c:marker>
      </c:pivotFmt>
      <c:pivotFmt>
        <c:idx val="31"/>
        <c:spPr>
          <a:solidFill>
            <a:schemeClr val="accent1"/>
          </a:solidFill>
          <a:ln w="25400" cap="rnd">
            <a:solidFill>
              <a:srgbClr val="C00000"/>
            </a:solidFill>
            <a:round/>
          </a:ln>
          <a:effectLst/>
        </c:spPr>
        <c:marker>
          <c:symbol val="none"/>
        </c:marker>
      </c:pivotFmt>
      <c:pivotFmt>
        <c:idx val="32"/>
        <c:spPr>
          <a:solidFill>
            <a:schemeClr val="accent1"/>
          </a:solidFill>
          <a:ln w="19050" cap="rnd">
            <a:solidFill>
              <a:schemeClr val="accent5"/>
            </a:solidFill>
            <a:round/>
          </a:ln>
          <a:effectLst/>
        </c:spPr>
        <c:marker>
          <c:symbol val="none"/>
        </c:marker>
      </c:pivotFmt>
      <c:pivotFmt>
        <c:idx val="33"/>
        <c:spPr>
          <a:solidFill>
            <a:schemeClr val="accent1"/>
          </a:solidFill>
          <a:ln w="25400" cap="rnd">
            <a:solidFill>
              <a:srgbClr val="C00000"/>
            </a:solidFill>
            <a:round/>
          </a:ln>
          <a:effectLst/>
        </c:spPr>
        <c:marker>
          <c:symbol val="none"/>
        </c:marker>
      </c:pivotFmt>
      <c:pivotFmt>
        <c:idx val="34"/>
        <c:spPr>
          <a:solidFill>
            <a:schemeClr val="accent1"/>
          </a:solidFill>
          <a:ln w="25400" cap="rnd">
            <a:solidFill>
              <a:srgbClr val="C00000"/>
            </a:solidFill>
            <a:round/>
          </a:ln>
          <a:effectLst/>
        </c:spPr>
        <c:marker>
          <c:symbol val="none"/>
        </c:marker>
      </c:pivotFmt>
      <c:pivotFmt>
        <c:idx val="35"/>
        <c:spPr>
          <a:solidFill>
            <a:schemeClr val="accent1"/>
          </a:solidFill>
          <a:ln w="19050" cap="rnd">
            <a:solidFill>
              <a:schemeClr val="accent5"/>
            </a:solidFill>
            <a:round/>
          </a:ln>
          <a:effectLst/>
        </c:spPr>
        <c:marker>
          <c:symbol val="none"/>
        </c:marker>
      </c:pivotFmt>
      <c:pivotFmt>
        <c:idx val="36"/>
        <c:spPr>
          <a:solidFill>
            <a:schemeClr val="accent1"/>
          </a:solidFill>
          <a:ln w="25400" cap="rnd">
            <a:solidFill>
              <a:srgbClr val="C00000"/>
            </a:solidFill>
            <a:round/>
          </a:ln>
          <a:effectLst/>
        </c:spPr>
        <c:marker>
          <c:symbol val="none"/>
        </c:marker>
      </c:pivotFmt>
      <c:pivotFmt>
        <c:idx val="37"/>
        <c:spPr>
          <a:solidFill>
            <a:schemeClr val="accent1"/>
          </a:solidFill>
          <a:ln w="25400" cap="rnd">
            <a:solidFill>
              <a:srgbClr val="C00000"/>
            </a:solidFill>
            <a:round/>
          </a:ln>
          <a:effectLst/>
        </c:spPr>
        <c:marker>
          <c:symbol val="none"/>
        </c:marker>
      </c:pivotFmt>
      <c:pivotFmt>
        <c:idx val="38"/>
        <c:spPr>
          <a:solidFill>
            <a:schemeClr val="accent1"/>
          </a:solidFill>
          <a:ln w="19050" cap="rnd">
            <a:solidFill>
              <a:schemeClr val="accent5"/>
            </a:solidFill>
            <a:round/>
          </a:ln>
          <a:effectLst/>
        </c:spPr>
        <c:marker>
          <c:symbol val="none"/>
        </c:marker>
      </c:pivotFmt>
      <c:pivotFmt>
        <c:idx val="39"/>
        <c:spPr>
          <a:solidFill>
            <a:schemeClr val="accent1"/>
          </a:solidFill>
          <a:ln w="25400" cap="rnd">
            <a:solidFill>
              <a:srgbClr val="C00000"/>
            </a:solidFill>
            <a:round/>
          </a:ln>
          <a:effectLst/>
        </c:spPr>
        <c:marker>
          <c:symbol val="none"/>
        </c:marker>
      </c:pivotFmt>
      <c:pivotFmt>
        <c:idx val="40"/>
        <c:spPr>
          <a:solidFill>
            <a:schemeClr val="accent1"/>
          </a:solidFill>
          <a:ln w="25400" cap="rnd">
            <a:solidFill>
              <a:srgbClr val="C00000"/>
            </a:solidFill>
            <a:round/>
          </a:ln>
          <a:effectLst/>
        </c:spPr>
        <c:marker>
          <c:symbol val="none"/>
        </c:marker>
      </c:pivotFmt>
      <c:pivotFmt>
        <c:idx val="41"/>
        <c:spPr>
          <a:solidFill>
            <a:schemeClr val="accent1"/>
          </a:solidFill>
          <a:ln w="19050" cap="rnd">
            <a:solidFill>
              <a:schemeClr val="accent5"/>
            </a:solidFill>
            <a:round/>
          </a:ln>
          <a:effectLst/>
        </c:spPr>
        <c:marker>
          <c:symbol val="none"/>
        </c:marker>
      </c:pivotFmt>
      <c:pivotFmt>
        <c:idx val="42"/>
        <c:spPr>
          <a:solidFill>
            <a:schemeClr val="accent1"/>
          </a:solidFill>
          <a:ln w="25400" cap="rnd">
            <a:solidFill>
              <a:srgbClr val="C00000"/>
            </a:solidFill>
            <a:round/>
          </a:ln>
          <a:effectLst/>
        </c:spPr>
        <c:marker>
          <c:symbol val="none"/>
        </c:marker>
      </c:pivotFmt>
      <c:pivotFmt>
        <c:idx val="43"/>
        <c:spPr>
          <a:solidFill>
            <a:schemeClr val="accent1"/>
          </a:solidFill>
          <a:ln w="25400" cap="rnd">
            <a:solidFill>
              <a:srgbClr val="C00000"/>
            </a:solidFill>
            <a:round/>
          </a:ln>
          <a:effectLst/>
        </c:spPr>
        <c:marker>
          <c:symbol val="none"/>
        </c:marker>
      </c:pivotFmt>
      <c:pivotFmt>
        <c:idx val="44"/>
        <c:spPr>
          <a:solidFill>
            <a:schemeClr val="accent1"/>
          </a:solidFill>
          <a:ln w="19050" cap="rnd">
            <a:solidFill>
              <a:schemeClr val="accent5"/>
            </a:solidFill>
            <a:round/>
          </a:ln>
          <a:effectLst/>
        </c:spPr>
        <c:marker>
          <c:symbol val="none"/>
        </c:marker>
      </c:pivotFmt>
      <c:pivotFmt>
        <c:idx val="45"/>
        <c:spPr>
          <a:solidFill>
            <a:schemeClr val="accent1"/>
          </a:solidFill>
          <a:ln w="25400" cap="rnd">
            <a:solidFill>
              <a:srgbClr val="C00000"/>
            </a:solidFill>
            <a:round/>
          </a:ln>
          <a:effectLst/>
        </c:spPr>
        <c:marker>
          <c:symbol val="none"/>
        </c:marker>
      </c:pivotFmt>
      <c:pivotFmt>
        <c:idx val="46"/>
        <c:spPr>
          <a:solidFill>
            <a:schemeClr val="accent1"/>
          </a:solidFill>
          <a:ln w="25400" cap="rnd">
            <a:solidFill>
              <a:srgbClr val="C00000"/>
            </a:solidFill>
            <a:round/>
          </a:ln>
          <a:effectLst/>
        </c:spPr>
        <c:marker>
          <c:symbol val="none"/>
        </c:marker>
      </c:pivotFmt>
      <c:pivotFmt>
        <c:idx val="47"/>
        <c:spPr>
          <a:solidFill>
            <a:schemeClr val="accent1"/>
          </a:solidFill>
          <a:ln w="19050" cap="rnd">
            <a:solidFill>
              <a:schemeClr val="accent5"/>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19050"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19050" cap="rnd">
            <a:solidFill>
              <a:schemeClr val="accent6"/>
            </a:solidFill>
            <a:round/>
          </a:ln>
          <a:effectLst/>
        </c:spPr>
        <c:marker>
          <c:symbol val="none"/>
        </c:marker>
      </c:pivotFmt>
      <c:pivotFmt>
        <c:idx val="51"/>
        <c:spPr>
          <a:solidFill>
            <a:schemeClr val="accent1"/>
          </a:solidFill>
          <a:ln w="19050" cap="rnd">
            <a:solidFill>
              <a:schemeClr val="accent6"/>
            </a:solidFill>
            <a:round/>
          </a:ln>
          <a:effectLst/>
        </c:spPr>
        <c:marker>
          <c:symbol val="none"/>
        </c:marker>
      </c:pivotFmt>
      <c:pivotFmt>
        <c:idx val="52"/>
        <c:spPr>
          <a:solidFill>
            <a:schemeClr val="accent1"/>
          </a:solidFill>
          <a:ln w="19050" cap="rnd">
            <a:solidFill>
              <a:schemeClr val="accent6"/>
            </a:solidFill>
            <a:round/>
          </a:ln>
          <a:effectLst/>
        </c:spPr>
        <c:marker>
          <c:symbol val="none"/>
        </c:marker>
      </c:pivotFmt>
      <c:pivotFmt>
        <c:idx val="53"/>
        <c:spPr>
          <a:solidFill>
            <a:schemeClr val="accent1"/>
          </a:solidFill>
          <a:ln w="19050"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19050" cap="rnd">
            <a:solidFill>
              <a:schemeClr val="accent6"/>
            </a:solidFill>
            <a:round/>
          </a:ln>
          <a:effectLst/>
        </c:spPr>
        <c:marker>
          <c:symbol val="none"/>
        </c:marker>
      </c:pivotFmt>
      <c:pivotFmt>
        <c:idx val="55"/>
        <c:spPr>
          <a:solidFill>
            <a:schemeClr val="accent1"/>
          </a:solidFill>
          <a:ln w="19050" cap="rnd">
            <a:solidFill>
              <a:schemeClr val="accent6"/>
            </a:solidFill>
            <a:round/>
          </a:ln>
          <a:effectLst/>
        </c:spPr>
        <c:marker>
          <c:symbol val="none"/>
        </c:marker>
      </c:pivotFmt>
      <c:pivotFmt>
        <c:idx val="56"/>
        <c:spPr>
          <a:solidFill>
            <a:schemeClr val="accent1"/>
          </a:solidFill>
          <a:ln w="19050" cap="rnd">
            <a:solidFill>
              <a:schemeClr val="accent6"/>
            </a:solidFill>
            <a:round/>
          </a:ln>
          <a:effectLst/>
        </c:spPr>
        <c:marker>
          <c:symbol val="none"/>
        </c:marker>
      </c:pivotFmt>
      <c:pivotFmt>
        <c:idx val="57"/>
        <c:spPr>
          <a:solidFill>
            <a:schemeClr val="accent1"/>
          </a:solidFill>
          <a:ln w="19050" cap="rnd">
            <a:solidFill>
              <a:schemeClr val="accent6"/>
            </a:solidFill>
            <a:round/>
          </a:ln>
          <a:effectLst/>
        </c:spPr>
        <c:marker>
          <c:symbol val="none"/>
        </c:marker>
      </c:pivotFmt>
      <c:pivotFmt>
        <c:idx val="58"/>
        <c:spPr>
          <a:solidFill>
            <a:schemeClr val="accent1"/>
          </a:solidFill>
          <a:ln w="19050" cap="rnd">
            <a:solidFill>
              <a:schemeClr val="accent6"/>
            </a:solidFill>
            <a:round/>
          </a:ln>
          <a:effectLst/>
        </c:spPr>
        <c:marker>
          <c:symbol val="none"/>
        </c:marker>
      </c:pivotFmt>
      <c:pivotFmt>
        <c:idx val="59"/>
        <c:spPr>
          <a:solidFill>
            <a:schemeClr val="accent1"/>
          </a:solidFill>
          <a:ln w="19050" cap="rnd">
            <a:solidFill>
              <a:schemeClr val="accent6"/>
            </a:solidFill>
            <a:round/>
          </a:ln>
          <a:effectLst/>
        </c:spPr>
        <c:marker>
          <c:symbol val="none"/>
        </c:marker>
      </c:pivotFmt>
      <c:pivotFmt>
        <c:idx val="60"/>
        <c:spPr>
          <a:solidFill>
            <a:schemeClr val="accent1"/>
          </a:solidFill>
          <a:ln w="19050" cap="rnd">
            <a:solidFill>
              <a:schemeClr val="accent6"/>
            </a:solidFill>
            <a:round/>
          </a:ln>
          <a:effectLst/>
        </c:spPr>
        <c:marker>
          <c:symbol val="none"/>
        </c:marker>
      </c:pivotFmt>
      <c:pivotFmt>
        <c:idx val="61"/>
        <c:spPr>
          <a:solidFill>
            <a:schemeClr val="accent1"/>
          </a:solidFill>
          <a:ln w="19050" cap="rnd">
            <a:solidFill>
              <a:schemeClr val="accent6"/>
            </a:solidFill>
            <a:round/>
          </a:ln>
          <a:effectLst/>
        </c:spPr>
        <c:marker>
          <c:symbol val="none"/>
        </c:marker>
      </c:pivotFmt>
      <c:pivotFmt>
        <c:idx val="62"/>
        <c:spPr>
          <a:solidFill>
            <a:schemeClr val="accent1"/>
          </a:solidFill>
          <a:ln w="19050" cap="rnd">
            <a:solidFill>
              <a:schemeClr val="accent6"/>
            </a:solidFill>
            <a:round/>
          </a:ln>
          <a:effectLst/>
        </c:spPr>
        <c:marker>
          <c:symbol val="none"/>
        </c:marker>
      </c:pivotFmt>
      <c:pivotFmt>
        <c:idx val="63"/>
        <c:spPr>
          <a:solidFill>
            <a:schemeClr val="accent1"/>
          </a:solidFill>
          <a:ln w="19050" cap="rnd">
            <a:solidFill>
              <a:schemeClr val="accent6"/>
            </a:solidFill>
            <a:round/>
          </a:ln>
          <a:effectLst/>
        </c:spPr>
        <c:marker>
          <c:symbol val="none"/>
        </c:marker>
      </c:pivotFmt>
      <c:pivotFmt>
        <c:idx val="64"/>
        <c:spPr>
          <a:solidFill>
            <a:schemeClr val="accent1"/>
          </a:solidFill>
          <a:ln w="12700" cap="rnd">
            <a:solidFill>
              <a:schemeClr val="tx1">
                <a:lumMod val="95000"/>
                <a:lumOff val="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12700" cap="rnd">
            <a:solidFill>
              <a:schemeClr val="tx1">
                <a:lumMod val="95000"/>
                <a:lumOff val="5000"/>
              </a:schemeClr>
            </a:solidFill>
            <a:round/>
          </a:ln>
          <a:effectLst/>
        </c:spPr>
        <c:marker>
          <c:symbol val="none"/>
        </c:marker>
      </c:pivotFmt>
      <c:pivotFmt>
        <c:idx val="66"/>
        <c:spPr>
          <a:solidFill>
            <a:schemeClr val="accent1"/>
          </a:solidFill>
          <a:ln w="12700" cap="rnd">
            <a:solidFill>
              <a:schemeClr val="tx1">
                <a:lumMod val="95000"/>
                <a:lumOff val="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12700" cap="rnd">
            <a:solidFill>
              <a:schemeClr val="tx1"/>
            </a:solidFill>
            <a:round/>
          </a:ln>
          <a:effectLst/>
        </c:spPr>
        <c:marker>
          <c:symbol val="none"/>
        </c:marker>
      </c:pivotFmt>
      <c:pivotFmt>
        <c:idx val="68"/>
        <c:spPr>
          <a:solidFill>
            <a:schemeClr val="accent1"/>
          </a:solidFill>
          <a:ln w="12700" cap="rnd">
            <a:solidFill>
              <a:schemeClr val="tx1"/>
            </a:solidFill>
            <a:round/>
          </a:ln>
          <a:effectLst/>
        </c:spPr>
        <c:marker>
          <c:symbol val="none"/>
        </c:marker>
      </c:pivotFmt>
      <c:pivotFmt>
        <c:idx val="69"/>
        <c:spPr>
          <a:solidFill>
            <a:schemeClr val="accent1"/>
          </a:solidFill>
          <a:ln w="19050" cap="rnd">
            <a:solidFill>
              <a:schemeClr val="accent6"/>
            </a:solidFill>
            <a:round/>
          </a:ln>
          <a:effectLst/>
        </c:spPr>
        <c:marker>
          <c:symbol val="none"/>
        </c:marker>
      </c:pivotFmt>
      <c:pivotFmt>
        <c:idx val="70"/>
        <c:spPr>
          <a:solidFill>
            <a:schemeClr val="accent1"/>
          </a:solidFill>
          <a:ln w="12700" cap="rnd">
            <a:solidFill>
              <a:schemeClr val="tx1"/>
            </a:solidFill>
            <a:round/>
          </a:ln>
          <a:effectLst/>
        </c:spPr>
        <c:marker>
          <c:symbol val="none"/>
        </c:marker>
      </c:pivotFmt>
      <c:pivotFmt>
        <c:idx val="71"/>
        <c:spPr>
          <a:solidFill>
            <a:schemeClr val="accent1"/>
          </a:solidFill>
          <a:ln w="12700" cap="rnd">
            <a:solidFill>
              <a:schemeClr val="tx1"/>
            </a:solidFill>
            <a:round/>
          </a:ln>
          <a:effectLst/>
        </c:spPr>
        <c:marker>
          <c:symbol val="none"/>
        </c:marker>
      </c:pivotFmt>
      <c:pivotFmt>
        <c:idx val="72"/>
        <c:spPr>
          <a:solidFill>
            <a:schemeClr val="accent1"/>
          </a:solidFill>
          <a:ln w="12700" cap="rnd">
            <a:solidFill>
              <a:schemeClr val="tx1"/>
            </a:solidFill>
            <a:round/>
          </a:ln>
          <a:effectLst/>
        </c:spPr>
        <c:marker>
          <c:symbol val="none"/>
        </c:marker>
      </c:pivotFmt>
      <c:pivotFmt>
        <c:idx val="73"/>
        <c:spPr>
          <a:solidFill>
            <a:schemeClr val="accent1"/>
          </a:solidFill>
          <a:ln w="12700" cap="rnd">
            <a:solidFill>
              <a:schemeClr val="tx1"/>
            </a:solidFill>
            <a:round/>
          </a:ln>
          <a:effectLst/>
        </c:spPr>
        <c:marker>
          <c:symbol val="none"/>
        </c:marker>
      </c:pivotFmt>
      <c:pivotFmt>
        <c:idx val="74"/>
        <c:spPr>
          <a:ln w="25400" cap="rnd">
            <a:solidFill>
              <a:srgbClr val="C00000"/>
            </a:solidFill>
            <a:round/>
          </a:ln>
          <a:effectLst/>
        </c:spPr>
        <c:marker>
          <c:symbol val="none"/>
        </c:marker>
      </c:pivotFmt>
      <c:pivotFmt>
        <c:idx val="75"/>
        <c:spPr>
          <a:ln w="25400" cap="rnd">
            <a:solidFill>
              <a:srgbClr val="C00000"/>
            </a:solidFill>
            <a:round/>
          </a:ln>
          <a:effectLst/>
        </c:spPr>
        <c:marker>
          <c:symbol val="none"/>
        </c:marker>
      </c:pivotFmt>
      <c:pivotFmt>
        <c:idx val="76"/>
        <c:spPr>
          <a:ln w="19050" cap="rnd">
            <a:solidFill>
              <a:srgbClr val="00B050"/>
            </a:solidFill>
            <a:round/>
          </a:ln>
          <a:effectLst/>
        </c:spPr>
        <c:marker>
          <c:symbol val="none"/>
        </c:marker>
      </c:pivotFmt>
      <c:pivotFmt>
        <c:idx val="77"/>
        <c:spPr>
          <a:ln w="19050" cap="rnd">
            <a:solidFill>
              <a:schemeClr val="accent1"/>
            </a:solidFill>
            <a:round/>
          </a:ln>
          <a:effectLst/>
        </c:spPr>
        <c:marker>
          <c:symbol val="none"/>
        </c:marker>
      </c:pivotFmt>
      <c:pivotFmt>
        <c:idx val="78"/>
        <c:spPr>
          <a:ln w="12700" cap="rnd">
            <a:solidFill>
              <a:schemeClr val="tx1"/>
            </a:solidFill>
            <a:round/>
          </a:ln>
          <a:effectLst/>
        </c:spPr>
        <c:marker>
          <c:symbol val="none"/>
        </c:marker>
      </c:pivotFmt>
      <c:pivotFmt>
        <c:idx val="79"/>
        <c:spPr>
          <a:ln w="28575" cap="rnd">
            <a:solidFill>
              <a:schemeClr val="accent1"/>
            </a:solidFill>
            <a:round/>
          </a:ln>
          <a:effectLst/>
        </c:spPr>
        <c:marker>
          <c:symbol val="none"/>
        </c:marker>
      </c:pivotFmt>
      <c:pivotFmt>
        <c:idx val="80"/>
        <c:spPr>
          <a:ln w="28575" cap="rnd">
            <a:solidFill>
              <a:schemeClr val="accent1"/>
            </a:solidFill>
            <a:round/>
          </a:ln>
          <a:effectLst/>
        </c:spPr>
        <c:marker>
          <c:symbol val="none"/>
        </c:marker>
      </c:pivotFmt>
      <c:pivotFmt>
        <c:idx val="81"/>
        <c:spPr>
          <a:ln w="28575" cap="rnd">
            <a:solidFill>
              <a:schemeClr val="accent1"/>
            </a:solidFill>
            <a:round/>
          </a:ln>
          <a:effectLst/>
        </c:spPr>
        <c:marker>
          <c:symbol val="none"/>
        </c:marker>
      </c:pivotFmt>
      <c:pivotFmt>
        <c:idx val="82"/>
        <c:spPr>
          <a:ln w="28575" cap="rnd">
            <a:solidFill>
              <a:schemeClr val="accent1"/>
            </a:solidFill>
            <a:round/>
          </a:ln>
          <a:effectLst/>
        </c:spPr>
        <c:marker>
          <c:symbol val="none"/>
        </c:marker>
      </c:pivotFmt>
      <c:pivotFmt>
        <c:idx val="83"/>
        <c:spPr>
          <a:ln w="28575" cap="rnd">
            <a:solidFill>
              <a:schemeClr val="accent1"/>
            </a:solidFill>
            <a:round/>
          </a:ln>
          <a:effectLst/>
        </c:spPr>
        <c:marker>
          <c:symbol val="none"/>
        </c:marker>
      </c:pivotFmt>
      <c:pivotFmt>
        <c:idx val="84"/>
        <c:spPr>
          <a:ln w="25400" cap="rnd">
            <a:solidFill>
              <a:srgbClr val="C00000"/>
            </a:solidFill>
            <a:round/>
          </a:ln>
          <a:effectLst/>
        </c:spPr>
        <c:marker>
          <c:symbol val="none"/>
        </c:marker>
      </c:pivotFmt>
      <c:pivotFmt>
        <c:idx val="85"/>
        <c:spPr>
          <a:ln w="25400" cap="rnd">
            <a:solidFill>
              <a:srgbClr val="C00000"/>
            </a:solidFill>
            <a:round/>
          </a:ln>
          <a:effectLst/>
        </c:spPr>
        <c:marker>
          <c:symbol val="none"/>
        </c:marker>
      </c:pivotFmt>
      <c:pivotFmt>
        <c:idx val="86"/>
        <c:spPr>
          <a:ln w="19050" cap="rnd">
            <a:solidFill>
              <a:srgbClr val="00B050"/>
            </a:solidFill>
            <a:round/>
          </a:ln>
          <a:effectLst/>
        </c:spPr>
        <c:marker>
          <c:symbol val="none"/>
        </c:marker>
      </c:pivotFmt>
      <c:pivotFmt>
        <c:idx val="87"/>
        <c:spPr>
          <a:ln w="19050" cap="rnd">
            <a:solidFill>
              <a:srgbClr val="0070C0"/>
            </a:solidFill>
            <a:round/>
          </a:ln>
          <a:effectLst/>
        </c:spPr>
        <c:marker>
          <c:symbol val="none"/>
        </c:marker>
      </c:pivotFmt>
      <c:pivotFmt>
        <c:idx val="88"/>
        <c:spPr>
          <a:ln w="12700" cap="rnd">
            <a:solidFill>
              <a:schemeClr val="tx1"/>
            </a:solidFill>
            <a:round/>
          </a:ln>
          <a:effectLst/>
        </c:spPr>
        <c:marker>
          <c:symbol val="none"/>
        </c:marker>
      </c:pivotFmt>
      <c:pivotFmt>
        <c:idx val="89"/>
        <c:spPr>
          <a:solidFill>
            <a:schemeClr val="accent1"/>
          </a:solidFill>
          <a:ln w="25400" cap="rnd">
            <a:solidFill>
              <a:srgbClr val="C00000"/>
            </a:solidFill>
            <a:round/>
          </a:ln>
          <a:effectLst/>
        </c:spPr>
        <c:marker>
          <c:symbol val="none"/>
        </c:marker>
      </c:pivotFmt>
      <c:pivotFmt>
        <c:idx val="90"/>
        <c:spPr>
          <a:solidFill>
            <a:schemeClr val="accent1"/>
          </a:solidFill>
          <a:ln w="25400" cap="rnd">
            <a:solidFill>
              <a:srgbClr val="C00000"/>
            </a:solidFill>
            <a:round/>
          </a:ln>
          <a:effectLst/>
        </c:spPr>
        <c:marker>
          <c:symbol val="none"/>
        </c:marker>
      </c:pivotFmt>
      <c:pivotFmt>
        <c:idx val="91"/>
        <c:spPr>
          <a:solidFill>
            <a:schemeClr val="accent1"/>
          </a:solidFill>
          <a:ln w="19050" cap="rnd">
            <a:solidFill>
              <a:schemeClr val="accent6"/>
            </a:solidFill>
            <a:round/>
          </a:ln>
          <a:effectLst/>
        </c:spPr>
        <c:marker>
          <c:symbol val="none"/>
        </c:marker>
      </c:pivotFmt>
      <c:pivotFmt>
        <c:idx val="92"/>
        <c:spPr>
          <a:solidFill>
            <a:schemeClr val="accent1"/>
          </a:solidFill>
          <a:ln w="19050" cap="rnd">
            <a:solidFill>
              <a:schemeClr val="accent5"/>
            </a:solidFill>
            <a:round/>
          </a:ln>
          <a:effectLst/>
        </c:spPr>
        <c:marker>
          <c:symbol val="none"/>
        </c:marker>
      </c:pivotFmt>
      <c:pivotFmt>
        <c:idx val="93"/>
        <c:spPr>
          <a:solidFill>
            <a:schemeClr val="accent1"/>
          </a:solidFill>
          <a:ln w="12700" cap="rnd">
            <a:solidFill>
              <a:schemeClr val="tx1"/>
            </a:solidFill>
            <a:round/>
          </a:ln>
          <a:effectLst/>
        </c:spPr>
        <c:marker>
          <c:symbol val="none"/>
        </c:marker>
      </c:pivotFmt>
      <c:pivotFmt>
        <c:idx val="94"/>
        <c:spPr>
          <a:ln w="25400" cap="rnd">
            <a:solidFill>
              <a:srgbClr val="C00000"/>
            </a:solidFill>
            <a:round/>
          </a:ln>
          <a:effectLst/>
        </c:spPr>
        <c:marker>
          <c:symbol val="none"/>
        </c:marker>
      </c:pivotFmt>
      <c:pivotFmt>
        <c:idx val="95"/>
        <c:spPr>
          <a:ln w="25400" cap="rnd">
            <a:solidFill>
              <a:srgbClr val="C00000"/>
            </a:solidFill>
            <a:round/>
          </a:ln>
          <a:effectLst/>
        </c:spPr>
        <c:marker>
          <c:symbol val="none"/>
        </c:marker>
      </c:pivotFmt>
      <c:pivotFmt>
        <c:idx val="96"/>
        <c:spPr>
          <a:ln w="19050" cap="rnd">
            <a:solidFill>
              <a:schemeClr val="accent6"/>
            </a:solidFill>
            <a:round/>
          </a:ln>
          <a:effectLst/>
        </c:spPr>
        <c:marker>
          <c:symbol val="none"/>
        </c:marker>
      </c:pivotFmt>
      <c:pivotFmt>
        <c:idx val="97"/>
        <c:spPr>
          <a:ln w="19050" cap="rnd">
            <a:solidFill>
              <a:schemeClr val="accent5"/>
            </a:solidFill>
            <a:round/>
          </a:ln>
          <a:effectLst/>
        </c:spPr>
        <c:marker>
          <c:symbol val="none"/>
        </c:marker>
      </c:pivotFmt>
      <c:pivotFmt>
        <c:idx val="98"/>
        <c:spPr>
          <a:ln w="12700" cap="rnd">
            <a:solidFill>
              <a:schemeClr val="tx1"/>
            </a:solidFill>
            <a:round/>
          </a:ln>
          <a:effectLst/>
        </c:spPr>
        <c:marker>
          <c:symbol val="none"/>
        </c:marker>
      </c:pivotFmt>
      <c:pivotFmt>
        <c:idx val="99"/>
        <c:spPr>
          <a:solidFill>
            <a:schemeClr val="accent1"/>
          </a:solidFill>
          <a:ln w="25400" cap="rnd">
            <a:solidFill>
              <a:srgbClr val="C00000"/>
            </a:solidFill>
            <a:round/>
          </a:ln>
          <a:effectLst/>
        </c:spPr>
        <c:marker>
          <c:symbol val="none"/>
        </c:marker>
      </c:pivotFmt>
      <c:pivotFmt>
        <c:idx val="100"/>
        <c:spPr>
          <a:solidFill>
            <a:schemeClr val="accent1"/>
          </a:solidFill>
          <a:ln w="25400" cap="rnd">
            <a:solidFill>
              <a:srgbClr val="C00000"/>
            </a:solidFill>
            <a:round/>
          </a:ln>
          <a:effectLst/>
        </c:spPr>
        <c:marker>
          <c:symbol val="none"/>
        </c:marker>
      </c:pivotFmt>
      <c:pivotFmt>
        <c:idx val="101"/>
        <c:spPr>
          <a:solidFill>
            <a:schemeClr val="accent1"/>
          </a:solidFill>
          <a:ln w="19050" cap="rnd">
            <a:solidFill>
              <a:schemeClr val="accent6"/>
            </a:solidFill>
            <a:round/>
          </a:ln>
          <a:effectLst/>
        </c:spPr>
        <c:marker>
          <c:symbol val="none"/>
        </c:marker>
      </c:pivotFmt>
      <c:pivotFmt>
        <c:idx val="102"/>
        <c:spPr>
          <a:solidFill>
            <a:schemeClr val="accent1"/>
          </a:solidFill>
          <a:ln w="19050" cap="rnd">
            <a:solidFill>
              <a:schemeClr val="accent5"/>
            </a:solidFill>
            <a:round/>
          </a:ln>
          <a:effectLst/>
        </c:spPr>
        <c:marker>
          <c:symbol val="none"/>
        </c:marker>
      </c:pivotFmt>
      <c:pivotFmt>
        <c:idx val="103"/>
        <c:spPr>
          <a:solidFill>
            <a:schemeClr val="accent1"/>
          </a:solidFill>
          <a:ln w="12700" cap="rnd">
            <a:solidFill>
              <a:schemeClr val="tx1"/>
            </a:solidFill>
            <a:round/>
          </a:ln>
          <a:effectLst/>
        </c:spPr>
        <c:marker>
          <c:symbol val="none"/>
        </c:marker>
      </c:pivotFmt>
      <c:pivotFmt>
        <c:idx val="104"/>
        <c:spPr>
          <a:solidFill>
            <a:schemeClr val="accent1"/>
          </a:solidFill>
          <a:ln w="25400" cap="rnd">
            <a:solidFill>
              <a:srgbClr val="C00000"/>
            </a:solidFill>
            <a:round/>
          </a:ln>
          <a:effectLst/>
        </c:spPr>
        <c:marker>
          <c:symbol val="none"/>
        </c:marker>
      </c:pivotFmt>
      <c:pivotFmt>
        <c:idx val="105"/>
        <c:spPr>
          <a:solidFill>
            <a:schemeClr val="accent1"/>
          </a:solidFill>
          <a:ln w="25400" cap="rnd">
            <a:solidFill>
              <a:srgbClr val="C00000"/>
            </a:solidFill>
            <a:round/>
          </a:ln>
          <a:effectLst/>
        </c:spPr>
        <c:marker>
          <c:symbol val="none"/>
        </c:marker>
      </c:pivotFmt>
      <c:pivotFmt>
        <c:idx val="106"/>
        <c:spPr>
          <a:solidFill>
            <a:schemeClr val="accent1"/>
          </a:solidFill>
          <a:ln w="19050" cap="rnd">
            <a:solidFill>
              <a:schemeClr val="accent6"/>
            </a:solidFill>
            <a:round/>
          </a:ln>
          <a:effectLst/>
        </c:spPr>
        <c:marker>
          <c:symbol val="none"/>
        </c:marker>
      </c:pivotFmt>
      <c:pivotFmt>
        <c:idx val="107"/>
        <c:spPr>
          <a:solidFill>
            <a:schemeClr val="accent1"/>
          </a:solidFill>
          <a:ln w="19050" cap="rnd">
            <a:solidFill>
              <a:schemeClr val="accent5"/>
            </a:solidFill>
            <a:round/>
          </a:ln>
          <a:effectLst/>
        </c:spPr>
        <c:marker>
          <c:symbol val="none"/>
        </c:marker>
      </c:pivotFmt>
      <c:pivotFmt>
        <c:idx val="108"/>
        <c:spPr>
          <a:solidFill>
            <a:schemeClr val="accent1"/>
          </a:solidFill>
          <a:ln w="12700" cap="rnd">
            <a:solidFill>
              <a:schemeClr val="tx1"/>
            </a:solidFill>
            <a:round/>
          </a:ln>
          <a:effectLst/>
        </c:spPr>
        <c:marker>
          <c:symbol val="none"/>
        </c:marker>
      </c:pivotFmt>
      <c:pivotFmt>
        <c:idx val="109"/>
        <c:spPr>
          <a:solidFill>
            <a:schemeClr val="accent1"/>
          </a:solidFill>
          <a:ln w="25400" cap="rnd">
            <a:solidFill>
              <a:srgbClr val="C00000"/>
            </a:solidFill>
            <a:round/>
          </a:ln>
          <a:effectLst/>
        </c:spPr>
        <c:marker>
          <c:symbol val="none"/>
        </c:marker>
      </c:pivotFmt>
      <c:pivotFmt>
        <c:idx val="110"/>
        <c:spPr>
          <a:solidFill>
            <a:schemeClr val="accent1"/>
          </a:solidFill>
          <a:ln w="25400" cap="rnd">
            <a:solidFill>
              <a:srgbClr val="C00000"/>
            </a:solidFill>
            <a:round/>
          </a:ln>
          <a:effectLst/>
        </c:spPr>
        <c:marker>
          <c:symbol val="none"/>
        </c:marker>
      </c:pivotFmt>
      <c:pivotFmt>
        <c:idx val="111"/>
        <c:spPr>
          <a:solidFill>
            <a:schemeClr val="accent1"/>
          </a:solidFill>
          <a:ln w="19050" cap="rnd">
            <a:solidFill>
              <a:schemeClr val="accent6"/>
            </a:solidFill>
            <a:round/>
          </a:ln>
          <a:effectLst/>
        </c:spPr>
        <c:marker>
          <c:symbol val="none"/>
        </c:marker>
      </c:pivotFmt>
      <c:pivotFmt>
        <c:idx val="112"/>
        <c:spPr>
          <a:solidFill>
            <a:schemeClr val="accent1"/>
          </a:solidFill>
          <a:ln w="19050" cap="rnd">
            <a:solidFill>
              <a:schemeClr val="accent5"/>
            </a:solidFill>
            <a:round/>
          </a:ln>
          <a:effectLst/>
        </c:spPr>
        <c:marker>
          <c:symbol val="none"/>
        </c:marker>
      </c:pivotFmt>
      <c:pivotFmt>
        <c:idx val="113"/>
        <c:spPr>
          <a:solidFill>
            <a:schemeClr val="accent1"/>
          </a:solidFill>
          <a:ln w="12700" cap="rnd">
            <a:solidFill>
              <a:schemeClr val="tx1"/>
            </a:solidFill>
            <a:round/>
          </a:ln>
          <a:effectLst/>
        </c:spPr>
        <c:marker>
          <c:symbol val="none"/>
        </c:marker>
      </c:pivotFmt>
      <c:pivotFmt>
        <c:idx val="114"/>
        <c:spPr>
          <a:solidFill>
            <a:schemeClr val="accent1"/>
          </a:solidFill>
          <a:ln w="25400" cap="rnd">
            <a:solidFill>
              <a:srgbClr val="C00000"/>
            </a:solidFill>
            <a:round/>
          </a:ln>
          <a:effectLst/>
        </c:spPr>
        <c:marker>
          <c:symbol val="none"/>
        </c:marker>
      </c:pivotFmt>
      <c:pivotFmt>
        <c:idx val="115"/>
        <c:spPr>
          <a:solidFill>
            <a:schemeClr val="accent1"/>
          </a:solidFill>
          <a:ln w="25400" cap="rnd">
            <a:solidFill>
              <a:srgbClr val="C00000"/>
            </a:solidFill>
            <a:round/>
          </a:ln>
          <a:effectLst/>
        </c:spPr>
        <c:marker>
          <c:symbol val="none"/>
        </c:marker>
      </c:pivotFmt>
      <c:pivotFmt>
        <c:idx val="116"/>
        <c:spPr>
          <a:solidFill>
            <a:schemeClr val="accent1"/>
          </a:solidFill>
          <a:ln w="19050" cap="rnd">
            <a:solidFill>
              <a:schemeClr val="accent6"/>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12700" cap="rnd">
            <a:solidFill>
              <a:schemeClr val="tx1"/>
            </a:solidFill>
            <a:round/>
          </a:ln>
          <a:effectLst/>
        </c:spPr>
        <c:marker>
          <c:symbol val="none"/>
        </c:marker>
      </c:pivotFmt>
      <c:pivotFmt>
        <c:idx val="119"/>
        <c:spPr>
          <a:solidFill>
            <a:schemeClr val="accent1"/>
          </a:solidFill>
          <a:ln w="25400" cap="rnd">
            <a:solidFill>
              <a:srgbClr val="C00000"/>
            </a:solidFill>
            <a:round/>
          </a:ln>
          <a:effectLst/>
        </c:spPr>
        <c:marker>
          <c:symbol val="none"/>
        </c:marker>
      </c:pivotFmt>
      <c:pivotFmt>
        <c:idx val="120"/>
        <c:spPr>
          <a:solidFill>
            <a:schemeClr val="accent1"/>
          </a:solidFill>
          <a:ln w="25400" cap="rnd">
            <a:solidFill>
              <a:srgbClr val="C00000"/>
            </a:solidFill>
            <a:round/>
          </a:ln>
          <a:effectLst/>
        </c:spPr>
        <c:marker>
          <c:symbol val="none"/>
        </c:marker>
      </c:pivotFmt>
      <c:pivotFmt>
        <c:idx val="121"/>
        <c:spPr>
          <a:solidFill>
            <a:schemeClr val="accent1"/>
          </a:solidFill>
          <a:ln w="19050" cap="rnd">
            <a:solidFill>
              <a:srgbClr val="00B050"/>
            </a:solidFill>
            <a:round/>
          </a:ln>
          <a:effectLst/>
        </c:spPr>
        <c:marker>
          <c:symbol val="none"/>
        </c:marker>
      </c:pivotFmt>
      <c:pivotFmt>
        <c:idx val="122"/>
        <c:spPr>
          <a:solidFill>
            <a:schemeClr val="accent1"/>
          </a:solidFill>
          <a:ln w="19050" cap="rnd">
            <a:solidFill>
              <a:srgbClr val="0070C0"/>
            </a:solidFill>
            <a:round/>
          </a:ln>
          <a:effectLst/>
        </c:spPr>
        <c:marker>
          <c:symbol val="none"/>
        </c:marker>
      </c:pivotFmt>
      <c:pivotFmt>
        <c:idx val="123"/>
        <c:spPr>
          <a:solidFill>
            <a:schemeClr val="accent1"/>
          </a:solidFill>
          <a:ln w="12700" cap="rnd">
            <a:solidFill>
              <a:schemeClr val="tx1"/>
            </a:solidFill>
            <a:round/>
          </a:ln>
          <a:effectLst/>
        </c:spPr>
        <c:marker>
          <c:symbol val="none"/>
        </c:marker>
      </c:pivotFmt>
      <c:pivotFmt>
        <c:idx val="124"/>
        <c:spPr>
          <a:solidFill>
            <a:schemeClr val="accent1"/>
          </a:solidFill>
          <a:ln w="25400" cap="rnd">
            <a:solidFill>
              <a:srgbClr val="C00000"/>
            </a:solidFill>
            <a:round/>
          </a:ln>
          <a:effectLst/>
        </c:spPr>
        <c:marker>
          <c:symbol val="none"/>
        </c:marker>
      </c:pivotFmt>
      <c:pivotFmt>
        <c:idx val="125"/>
        <c:spPr>
          <a:solidFill>
            <a:schemeClr val="accent1"/>
          </a:solidFill>
          <a:ln w="25400" cap="rnd">
            <a:solidFill>
              <a:srgbClr val="C00000"/>
            </a:solidFill>
            <a:round/>
          </a:ln>
          <a:effectLst/>
        </c:spPr>
        <c:marker>
          <c:symbol val="none"/>
        </c:marker>
      </c:pivotFmt>
      <c:pivotFmt>
        <c:idx val="126"/>
        <c:spPr>
          <a:solidFill>
            <a:schemeClr val="accent1"/>
          </a:solidFill>
          <a:ln w="19050" cap="rnd">
            <a:solidFill>
              <a:schemeClr val="accent6"/>
            </a:solidFill>
            <a:round/>
          </a:ln>
          <a:effectLst/>
        </c:spPr>
        <c:marker>
          <c:symbol val="none"/>
        </c:marker>
      </c:pivotFmt>
      <c:pivotFmt>
        <c:idx val="127"/>
        <c:spPr>
          <a:solidFill>
            <a:schemeClr val="accent1"/>
          </a:solidFill>
          <a:ln w="19050" cap="rnd">
            <a:solidFill>
              <a:schemeClr val="accent5"/>
            </a:solidFill>
            <a:round/>
          </a:ln>
          <a:effectLst/>
        </c:spPr>
        <c:marker>
          <c:symbol val="none"/>
        </c:marker>
      </c:pivotFmt>
      <c:pivotFmt>
        <c:idx val="128"/>
        <c:spPr>
          <a:solidFill>
            <a:schemeClr val="accent1"/>
          </a:solidFill>
          <a:ln w="12700" cap="rnd">
            <a:solidFill>
              <a:schemeClr val="tx1"/>
            </a:solidFill>
            <a:round/>
          </a:ln>
          <a:effectLst/>
        </c:spPr>
        <c:marker>
          <c:symbol val="none"/>
        </c:marker>
      </c:pivotFmt>
      <c:pivotFmt>
        <c:idx val="129"/>
        <c:spPr>
          <a:ln w="25400" cap="rnd">
            <a:solidFill>
              <a:srgbClr val="C00000"/>
            </a:solidFill>
            <a:round/>
          </a:ln>
          <a:effectLst/>
        </c:spPr>
        <c:marker>
          <c:symbol val="none"/>
        </c:marker>
      </c:pivotFmt>
      <c:pivotFmt>
        <c:idx val="130"/>
        <c:spPr>
          <a:ln w="25400" cap="rnd">
            <a:solidFill>
              <a:srgbClr val="C00000"/>
            </a:solidFill>
            <a:round/>
          </a:ln>
          <a:effectLst/>
        </c:spPr>
        <c:marker>
          <c:symbol val="none"/>
        </c:marker>
      </c:pivotFmt>
      <c:pivotFmt>
        <c:idx val="131"/>
        <c:spPr>
          <a:ln w="19050" cap="rnd">
            <a:solidFill>
              <a:schemeClr val="accent6"/>
            </a:solidFill>
            <a:round/>
          </a:ln>
          <a:effectLst/>
        </c:spPr>
        <c:marker>
          <c:symbol val="none"/>
        </c:marker>
      </c:pivotFmt>
      <c:pivotFmt>
        <c:idx val="132"/>
        <c:spPr>
          <a:ln w="19050" cap="rnd">
            <a:solidFill>
              <a:schemeClr val="accent5"/>
            </a:solidFill>
            <a:round/>
          </a:ln>
          <a:effectLst/>
        </c:spPr>
        <c:marker>
          <c:symbol val="none"/>
        </c:marker>
      </c:pivotFmt>
      <c:pivotFmt>
        <c:idx val="133"/>
        <c:spPr>
          <a:ln w="12700" cap="rnd">
            <a:solidFill>
              <a:schemeClr val="tx1"/>
            </a:solidFill>
            <a:round/>
          </a:ln>
          <a:effectLst/>
        </c:spPr>
        <c:marker>
          <c:symbol val="none"/>
        </c:marker>
      </c:pivotFmt>
      <c:pivotFmt>
        <c:idx val="134"/>
        <c:spPr>
          <a:solidFill>
            <a:schemeClr val="accent1"/>
          </a:solidFill>
          <a:ln w="25400" cap="rnd">
            <a:solidFill>
              <a:srgbClr val="C00000"/>
            </a:solidFill>
            <a:round/>
          </a:ln>
          <a:effectLst/>
        </c:spPr>
        <c:marker>
          <c:symbol val="none"/>
        </c:marker>
      </c:pivotFmt>
      <c:pivotFmt>
        <c:idx val="135"/>
        <c:spPr>
          <a:solidFill>
            <a:schemeClr val="accent1"/>
          </a:solidFill>
          <a:ln w="25400" cap="rnd">
            <a:solidFill>
              <a:srgbClr val="C00000"/>
            </a:solidFill>
            <a:round/>
          </a:ln>
          <a:effectLst/>
        </c:spPr>
        <c:marker>
          <c:symbol val="none"/>
        </c:marker>
      </c:pivotFmt>
      <c:pivotFmt>
        <c:idx val="136"/>
        <c:spPr>
          <a:solidFill>
            <a:schemeClr val="accent1"/>
          </a:solidFill>
          <a:ln w="19050" cap="rnd">
            <a:solidFill>
              <a:schemeClr val="accent6"/>
            </a:solidFill>
            <a:round/>
          </a:ln>
          <a:effectLst/>
        </c:spPr>
        <c:marker>
          <c:symbol val="none"/>
        </c:marker>
      </c:pivotFmt>
      <c:pivotFmt>
        <c:idx val="137"/>
        <c:spPr>
          <a:solidFill>
            <a:schemeClr val="accent1"/>
          </a:solidFill>
          <a:ln w="19050" cap="rnd">
            <a:solidFill>
              <a:schemeClr val="accent5"/>
            </a:solidFill>
            <a:round/>
          </a:ln>
          <a:effectLst/>
        </c:spPr>
        <c:marker>
          <c:symbol val="none"/>
        </c:marker>
      </c:pivotFmt>
      <c:pivotFmt>
        <c:idx val="138"/>
        <c:spPr>
          <a:solidFill>
            <a:schemeClr val="accent1"/>
          </a:solidFill>
          <a:ln w="12700" cap="rnd">
            <a:solidFill>
              <a:schemeClr val="tx1"/>
            </a:solidFill>
            <a:round/>
          </a:ln>
          <a:effectLst/>
        </c:spPr>
        <c:marker>
          <c:symbol val="none"/>
        </c:marker>
      </c:pivotFmt>
      <c:pivotFmt>
        <c:idx val="139"/>
        <c:spPr>
          <a:solidFill>
            <a:schemeClr val="accent1"/>
          </a:solidFill>
          <a:ln w="25400" cap="rnd">
            <a:solidFill>
              <a:srgbClr val="C00000"/>
            </a:solidFill>
            <a:round/>
          </a:ln>
          <a:effectLst/>
        </c:spPr>
        <c:marker>
          <c:symbol val="none"/>
        </c:marker>
      </c:pivotFmt>
      <c:pivotFmt>
        <c:idx val="140"/>
        <c:spPr>
          <a:solidFill>
            <a:schemeClr val="accent1"/>
          </a:solidFill>
          <a:ln w="25400" cap="rnd">
            <a:solidFill>
              <a:srgbClr val="C00000"/>
            </a:solidFill>
            <a:round/>
          </a:ln>
          <a:effectLst/>
        </c:spPr>
        <c:marker>
          <c:symbol val="none"/>
        </c:marker>
      </c:pivotFmt>
      <c:pivotFmt>
        <c:idx val="141"/>
        <c:spPr>
          <a:solidFill>
            <a:schemeClr val="accent1"/>
          </a:solidFill>
          <a:ln w="19050" cap="rnd">
            <a:solidFill>
              <a:schemeClr val="accent6"/>
            </a:solidFill>
            <a:round/>
          </a:ln>
          <a:effectLst/>
        </c:spPr>
        <c:marker>
          <c:symbol val="none"/>
        </c:marker>
      </c:pivotFmt>
      <c:pivotFmt>
        <c:idx val="142"/>
        <c:spPr>
          <a:solidFill>
            <a:schemeClr val="accent1"/>
          </a:solidFill>
          <a:ln w="19050" cap="rnd">
            <a:solidFill>
              <a:schemeClr val="accent5"/>
            </a:solidFill>
            <a:round/>
          </a:ln>
          <a:effectLst/>
        </c:spPr>
        <c:marker>
          <c:symbol val="none"/>
        </c:marker>
      </c:pivotFmt>
      <c:pivotFmt>
        <c:idx val="143"/>
        <c:spPr>
          <a:solidFill>
            <a:schemeClr val="accent1"/>
          </a:solidFill>
          <a:ln w="12700" cap="rnd">
            <a:solidFill>
              <a:schemeClr val="tx1"/>
            </a:solidFill>
            <a:round/>
          </a:ln>
          <a:effectLst/>
        </c:spPr>
        <c:marker>
          <c:symbol val="none"/>
        </c:marker>
      </c:pivotFmt>
      <c:pivotFmt>
        <c:idx val="144"/>
        <c:spPr>
          <a:solidFill>
            <a:schemeClr val="accent1"/>
          </a:solidFill>
          <a:ln w="25400" cap="rnd">
            <a:solidFill>
              <a:srgbClr val="C00000"/>
            </a:solidFill>
            <a:round/>
          </a:ln>
          <a:effectLst/>
        </c:spPr>
        <c:marker>
          <c:symbol val="none"/>
        </c:marker>
      </c:pivotFmt>
      <c:pivotFmt>
        <c:idx val="145"/>
        <c:spPr>
          <a:solidFill>
            <a:schemeClr val="accent1"/>
          </a:solidFill>
          <a:ln w="25400" cap="rnd">
            <a:solidFill>
              <a:srgbClr val="C00000"/>
            </a:solidFill>
            <a:round/>
          </a:ln>
          <a:effectLst/>
        </c:spPr>
        <c:marker>
          <c:symbol val="none"/>
        </c:marker>
      </c:pivotFmt>
      <c:pivotFmt>
        <c:idx val="146"/>
        <c:spPr>
          <a:solidFill>
            <a:schemeClr val="accent1"/>
          </a:solidFill>
          <a:ln w="19050" cap="rnd">
            <a:solidFill>
              <a:schemeClr val="accent6"/>
            </a:solidFill>
            <a:round/>
          </a:ln>
          <a:effectLst/>
        </c:spPr>
        <c:marker>
          <c:symbol val="none"/>
        </c:marker>
      </c:pivotFmt>
      <c:pivotFmt>
        <c:idx val="147"/>
        <c:spPr>
          <a:solidFill>
            <a:schemeClr val="accent1"/>
          </a:solidFill>
          <a:ln w="19050" cap="rnd">
            <a:solidFill>
              <a:schemeClr val="accent5"/>
            </a:solidFill>
            <a:round/>
          </a:ln>
          <a:effectLst/>
        </c:spPr>
        <c:marker>
          <c:symbol val="none"/>
        </c:marker>
      </c:pivotFmt>
      <c:pivotFmt>
        <c:idx val="148"/>
        <c:spPr>
          <a:solidFill>
            <a:schemeClr val="accent1"/>
          </a:solidFill>
          <a:ln w="12700" cap="rnd">
            <a:solidFill>
              <a:schemeClr val="tx1"/>
            </a:solidFill>
            <a:round/>
          </a:ln>
          <a:effectLst/>
        </c:spPr>
        <c:marker>
          <c:symbol val="none"/>
        </c:marker>
      </c:pivotFmt>
    </c:pivotFmts>
    <c:plotArea>
      <c:layout/>
      <c:lineChart>
        <c:grouping val="standard"/>
        <c:varyColors val="0"/>
        <c:dLbls>
          <c:showLegendKey val="0"/>
          <c:showVal val="0"/>
          <c:showCatName val="0"/>
          <c:showSerName val="0"/>
          <c:showPercent val="0"/>
          <c:showBubbleSize val="0"/>
        </c:dLbls>
        <c:marker val="1"/>
        <c:smooth val="0"/>
        <c:axId val="410710608"/>
        <c:axId val="410713872"/>
      </c:lineChart>
      <c:lineChart>
        <c:grouping val="standard"/>
        <c:varyColors val="0"/>
        <c:dLbls>
          <c:showLegendKey val="0"/>
          <c:showVal val="0"/>
          <c:showCatName val="0"/>
          <c:showSerName val="0"/>
          <c:showPercent val="0"/>
          <c:showBubbleSize val="0"/>
        </c:dLbls>
        <c:marker val="1"/>
        <c:smooth val="0"/>
        <c:axId val="628173040"/>
        <c:axId val="628168688"/>
      </c:lineChart>
      <c:valAx>
        <c:axId val="410713872"/>
        <c:scaling>
          <c:orientation val="minMax"/>
        </c:scaling>
        <c:delete val="0"/>
        <c:axPos val="r"/>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10608"/>
        <c:crosses val="max"/>
        <c:crossBetween val="between"/>
      </c:valAx>
      <c:catAx>
        <c:axId val="4107106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Week</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13872"/>
        <c:crosses val="autoZero"/>
        <c:auto val="1"/>
        <c:lblAlgn val="ctr"/>
        <c:lblOffset val="100"/>
        <c:noMultiLvlLbl val="0"/>
      </c:catAx>
      <c:valAx>
        <c:axId val="62816868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8173040"/>
        <c:crossBetween val="between"/>
      </c:valAx>
      <c:catAx>
        <c:axId val="6281730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8168688"/>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[MyChannel_V3.xlsm]Balancing!Balancing_Pivot</c:name>
    <c:fmtId val="28"/>
  </c:pivotSource>
  <c:chart>
    <c:title>
      <c:tx>
        <c:strRef>
          <c:f>Balancing!$K$100</c:f>
          <c:strCache>
            <c:ptCount val="1"/>
            <c:pt idx="0">
              <c:v>Balancing, 774678 - M-Alpari</c:v>
            </c:pt>
          </c:strCache>
        </c:strRef>
      </c:tx>
      <c:layout>
        <c:manualLayout>
          <c:xMode val="edge"/>
          <c:yMode val="edge"/>
          <c:x val="0.57224910603502877"/>
          <c:y val="4.1569235361737449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manualLayout>
          <c:layoutTarget val="inner"/>
          <c:xMode val="edge"/>
          <c:yMode val="edge"/>
          <c:x val="0.19210322159160509"/>
          <c:y val="4.9717769190628452E-2"/>
          <c:w val="0.64704898584495396"/>
          <c:h val="0.92078179637546165"/>
        </c:manualLayout>
      </c:layout>
      <c:radarChart>
        <c:radarStyle val="marker"/>
        <c:varyColors val="0"/>
        <c:ser>
          <c:idx val="0"/>
          <c:order val="0"/>
          <c:tx>
            <c:strRef>
              <c:f>Balancing!$K$100</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Balancing!$K$100</c:f>
              <c:strCache>
                <c:ptCount val="2"/>
                <c:pt idx="0">
                  <c:v>EURUSD</c:v>
                </c:pt>
                <c:pt idx="1">
                  <c:v>NZDUSD</c:v>
                </c:pt>
              </c:strCache>
            </c:strRef>
          </c:cat>
          <c:val>
            <c:numRef>
              <c:f>Balancing!$K$100</c:f>
              <c:numCache>
                <c:formatCode>0.0%</c:formatCode>
                <c:ptCount val="2"/>
                <c:pt idx="0">
                  <c:v>-0.2462499999999995</c:v>
                </c:pt>
                <c:pt idx="1">
                  <c:v>-0.21758969000348338</c:v>
                </c:pt>
              </c:numCache>
            </c:numRef>
          </c:val>
        </c:ser>
        <c:dLbls>
          <c:showLegendKey val="0"/>
          <c:showVal val="0"/>
          <c:showCatName val="0"/>
          <c:showSerName val="0"/>
          <c:showPercent val="0"/>
          <c:showBubbleSize val="0"/>
        </c:dLbls>
        <c:axId val="410706800"/>
        <c:axId val="410712784"/>
      </c:radarChart>
      <c:catAx>
        <c:axId val="410706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12784"/>
        <c:crosses val="autoZero"/>
        <c:auto val="1"/>
        <c:lblAlgn val="ctr"/>
        <c:lblOffset val="100"/>
        <c:noMultiLvlLbl val="0"/>
      </c:catAx>
      <c:valAx>
        <c:axId val="410712784"/>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06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[MyChannel_V3.xlsm]Closed_Profits!CloseDProfits_Pivot</c:name>
    <c:fmtId val="30"/>
  </c:pivotSource>
  <c:chart>
    <c:title>
      <c:tx>
        <c:strRef>
          <c:f>Closed_Profits!$K$100</c:f>
          <c:strCache>
            <c:ptCount val="1"/>
            <c:pt idx="0">
              <c:v>Closed Profits, 774678 - M-Alpari</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s>
    <c:plotArea>
      <c:layout/>
      <c:barChart>
        <c:barDir val="col"/>
        <c:grouping val="stacked"/>
        <c:varyColors val="0"/>
        <c:ser>
          <c:idx val="0"/>
          <c:order val="0"/>
          <c:tx>
            <c:strRef>
              <c:f>Closed_Profits!$K$100</c:f>
              <c:strCache>
                <c:ptCount val="1"/>
                <c:pt idx="0">
                  <c:v>AUDJPY</c:v>
                </c:pt>
              </c:strCache>
            </c:strRef>
          </c:tx>
          <c:spPr>
            <a:solidFill>
              <a:schemeClr val="accent1"/>
            </a:solidFill>
            <a:ln>
              <a:noFill/>
            </a:ln>
            <a:effectLst/>
          </c:spPr>
          <c:invertIfNegative val="0"/>
          <c:cat>
            <c:strRef>
              <c:f>Closed_Profits!$K$100</c:f>
              <c:strCache>
                <c:ptCount val="58"/>
                <c:pt idx="0">
                  <c:v>13.46</c:v>
                </c:pt>
                <c:pt idx="1">
                  <c:v>13.47</c:v>
                </c:pt>
                <c:pt idx="2">
                  <c:v>13.48</c:v>
                </c:pt>
                <c:pt idx="3">
                  <c:v>13.49</c:v>
                </c:pt>
                <c:pt idx="4">
                  <c:v>13.50</c:v>
                </c:pt>
                <c:pt idx="5">
                  <c:v>13.51</c:v>
                </c:pt>
                <c:pt idx="6">
                  <c:v>13.52</c:v>
                </c:pt>
                <c:pt idx="7">
                  <c:v>13.53</c:v>
                </c:pt>
                <c:pt idx="8">
                  <c:v>14.01</c:v>
                </c:pt>
                <c:pt idx="9">
                  <c:v>14.02</c:v>
                </c:pt>
                <c:pt idx="10">
                  <c:v>14.03</c:v>
                </c:pt>
                <c:pt idx="11">
                  <c:v>14.04</c:v>
                </c:pt>
                <c:pt idx="12">
                  <c:v>14.05</c:v>
                </c:pt>
                <c:pt idx="13">
                  <c:v>14.06</c:v>
                </c:pt>
                <c:pt idx="14">
                  <c:v>14.07</c:v>
                </c:pt>
                <c:pt idx="15">
                  <c:v>14.08</c:v>
                </c:pt>
                <c:pt idx="16">
                  <c:v>14.09</c:v>
                </c:pt>
                <c:pt idx="17">
                  <c:v>14.10</c:v>
                </c:pt>
                <c:pt idx="18">
                  <c:v>14.11</c:v>
                </c:pt>
                <c:pt idx="19">
                  <c:v>14.12</c:v>
                </c:pt>
                <c:pt idx="20">
                  <c:v>14.13</c:v>
                </c:pt>
                <c:pt idx="21">
                  <c:v>14.14</c:v>
                </c:pt>
                <c:pt idx="22">
                  <c:v>14.15</c:v>
                </c:pt>
                <c:pt idx="23">
                  <c:v>14.16</c:v>
                </c:pt>
                <c:pt idx="24">
                  <c:v>14.17</c:v>
                </c:pt>
                <c:pt idx="25">
                  <c:v>14.18</c:v>
                </c:pt>
                <c:pt idx="26">
                  <c:v>14.19</c:v>
                </c:pt>
                <c:pt idx="27">
                  <c:v>14.20</c:v>
                </c:pt>
                <c:pt idx="28">
                  <c:v>14.21</c:v>
                </c:pt>
                <c:pt idx="29">
                  <c:v>14.22</c:v>
                </c:pt>
                <c:pt idx="30">
                  <c:v>14.23</c:v>
                </c:pt>
                <c:pt idx="31">
                  <c:v>14.24</c:v>
                </c:pt>
                <c:pt idx="32">
                  <c:v>14.25</c:v>
                </c:pt>
                <c:pt idx="33">
                  <c:v>14.26</c:v>
                </c:pt>
                <c:pt idx="34">
                  <c:v>14.27</c:v>
                </c:pt>
                <c:pt idx="35">
                  <c:v>14.28</c:v>
                </c:pt>
                <c:pt idx="36">
                  <c:v>14.29</c:v>
                </c:pt>
                <c:pt idx="37">
                  <c:v>14.30</c:v>
                </c:pt>
                <c:pt idx="38">
                  <c:v>14.31</c:v>
                </c:pt>
                <c:pt idx="39">
                  <c:v>14.32</c:v>
                </c:pt>
                <c:pt idx="40">
                  <c:v>14.33</c:v>
                </c:pt>
                <c:pt idx="41">
                  <c:v>14.34</c:v>
                </c:pt>
                <c:pt idx="42">
                  <c:v>14.35</c:v>
                </c:pt>
                <c:pt idx="43">
                  <c:v>14.36</c:v>
                </c:pt>
                <c:pt idx="44">
                  <c:v>14.37</c:v>
                </c:pt>
                <c:pt idx="45">
                  <c:v>14.38</c:v>
                </c:pt>
                <c:pt idx="46">
                  <c:v>14.39</c:v>
                </c:pt>
                <c:pt idx="47">
                  <c:v>14.40</c:v>
                </c:pt>
                <c:pt idx="48">
                  <c:v>14.41</c:v>
                </c:pt>
                <c:pt idx="49">
                  <c:v>14.42</c:v>
                </c:pt>
                <c:pt idx="50">
                  <c:v>14.43</c:v>
                </c:pt>
                <c:pt idx="51">
                  <c:v>14.44</c:v>
                </c:pt>
                <c:pt idx="52">
                  <c:v>14.45</c:v>
                </c:pt>
                <c:pt idx="53">
                  <c:v>14.46</c:v>
                </c:pt>
                <c:pt idx="54">
                  <c:v>14.47</c:v>
                </c:pt>
                <c:pt idx="55">
                  <c:v>14.48</c:v>
                </c:pt>
                <c:pt idx="56">
                  <c:v>14.49</c:v>
                </c:pt>
                <c:pt idx="57">
                  <c:v>14.50</c:v>
                </c:pt>
              </c:strCache>
            </c:strRef>
          </c:cat>
          <c:val>
            <c:numRef>
              <c:f>Closed_Profits!$K$100</c:f>
              <c:numCache>
                <c:formatCode>#,##0.00</c:formatCode>
                <c:ptCount val="58"/>
                <c:pt idx="0">
                  <c:v>14.8</c:v>
                </c:pt>
                <c:pt idx="1">
                  <c:v>494.55</c:v>
                </c:pt>
                <c:pt idx="2">
                  <c:v>424.27</c:v>
                </c:pt>
                <c:pt idx="3">
                  <c:v>659.5</c:v>
                </c:pt>
                <c:pt idx="4">
                  <c:v>674.96</c:v>
                </c:pt>
                <c:pt idx="5">
                  <c:v>530.13</c:v>
                </c:pt>
                <c:pt idx="6">
                  <c:v>82.5</c:v>
                </c:pt>
                <c:pt idx="7">
                  <c:v>101.41</c:v>
                </c:pt>
                <c:pt idx="8">
                  <c:v>224.17</c:v>
                </c:pt>
                <c:pt idx="9">
                  <c:v>205.63</c:v>
                </c:pt>
                <c:pt idx="10">
                  <c:v>188.07</c:v>
                </c:pt>
                <c:pt idx="11">
                  <c:v>900.46</c:v>
                </c:pt>
                <c:pt idx="12">
                  <c:v>1300.1600000000001</c:v>
                </c:pt>
                <c:pt idx="13">
                  <c:v>1214.83</c:v>
                </c:pt>
                <c:pt idx="14">
                  <c:v>646.17999999999995</c:v>
                </c:pt>
                <c:pt idx="15">
                  <c:v>-3194.44</c:v>
                </c:pt>
                <c:pt idx="16">
                  <c:v>630.23</c:v>
                </c:pt>
                <c:pt idx="17">
                  <c:v>1502.97</c:v>
                </c:pt>
                <c:pt idx="18">
                  <c:v>1569.5</c:v>
                </c:pt>
                <c:pt idx="19">
                  <c:v>854.18</c:v>
                </c:pt>
                <c:pt idx="20">
                  <c:v>775.59</c:v>
                </c:pt>
                <c:pt idx="21">
                  <c:v>447.61</c:v>
                </c:pt>
                <c:pt idx="22">
                  <c:v>879.24</c:v>
                </c:pt>
                <c:pt idx="23">
                  <c:v>589.54999999999995</c:v>
                </c:pt>
                <c:pt idx="24">
                  <c:v>358.16</c:v>
                </c:pt>
                <c:pt idx="25">
                  <c:v>514.6</c:v>
                </c:pt>
                <c:pt idx="26">
                  <c:v>424.83</c:v>
                </c:pt>
                <c:pt idx="27">
                  <c:v>379.21</c:v>
                </c:pt>
                <c:pt idx="28">
                  <c:v>82.24</c:v>
                </c:pt>
                <c:pt idx="29">
                  <c:v>293.98</c:v>
                </c:pt>
                <c:pt idx="30">
                  <c:v>469.9</c:v>
                </c:pt>
                <c:pt idx="31">
                  <c:v>298.27999999999997</c:v>
                </c:pt>
                <c:pt idx="32">
                  <c:v>101.32</c:v>
                </c:pt>
                <c:pt idx="33">
                  <c:v>263.99</c:v>
                </c:pt>
                <c:pt idx="34">
                  <c:v>388.39</c:v>
                </c:pt>
                <c:pt idx="35">
                  <c:v>145.85</c:v>
                </c:pt>
                <c:pt idx="36">
                  <c:v>274.60000000000002</c:v>
                </c:pt>
                <c:pt idx="37">
                  <c:v>285.55</c:v>
                </c:pt>
                <c:pt idx="38">
                  <c:v>110.66</c:v>
                </c:pt>
                <c:pt idx="39">
                  <c:v>80.430000000000007</c:v>
                </c:pt>
                <c:pt idx="40">
                  <c:v>221.2</c:v>
                </c:pt>
                <c:pt idx="41">
                  <c:v>501.05</c:v>
                </c:pt>
                <c:pt idx="42">
                  <c:v>269.19</c:v>
                </c:pt>
                <c:pt idx="43">
                  <c:v>90.65</c:v>
                </c:pt>
                <c:pt idx="44">
                  <c:v>42.51</c:v>
                </c:pt>
                <c:pt idx="45">
                  <c:v>28.49</c:v>
                </c:pt>
                <c:pt idx="46">
                  <c:v>-50.07</c:v>
                </c:pt>
                <c:pt idx="47">
                  <c:v>-60.12</c:v>
                </c:pt>
                <c:pt idx="48">
                  <c:v>-15230.97</c:v>
                </c:pt>
                <c:pt idx="53">
                  <c:v>0</c:v>
                </c:pt>
                <c:pt idx="55">
                  <c:v>0</c:v>
                </c:pt>
                <c:pt idx="57">
                  <c:v>0</c:v>
                </c:pt>
              </c:numCache>
            </c:numRef>
          </c:val>
        </c:ser>
        <c:ser>
          <c:idx val="1"/>
          <c:order val="1"/>
          <c:tx>
            <c:strRef>
              <c:f>Closed_Profits!$K$100</c:f>
              <c:strCache>
                <c:ptCount val="1"/>
                <c:pt idx="0">
                  <c:v>EURUSD</c:v>
                </c:pt>
              </c:strCache>
            </c:strRef>
          </c:tx>
          <c:spPr>
            <a:solidFill>
              <a:schemeClr val="accent2"/>
            </a:solidFill>
            <a:ln>
              <a:noFill/>
            </a:ln>
            <a:effectLst/>
          </c:spPr>
          <c:invertIfNegative val="0"/>
          <c:cat>
            <c:strRef>
              <c:f>Closed_Profits!$K$100</c:f>
              <c:strCache>
                <c:ptCount val="58"/>
                <c:pt idx="0">
                  <c:v>13.46</c:v>
                </c:pt>
                <c:pt idx="1">
                  <c:v>13.47</c:v>
                </c:pt>
                <c:pt idx="2">
                  <c:v>13.48</c:v>
                </c:pt>
                <c:pt idx="3">
                  <c:v>13.49</c:v>
                </c:pt>
                <c:pt idx="4">
                  <c:v>13.50</c:v>
                </c:pt>
                <c:pt idx="5">
                  <c:v>13.51</c:v>
                </c:pt>
                <c:pt idx="6">
                  <c:v>13.52</c:v>
                </c:pt>
                <c:pt idx="7">
                  <c:v>13.53</c:v>
                </c:pt>
                <c:pt idx="8">
                  <c:v>14.01</c:v>
                </c:pt>
                <c:pt idx="9">
                  <c:v>14.02</c:v>
                </c:pt>
                <c:pt idx="10">
                  <c:v>14.03</c:v>
                </c:pt>
                <c:pt idx="11">
                  <c:v>14.04</c:v>
                </c:pt>
                <c:pt idx="12">
                  <c:v>14.05</c:v>
                </c:pt>
                <c:pt idx="13">
                  <c:v>14.06</c:v>
                </c:pt>
                <c:pt idx="14">
                  <c:v>14.07</c:v>
                </c:pt>
                <c:pt idx="15">
                  <c:v>14.08</c:v>
                </c:pt>
                <c:pt idx="16">
                  <c:v>14.09</c:v>
                </c:pt>
                <c:pt idx="17">
                  <c:v>14.10</c:v>
                </c:pt>
                <c:pt idx="18">
                  <c:v>14.11</c:v>
                </c:pt>
                <c:pt idx="19">
                  <c:v>14.12</c:v>
                </c:pt>
                <c:pt idx="20">
                  <c:v>14.13</c:v>
                </c:pt>
                <c:pt idx="21">
                  <c:v>14.14</c:v>
                </c:pt>
                <c:pt idx="22">
                  <c:v>14.15</c:v>
                </c:pt>
                <c:pt idx="23">
                  <c:v>14.16</c:v>
                </c:pt>
                <c:pt idx="24">
                  <c:v>14.17</c:v>
                </c:pt>
                <c:pt idx="25">
                  <c:v>14.18</c:v>
                </c:pt>
                <c:pt idx="26">
                  <c:v>14.19</c:v>
                </c:pt>
                <c:pt idx="27">
                  <c:v>14.20</c:v>
                </c:pt>
                <c:pt idx="28">
                  <c:v>14.21</c:v>
                </c:pt>
                <c:pt idx="29">
                  <c:v>14.22</c:v>
                </c:pt>
                <c:pt idx="30">
                  <c:v>14.23</c:v>
                </c:pt>
                <c:pt idx="31">
                  <c:v>14.24</c:v>
                </c:pt>
                <c:pt idx="32">
                  <c:v>14.25</c:v>
                </c:pt>
                <c:pt idx="33">
                  <c:v>14.26</c:v>
                </c:pt>
                <c:pt idx="34">
                  <c:v>14.27</c:v>
                </c:pt>
                <c:pt idx="35">
                  <c:v>14.28</c:v>
                </c:pt>
                <c:pt idx="36">
                  <c:v>14.29</c:v>
                </c:pt>
                <c:pt idx="37">
                  <c:v>14.30</c:v>
                </c:pt>
                <c:pt idx="38">
                  <c:v>14.31</c:v>
                </c:pt>
                <c:pt idx="39">
                  <c:v>14.32</c:v>
                </c:pt>
                <c:pt idx="40">
                  <c:v>14.33</c:v>
                </c:pt>
                <c:pt idx="41">
                  <c:v>14.34</c:v>
                </c:pt>
                <c:pt idx="42">
                  <c:v>14.35</c:v>
                </c:pt>
                <c:pt idx="43">
                  <c:v>14.36</c:v>
                </c:pt>
                <c:pt idx="44">
                  <c:v>14.37</c:v>
                </c:pt>
                <c:pt idx="45">
                  <c:v>14.38</c:v>
                </c:pt>
                <c:pt idx="46">
                  <c:v>14.39</c:v>
                </c:pt>
                <c:pt idx="47">
                  <c:v>14.40</c:v>
                </c:pt>
                <c:pt idx="48">
                  <c:v>14.41</c:v>
                </c:pt>
                <c:pt idx="49">
                  <c:v>14.42</c:v>
                </c:pt>
                <c:pt idx="50">
                  <c:v>14.43</c:v>
                </c:pt>
                <c:pt idx="51">
                  <c:v>14.44</c:v>
                </c:pt>
                <c:pt idx="52">
                  <c:v>14.45</c:v>
                </c:pt>
                <c:pt idx="53">
                  <c:v>14.46</c:v>
                </c:pt>
                <c:pt idx="54">
                  <c:v>14.47</c:v>
                </c:pt>
                <c:pt idx="55">
                  <c:v>14.48</c:v>
                </c:pt>
                <c:pt idx="56">
                  <c:v>14.49</c:v>
                </c:pt>
                <c:pt idx="57">
                  <c:v>14.50</c:v>
                </c:pt>
              </c:strCache>
            </c:strRef>
          </c:cat>
          <c:val>
            <c:numRef>
              <c:f>Closed_Profits!$K$100</c:f>
              <c:numCache>
                <c:formatCode>#,##0.00</c:formatCode>
                <c:ptCount val="58"/>
                <c:pt idx="0">
                  <c:v>22.02</c:v>
                </c:pt>
                <c:pt idx="1">
                  <c:v>243.1</c:v>
                </c:pt>
                <c:pt idx="2">
                  <c:v>131.94999999999999</c:v>
                </c:pt>
                <c:pt idx="3">
                  <c:v>371.68</c:v>
                </c:pt>
                <c:pt idx="4">
                  <c:v>151.46</c:v>
                </c:pt>
                <c:pt idx="5">
                  <c:v>348.48</c:v>
                </c:pt>
                <c:pt idx="6">
                  <c:v>259.77999999999997</c:v>
                </c:pt>
                <c:pt idx="7">
                  <c:v>65.38</c:v>
                </c:pt>
                <c:pt idx="8">
                  <c:v>172.54</c:v>
                </c:pt>
                <c:pt idx="9">
                  <c:v>240</c:v>
                </c:pt>
                <c:pt idx="10">
                  <c:v>173.97</c:v>
                </c:pt>
                <c:pt idx="11">
                  <c:v>285.19</c:v>
                </c:pt>
                <c:pt idx="12">
                  <c:v>328.12</c:v>
                </c:pt>
                <c:pt idx="13">
                  <c:v>308.57</c:v>
                </c:pt>
                <c:pt idx="14">
                  <c:v>240.42</c:v>
                </c:pt>
                <c:pt idx="15">
                  <c:v>-1713.17</c:v>
                </c:pt>
                <c:pt idx="16">
                  <c:v>426.28</c:v>
                </c:pt>
                <c:pt idx="17">
                  <c:v>778.72</c:v>
                </c:pt>
                <c:pt idx="18">
                  <c:v>387.12</c:v>
                </c:pt>
                <c:pt idx="19">
                  <c:v>516.55999999999995</c:v>
                </c:pt>
                <c:pt idx="20">
                  <c:v>563.17999999999995</c:v>
                </c:pt>
                <c:pt idx="21">
                  <c:v>431.56</c:v>
                </c:pt>
                <c:pt idx="22">
                  <c:v>259.32</c:v>
                </c:pt>
                <c:pt idx="23">
                  <c:v>264.13</c:v>
                </c:pt>
                <c:pt idx="24">
                  <c:v>172.44</c:v>
                </c:pt>
                <c:pt idx="25">
                  <c:v>478.02</c:v>
                </c:pt>
                <c:pt idx="26">
                  <c:v>507.3</c:v>
                </c:pt>
                <c:pt idx="27">
                  <c:v>291.18</c:v>
                </c:pt>
                <c:pt idx="28">
                  <c:v>185.94</c:v>
                </c:pt>
                <c:pt idx="29">
                  <c:v>121.7</c:v>
                </c:pt>
                <c:pt idx="30">
                  <c:v>702.62</c:v>
                </c:pt>
                <c:pt idx="31">
                  <c:v>220.72</c:v>
                </c:pt>
                <c:pt idx="32">
                  <c:v>482.37</c:v>
                </c:pt>
                <c:pt idx="33">
                  <c:v>175.87</c:v>
                </c:pt>
                <c:pt idx="34">
                  <c:v>154.12</c:v>
                </c:pt>
                <c:pt idx="35">
                  <c:v>228.4</c:v>
                </c:pt>
                <c:pt idx="36">
                  <c:v>134.28</c:v>
                </c:pt>
                <c:pt idx="37">
                  <c:v>224.84</c:v>
                </c:pt>
                <c:pt idx="38">
                  <c:v>271.27999999999997</c:v>
                </c:pt>
                <c:pt idx="39">
                  <c:v>358.71</c:v>
                </c:pt>
                <c:pt idx="40">
                  <c:v>403.95</c:v>
                </c:pt>
                <c:pt idx="41">
                  <c:v>319.77</c:v>
                </c:pt>
                <c:pt idx="42">
                  <c:v>350.48</c:v>
                </c:pt>
                <c:pt idx="43">
                  <c:v>95.12</c:v>
                </c:pt>
                <c:pt idx="48">
                  <c:v>47.1</c:v>
                </c:pt>
                <c:pt idx="49">
                  <c:v>517.51</c:v>
                </c:pt>
                <c:pt idx="50">
                  <c:v>140.81</c:v>
                </c:pt>
                <c:pt idx="51">
                  <c:v>0</c:v>
                </c:pt>
                <c:pt idx="52">
                  <c:v>-41956.26</c:v>
                </c:pt>
                <c:pt idx="53">
                  <c:v>0</c:v>
                </c:pt>
                <c:pt idx="54">
                  <c:v>0</c:v>
                </c:pt>
                <c:pt idx="56">
                  <c:v>-5247.01</c:v>
                </c:pt>
                <c:pt idx="57">
                  <c:v>-10605.84</c:v>
                </c:pt>
              </c:numCache>
            </c:numRef>
          </c:val>
        </c:ser>
        <c:ser>
          <c:idx val="2"/>
          <c:order val="2"/>
          <c:tx>
            <c:strRef>
              <c:f>Closed_Profits!$K$100</c:f>
              <c:strCache>
                <c:ptCount val="1"/>
                <c:pt idx="0">
                  <c:v>NZDUSD</c:v>
                </c:pt>
              </c:strCache>
            </c:strRef>
          </c:tx>
          <c:spPr>
            <a:solidFill>
              <a:schemeClr val="accent3"/>
            </a:solidFill>
            <a:ln>
              <a:noFill/>
            </a:ln>
            <a:effectLst/>
          </c:spPr>
          <c:invertIfNegative val="0"/>
          <c:cat>
            <c:strRef>
              <c:f>Closed_Profits!$K$100</c:f>
              <c:strCache>
                <c:ptCount val="58"/>
                <c:pt idx="0">
                  <c:v>13.46</c:v>
                </c:pt>
                <c:pt idx="1">
                  <c:v>13.47</c:v>
                </c:pt>
                <c:pt idx="2">
                  <c:v>13.48</c:v>
                </c:pt>
                <c:pt idx="3">
                  <c:v>13.49</c:v>
                </c:pt>
                <c:pt idx="4">
                  <c:v>13.50</c:v>
                </c:pt>
                <c:pt idx="5">
                  <c:v>13.51</c:v>
                </c:pt>
                <c:pt idx="6">
                  <c:v>13.52</c:v>
                </c:pt>
                <c:pt idx="7">
                  <c:v>13.53</c:v>
                </c:pt>
                <c:pt idx="8">
                  <c:v>14.01</c:v>
                </c:pt>
                <c:pt idx="9">
                  <c:v>14.02</c:v>
                </c:pt>
                <c:pt idx="10">
                  <c:v>14.03</c:v>
                </c:pt>
                <c:pt idx="11">
                  <c:v>14.04</c:v>
                </c:pt>
                <c:pt idx="12">
                  <c:v>14.05</c:v>
                </c:pt>
                <c:pt idx="13">
                  <c:v>14.06</c:v>
                </c:pt>
                <c:pt idx="14">
                  <c:v>14.07</c:v>
                </c:pt>
                <c:pt idx="15">
                  <c:v>14.08</c:v>
                </c:pt>
                <c:pt idx="16">
                  <c:v>14.09</c:v>
                </c:pt>
                <c:pt idx="17">
                  <c:v>14.10</c:v>
                </c:pt>
                <c:pt idx="18">
                  <c:v>14.11</c:v>
                </c:pt>
                <c:pt idx="19">
                  <c:v>14.12</c:v>
                </c:pt>
                <c:pt idx="20">
                  <c:v>14.13</c:v>
                </c:pt>
                <c:pt idx="21">
                  <c:v>14.14</c:v>
                </c:pt>
                <c:pt idx="22">
                  <c:v>14.15</c:v>
                </c:pt>
                <c:pt idx="23">
                  <c:v>14.16</c:v>
                </c:pt>
                <c:pt idx="24">
                  <c:v>14.17</c:v>
                </c:pt>
                <c:pt idx="25">
                  <c:v>14.18</c:v>
                </c:pt>
                <c:pt idx="26">
                  <c:v>14.19</c:v>
                </c:pt>
                <c:pt idx="27">
                  <c:v>14.20</c:v>
                </c:pt>
                <c:pt idx="28">
                  <c:v>14.21</c:v>
                </c:pt>
                <c:pt idx="29">
                  <c:v>14.22</c:v>
                </c:pt>
                <c:pt idx="30">
                  <c:v>14.23</c:v>
                </c:pt>
                <c:pt idx="31">
                  <c:v>14.24</c:v>
                </c:pt>
                <c:pt idx="32">
                  <c:v>14.25</c:v>
                </c:pt>
                <c:pt idx="33">
                  <c:v>14.26</c:v>
                </c:pt>
                <c:pt idx="34">
                  <c:v>14.27</c:v>
                </c:pt>
                <c:pt idx="35">
                  <c:v>14.28</c:v>
                </c:pt>
                <c:pt idx="36">
                  <c:v>14.29</c:v>
                </c:pt>
                <c:pt idx="37">
                  <c:v>14.30</c:v>
                </c:pt>
                <c:pt idx="38">
                  <c:v>14.31</c:v>
                </c:pt>
                <c:pt idx="39">
                  <c:v>14.32</c:v>
                </c:pt>
                <c:pt idx="40">
                  <c:v>14.33</c:v>
                </c:pt>
                <c:pt idx="41">
                  <c:v>14.34</c:v>
                </c:pt>
                <c:pt idx="42">
                  <c:v>14.35</c:v>
                </c:pt>
                <c:pt idx="43">
                  <c:v>14.36</c:v>
                </c:pt>
                <c:pt idx="44">
                  <c:v>14.37</c:v>
                </c:pt>
                <c:pt idx="45">
                  <c:v>14.38</c:v>
                </c:pt>
                <c:pt idx="46">
                  <c:v>14.39</c:v>
                </c:pt>
                <c:pt idx="47">
                  <c:v>14.40</c:v>
                </c:pt>
                <c:pt idx="48">
                  <c:v>14.41</c:v>
                </c:pt>
                <c:pt idx="49">
                  <c:v>14.42</c:v>
                </c:pt>
                <c:pt idx="50">
                  <c:v>14.43</c:v>
                </c:pt>
                <c:pt idx="51">
                  <c:v>14.44</c:v>
                </c:pt>
                <c:pt idx="52">
                  <c:v>14.45</c:v>
                </c:pt>
                <c:pt idx="53">
                  <c:v>14.46</c:v>
                </c:pt>
                <c:pt idx="54">
                  <c:v>14.47</c:v>
                </c:pt>
                <c:pt idx="55">
                  <c:v>14.48</c:v>
                </c:pt>
                <c:pt idx="56">
                  <c:v>14.49</c:v>
                </c:pt>
                <c:pt idx="57">
                  <c:v>14.50</c:v>
                </c:pt>
              </c:strCache>
            </c:strRef>
          </c:cat>
          <c:val>
            <c:numRef>
              <c:f>Closed_Profits!$K$100</c:f>
              <c:numCache>
                <c:formatCode>#,##0.00</c:formatCode>
                <c:ptCount val="58"/>
                <c:pt idx="0">
                  <c:v>29.68</c:v>
                </c:pt>
                <c:pt idx="1">
                  <c:v>502.44</c:v>
                </c:pt>
                <c:pt idx="2">
                  <c:v>361.97</c:v>
                </c:pt>
                <c:pt idx="3">
                  <c:v>526.37</c:v>
                </c:pt>
                <c:pt idx="4">
                  <c:v>426.15</c:v>
                </c:pt>
                <c:pt idx="5">
                  <c:v>471.47</c:v>
                </c:pt>
                <c:pt idx="6">
                  <c:v>68.94</c:v>
                </c:pt>
                <c:pt idx="7">
                  <c:v>80.7</c:v>
                </c:pt>
                <c:pt idx="8">
                  <c:v>214.96</c:v>
                </c:pt>
                <c:pt idx="9">
                  <c:v>234.29</c:v>
                </c:pt>
                <c:pt idx="10">
                  <c:v>426.8</c:v>
                </c:pt>
                <c:pt idx="11">
                  <c:v>417.17</c:v>
                </c:pt>
                <c:pt idx="12">
                  <c:v>409.49</c:v>
                </c:pt>
                <c:pt idx="13">
                  <c:v>501.75</c:v>
                </c:pt>
                <c:pt idx="14">
                  <c:v>281.13</c:v>
                </c:pt>
                <c:pt idx="15">
                  <c:v>-1485.97</c:v>
                </c:pt>
                <c:pt idx="16">
                  <c:v>269.69</c:v>
                </c:pt>
                <c:pt idx="17">
                  <c:v>500.8</c:v>
                </c:pt>
                <c:pt idx="18">
                  <c:v>651.11</c:v>
                </c:pt>
                <c:pt idx="19">
                  <c:v>535.54999999999995</c:v>
                </c:pt>
                <c:pt idx="20">
                  <c:v>403.17</c:v>
                </c:pt>
                <c:pt idx="21">
                  <c:v>455.37</c:v>
                </c:pt>
                <c:pt idx="22">
                  <c:v>726.88</c:v>
                </c:pt>
                <c:pt idx="23">
                  <c:v>338.61</c:v>
                </c:pt>
                <c:pt idx="24">
                  <c:v>329.79</c:v>
                </c:pt>
                <c:pt idx="25">
                  <c:v>346.46</c:v>
                </c:pt>
                <c:pt idx="26">
                  <c:v>497.57</c:v>
                </c:pt>
                <c:pt idx="27">
                  <c:v>261.22000000000003</c:v>
                </c:pt>
                <c:pt idx="28">
                  <c:v>123.78</c:v>
                </c:pt>
                <c:pt idx="29">
                  <c:v>83.74</c:v>
                </c:pt>
                <c:pt idx="30">
                  <c:v>142.34</c:v>
                </c:pt>
                <c:pt idx="31">
                  <c:v>581</c:v>
                </c:pt>
                <c:pt idx="32">
                  <c:v>323.95</c:v>
                </c:pt>
                <c:pt idx="33">
                  <c:v>343.47</c:v>
                </c:pt>
                <c:pt idx="34">
                  <c:v>283.37</c:v>
                </c:pt>
                <c:pt idx="35">
                  <c:v>211.13</c:v>
                </c:pt>
                <c:pt idx="36">
                  <c:v>168.19</c:v>
                </c:pt>
                <c:pt idx="37">
                  <c:v>41.36</c:v>
                </c:pt>
                <c:pt idx="38">
                  <c:v>144.06</c:v>
                </c:pt>
                <c:pt idx="39">
                  <c:v>91.3</c:v>
                </c:pt>
                <c:pt idx="40">
                  <c:v>237.03</c:v>
                </c:pt>
                <c:pt idx="41">
                  <c:v>-295.63</c:v>
                </c:pt>
                <c:pt idx="42">
                  <c:v>-329.76</c:v>
                </c:pt>
                <c:pt idx="43">
                  <c:v>2.88</c:v>
                </c:pt>
                <c:pt idx="44">
                  <c:v>-112.4</c:v>
                </c:pt>
                <c:pt idx="48">
                  <c:v>63.04</c:v>
                </c:pt>
                <c:pt idx="49">
                  <c:v>439.43</c:v>
                </c:pt>
                <c:pt idx="50">
                  <c:v>253.86</c:v>
                </c:pt>
                <c:pt idx="51">
                  <c:v>0</c:v>
                </c:pt>
                <c:pt idx="52">
                  <c:v>-11247.33</c:v>
                </c:pt>
                <c:pt idx="53">
                  <c:v>0</c:v>
                </c:pt>
                <c:pt idx="56">
                  <c:v>0</c:v>
                </c:pt>
                <c:pt idx="57">
                  <c:v>-12260.92</c:v>
                </c:pt>
              </c:numCache>
            </c:numRef>
          </c:val>
        </c:ser>
        <c:dLbls>
          <c:showLegendKey val="0"/>
          <c:showVal val="0"/>
          <c:showCatName val="0"/>
          <c:showSerName val="0"/>
          <c:showPercent val="0"/>
          <c:showBubbleSize val="0"/>
        </c:dLbls>
        <c:gapWidth val="219"/>
        <c:overlap val="100"/>
        <c:axId val="412887152"/>
        <c:axId val="412894224"/>
      </c:barChart>
      <c:catAx>
        <c:axId val="412887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894224"/>
        <c:crosses val="autoZero"/>
        <c:auto val="1"/>
        <c:lblAlgn val="ctr"/>
        <c:lblOffset val="100"/>
        <c:noMultiLvlLbl val="0"/>
      </c:catAx>
      <c:valAx>
        <c:axId val="4128942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88715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[MyChannel_V3.xlsm]Open_Trades!OpenTrades_Pivot</c:name>
    <c:fmtId val="20"/>
  </c:pivotSource>
  <c:chart>
    <c:title>
      <c:tx>
        <c:strRef>
          <c:f>Open_Trades!$K$100</c:f>
          <c:strCache>
            <c:ptCount val="1"/>
            <c:pt idx="0">
              <c:v>Open Trades, 774678 - M-Alpari</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s>
    <c:plotArea>
      <c:layout/>
      <c:barChart>
        <c:barDir val="col"/>
        <c:grouping val="stacked"/>
        <c:varyColors val="0"/>
        <c:ser>
          <c:idx val="0"/>
          <c:order val="0"/>
          <c:tx>
            <c:strRef>
              <c:f>Open_Trades!$K$100</c:f>
              <c:strCache>
                <c:ptCount val="1"/>
                <c:pt idx="0">
                  <c:v>AUDJPY</c:v>
                </c:pt>
              </c:strCache>
            </c:strRef>
          </c:tx>
          <c:spPr>
            <a:solidFill>
              <a:schemeClr val="accent1"/>
            </a:solidFill>
            <a:ln>
              <a:noFill/>
            </a:ln>
            <a:effectLst/>
          </c:spPr>
          <c:invertIfNegative val="0"/>
          <c:cat>
            <c:strRef>
              <c:f>Open_Trades!$K$100</c:f>
              <c:strCache>
                <c:ptCount val="56"/>
                <c:pt idx="0">
                  <c:v>13.46</c:v>
                </c:pt>
                <c:pt idx="1">
                  <c:v>13.47</c:v>
                </c:pt>
                <c:pt idx="2">
                  <c:v>13.48</c:v>
                </c:pt>
                <c:pt idx="3">
                  <c:v>13.49</c:v>
                </c:pt>
                <c:pt idx="4">
                  <c:v>13.50</c:v>
                </c:pt>
                <c:pt idx="5">
                  <c:v>13.51</c:v>
                </c:pt>
                <c:pt idx="6">
                  <c:v>14.01</c:v>
                </c:pt>
                <c:pt idx="7">
                  <c:v>14.03</c:v>
                </c:pt>
                <c:pt idx="8">
                  <c:v>14.04</c:v>
                </c:pt>
                <c:pt idx="9">
                  <c:v>14.05</c:v>
                </c:pt>
                <c:pt idx="10">
                  <c:v>14.06</c:v>
                </c:pt>
                <c:pt idx="11">
                  <c:v>14.07</c:v>
                </c:pt>
                <c:pt idx="12">
                  <c:v>14.08</c:v>
                </c:pt>
                <c:pt idx="13">
                  <c:v>14.09</c:v>
                </c:pt>
                <c:pt idx="14">
                  <c:v>14.10</c:v>
                </c:pt>
                <c:pt idx="15">
                  <c:v>14.11</c:v>
                </c:pt>
                <c:pt idx="16">
                  <c:v>14.12</c:v>
                </c:pt>
                <c:pt idx="17">
                  <c:v>14.13</c:v>
                </c:pt>
                <c:pt idx="18">
                  <c:v>14.14</c:v>
                </c:pt>
                <c:pt idx="19">
                  <c:v>14.15</c:v>
                </c:pt>
                <c:pt idx="20">
                  <c:v>14.16</c:v>
                </c:pt>
                <c:pt idx="21">
                  <c:v>14.17</c:v>
                </c:pt>
                <c:pt idx="22">
                  <c:v>14.18</c:v>
                </c:pt>
                <c:pt idx="23">
                  <c:v>14.19</c:v>
                </c:pt>
                <c:pt idx="24">
                  <c:v>14.20</c:v>
                </c:pt>
                <c:pt idx="25">
                  <c:v>14.21</c:v>
                </c:pt>
                <c:pt idx="26">
                  <c:v>14.22</c:v>
                </c:pt>
                <c:pt idx="27">
                  <c:v>14.23</c:v>
                </c:pt>
                <c:pt idx="28">
                  <c:v>14.24</c:v>
                </c:pt>
                <c:pt idx="29">
                  <c:v>14.25</c:v>
                </c:pt>
                <c:pt idx="30">
                  <c:v>14.26</c:v>
                </c:pt>
                <c:pt idx="31">
                  <c:v>14.27</c:v>
                </c:pt>
                <c:pt idx="32">
                  <c:v>14.28</c:v>
                </c:pt>
                <c:pt idx="33">
                  <c:v>14.29</c:v>
                </c:pt>
                <c:pt idx="34">
                  <c:v>14.30</c:v>
                </c:pt>
                <c:pt idx="35">
                  <c:v>14.31</c:v>
                </c:pt>
                <c:pt idx="36">
                  <c:v>14.32</c:v>
                </c:pt>
                <c:pt idx="37">
                  <c:v>14.33</c:v>
                </c:pt>
                <c:pt idx="38">
                  <c:v>14.34</c:v>
                </c:pt>
                <c:pt idx="39">
                  <c:v>14.35</c:v>
                </c:pt>
                <c:pt idx="40">
                  <c:v>14.36</c:v>
                </c:pt>
                <c:pt idx="41">
                  <c:v>14.37</c:v>
                </c:pt>
                <c:pt idx="42">
                  <c:v>14.38</c:v>
                </c:pt>
                <c:pt idx="43">
                  <c:v>14.39</c:v>
                </c:pt>
                <c:pt idx="44">
                  <c:v>14.40</c:v>
                </c:pt>
                <c:pt idx="45">
                  <c:v>14.41</c:v>
                </c:pt>
                <c:pt idx="46">
                  <c:v>14.42</c:v>
                </c:pt>
                <c:pt idx="47">
                  <c:v>14.43</c:v>
                </c:pt>
                <c:pt idx="48">
                  <c:v>14.44</c:v>
                </c:pt>
                <c:pt idx="49">
                  <c:v>14.45</c:v>
                </c:pt>
                <c:pt idx="50">
                  <c:v>14.46</c:v>
                </c:pt>
                <c:pt idx="51">
                  <c:v>14.47</c:v>
                </c:pt>
                <c:pt idx="52">
                  <c:v>14.48</c:v>
                </c:pt>
                <c:pt idx="53">
                  <c:v>14.49</c:v>
                </c:pt>
                <c:pt idx="54">
                  <c:v>14.50</c:v>
                </c:pt>
                <c:pt idx="55">
                  <c:v>14.51</c:v>
                </c:pt>
              </c:strCache>
            </c:strRef>
          </c:cat>
          <c:val>
            <c:numRef>
              <c:f>Open_Trades!$K$100</c:f>
              <c:numCache>
                <c:formatCode>#,##0.00</c:formatCode>
                <c:ptCount val="56"/>
                <c:pt idx="0">
                  <c:v>-48.39</c:v>
                </c:pt>
                <c:pt idx="1">
                  <c:v>-574.79999999999995</c:v>
                </c:pt>
                <c:pt idx="2">
                  <c:v>-501.98</c:v>
                </c:pt>
                <c:pt idx="3">
                  <c:v>-886.57</c:v>
                </c:pt>
                <c:pt idx="4">
                  <c:v>-1010.78</c:v>
                </c:pt>
                <c:pt idx="5">
                  <c:v>-1203.3900000000001</c:v>
                </c:pt>
                <c:pt idx="6">
                  <c:v>-1521.78</c:v>
                </c:pt>
                <c:pt idx="7">
                  <c:v>-1630.34</c:v>
                </c:pt>
                <c:pt idx="8">
                  <c:v>-5894.44</c:v>
                </c:pt>
                <c:pt idx="9">
                  <c:v>-5147.97</c:v>
                </c:pt>
                <c:pt idx="10">
                  <c:v>-3504.87</c:v>
                </c:pt>
                <c:pt idx="11">
                  <c:v>-3690.06</c:v>
                </c:pt>
                <c:pt idx="12">
                  <c:v>-8.5399999999999991</c:v>
                </c:pt>
                <c:pt idx="13">
                  <c:v>-978.85</c:v>
                </c:pt>
                <c:pt idx="14">
                  <c:v>-4921.9799999999996</c:v>
                </c:pt>
                <c:pt idx="15">
                  <c:v>-4073.75</c:v>
                </c:pt>
                <c:pt idx="16">
                  <c:v>-3986.46</c:v>
                </c:pt>
                <c:pt idx="17">
                  <c:v>-9416.56</c:v>
                </c:pt>
                <c:pt idx="18">
                  <c:v>-13199.4</c:v>
                </c:pt>
                <c:pt idx="19">
                  <c:v>-12348.41</c:v>
                </c:pt>
                <c:pt idx="20">
                  <c:v>-12817.94</c:v>
                </c:pt>
                <c:pt idx="21">
                  <c:v>-10433.799999999999</c:v>
                </c:pt>
                <c:pt idx="22">
                  <c:v>-10397.290000000001</c:v>
                </c:pt>
                <c:pt idx="23">
                  <c:v>-12167.1</c:v>
                </c:pt>
                <c:pt idx="24">
                  <c:v>-12068.53</c:v>
                </c:pt>
                <c:pt idx="25">
                  <c:v>-9193.49</c:v>
                </c:pt>
                <c:pt idx="26">
                  <c:v>-10794.16</c:v>
                </c:pt>
                <c:pt idx="27">
                  <c:v>-13315.47</c:v>
                </c:pt>
                <c:pt idx="28">
                  <c:v>-14746.6</c:v>
                </c:pt>
                <c:pt idx="29">
                  <c:v>-15103.09</c:v>
                </c:pt>
                <c:pt idx="30">
                  <c:v>-14488.28</c:v>
                </c:pt>
                <c:pt idx="31">
                  <c:v>-14506.67</c:v>
                </c:pt>
                <c:pt idx="32">
                  <c:v>-13318.67</c:v>
                </c:pt>
                <c:pt idx="33">
                  <c:v>-13521.58</c:v>
                </c:pt>
                <c:pt idx="34">
                  <c:v>-15150.91</c:v>
                </c:pt>
                <c:pt idx="35">
                  <c:v>-14920.21</c:v>
                </c:pt>
                <c:pt idx="36">
                  <c:v>-12229.8</c:v>
                </c:pt>
                <c:pt idx="37">
                  <c:v>-14389.7</c:v>
                </c:pt>
                <c:pt idx="38">
                  <c:v>-20930.82</c:v>
                </c:pt>
                <c:pt idx="39">
                  <c:v>-23707.3</c:v>
                </c:pt>
                <c:pt idx="40">
                  <c:v>-31581.919999999998</c:v>
                </c:pt>
                <c:pt idx="41">
                  <c:v>-22665.35</c:v>
                </c:pt>
                <c:pt idx="42">
                  <c:v>-24334.25</c:v>
                </c:pt>
                <c:pt idx="43">
                  <c:v>-17648.349999999999</c:v>
                </c:pt>
                <c:pt idx="44">
                  <c:v>-15194.74</c:v>
                </c:pt>
              </c:numCache>
            </c:numRef>
          </c:val>
        </c:ser>
        <c:ser>
          <c:idx val="1"/>
          <c:order val="1"/>
          <c:tx>
            <c:strRef>
              <c:f>Open_Trades!$K$100</c:f>
              <c:strCache>
                <c:ptCount val="1"/>
                <c:pt idx="0">
                  <c:v>EURUSD</c:v>
                </c:pt>
              </c:strCache>
            </c:strRef>
          </c:tx>
          <c:spPr>
            <a:solidFill>
              <a:schemeClr val="accent2"/>
            </a:solidFill>
            <a:ln>
              <a:noFill/>
            </a:ln>
            <a:effectLst/>
          </c:spPr>
          <c:invertIfNegative val="0"/>
          <c:cat>
            <c:strRef>
              <c:f>Open_Trades!$K$100</c:f>
              <c:strCache>
                <c:ptCount val="56"/>
                <c:pt idx="0">
                  <c:v>13.46</c:v>
                </c:pt>
                <c:pt idx="1">
                  <c:v>13.47</c:v>
                </c:pt>
                <c:pt idx="2">
                  <c:v>13.48</c:v>
                </c:pt>
                <c:pt idx="3">
                  <c:v>13.49</c:v>
                </c:pt>
                <c:pt idx="4">
                  <c:v>13.50</c:v>
                </c:pt>
                <c:pt idx="5">
                  <c:v>13.51</c:v>
                </c:pt>
                <c:pt idx="6">
                  <c:v>14.01</c:v>
                </c:pt>
                <c:pt idx="7">
                  <c:v>14.03</c:v>
                </c:pt>
                <c:pt idx="8">
                  <c:v>14.04</c:v>
                </c:pt>
                <c:pt idx="9">
                  <c:v>14.05</c:v>
                </c:pt>
                <c:pt idx="10">
                  <c:v>14.06</c:v>
                </c:pt>
                <c:pt idx="11">
                  <c:v>14.07</c:v>
                </c:pt>
                <c:pt idx="12">
                  <c:v>14.08</c:v>
                </c:pt>
                <c:pt idx="13">
                  <c:v>14.09</c:v>
                </c:pt>
                <c:pt idx="14">
                  <c:v>14.10</c:v>
                </c:pt>
                <c:pt idx="15">
                  <c:v>14.11</c:v>
                </c:pt>
                <c:pt idx="16">
                  <c:v>14.12</c:v>
                </c:pt>
                <c:pt idx="17">
                  <c:v>14.13</c:v>
                </c:pt>
                <c:pt idx="18">
                  <c:v>14.14</c:v>
                </c:pt>
                <c:pt idx="19">
                  <c:v>14.15</c:v>
                </c:pt>
                <c:pt idx="20">
                  <c:v>14.16</c:v>
                </c:pt>
                <c:pt idx="21">
                  <c:v>14.17</c:v>
                </c:pt>
                <c:pt idx="22">
                  <c:v>14.18</c:v>
                </c:pt>
                <c:pt idx="23">
                  <c:v>14.19</c:v>
                </c:pt>
                <c:pt idx="24">
                  <c:v>14.20</c:v>
                </c:pt>
                <c:pt idx="25">
                  <c:v>14.21</c:v>
                </c:pt>
                <c:pt idx="26">
                  <c:v>14.22</c:v>
                </c:pt>
                <c:pt idx="27">
                  <c:v>14.23</c:v>
                </c:pt>
                <c:pt idx="28">
                  <c:v>14.24</c:v>
                </c:pt>
                <c:pt idx="29">
                  <c:v>14.25</c:v>
                </c:pt>
                <c:pt idx="30">
                  <c:v>14.26</c:v>
                </c:pt>
                <c:pt idx="31">
                  <c:v>14.27</c:v>
                </c:pt>
                <c:pt idx="32">
                  <c:v>14.28</c:v>
                </c:pt>
                <c:pt idx="33">
                  <c:v>14.29</c:v>
                </c:pt>
                <c:pt idx="34">
                  <c:v>14.30</c:v>
                </c:pt>
                <c:pt idx="35">
                  <c:v>14.31</c:v>
                </c:pt>
                <c:pt idx="36">
                  <c:v>14.32</c:v>
                </c:pt>
                <c:pt idx="37">
                  <c:v>14.33</c:v>
                </c:pt>
                <c:pt idx="38">
                  <c:v>14.34</c:v>
                </c:pt>
                <c:pt idx="39">
                  <c:v>14.35</c:v>
                </c:pt>
                <c:pt idx="40">
                  <c:v>14.36</c:v>
                </c:pt>
                <c:pt idx="41">
                  <c:v>14.37</c:v>
                </c:pt>
                <c:pt idx="42">
                  <c:v>14.38</c:v>
                </c:pt>
                <c:pt idx="43">
                  <c:v>14.39</c:v>
                </c:pt>
                <c:pt idx="44">
                  <c:v>14.40</c:v>
                </c:pt>
                <c:pt idx="45">
                  <c:v>14.41</c:v>
                </c:pt>
                <c:pt idx="46">
                  <c:v>14.42</c:v>
                </c:pt>
                <c:pt idx="47">
                  <c:v>14.43</c:v>
                </c:pt>
                <c:pt idx="48">
                  <c:v>14.44</c:v>
                </c:pt>
                <c:pt idx="49">
                  <c:v>14.45</c:v>
                </c:pt>
                <c:pt idx="50">
                  <c:v>14.46</c:v>
                </c:pt>
                <c:pt idx="51">
                  <c:v>14.47</c:v>
                </c:pt>
                <c:pt idx="52">
                  <c:v>14.48</c:v>
                </c:pt>
                <c:pt idx="53">
                  <c:v>14.49</c:v>
                </c:pt>
                <c:pt idx="54">
                  <c:v>14.50</c:v>
                </c:pt>
                <c:pt idx="55">
                  <c:v>14.51</c:v>
                </c:pt>
              </c:strCache>
            </c:strRef>
          </c:cat>
          <c:val>
            <c:numRef>
              <c:f>Open_Trades!$K$100</c:f>
              <c:numCache>
                <c:formatCode>#,##0.00</c:formatCode>
                <c:ptCount val="56"/>
                <c:pt idx="0">
                  <c:v>-29.84</c:v>
                </c:pt>
                <c:pt idx="1">
                  <c:v>-381.2</c:v>
                </c:pt>
                <c:pt idx="2">
                  <c:v>-530.51</c:v>
                </c:pt>
                <c:pt idx="3">
                  <c:v>-1269.5999999999999</c:v>
                </c:pt>
                <c:pt idx="4">
                  <c:v>-1629.85</c:v>
                </c:pt>
                <c:pt idx="5">
                  <c:v>-1384.14</c:v>
                </c:pt>
                <c:pt idx="6">
                  <c:v>-1680.87</c:v>
                </c:pt>
                <c:pt idx="7">
                  <c:v>-1860.14</c:v>
                </c:pt>
                <c:pt idx="8">
                  <c:v>-1656.86</c:v>
                </c:pt>
                <c:pt idx="9">
                  <c:v>-2225.6799999999998</c:v>
                </c:pt>
                <c:pt idx="10">
                  <c:v>-1611.53</c:v>
                </c:pt>
                <c:pt idx="11">
                  <c:v>-1681.06</c:v>
                </c:pt>
                <c:pt idx="13">
                  <c:v>-644.79</c:v>
                </c:pt>
                <c:pt idx="14">
                  <c:v>-1399</c:v>
                </c:pt>
                <c:pt idx="15">
                  <c:v>-1838.71</c:v>
                </c:pt>
                <c:pt idx="16">
                  <c:v>-1204.43</c:v>
                </c:pt>
                <c:pt idx="17">
                  <c:v>-1301.29</c:v>
                </c:pt>
                <c:pt idx="18">
                  <c:v>-1667.11</c:v>
                </c:pt>
                <c:pt idx="19">
                  <c:v>-1572.86</c:v>
                </c:pt>
                <c:pt idx="20">
                  <c:v>-1414.53</c:v>
                </c:pt>
                <c:pt idx="21">
                  <c:v>-1298.6199999999999</c:v>
                </c:pt>
                <c:pt idx="22">
                  <c:v>-1470.03</c:v>
                </c:pt>
                <c:pt idx="23">
                  <c:v>-1624.04</c:v>
                </c:pt>
                <c:pt idx="24">
                  <c:v>-2137.12</c:v>
                </c:pt>
                <c:pt idx="25">
                  <c:v>-3148.7</c:v>
                </c:pt>
                <c:pt idx="26">
                  <c:v>-3074.98</c:v>
                </c:pt>
                <c:pt idx="27">
                  <c:v>-3373.46</c:v>
                </c:pt>
                <c:pt idx="28">
                  <c:v>-5094.22</c:v>
                </c:pt>
                <c:pt idx="29">
                  <c:v>-3870.42</c:v>
                </c:pt>
                <c:pt idx="30">
                  <c:v>-3277.77</c:v>
                </c:pt>
                <c:pt idx="31">
                  <c:v>-3887.11</c:v>
                </c:pt>
                <c:pt idx="32">
                  <c:v>-3929.5</c:v>
                </c:pt>
                <c:pt idx="33">
                  <c:v>-5391.28</c:v>
                </c:pt>
                <c:pt idx="34">
                  <c:v>-7770.9</c:v>
                </c:pt>
                <c:pt idx="35">
                  <c:v>-7985.41</c:v>
                </c:pt>
                <c:pt idx="36">
                  <c:v>-8518.23</c:v>
                </c:pt>
                <c:pt idx="37">
                  <c:v>-8522.7900000000009</c:v>
                </c:pt>
                <c:pt idx="38">
                  <c:v>-14278.05</c:v>
                </c:pt>
                <c:pt idx="39">
                  <c:v>-18779.68</c:v>
                </c:pt>
                <c:pt idx="40">
                  <c:v>-27482.51</c:v>
                </c:pt>
                <c:pt idx="41">
                  <c:v>-26901.3</c:v>
                </c:pt>
                <c:pt idx="42">
                  <c:v>-33537.86</c:v>
                </c:pt>
                <c:pt idx="43">
                  <c:v>-40835.199999999997</c:v>
                </c:pt>
                <c:pt idx="44">
                  <c:v>-49437.86</c:v>
                </c:pt>
                <c:pt idx="45">
                  <c:v>-43686.75</c:v>
                </c:pt>
                <c:pt idx="46">
                  <c:v>-37306.18</c:v>
                </c:pt>
                <c:pt idx="47">
                  <c:v>-42363.76</c:v>
                </c:pt>
                <c:pt idx="48">
                  <c:v>-50593.94</c:v>
                </c:pt>
                <c:pt idx="49">
                  <c:v>-14629.62</c:v>
                </c:pt>
                <c:pt idx="50">
                  <c:v>-13091.92</c:v>
                </c:pt>
                <c:pt idx="51">
                  <c:v>-16064.52</c:v>
                </c:pt>
                <c:pt idx="52">
                  <c:v>-14769.14</c:v>
                </c:pt>
                <c:pt idx="53">
                  <c:v>-13305.81</c:v>
                </c:pt>
                <c:pt idx="54">
                  <c:v>-1808.7</c:v>
                </c:pt>
                <c:pt idx="55">
                  <c:v>-1809.66</c:v>
                </c:pt>
              </c:numCache>
            </c:numRef>
          </c:val>
        </c:ser>
        <c:ser>
          <c:idx val="2"/>
          <c:order val="2"/>
          <c:tx>
            <c:strRef>
              <c:f>Open_Trades!$K$100</c:f>
              <c:strCache>
                <c:ptCount val="1"/>
                <c:pt idx="0">
                  <c:v>NZDUSD</c:v>
                </c:pt>
              </c:strCache>
            </c:strRef>
          </c:tx>
          <c:spPr>
            <a:solidFill>
              <a:schemeClr val="accent3"/>
            </a:solidFill>
            <a:ln>
              <a:noFill/>
            </a:ln>
            <a:effectLst/>
          </c:spPr>
          <c:invertIfNegative val="0"/>
          <c:cat>
            <c:strRef>
              <c:f>Open_Trades!$K$100</c:f>
              <c:strCache>
                <c:ptCount val="56"/>
                <c:pt idx="0">
                  <c:v>13.46</c:v>
                </c:pt>
                <c:pt idx="1">
                  <c:v>13.47</c:v>
                </c:pt>
                <c:pt idx="2">
                  <c:v>13.48</c:v>
                </c:pt>
                <c:pt idx="3">
                  <c:v>13.49</c:v>
                </c:pt>
                <c:pt idx="4">
                  <c:v>13.50</c:v>
                </c:pt>
                <c:pt idx="5">
                  <c:v>13.51</c:v>
                </c:pt>
                <c:pt idx="6">
                  <c:v>14.01</c:v>
                </c:pt>
                <c:pt idx="7">
                  <c:v>14.03</c:v>
                </c:pt>
                <c:pt idx="8">
                  <c:v>14.04</c:v>
                </c:pt>
                <c:pt idx="9">
                  <c:v>14.05</c:v>
                </c:pt>
                <c:pt idx="10">
                  <c:v>14.06</c:v>
                </c:pt>
                <c:pt idx="11">
                  <c:v>14.07</c:v>
                </c:pt>
                <c:pt idx="12">
                  <c:v>14.08</c:v>
                </c:pt>
                <c:pt idx="13">
                  <c:v>14.09</c:v>
                </c:pt>
                <c:pt idx="14">
                  <c:v>14.10</c:v>
                </c:pt>
                <c:pt idx="15">
                  <c:v>14.11</c:v>
                </c:pt>
                <c:pt idx="16">
                  <c:v>14.12</c:v>
                </c:pt>
                <c:pt idx="17">
                  <c:v>14.13</c:v>
                </c:pt>
                <c:pt idx="18">
                  <c:v>14.14</c:v>
                </c:pt>
                <c:pt idx="19">
                  <c:v>14.15</c:v>
                </c:pt>
                <c:pt idx="20">
                  <c:v>14.16</c:v>
                </c:pt>
                <c:pt idx="21">
                  <c:v>14.17</c:v>
                </c:pt>
                <c:pt idx="22">
                  <c:v>14.18</c:v>
                </c:pt>
                <c:pt idx="23">
                  <c:v>14.19</c:v>
                </c:pt>
                <c:pt idx="24">
                  <c:v>14.20</c:v>
                </c:pt>
                <c:pt idx="25">
                  <c:v>14.21</c:v>
                </c:pt>
                <c:pt idx="26">
                  <c:v>14.22</c:v>
                </c:pt>
                <c:pt idx="27">
                  <c:v>14.23</c:v>
                </c:pt>
                <c:pt idx="28">
                  <c:v>14.24</c:v>
                </c:pt>
                <c:pt idx="29">
                  <c:v>14.25</c:v>
                </c:pt>
                <c:pt idx="30">
                  <c:v>14.26</c:v>
                </c:pt>
                <c:pt idx="31">
                  <c:v>14.27</c:v>
                </c:pt>
                <c:pt idx="32">
                  <c:v>14.28</c:v>
                </c:pt>
                <c:pt idx="33">
                  <c:v>14.29</c:v>
                </c:pt>
                <c:pt idx="34">
                  <c:v>14.30</c:v>
                </c:pt>
                <c:pt idx="35">
                  <c:v>14.31</c:v>
                </c:pt>
                <c:pt idx="36">
                  <c:v>14.32</c:v>
                </c:pt>
                <c:pt idx="37">
                  <c:v>14.33</c:v>
                </c:pt>
                <c:pt idx="38">
                  <c:v>14.34</c:v>
                </c:pt>
                <c:pt idx="39">
                  <c:v>14.35</c:v>
                </c:pt>
                <c:pt idx="40">
                  <c:v>14.36</c:v>
                </c:pt>
                <c:pt idx="41">
                  <c:v>14.37</c:v>
                </c:pt>
                <c:pt idx="42">
                  <c:v>14.38</c:v>
                </c:pt>
                <c:pt idx="43">
                  <c:v>14.39</c:v>
                </c:pt>
                <c:pt idx="44">
                  <c:v>14.40</c:v>
                </c:pt>
                <c:pt idx="45">
                  <c:v>14.41</c:v>
                </c:pt>
                <c:pt idx="46">
                  <c:v>14.42</c:v>
                </c:pt>
                <c:pt idx="47">
                  <c:v>14.43</c:v>
                </c:pt>
                <c:pt idx="48">
                  <c:v>14.44</c:v>
                </c:pt>
                <c:pt idx="49">
                  <c:v>14.45</c:v>
                </c:pt>
                <c:pt idx="50">
                  <c:v>14.46</c:v>
                </c:pt>
                <c:pt idx="51">
                  <c:v>14.47</c:v>
                </c:pt>
                <c:pt idx="52">
                  <c:v>14.48</c:v>
                </c:pt>
                <c:pt idx="53">
                  <c:v>14.49</c:v>
                </c:pt>
                <c:pt idx="54">
                  <c:v>14.50</c:v>
                </c:pt>
                <c:pt idx="55">
                  <c:v>14.51</c:v>
                </c:pt>
              </c:strCache>
            </c:strRef>
          </c:cat>
          <c:val>
            <c:numRef>
              <c:f>Open_Trades!$K$100</c:f>
              <c:numCache>
                <c:formatCode>#,##0.00</c:formatCode>
                <c:ptCount val="56"/>
                <c:pt idx="0">
                  <c:v>-168.21</c:v>
                </c:pt>
                <c:pt idx="1">
                  <c:v>-559.65</c:v>
                </c:pt>
                <c:pt idx="2">
                  <c:v>-844.08</c:v>
                </c:pt>
                <c:pt idx="3">
                  <c:v>-943.31</c:v>
                </c:pt>
                <c:pt idx="4">
                  <c:v>-983.04</c:v>
                </c:pt>
                <c:pt idx="5">
                  <c:v>-730.62</c:v>
                </c:pt>
                <c:pt idx="6">
                  <c:v>-972.94</c:v>
                </c:pt>
                <c:pt idx="7">
                  <c:v>-1047.73</c:v>
                </c:pt>
                <c:pt idx="8">
                  <c:v>-853.26</c:v>
                </c:pt>
                <c:pt idx="9">
                  <c:v>-930.79</c:v>
                </c:pt>
                <c:pt idx="10">
                  <c:v>-1585.74</c:v>
                </c:pt>
                <c:pt idx="11">
                  <c:v>-2695.52</c:v>
                </c:pt>
                <c:pt idx="12">
                  <c:v>-14.44</c:v>
                </c:pt>
                <c:pt idx="13">
                  <c:v>-900.92</c:v>
                </c:pt>
                <c:pt idx="14">
                  <c:v>-1616.5</c:v>
                </c:pt>
                <c:pt idx="15">
                  <c:v>-2962.73</c:v>
                </c:pt>
                <c:pt idx="16">
                  <c:v>-3300.04</c:v>
                </c:pt>
                <c:pt idx="17">
                  <c:v>-6054.06</c:v>
                </c:pt>
                <c:pt idx="18">
                  <c:v>-4931.93</c:v>
                </c:pt>
                <c:pt idx="19">
                  <c:v>-7056.47</c:v>
                </c:pt>
                <c:pt idx="20">
                  <c:v>-5397.57</c:v>
                </c:pt>
                <c:pt idx="21">
                  <c:v>-5590.66</c:v>
                </c:pt>
                <c:pt idx="22">
                  <c:v>-6752.17</c:v>
                </c:pt>
                <c:pt idx="23">
                  <c:v>-6453.24</c:v>
                </c:pt>
                <c:pt idx="24">
                  <c:v>-6790.49</c:v>
                </c:pt>
                <c:pt idx="25">
                  <c:v>-6186.11</c:v>
                </c:pt>
                <c:pt idx="26">
                  <c:v>-5825.41</c:v>
                </c:pt>
                <c:pt idx="27">
                  <c:v>-5879.84</c:v>
                </c:pt>
                <c:pt idx="28">
                  <c:v>-7522.27</c:v>
                </c:pt>
                <c:pt idx="29">
                  <c:v>-8036.21</c:v>
                </c:pt>
                <c:pt idx="30">
                  <c:v>-10608.72</c:v>
                </c:pt>
                <c:pt idx="31">
                  <c:v>-9942.32</c:v>
                </c:pt>
                <c:pt idx="32">
                  <c:v>-13402.89</c:v>
                </c:pt>
                <c:pt idx="33">
                  <c:v>-9635.9500000000007</c:v>
                </c:pt>
                <c:pt idx="34">
                  <c:v>-7474.06</c:v>
                </c:pt>
                <c:pt idx="35">
                  <c:v>-7287.88</c:v>
                </c:pt>
                <c:pt idx="36">
                  <c:v>-7340.65</c:v>
                </c:pt>
                <c:pt idx="37">
                  <c:v>-6737.7</c:v>
                </c:pt>
                <c:pt idx="38">
                  <c:v>-8008.42</c:v>
                </c:pt>
                <c:pt idx="39">
                  <c:v>-8411.56</c:v>
                </c:pt>
                <c:pt idx="40">
                  <c:v>-8143.09</c:v>
                </c:pt>
                <c:pt idx="41">
                  <c:v>-14763.31</c:v>
                </c:pt>
                <c:pt idx="42">
                  <c:v>-15412.17</c:v>
                </c:pt>
                <c:pt idx="43">
                  <c:v>-24585.49</c:v>
                </c:pt>
                <c:pt idx="44">
                  <c:v>-28557.439999999999</c:v>
                </c:pt>
                <c:pt idx="45">
                  <c:v>-26625.07</c:v>
                </c:pt>
                <c:pt idx="46">
                  <c:v>-22501.439999999999</c:v>
                </c:pt>
                <c:pt idx="47">
                  <c:v>-25493.45</c:v>
                </c:pt>
                <c:pt idx="48">
                  <c:v>-28147.59</c:v>
                </c:pt>
                <c:pt idx="49">
                  <c:v>-19190.23</c:v>
                </c:pt>
                <c:pt idx="50">
                  <c:v>-14405.06</c:v>
                </c:pt>
                <c:pt idx="51">
                  <c:v>-15308.02</c:v>
                </c:pt>
                <c:pt idx="52">
                  <c:v>-16661.96</c:v>
                </c:pt>
                <c:pt idx="53">
                  <c:v>-20211.89</c:v>
                </c:pt>
                <c:pt idx="54">
                  <c:v>-7387.96</c:v>
                </c:pt>
                <c:pt idx="55">
                  <c:v>-8189.38</c:v>
                </c:pt>
              </c:numCache>
            </c:numRef>
          </c:val>
        </c:ser>
        <c:dLbls>
          <c:showLegendKey val="0"/>
          <c:showVal val="0"/>
          <c:showCatName val="0"/>
          <c:showSerName val="0"/>
          <c:showPercent val="0"/>
          <c:showBubbleSize val="0"/>
        </c:dLbls>
        <c:gapWidth val="150"/>
        <c:overlap val="100"/>
        <c:axId val="412888240"/>
        <c:axId val="412893680"/>
      </c:barChart>
      <c:catAx>
        <c:axId val="412888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893680"/>
        <c:crosses val="autoZero"/>
        <c:auto val="1"/>
        <c:lblAlgn val="ctr"/>
        <c:lblOffset val="100"/>
        <c:noMultiLvlLbl val="0"/>
      </c:catAx>
      <c:valAx>
        <c:axId val="412893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88824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[MyChannel_V3.xlsm]Closed_vs_Open!ClosedOpen_Pivot</c:name>
    <c:fmtId val="20"/>
  </c:pivotSource>
  <c:chart>
    <c:title>
      <c:tx>
        <c:strRef>
          <c:f>Closed_vs_Open!$K$100</c:f>
          <c:strCache>
            <c:ptCount val="1"/>
            <c:pt idx="0">
              <c:v>Closed vs. Open, 774678 - M-Alpari</c:v>
            </c:pt>
          </c:strCache>
        </c:strRef>
      </c:tx>
      <c:layout>
        <c:manualLayout>
          <c:xMode val="edge"/>
          <c:yMode val="edge"/>
          <c:x val="0.31421441936982758"/>
          <c:y val="5.38530401542130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Closed_vs_Open!$K$100</c:f>
              <c:strCache>
                <c:ptCount val="1"/>
                <c:pt idx="0">
                  <c:v>Closed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Closed_vs_Open!$K$100</c:f>
              <c:strCache>
                <c:ptCount val="59"/>
                <c:pt idx="0">
                  <c:v>13.46</c:v>
                </c:pt>
                <c:pt idx="1">
                  <c:v>13.47</c:v>
                </c:pt>
                <c:pt idx="2">
                  <c:v>13.48</c:v>
                </c:pt>
                <c:pt idx="3">
                  <c:v>13.49</c:v>
                </c:pt>
                <c:pt idx="4">
                  <c:v>13.50</c:v>
                </c:pt>
                <c:pt idx="5">
                  <c:v>13.51</c:v>
                </c:pt>
                <c:pt idx="6">
                  <c:v>13.52</c:v>
                </c:pt>
                <c:pt idx="7">
                  <c:v>13.53</c:v>
                </c:pt>
                <c:pt idx="8">
                  <c:v>14.01</c:v>
                </c:pt>
                <c:pt idx="9">
                  <c:v>14.02</c:v>
                </c:pt>
                <c:pt idx="10">
                  <c:v>14.03</c:v>
                </c:pt>
                <c:pt idx="11">
                  <c:v>14.04</c:v>
                </c:pt>
                <c:pt idx="12">
                  <c:v>14.05</c:v>
                </c:pt>
                <c:pt idx="13">
                  <c:v>14.06</c:v>
                </c:pt>
                <c:pt idx="14">
                  <c:v>14.07</c:v>
                </c:pt>
                <c:pt idx="15">
                  <c:v>14.08</c:v>
                </c:pt>
                <c:pt idx="16">
                  <c:v>14.09</c:v>
                </c:pt>
                <c:pt idx="17">
                  <c:v>14.10</c:v>
                </c:pt>
                <c:pt idx="18">
                  <c:v>14.11</c:v>
                </c:pt>
                <c:pt idx="19">
                  <c:v>14.12</c:v>
                </c:pt>
                <c:pt idx="20">
                  <c:v>14.13</c:v>
                </c:pt>
                <c:pt idx="21">
                  <c:v>14.14</c:v>
                </c:pt>
                <c:pt idx="22">
                  <c:v>14.15</c:v>
                </c:pt>
                <c:pt idx="23">
                  <c:v>14.16</c:v>
                </c:pt>
                <c:pt idx="24">
                  <c:v>14.17</c:v>
                </c:pt>
                <c:pt idx="25">
                  <c:v>14.18</c:v>
                </c:pt>
                <c:pt idx="26">
                  <c:v>14.19</c:v>
                </c:pt>
                <c:pt idx="27">
                  <c:v>14.20</c:v>
                </c:pt>
                <c:pt idx="28">
                  <c:v>14.21</c:v>
                </c:pt>
                <c:pt idx="29">
                  <c:v>14.22</c:v>
                </c:pt>
                <c:pt idx="30">
                  <c:v>14.23</c:v>
                </c:pt>
                <c:pt idx="31">
                  <c:v>14.24</c:v>
                </c:pt>
                <c:pt idx="32">
                  <c:v>14.25</c:v>
                </c:pt>
                <c:pt idx="33">
                  <c:v>14.26</c:v>
                </c:pt>
                <c:pt idx="34">
                  <c:v>14.27</c:v>
                </c:pt>
                <c:pt idx="35">
                  <c:v>14.28</c:v>
                </c:pt>
                <c:pt idx="36">
                  <c:v>14.29</c:v>
                </c:pt>
                <c:pt idx="37">
                  <c:v>14.30</c:v>
                </c:pt>
                <c:pt idx="38">
                  <c:v>14.31</c:v>
                </c:pt>
                <c:pt idx="39">
                  <c:v>14.32</c:v>
                </c:pt>
                <c:pt idx="40">
                  <c:v>14.33</c:v>
                </c:pt>
                <c:pt idx="41">
                  <c:v>14.34</c:v>
                </c:pt>
                <c:pt idx="42">
                  <c:v>14.35</c:v>
                </c:pt>
                <c:pt idx="43">
                  <c:v>14.36</c:v>
                </c:pt>
                <c:pt idx="44">
                  <c:v>14.37</c:v>
                </c:pt>
                <c:pt idx="45">
                  <c:v>14.38</c:v>
                </c:pt>
                <c:pt idx="46">
                  <c:v>14.39</c:v>
                </c:pt>
                <c:pt idx="47">
                  <c:v>14.40</c:v>
                </c:pt>
                <c:pt idx="48">
                  <c:v>14.41</c:v>
                </c:pt>
                <c:pt idx="49">
                  <c:v>14.42</c:v>
                </c:pt>
                <c:pt idx="50">
                  <c:v>14.43</c:v>
                </c:pt>
                <c:pt idx="51">
                  <c:v>14.44</c:v>
                </c:pt>
                <c:pt idx="52">
                  <c:v>14.45</c:v>
                </c:pt>
                <c:pt idx="53">
                  <c:v>14.46</c:v>
                </c:pt>
                <c:pt idx="54">
                  <c:v>14.47</c:v>
                </c:pt>
                <c:pt idx="55">
                  <c:v>14.48</c:v>
                </c:pt>
                <c:pt idx="56">
                  <c:v>14.49</c:v>
                </c:pt>
                <c:pt idx="57">
                  <c:v>14.50</c:v>
                </c:pt>
                <c:pt idx="58">
                  <c:v>14.51</c:v>
                </c:pt>
              </c:strCache>
            </c:strRef>
          </c:cat>
          <c:val>
            <c:numRef>
              <c:f>Closed_vs_Open!$K$100</c:f>
              <c:numCache>
                <c:formatCode>#,##0.00</c:formatCode>
                <c:ptCount val="59"/>
                <c:pt idx="0">
                  <c:v>66.5</c:v>
                </c:pt>
                <c:pt idx="1">
                  <c:v>1306.5899999999999</c:v>
                </c:pt>
                <c:pt idx="2">
                  <c:v>2224.7799999999997</c:v>
                </c:pt>
                <c:pt idx="3">
                  <c:v>3782.33</c:v>
                </c:pt>
                <c:pt idx="4">
                  <c:v>5034.8999999999996</c:v>
                </c:pt>
                <c:pt idx="5">
                  <c:v>6384.98</c:v>
                </c:pt>
                <c:pt idx="6">
                  <c:v>6796.2</c:v>
                </c:pt>
                <c:pt idx="7">
                  <c:v>7043.69</c:v>
                </c:pt>
                <c:pt idx="8">
                  <c:v>7655.36</c:v>
                </c:pt>
                <c:pt idx="9">
                  <c:v>8335.2799999999988</c:v>
                </c:pt>
                <c:pt idx="10">
                  <c:v>9124.119999999999</c:v>
                </c:pt>
                <c:pt idx="11">
                  <c:v>10726.939999999999</c:v>
                </c:pt>
                <c:pt idx="12">
                  <c:v>12764.71</c:v>
                </c:pt>
                <c:pt idx="13">
                  <c:v>14789.859999999999</c:v>
                </c:pt>
                <c:pt idx="14">
                  <c:v>15957.589999999998</c:v>
                </c:pt>
                <c:pt idx="15">
                  <c:v>9564.0099999999984</c:v>
                </c:pt>
                <c:pt idx="16">
                  <c:v>10890.21</c:v>
                </c:pt>
                <c:pt idx="17">
                  <c:v>13672.699999999999</c:v>
                </c:pt>
                <c:pt idx="18">
                  <c:v>16280.429999999998</c:v>
                </c:pt>
                <c:pt idx="19">
                  <c:v>18186.719999999998</c:v>
                </c:pt>
                <c:pt idx="20">
                  <c:v>19928.659999999996</c:v>
                </c:pt>
                <c:pt idx="21">
                  <c:v>21263.199999999997</c:v>
                </c:pt>
                <c:pt idx="22">
                  <c:v>23128.639999999996</c:v>
                </c:pt>
                <c:pt idx="23">
                  <c:v>24320.929999999997</c:v>
                </c:pt>
                <c:pt idx="24">
                  <c:v>25181.319999999996</c:v>
                </c:pt>
                <c:pt idx="25">
                  <c:v>26520.399999999994</c:v>
                </c:pt>
                <c:pt idx="26">
                  <c:v>27950.099999999995</c:v>
                </c:pt>
                <c:pt idx="27">
                  <c:v>28881.709999999995</c:v>
                </c:pt>
                <c:pt idx="28">
                  <c:v>29273.669999999995</c:v>
                </c:pt>
                <c:pt idx="29">
                  <c:v>29773.089999999993</c:v>
                </c:pt>
                <c:pt idx="30">
                  <c:v>31087.949999999993</c:v>
                </c:pt>
                <c:pt idx="31">
                  <c:v>32187.949999999993</c:v>
                </c:pt>
                <c:pt idx="32">
                  <c:v>33095.589999999997</c:v>
                </c:pt>
                <c:pt idx="33">
                  <c:v>33878.92</c:v>
                </c:pt>
                <c:pt idx="34">
                  <c:v>34704.799999999996</c:v>
                </c:pt>
                <c:pt idx="35">
                  <c:v>35290.179999999993</c:v>
                </c:pt>
                <c:pt idx="36">
                  <c:v>35867.249999999993</c:v>
                </c:pt>
                <c:pt idx="37">
                  <c:v>36418.999999999993</c:v>
                </c:pt>
                <c:pt idx="38">
                  <c:v>36944.999999999993</c:v>
                </c:pt>
                <c:pt idx="39">
                  <c:v>37475.439999999995</c:v>
                </c:pt>
                <c:pt idx="40">
                  <c:v>38337.619999999995</c:v>
                </c:pt>
                <c:pt idx="41">
                  <c:v>38862.81</c:v>
                </c:pt>
                <c:pt idx="42">
                  <c:v>39152.720000000001</c:v>
                </c:pt>
                <c:pt idx="43">
                  <c:v>39341.370000000003</c:v>
                </c:pt>
                <c:pt idx="44">
                  <c:v>39271.480000000003</c:v>
                </c:pt>
                <c:pt idx="45">
                  <c:v>39299.97</c:v>
                </c:pt>
                <c:pt idx="46">
                  <c:v>39249.9</c:v>
                </c:pt>
                <c:pt idx="47">
                  <c:v>39189.78</c:v>
                </c:pt>
                <c:pt idx="48">
                  <c:v>24068.95</c:v>
                </c:pt>
                <c:pt idx="49">
                  <c:v>25025.89</c:v>
                </c:pt>
                <c:pt idx="50">
                  <c:v>25420.559999999998</c:v>
                </c:pt>
                <c:pt idx="51">
                  <c:v>25420.559999999998</c:v>
                </c:pt>
                <c:pt idx="52">
                  <c:v>-27783.030000000006</c:v>
                </c:pt>
                <c:pt idx="53">
                  <c:v>-27783.030000000006</c:v>
                </c:pt>
                <c:pt idx="54">
                  <c:v>-27783.030000000006</c:v>
                </c:pt>
                <c:pt idx="55">
                  <c:v>-27783.030000000006</c:v>
                </c:pt>
                <c:pt idx="56">
                  <c:v>-33030.040000000008</c:v>
                </c:pt>
                <c:pt idx="57">
                  <c:v>-55896.80000000001</c:v>
                </c:pt>
                <c:pt idx="58">
                  <c:v>-55896.80000000001</c:v>
                </c:pt>
              </c:numCache>
            </c:numRef>
          </c:val>
          <c:smooth val="0"/>
        </c:ser>
        <c:ser>
          <c:idx val="1"/>
          <c:order val="1"/>
          <c:tx>
            <c:strRef>
              <c:f>Closed_vs_Open!$K$100</c:f>
              <c:strCache>
                <c:ptCount val="1"/>
                <c:pt idx="0">
                  <c:v>Open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Closed_vs_Open!$K$100</c:f>
              <c:strCache>
                <c:ptCount val="59"/>
                <c:pt idx="0">
                  <c:v>13.46</c:v>
                </c:pt>
                <c:pt idx="1">
                  <c:v>13.47</c:v>
                </c:pt>
                <c:pt idx="2">
                  <c:v>13.48</c:v>
                </c:pt>
                <c:pt idx="3">
                  <c:v>13.49</c:v>
                </c:pt>
                <c:pt idx="4">
                  <c:v>13.50</c:v>
                </c:pt>
                <c:pt idx="5">
                  <c:v>13.51</c:v>
                </c:pt>
                <c:pt idx="6">
                  <c:v>13.52</c:v>
                </c:pt>
                <c:pt idx="7">
                  <c:v>13.53</c:v>
                </c:pt>
                <c:pt idx="8">
                  <c:v>14.01</c:v>
                </c:pt>
                <c:pt idx="9">
                  <c:v>14.02</c:v>
                </c:pt>
                <c:pt idx="10">
                  <c:v>14.03</c:v>
                </c:pt>
                <c:pt idx="11">
                  <c:v>14.04</c:v>
                </c:pt>
                <c:pt idx="12">
                  <c:v>14.05</c:v>
                </c:pt>
                <c:pt idx="13">
                  <c:v>14.06</c:v>
                </c:pt>
                <c:pt idx="14">
                  <c:v>14.07</c:v>
                </c:pt>
                <c:pt idx="15">
                  <c:v>14.08</c:v>
                </c:pt>
                <c:pt idx="16">
                  <c:v>14.09</c:v>
                </c:pt>
                <c:pt idx="17">
                  <c:v>14.10</c:v>
                </c:pt>
                <c:pt idx="18">
                  <c:v>14.11</c:v>
                </c:pt>
                <c:pt idx="19">
                  <c:v>14.12</c:v>
                </c:pt>
                <c:pt idx="20">
                  <c:v>14.13</c:v>
                </c:pt>
                <c:pt idx="21">
                  <c:v>14.14</c:v>
                </c:pt>
                <c:pt idx="22">
                  <c:v>14.15</c:v>
                </c:pt>
                <c:pt idx="23">
                  <c:v>14.16</c:v>
                </c:pt>
                <c:pt idx="24">
                  <c:v>14.17</c:v>
                </c:pt>
                <c:pt idx="25">
                  <c:v>14.18</c:v>
                </c:pt>
                <c:pt idx="26">
                  <c:v>14.19</c:v>
                </c:pt>
                <c:pt idx="27">
                  <c:v>14.20</c:v>
                </c:pt>
                <c:pt idx="28">
                  <c:v>14.21</c:v>
                </c:pt>
                <c:pt idx="29">
                  <c:v>14.22</c:v>
                </c:pt>
                <c:pt idx="30">
                  <c:v>14.23</c:v>
                </c:pt>
                <c:pt idx="31">
                  <c:v>14.24</c:v>
                </c:pt>
                <c:pt idx="32">
                  <c:v>14.25</c:v>
                </c:pt>
                <c:pt idx="33">
                  <c:v>14.26</c:v>
                </c:pt>
                <c:pt idx="34">
                  <c:v>14.27</c:v>
                </c:pt>
                <c:pt idx="35">
                  <c:v>14.28</c:v>
                </c:pt>
                <c:pt idx="36">
                  <c:v>14.29</c:v>
                </c:pt>
                <c:pt idx="37">
                  <c:v>14.30</c:v>
                </c:pt>
                <c:pt idx="38">
                  <c:v>14.31</c:v>
                </c:pt>
                <c:pt idx="39">
                  <c:v>14.32</c:v>
                </c:pt>
                <c:pt idx="40">
                  <c:v>14.33</c:v>
                </c:pt>
                <c:pt idx="41">
                  <c:v>14.34</c:v>
                </c:pt>
                <c:pt idx="42">
                  <c:v>14.35</c:v>
                </c:pt>
                <c:pt idx="43">
                  <c:v>14.36</c:v>
                </c:pt>
                <c:pt idx="44">
                  <c:v>14.37</c:v>
                </c:pt>
                <c:pt idx="45">
                  <c:v>14.38</c:v>
                </c:pt>
                <c:pt idx="46">
                  <c:v>14.39</c:v>
                </c:pt>
                <c:pt idx="47">
                  <c:v>14.40</c:v>
                </c:pt>
                <c:pt idx="48">
                  <c:v>14.41</c:v>
                </c:pt>
                <c:pt idx="49">
                  <c:v>14.42</c:v>
                </c:pt>
                <c:pt idx="50">
                  <c:v>14.43</c:v>
                </c:pt>
                <c:pt idx="51">
                  <c:v>14.44</c:v>
                </c:pt>
                <c:pt idx="52">
                  <c:v>14.45</c:v>
                </c:pt>
                <c:pt idx="53">
                  <c:v>14.46</c:v>
                </c:pt>
                <c:pt idx="54">
                  <c:v>14.47</c:v>
                </c:pt>
                <c:pt idx="55">
                  <c:v>14.48</c:v>
                </c:pt>
                <c:pt idx="56">
                  <c:v>14.49</c:v>
                </c:pt>
                <c:pt idx="57">
                  <c:v>14.50</c:v>
                </c:pt>
                <c:pt idx="58">
                  <c:v>14.51</c:v>
                </c:pt>
              </c:strCache>
            </c:strRef>
          </c:cat>
          <c:val>
            <c:numRef>
              <c:f>Closed_vs_Open!$K$100</c:f>
              <c:numCache>
                <c:formatCode>#,##0.00</c:formatCode>
                <c:ptCount val="59"/>
                <c:pt idx="0">
                  <c:v>-246.44</c:v>
                </c:pt>
                <c:pt idx="1">
                  <c:v>-1515.6499999999999</c:v>
                </c:pt>
                <c:pt idx="2">
                  <c:v>-1876.5700000000002</c:v>
                </c:pt>
                <c:pt idx="3">
                  <c:v>-3099.48</c:v>
                </c:pt>
                <c:pt idx="4">
                  <c:v>-3623.67</c:v>
                </c:pt>
                <c:pt idx="5">
                  <c:v>-3318.1500000000005</c:v>
                </c:pt>
                <c:pt idx="6">
                  <c:v>0</c:v>
                </c:pt>
                <c:pt idx="7">
                  <c:v>0</c:v>
                </c:pt>
                <c:pt idx="8">
                  <c:v>-4175.59</c:v>
                </c:pt>
                <c:pt idx="9">
                  <c:v>0</c:v>
                </c:pt>
                <c:pt idx="10">
                  <c:v>-4538.21</c:v>
                </c:pt>
                <c:pt idx="11">
                  <c:v>-8404.56</c:v>
                </c:pt>
                <c:pt idx="12">
                  <c:v>-8304.4399999999987</c:v>
                </c:pt>
                <c:pt idx="13">
                  <c:v>-6702.1399999999994</c:v>
                </c:pt>
                <c:pt idx="14">
                  <c:v>-8066.6399999999994</c:v>
                </c:pt>
                <c:pt idx="15">
                  <c:v>-22.979999999999997</c:v>
                </c:pt>
                <c:pt idx="16">
                  <c:v>-2524.56</c:v>
                </c:pt>
                <c:pt idx="17">
                  <c:v>-7937.48</c:v>
                </c:pt>
                <c:pt idx="18">
                  <c:v>-8875.19</c:v>
                </c:pt>
                <c:pt idx="19">
                  <c:v>-8490.93</c:v>
                </c:pt>
                <c:pt idx="20">
                  <c:v>-16771.91</c:v>
                </c:pt>
                <c:pt idx="21">
                  <c:v>-19798.440000000002</c:v>
                </c:pt>
                <c:pt idx="22">
                  <c:v>-20977.74</c:v>
                </c:pt>
                <c:pt idx="23">
                  <c:v>-19630.04</c:v>
                </c:pt>
                <c:pt idx="24">
                  <c:v>-17323.079999999998</c:v>
                </c:pt>
                <c:pt idx="25">
                  <c:v>-18619.490000000002</c:v>
                </c:pt>
                <c:pt idx="26">
                  <c:v>-20244.38</c:v>
                </c:pt>
                <c:pt idx="27">
                  <c:v>-20996.14</c:v>
                </c:pt>
                <c:pt idx="28">
                  <c:v>-18528.3</c:v>
                </c:pt>
                <c:pt idx="29">
                  <c:v>-19694.55</c:v>
                </c:pt>
                <c:pt idx="30">
                  <c:v>-22568.769999999997</c:v>
                </c:pt>
                <c:pt idx="31">
                  <c:v>-27363.090000000004</c:v>
                </c:pt>
                <c:pt idx="32">
                  <c:v>-27009.72</c:v>
                </c:pt>
                <c:pt idx="33">
                  <c:v>-28374.769999999997</c:v>
                </c:pt>
                <c:pt idx="34">
                  <c:v>-28336.1</c:v>
                </c:pt>
                <c:pt idx="35">
                  <c:v>-30651.059999999998</c:v>
                </c:pt>
                <c:pt idx="36">
                  <c:v>-28548.809999999998</c:v>
                </c:pt>
                <c:pt idx="37">
                  <c:v>-30395.87</c:v>
                </c:pt>
                <c:pt idx="38">
                  <c:v>-30193.5</c:v>
                </c:pt>
                <c:pt idx="39">
                  <c:v>-28088.679999999997</c:v>
                </c:pt>
                <c:pt idx="40">
                  <c:v>-29650.190000000002</c:v>
                </c:pt>
                <c:pt idx="41">
                  <c:v>-43217.289999999994</c:v>
                </c:pt>
                <c:pt idx="42">
                  <c:v>-50898.54</c:v>
                </c:pt>
                <c:pt idx="43">
                  <c:v>-67207.51999999999</c:v>
                </c:pt>
                <c:pt idx="44">
                  <c:v>-64329.959999999992</c:v>
                </c:pt>
                <c:pt idx="45">
                  <c:v>-73284.28</c:v>
                </c:pt>
                <c:pt idx="46">
                  <c:v>-83069.039999999994</c:v>
                </c:pt>
                <c:pt idx="47">
                  <c:v>-93190.04</c:v>
                </c:pt>
                <c:pt idx="48">
                  <c:v>-70311.820000000007</c:v>
                </c:pt>
                <c:pt idx="49">
                  <c:v>-59807.619999999995</c:v>
                </c:pt>
                <c:pt idx="50">
                  <c:v>-67857.210000000006</c:v>
                </c:pt>
                <c:pt idx="51">
                  <c:v>-78741.53</c:v>
                </c:pt>
                <c:pt idx="52">
                  <c:v>-33819.85</c:v>
                </c:pt>
                <c:pt idx="53">
                  <c:v>-27496.98</c:v>
                </c:pt>
                <c:pt idx="54">
                  <c:v>-31372.54</c:v>
                </c:pt>
                <c:pt idx="55">
                  <c:v>-31431.1</c:v>
                </c:pt>
                <c:pt idx="56">
                  <c:v>-33517.699999999997</c:v>
                </c:pt>
                <c:pt idx="57">
                  <c:v>-9196.66</c:v>
                </c:pt>
                <c:pt idx="58">
                  <c:v>-9662.2099999999991</c:v>
                </c:pt>
              </c:numCache>
            </c:numRef>
          </c:val>
          <c:smooth val="0"/>
        </c:ser>
        <c:dLbls>
          <c:showLegendKey val="0"/>
          <c:showVal val="0"/>
          <c:showCatName val="0"/>
          <c:showSerName val="0"/>
          <c:showPercent val="0"/>
          <c:showBubbleSize val="0"/>
        </c:dLbls>
        <c:marker val="1"/>
        <c:smooth val="0"/>
        <c:axId val="412895312"/>
        <c:axId val="412885520"/>
      </c:lineChart>
      <c:catAx>
        <c:axId val="41289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885520"/>
        <c:crosses val="autoZero"/>
        <c:auto val="1"/>
        <c:lblAlgn val="ctr"/>
        <c:lblOffset val="100"/>
        <c:noMultiLvlLbl val="0"/>
      </c:catAx>
      <c:valAx>
        <c:axId val="412885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89531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[MyChannel_V3.xlsm]Equity!Equity_Pivot</c:name>
    <c:fmtId val="24"/>
  </c:pivotSource>
  <c:chart>
    <c:title>
      <c:tx>
        <c:strRef>
          <c:f>Equity!$K$100</c:f>
          <c:strCache>
            <c:ptCount val="1"/>
            <c:pt idx="0">
              <c:v>Equity, 776980 - R-Alpari</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lumMod val="75000"/>
              </a:schemeClr>
            </a:solidFill>
            <a:round/>
          </a:ln>
          <a:effectLst/>
        </c:spPr>
        <c:marker>
          <c:symbol val="circle"/>
          <c:size val="5"/>
          <c:spPr>
            <a:solidFill>
              <a:schemeClr val="accent1">
                <a:lumMod val="50000"/>
              </a:schemeClr>
            </a:solidFill>
            <a:ln w="9525">
              <a:solidFill>
                <a:schemeClr val="accent1"/>
              </a:solidFill>
            </a:ln>
            <a:effectLst/>
          </c:spPr>
        </c:marker>
      </c:pivotFmt>
      <c:pivotFmt>
        <c:idx val="4"/>
        <c:spPr>
          <a:solidFill>
            <a:schemeClr val="accent1"/>
          </a:solidFill>
          <a:ln w="28575" cap="rnd">
            <a:solidFill>
              <a:srgbClr val="C00000"/>
            </a:solidFill>
            <a:round/>
          </a:ln>
          <a:effectLst/>
        </c:spPr>
        <c:marker>
          <c:symbol val="circle"/>
          <c:size val="5"/>
          <c:spPr>
            <a:solidFill>
              <a:schemeClr val="accent2">
                <a:lumMod val="50000"/>
              </a:schemeClr>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Equity!$K$100</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Equity!$K$100</c:f>
              <c:strCache>
                <c:ptCount val="46"/>
                <c:pt idx="0">
                  <c:v>14.01</c:v>
                </c:pt>
                <c:pt idx="1">
                  <c:v>14.10</c:v>
                </c:pt>
                <c:pt idx="2">
                  <c:v>14.11</c:v>
                </c:pt>
                <c:pt idx="3">
                  <c:v>14.12</c:v>
                </c:pt>
                <c:pt idx="4">
                  <c:v>14.13</c:v>
                </c:pt>
                <c:pt idx="5">
                  <c:v>14.14</c:v>
                </c:pt>
                <c:pt idx="6">
                  <c:v>14.15</c:v>
                </c:pt>
                <c:pt idx="7">
                  <c:v>14.16</c:v>
                </c:pt>
                <c:pt idx="8">
                  <c:v>14.17</c:v>
                </c:pt>
                <c:pt idx="9">
                  <c:v>14.18</c:v>
                </c:pt>
                <c:pt idx="10">
                  <c:v>14.19</c:v>
                </c:pt>
                <c:pt idx="11">
                  <c:v>14.20</c:v>
                </c:pt>
                <c:pt idx="12">
                  <c:v>14.21</c:v>
                </c:pt>
                <c:pt idx="13">
                  <c:v>14.22</c:v>
                </c:pt>
                <c:pt idx="14">
                  <c:v>14.23</c:v>
                </c:pt>
                <c:pt idx="15">
                  <c:v>14.24</c:v>
                </c:pt>
                <c:pt idx="16">
                  <c:v>14.25</c:v>
                </c:pt>
                <c:pt idx="17">
                  <c:v>14.26</c:v>
                </c:pt>
                <c:pt idx="18">
                  <c:v>14.27</c:v>
                </c:pt>
                <c:pt idx="19">
                  <c:v>14.28</c:v>
                </c:pt>
                <c:pt idx="20">
                  <c:v>14.29</c:v>
                </c:pt>
                <c:pt idx="21">
                  <c:v>14.30</c:v>
                </c:pt>
                <c:pt idx="22">
                  <c:v>14.31</c:v>
                </c:pt>
                <c:pt idx="23">
                  <c:v>14.32</c:v>
                </c:pt>
                <c:pt idx="24">
                  <c:v>14.33</c:v>
                </c:pt>
                <c:pt idx="25">
                  <c:v>14.34</c:v>
                </c:pt>
                <c:pt idx="26">
                  <c:v>14.35</c:v>
                </c:pt>
                <c:pt idx="27">
                  <c:v>14.36</c:v>
                </c:pt>
                <c:pt idx="28">
                  <c:v>14.37</c:v>
                </c:pt>
                <c:pt idx="29">
                  <c:v>14.38</c:v>
                </c:pt>
                <c:pt idx="30">
                  <c:v>14.39</c:v>
                </c:pt>
                <c:pt idx="31">
                  <c:v>14.40</c:v>
                </c:pt>
                <c:pt idx="32">
                  <c:v>14.41</c:v>
                </c:pt>
                <c:pt idx="33">
                  <c:v>14.42</c:v>
                </c:pt>
                <c:pt idx="34">
                  <c:v>14.43</c:v>
                </c:pt>
                <c:pt idx="35">
                  <c:v>14.44</c:v>
                </c:pt>
                <c:pt idx="36">
                  <c:v>14.45</c:v>
                </c:pt>
                <c:pt idx="37">
                  <c:v>14.46</c:v>
                </c:pt>
                <c:pt idx="38">
                  <c:v>14.47</c:v>
                </c:pt>
                <c:pt idx="39">
                  <c:v>14.48</c:v>
                </c:pt>
                <c:pt idx="40">
                  <c:v>14.49</c:v>
                </c:pt>
                <c:pt idx="41">
                  <c:v>14.50</c:v>
                </c:pt>
                <c:pt idx="42">
                  <c:v>14.51</c:v>
                </c:pt>
                <c:pt idx="43">
                  <c:v>15.01</c:v>
                </c:pt>
                <c:pt idx="44">
                  <c:v>15.02</c:v>
                </c:pt>
                <c:pt idx="45">
                  <c:v>15.03</c:v>
                </c:pt>
              </c:strCache>
            </c:strRef>
          </c:cat>
          <c:val>
            <c:numRef>
              <c:f>Equity!$K$100</c:f>
              <c:numCache>
                <c:formatCode>#,##0.00</c:formatCode>
                <c:ptCount val="46"/>
                <c:pt idx="0">
                  <c:v>-39737.21</c:v>
                </c:pt>
                <c:pt idx="1">
                  <c:v>49827.62</c:v>
                </c:pt>
                <c:pt idx="2">
                  <c:v>48855.65</c:v>
                </c:pt>
                <c:pt idx="3">
                  <c:v>49309.53</c:v>
                </c:pt>
                <c:pt idx="4">
                  <c:v>48628.44</c:v>
                </c:pt>
                <c:pt idx="5">
                  <c:v>47858.44</c:v>
                </c:pt>
                <c:pt idx="6">
                  <c:v>47543.66</c:v>
                </c:pt>
                <c:pt idx="7">
                  <c:v>48217.39</c:v>
                </c:pt>
                <c:pt idx="8">
                  <c:v>49063.64</c:v>
                </c:pt>
                <c:pt idx="9">
                  <c:v>49507.81</c:v>
                </c:pt>
                <c:pt idx="10">
                  <c:v>48176.160000000003</c:v>
                </c:pt>
                <c:pt idx="11">
                  <c:v>48135.4</c:v>
                </c:pt>
                <c:pt idx="12">
                  <c:v>48253.21</c:v>
                </c:pt>
                <c:pt idx="13">
                  <c:v>48953.71</c:v>
                </c:pt>
                <c:pt idx="14">
                  <c:v>49020.85</c:v>
                </c:pt>
                <c:pt idx="15">
                  <c:v>45069.95</c:v>
                </c:pt>
                <c:pt idx="16">
                  <c:v>44848.32</c:v>
                </c:pt>
                <c:pt idx="17">
                  <c:v>44077.72</c:v>
                </c:pt>
                <c:pt idx="18">
                  <c:v>41683.480000000003</c:v>
                </c:pt>
                <c:pt idx="19">
                  <c:v>43791.15</c:v>
                </c:pt>
                <c:pt idx="20">
                  <c:v>43134.47</c:v>
                </c:pt>
                <c:pt idx="21">
                  <c:v>43404.4</c:v>
                </c:pt>
                <c:pt idx="22">
                  <c:v>46685.19</c:v>
                </c:pt>
                <c:pt idx="23">
                  <c:v>47631.199999999997</c:v>
                </c:pt>
                <c:pt idx="24">
                  <c:v>58340.86</c:v>
                </c:pt>
                <c:pt idx="25">
                  <c:v>47114.19</c:v>
                </c:pt>
                <c:pt idx="26">
                  <c:v>44173.36</c:v>
                </c:pt>
                <c:pt idx="27">
                  <c:v>43170.61</c:v>
                </c:pt>
                <c:pt idx="28">
                  <c:v>45010.28</c:v>
                </c:pt>
                <c:pt idx="29">
                  <c:v>34944.5</c:v>
                </c:pt>
                <c:pt idx="30">
                  <c:v>32977.129999999997</c:v>
                </c:pt>
                <c:pt idx="31">
                  <c:v>32628.98</c:v>
                </c:pt>
                <c:pt idx="32">
                  <c:v>36701.56</c:v>
                </c:pt>
                <c:pt idx="33">
                  <c:v>43049.97</c:v>
                </c:pt>
                <c:pt idx="34">
                  <c:v>43710.47</c:v>
                </c:pt>
                <c:pt idx="35">
                  <c:v>36981.199999999997</c:v>
                </c:pt>
                <c:pt idx="36">
                  <c:v>29189.59</c:v>
                </c:pt>
                <c:pt idx="37">
                  <c:v>31254.7</c:v>
                </c:pt>
                <c:pt idx="38">
                  <c:v>21232.66</c:v>
                </c:pt>
                <c:pt idx="39">
                  <c:v>20342.38</c:v>
                </c:pt>
                <c:pt idx="40">
                  <c:v>5773.16</c:v>
                </c:pt>
                <c:pt idx="41">
                  <c:v>12627.65</c:v>
                </c:pt>
                <c:pt idx="42">
                  <c:v>7428.75</c:v>
                </c:pt>
                <c:pt idx="43">
                  <c:v>7808.89</c:v>
                </c:pt>
                <c:pt idx="44">
                  <c:v>13076.04</c:v>
                </c:pt>
                <c:pt idx="45">
                  <c:v>-2562.04</c:v>
                </c:pt>
              </c:numCache>
            </c:numRef>
          </c:val>
          <c:smooth val="0"/>
        </c:ser>
        <c:dLbls>
          <c:showLegendKey val="0"/>
          <c:showVal val="0"/>
          <c:showCatName val="0"/>
          <c:showSerName val="0"/>
          <c:showPercent val="0"/>
          <c:showBubbleSize val="0"/>
        </c:dLbls>
        <c:marker val="1"/>
        <c:smooth val="0"/>
        <c:axId val="412887696"/>
        <c:axId val="412886608"/>
      </c:lineChart>
      <c:catAx>
        <c:axId val="412887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886608"/>
        <c:crosses val="autoZero"/>
        <c:auto val="1"/>
        <c:lblAlgn val="ctr"/>
        <c:lblOffset val="100"/>
        <c:noMultiLvlLbl val="0"/>
      </c:catAx>
      <c:valAx>
        <c:axId val="4128866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88769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[MyChannel_V3.xlsm]Balancing!Balancing_Pivot</c:name>
    <c:fmtId val="30"/>
  </c:pivotSource>
  <c:chart>
    <c:title>
      <c:tx>
        <c:strRef>
          <c:f>Balancing!$K$100</c:f>
          <c:strCache>
            <c:ptCount val="1"/>
            <c:pt idx="0">
              <c:v>Balancing, 774678 - M-Alpari</c:v>
            </c:pt>
          </c:strCache>
        </c:strRef>
      </c:tx>
      <c:layout>
        <c:manualLayout>
          <c:xMode val="edge"/>
          <c:yMode val="edge"/>
          <c:x val="0.57224910603502877"/>
          <c:y val="4.1569235361737449E-2"/>
        </c:manualLayout>
      </c:layout>
      <c:overlay val="1"/>
      <c:spPr>
        <a:noFill/>
        <a:ln>
          <a:noFill/>
        </a:ln>
        <a:effectLst/>
      </c:spPr>
      <c:txPr>
        <a:bodyPr rot="2700000" spcFirstLastPara="1" vertOverflow="ellipsis"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manualLayout>
          <c:layoutTarget val="inner"/>
          <c:xMode val="edge"/>
          <c:yMode val="edge"/>
          <c:x val="0.19531606741928342"/>
          <c:y val="8.7283011089582391E-2"/>
          <c:w val="0.64704898584495396"/>
          <c:h val="0.92078179637546165"/>
        </c:manualLayout>
      </c:layout>
      <c:radarChart>
        <c:radarStyle val="marker"/>
        <c:varyColors val="0"/>
        <c:ser>
          <c:idx val="0"/>
          <c:order val="0"/>
          <c:tx>
            <c:strRef>
              <c:f>Balancing!$K$100</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Balancing!$K$100</c:f>
              <c:strCache>
                <c:ptCount val="2"/>
                <c:pt idx="0">
                  <c:v>EURUSD</c:v>
                </c:pt>
                <c:pt idx="1">
                  <c:v>NZDUSD</c:v>
                </c:pt>
              </c:strCache>
            </c:strRef>
          </c:cat>
          <c:val>
            <c:numRef>
              <c:f>Balancing!$K$100</c:f>
              <c:numCache>
                <c:formatCode>0.0%</c:formatCode>
                <c:ptCount val="2"/>
                <c:pt idx="0">
                  <c:v>-0.2462499999999995</c:v>
                </c:pt>
                <c:pt idx="1">
                  <c:v>-0.21758969000348338</c:v>
                </c:pt>
              </c:numCache>
            </c:numRef>
          </c:val>
        </c:ser>
        <c:dLbls>
          <c:showLegendKey val="0"/>
          <c:showVal val="0"/>
          <c:showCatName val="0"/>
          <c:showSerName val="0"/>
          <c:showPercent val="0"/>
          <c:showBubbleSize val="0"/>
        </c:dLbls>
        <c:axId val="412892048"/>
        <c:axId val="412895856"/>
      </c:radarChart>
      <c:catAx>
        <c:axId val="412892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895856"/>
        <c:crosses val="autoZero"/>
        <c:auto val="1"/>
        <c:lblAlgn val="ctr"/>
        <c:lblOffset val="100"/>
        <c:noMultiLvlLbl val="0"/>
      </c:catAx>
      <c:valAx>
        <c:axId val="41289585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892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[MyChannel_V3.xlsm]PL by Pair!PivotTable3</c:name>
    <c:fmtId val="6"/>
  </c:pivotSource>
  <c:chart>
    <c:title>
      <c:tx>
        <c:strRef>
          <c:f>'PL by Pair'!$K$100</c:f>
          <c:strCache>
            <c:ptCount val="1"/>
            <c:pt idx="0">
              <c:v>P/L by Pair, 774678 - M-Alpari</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rgbClr val="FF5050">
              <a:alpha val="95000"/>
            </a:srgbClr>
          </a:solidFill>
          <a:ln>
            <a:noFill/>
          </a:ln>
          <a:effectLst/>
        </c:spPr>
        <c:marker>
          <c:symbol val="none"/>
        </c:marker>
      </c:pivotFmt>
      <c:pivotFmt>
        <c:idx val="5"/>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dLbl>
          <c:idx val="0"/>
          <c:layout>
            <c:manualLayout>
              <c:x val="3.6781609195402297E-3"/>
              <c:y val="-8.6175942549371637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pivotFmt>
      <c:pivotFmt>
        <c:idx val="8"/>
        <c:spPr>
          <a:solidFill>
            <a:srgbClr val="FF5050">
              <a:alpha val="95000"/>
            </a:srgbClr>
          </a:solidFill>
          <a:ln>
            <a:noFill/>
          </a:ln>
          <a:effectLst/>
        </c:spPr>
        <c:marker>
          <c:symbol val="none"/>
        </c:marker>
      </c:pivotFmt>
      <c:pivotFmt>
        <c:idx val="9"/>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6">
              <a:lumMod val="60000"/>
              <a:lumOff val="40000"/>
            </a:schemeClr>
          </a:solidFill>
          <a:ln>
            <a:noFill/>
          </a:ln>
          <a:effectLst/>
        </c:spPr>
        <c:dLbl>
          <c:idx val="0"/>
          <c:layout>
            <c:manualLayout>
              <c:x val="3.6781609195402297E-3"/>
              <c:y val="-8.6175942549371637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pivotFmt>
      <c:pivotFmt>
        <c:idx val="12"/>
        <c:spPr>
          <a:solidFill>
            <a:srgbClr val="FF5050">
              <a:alpha val="95000"/>
            </a:srgbClr>
          </a:solidFill>
          <a:ln>
            <a:noFill/>
          </a:ln>
          <a:effectLst/>
        </c:spPr>
        <c:marker>
          <c:symbol val="none"/>
        </c:marker>
      </c:pivotFmt>
      <c:pivotFmt>
        <c:idx val="13"/>
        <c:spPr>
          <a:solidFill>
            <a:schemeClr val="accent6">
              <a:lumMod val="60000"/>
              <a:lumOff val="40000"/>
            </a:schemeClr>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4"/>
      </c:pivotFmt>
      <c:pivotFmt>
        <c:idx val="15"/>
        <c:spPr>
          <a:solidFill>
            <a:schemeClr val="accent6">
              <a:lumMod val="60000"/>
              <a:lumOff val="40000"/>
            </a:schemeClr>
          </a:solidFill>
          <a:ln>
            <a:noFill/>
          </a:ln>
          <a:effectLst/>
        </c:spPr>
      </c:pivotFmt>
      <c:pivotFmt>
        <c:idx val="16"/>
      </c:pivotFmt>
    </c:pivotFmts>
    <c:plotArea>
      <c:layout/>
      <c:barChart>
        <c:barDir val="col"/>
        <c:grouping val="clustered"/>
        <c:varyColors val="0"/>
        <c:ser>
          <c:idx val="0"/>
          <c:order val="0"/>
          <c:tx>
            <c:strRef>
              <c:f>'PL by Pair'!$K$100</c:f>
              <c:strCache>
                <c:ptCount val="1"/>
                <c:pt idx="0">
                  <c:v>Closed</c:v>
                </c:pt>
              </c:strCache>
            </c:strRef>
          </c:tx>
          <c:spPr>
            <a:solidFill>
              <a:schemeClr val="accent1"/>
            </a:solidFill>
            <a:ln>
              <a:noFill/>
            </a:ln>
            <a:effectLst/>
          </c:spPr>
          <c:invertIfNegative val="0"/>
          <c:cat>
            <c:strRef>
              <c:f>'PL by Pair'!$K$100</c:f>
              <c:strCache>
                <c:ptCount val="3"/>
                <c:pt idx="0">
                  <c:v>AUDJPY</c:v>
                </c:pt>
                <c:pt idx="1">
                  <c:v>NZDUSD</c:v>
                </c:pt>
                <c:pt idx="2">
                  <c:v>EURUSD</c:v>
                </c:pt>
              </c:strCache>
            </c:strRef>
          </c:cat>
          <c:val>
            <c:numRef>
              <c:f>'PL by Pair'!$K$100</c:f>
              <c:numCache>
                <c:formatCode>#,##0.00</c:formatCode>
                <c:ptCount val="3"/>
                <c:pt idx="0">
                  <c:v>1999.97</c:v>
                </c:pt>
                <c:pt idx="1">
                  <c:v>-11928.55</c:v>
                </c:pt>
                <c:pt idx="2">
                  <c:v>-45968.22</c:v>
                </c:pt>
              </c:numCache>
            </c:numRef>
          </c:val>
        </c:ser>
        <c:ser>
          <c:idx val="1"/>
          <c:order val="1"/>
          <c:tx>
            <c:strRef>
              <c:f>'PL by Pair'!$K$100</c:f>
              <c:strCache>
                <c:ptCount val="1"/>
                <c:pt idx="0">
                  <c:v>Open</c:v>
                </c:pt>
              </c:strCache>
            </c:strRef>
          </c:tx>
          <c:spPr>
            <a:solidFill>
              <a:srgbClr val="FF5050">
                <a:alpha val="95000"/>
              </a:srgbClr>
            </a:solidFill>
            <a:ln>
              <a:noFill/>
            </a:ln>
            <a:effectLst/>
          </c:spPr>
          <c:invertIfNegative val="0"/>
          <c:cat>
            <c:strRef>
              <c:f>'PL by Pair'!$K$100</c:f>
              <c:strCache>
                <c:ptCount val="3"/>
                <c:pt idx="0">
                  <c:v>AUDJPY</c:v>
                </c:pt>
                <c:pt idx="1">
                  <c:v>NZDUSD</c:v>
                </c:pt>
                <c:pt idx="2">
                  <c:v>EURUSD</c:v>
                </c:pt>
              </c:strCache>
            </c:strRef>
          </c:cat>
          <c:val>
            <c:numRef>
              <c:f>'PL by Pair'!$K$100</c:f>
              <c:numCache>
                <c:formatCode>#,##0.00</c:formatCode>
                <c:ptCount val="3"/>
                <c:pt idx="0">
                  <c:v>0</c:v>
                </c:pt>
                <c:pt idx="1">
                  <c:v>-7172.22</c:v>
                </c:pt>
                <c:pt idx="2">
                  <c:v>-1637.58</c:v>
                </c:pt>
              </c:numCache>
            </c:numRef>
          </c:val>
        </c:ser>
        <c:ser>
          <c:idx val="2"/>
          <c:order val="2"/>
          <c:tx>
            <c:strRef>
              <c:f>'PL by Pair'!$K$100</c:f>
              <c:strCache>
                <c:ptCount val="1"/>
                <c:pt idx="0">
                  <c:v>PL</c:v>
                </c:pt>
              </c:strCache>
            </c:strRef>
          </c:tx>
          <c:spPr>
            <a:solidFill>
              <a:schemeClr val="accent6">
                <a:lumMod val="60000"/>
                <a:lumOff val="40000"/>
              </a:schemeClr>
            </a:solidFill>
            <a:ln>
              <a:noFill/>
            </a:ln>
            <a:effectLst/>
          </c:spPr>
          <c:invertIfNegative val="0"/>
          <c:dPt>
            <c:idx val="0"/>
            <c:invertIfNegative val="0"/>
            <c:bubble3D val="0"/>
          </c:dPt>
          <c:dPt>
            <c:idx val="1"/>
            <c:invertIfNegative val="0"/>
            <c:bubble3D val="0"/>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'PL by Pair'!$K$100</c:f>
              <c:strCache>
                <c:ptCount val="3"/>
                <c:pt idx="0">
                  <c:v>AUDJPY</c:v>
                </c:pt>
                <c:pt idx="1">
                  <c:v>NZDUSD</c:v>
                </c:pt>
                <c:pt idx="2">
                  <c:v>EURUSD</c:v>
                </c:pt>
              </c:strCache>
            </c:strRef>
          </c:cat>
          <c:val>
            <c:numRef>
              <c:f>'PL by Pair'!$K$100</c:f>
              <c:numCache>
                <c:formatCode>#,##0.00</c:formatCode>
                <c:ptCount val="3"/>
                <c:pt idx="0">
                  <c:v>1999.97</c:v>
                </c:pt>
                <c:pt idx="1">
                  <c:v>-19100.77</c:v>
                </c:pt>
                <c:pt idx="2">
                  <c:v>-47605.8</c:v>
                </c:pt>
              </c:numCache>
            </c:numRef>
          </c:val>
        </c:ser>
        <c:dLbls>
          <c:showLegendKey val="0"/>
          <c:showVal val="0"/>
          <c:showCatName val="0"/>
          <c:showSerName val="0"/>
          <c:showPercent val="0"/>
          <c:showBubbleSize val="0"/>
        </c:dLbls>
        <c:gapWidth val="100"/>
        <c:axId val="412897488"/>
        <c:axId val="412889872"/>
      </c:barChart>
      <c:catAx>
        <c:axId val="412897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412889872"/>
        <c:crosses val="autoZero"/>
        <c:auto val="1"/>
        <c:lblAlgn val="ctr"/>
        <c:lblOffset val="100"/>
        <c:noMultiLvlLbl val="0"/>
      </c:catAx>
      <c:valAx>
        <c:axId val="412889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89748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10.xml"/><Relationship Id="rId7" Type="http://schemas.openxmlformats.org/officeDocument/2006/relationships/image" Target="../media/image1.pn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10" Type="http://schemas.openxmlformats.org/officeDocument/2006/relationships/image" Target="../media/image4.png"/><Relationship Id="rId4" Type="http://schemas.openxmlformats.org/officeDocument/2006/relationships/chart" Target="../charts/chart11.xml"/><Relationship Id="rId9"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4</xdr:col>
      <xdr:colOff>219075</xdr:colOff>
      <xdr:row>1</xdr:row>
      <xdr:rowOff>76199</xdr:rowOff>
    </xdr:from>
    <xdr:to>
      <xdr:col>15</xdr:col>
      <xdr:colOff>419100</xdr:colOff>
      <xdr:row>29</xdr:row>
      <xdr:rowOff>47624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18</xdr:col>
      <xdr:colOff>180975</xdr:colOff>
      <xdr:row>13</xdr:row>
      <xdr:rowOff>47624</xdr:rowOff>
    </xdr:from>
    <xdr:to>
      <xdr:col>21</xdr:col>
      <xdr:colOff>180975</xdr:colOff>
      <xdr:row>39</xdr:row>
      <xdr:rowOff>38099</xdr:rowOff>
    </xdr:to>
    <mc:AlternateContent xmlns:mc="http://schemas.openxmlformats.org/markup-compatibility/2006" xmlns:a14="http://schemas.microsoft.com/office/drawing/2010/main">
      <mc:Choice Requires="a14">
        <xdr:graphicFrame macro="">
          <xdr:nvGraphicFramePr>
            <xdr:cNvPr id="3" name="ACCOUNT 1"/>
            <xdr:cNvGraphicFramePr/>
          </xdr:nvGraphicFramePr>
          <xdr:xfrm>
            <a:off x="0" y="0"/>
            <a:ext cx="0" cy="0"/>
          </xdr:xfrm>
          <a:graphic>
            <a:graphicData uri="http://schemas.microsoft.com/office/drawing/2010/slicer">
              <sle:slicer xmlns:sle="http://schemas.microsoft.com/office/drawing/2010/slicer" name="ACCOUNT 1"/>
            </a:graphicData>
          </a:graphic>
        </xdr:graphicFrame>
      </mc:Choice>
      <mc:Fallback xmlns="">
        <xdr:sp macro="" textlink="">
          <xdr:nvSpPr>
            <xdr:cNvPr id="0" name=""/>
            <xdr:cNvSpPr>
              <a:spLocks noTextEdit="1"/>
            </xdr:cNvSpPr>
          </xdr:nvSpPr>
          <xdr:spPr>
            <a:xfrm>
              <a:off x="11591925" y="2524124"/>
              <a:ext cx="1828800" cy="4943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9</xdr:col>
      <xdr:colOff>161925</xdr:colOff>
      <xdr:row>0</xdr:row>
      <xdr:rowOff>180975</xdr:rowOff>
    </xdr:from>
    <xdr:to>
      <xdr:col>22</xdr:col>
      <xdr:colOff>323849</xdr:colOff>
      <xdr:row>38</xdr:row>
      <xdr:rowOff>123825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457200</xdr:colOff>
      <xdr:row>1</xdr:row>
      <xdr:rowOff>142876</xdr:rowOff>
    </xdr:from>
    <xdr:to>
      <xdr:col>20</xdr:col>
      <xdr:colOff>266700</xdr:colOff>
      <xdr:row>37</xdr:row>
      <xdr:rowOff>104775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447674</xdr:colOff>
      <xdr:row>0</xdr:row>
      <xdr:rowOff>95250</xdr:rowOff>
    </xdr:from>
    <xdr:to>
      <xdr:col>20</xdr:col>
      <xdr:colOff>514350</xdr:colOff>
      <xdr:row>36</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266700</xdr:colOff>
      <xdr:row>4</xdr:row>
      <xdr:rowOff>0</xdr:rowOff>
    </xdr:from>
    <xdr:to>
      <xdr:col>14</xdr:col>
      <xdr:colOff>304799</xdr:colOff>
      <xdr:row>36</xdr:row>
      <xdr:rowOff>57149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6</xdr:col>
      <xdr:colOff>47625</xdr:colOff>
      <xdr:row>2</xdr:row>
      <xdr:rowOff>19050</xdr:rowOff>
    </xdr:from>
    <xdr:to>
      <xdr:col>8</xdr:col>
      <xdr:colOff>219075</xdr:colOff>
      <xdr:row>15</xdr:row>
      <xdr:rowOff>66675</xdr:rowOff>
    </xdr:to>
    <mc:AlternateContent xmlns:mc="http://schemas.openxmlformats.org/markup-compatibility/2006" xmlns:a14="http://schemas.microsoft.com/office/drawing/2010/main">
      <mc:Choice Requires="a14">
        <xdr:graphicFrame macro="">
          <xdr:nvGraphicFramePr>
            <xdr:cNvPr id="2" name="TRADEITEM"/>
            <xdr:cNvGraphicFramePr/>
          </xdr:nvGraphicFramePr>
          <xdr:xfrm>
            <a:off x="0" y="0"/>
            <a:ext cx="0" cy="0"/>
          </xdr:xfrm>
          <a:graphic>
            <a:graphicData uri="http://schemas.microsoft.com/office/drawing/2010/slicer">
              <sle:slicer xmlns:sle="http://schemas.microsoft.com/office/drawing/2010/slicer" name="TRADEITEM"/>
            </a:graphicData>
          </a:graphic>
        </xdr:graphicFrame>
      </mc:Choice>
      <mc:Fallback xmlns="">
        <xdr:sp macro="" textlink="">
          <xdr:nvSpPr>
            <xdr:cNvPr id="0" name=""/>
            <xdr:cNvSpPr>
              <a:spLocks noTextEdit="1"/>
            </xdr:cNvSpPr>
          </xdr:nvSpPr>
          <xdr:spPr>
            <a:xfrm>
              <a:off x="5581650" y="4000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838199</xdr:colOff>
      <xdr:row>2</xdr:row>
      <xdr:rowOff>38101</xdr:rowOff>
    </xdr:from>
    <xdr:to>
      <xdr:col>17</xdr:col>
      <xdr:colOff>552449</xdr:colOff>
      <xdr:row>32</xdr:row>
      <xdr:rowOff>28575</xdr:rowOff>
    </xdr:to>
    <xdr:graphicFrame macro="">
      <xdr:nvGraphicFramePr>
        <xdr:cNvPr id="3" name="Chart 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757235</xdr:colOff>
      <xdr:row>1</xdr:row>
      <xdr:rowOff>119062</xdr:rowOff>
    </xdr:from>
    <xdr:to>
      <xdr:col>11</xdr:col>
      <xdr:colOff>704850</xdr:colOff>
      <xdr:row>29</xdr:row>
      <xdr:rowOff>95250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47625</xdr:colOff>
      <xdr:row>0</xdr:row>
      <xdr:rowOff>95250</xdr:rowOff>
    </xdr:from>
    <xdr:to>
      <xdr:col>8</xdr:col>
      <xdr:colOff>381000</xdr:colOff>
      <xdr:row>32</xdr:row>
      <xdr:rowOff>31750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285751</xdr:colOff>
      <xdr:row>33</xdr:row>
      <xdr:rowOff>95251</xdr:rowOff>
    </xdr:from>
    <xdr:to>
      <xdr:col>8</xdr:col>
      <xdr:colOff>364105</xdr:colOff>
      <xdr:row>65</xdr:row>
      <xdr:rowOff>31751</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126999</xdr:colOff>
      <xdr:row>66</xdr:row>
      <xdr:rowOff>142875</xdr:rowOff>
    </xdr:from>
    <xdr:to>
      <xdr:col>8</xdr:col>
      <xdr:colOff>505378</xdr:colOff>
      <xdr:row>98</xdr:row>
      <xdr:rowOff>47625</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174625</xdr:colOff>
      <xdr:row>165</xdr:row>
      <xdr:rowOff>79376</xdr:rowOff>
    </xdr:from>
    <xdr:to>
      <xdr:col>8</xdr:col>
      <xdr:colOff>447995</xdr:colOff>
      <xdr:row>197</xdr:row>
      <xdr:rowOff>63500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277092</xdr:colOff>
      <xdr:row>33</xdr:row>
      <xdr:rowOff>95249</xdr:rowOff>
    </xdr:from>
    <xdr:to>
      <xdr:col>22</xdr:col>
      <xdr:colOff>381001</xdr:colOff>
      <xdr:row>64</xdr:row>
      <xdr:rowOff>158750</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138546</xdr:colOff>
      <xdr:row>0</xdr:row>
      <xdr:rowOff>86591</xdr:rowOff>
    </xdr:from>
    <xdr:to>
      <xdr:col>22</xdr:col>
      <xdr:colOff>450273</xdr:colOff>
      <xdr:row>32</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9</xdr:col>
      <xdr:colOff>127000</xdr:colOff>
      <xdr:row>67</xdr:row>
      <xdr:rowOff>101600</xdr:rowOff>
    </xdr:from>
    <xdr:to>
      <xdr:col>22</xdr:col>
      <xdr:colOff>489733</xdr:colOff>
      <xdr:row>97</xdr:row>
      <xdr:rowOff>105144</xdr:rowOff>
    </xdr:to>
    <xdr:pic>
      <xdr:nvPicPr>
        <xdr:cNvPr id="10" name="Picture 1"/>
        <xdr:cNvPicPr>
          <a:picLocks noChangeAspect="1"/>
        </xdr:cNvPicPr>
      </xdr:nvPicPr>
      <xdr:blipFill>
        <a:blip xmlns:r="http://schemas.openxmlformats.org/officeDocument/2006/relationships" r:embed="rId7"/>
        <a:stretch>
          <a:fillRect/>
        </a:stretch>
      </xdr:blipFill>
      <xdr:spPr>
        <a:xfrm>
          <a:off x="8413750" y="12865100"/>
          <a:ext cx="8287533" cy="5718544"/>
        </a:xfrm>
        <a:prstGeom prst="rect">
          <a:avLst/>
        </a:prstGeom>
      </xdr:spPr>
    </xdr:pic>
    <xdr:clientData/>
  </xdr:twoCellAnchor>
  <xdr:twoCellAnchor editAs="oneCell">
    <xdr:from>
      <xdr:col>9</xdr:col>
      <xdr:colOff>127000</xdr:colOff>
      <xdr:row>100</xdr:row>
      <xdr:rowOff>101600</xdr:rowOff>
    </xdr:from>
    <xdr:to>
      <xdr:col>22</xdr:col>
      <xdr:colOff>489733</xdr:colOff>
      <xdr:row>130</xdr:row>
      <xdr:rowOff>87826</xdr:rowOff>
    </xdr:to>
    <xdr:pic>
      <xdr:nvPicPr>
        <xdr:cNvPr id="11" name="Picture 2"/>
        <xdr:cNvPicPr>
          <a:picLocks noChangeAspect="1"/>
        </xdr:cNvPicPr>
      </xdr:nvPicPr>
      <xdr:blipFill>
        <a:blip xmlns:r="http://schemas.openxmlformats.org/officeDocument/2006/relationships" r:embed="rId8"/>
        <a:stretch>
          <a:fillRect/>
        </a:stretch>
      </xdr:blipFill>
      <xdr:spPr>
        <a:xfrm>
          <a:off x="8413750" y="19151600"/>
          <a:ext cx="8287533" cy="5710751"/>
        </a:xfrm>
        <a:prstGeom prst="rect">
          <a:avLst/>
        </a:prstGeom>
      </xdr:spPr>
    </xdr:pic>
    <xdr:clientData/>
  </xdr:twoCellAnchor>
  <xdr:twoCellAnchor editAs="oneCell">
    <xdr:from>
      <xdr:col>9</xdr:col>
      <xdr:colOff>127000</xdr:colOff>
      <xdr:row>133</xdr:row>
      <xdr:rowOff>101600</xdr:rowOff>
    </xdr:from>
    <xdr:to>
      <xdr:col>22</xdr:col>
      <xdr:colOff>489733</xdr:colOff>
      <xdr:row>163</xdr:row>
      <xdr:rowOff>105144</xdr:rowOff>
    </xdr:to>
    <xdr:pic>
      <xdr:nvPicPr>
        <xdr:cNvPr id="17" name="Picture 3"/>
        <xdr:cNvPicPr>
          <a:picLocks noChangeAspect="1"/>
        </xdr:cNvPicPr>
      </xdr:nvPicPr>
      <xdr:blipFill>
        <a:blip xmlns:r="http://schemas.openxmlformats.org/officeDocument/2006/relationships" r:embed="rId9"/>
        <a:stretch>
          <a:fillRect/>
        </a:stretch>
      </xdr:blipFill>
      <xdr:spPr>
        <a:xfrm>
          <a:off x="8413750" y="25447625"/>
          <a:ext cx="8287533" cy="5718544"/>
        </a:xfrm>
        <a:prstGeom prst="rect">
          <a:avLst/>
        </a:prstGeom>
      </xdr:spPr>
    </xdr:pic>
    <xdr:clientData/>
  </xdr:twoCellAnchor>
  <xdr:twoCellAnchor editAs="oneCell">
    <xdr:from>
      <xdr:col>9</xdr:col>
      <xdr:colOff>127000</xdr:colOff>
      <xdr:row>166</xdr:row>
      <xdr:rowOff>101600</xdr:rowOff>
    </xdr:from>
    <xdr:to>
      <xdr:col>22</xdr:col>
      <xdr:colOff>489733</xdr:colOff>
      <xdr:row>196</xdr:row>
      <xdr:rowOff>105144</xdr:rowOff>
    </xdr:to>
    <xdr:pic>
      <xdr:nvPicPr>
        <xdr:cNvPr id="18" name="Picture 4"/>
        <xdr:cNvPicPr>
          <a:picLocks noChangeAspect="1"/>
        </xdr:cNvPicPr>
      </xdr:nvPicPr>
      <xdr:blipFill>
        <a:blip xmlns:r="http://schemas.openxmlformats.org/officeDocument/2006/relationships" r:embed="rId10"/>
        <a:stretch>
          <a:fillRect/>
        </a:stretch>
      </xdr:blipFill>
      <xdr:spPr>
        <a:xfrm>
          <a:off x="8413750" y="31734125"/>
          <a:ext cx="8287533" cy="5718544"/>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r:id="rId1" refreshedBy="gcaglion" refreshedDate="41989.405198032407" createdVersion="5" refreshedVersion="5" minRefreshableVersion="3" recordCount="45193">
  <cacheSource type="external" connectionId="2"/>
  <cacheFields count="8">
    <cacheField name="ACCOUNT" numFmtId="0" sqlType="12">
      <sharedItems count="17">
        <s v="1501637 - MZ-Alpari"/>
        <s v="1505425 - T-Alpari"/>
        <s v="2131916 - G-XM"/>
        <s v="2148515 - L-XM"/>
        <s v="2171896 - I-XM"/>
        <s v="620082 - Alpari-Demo"/>
        <s v="774022 - G-Alpari"/>
        <s v="774678 - M-Alpari"/>
        <s v="775191 - I-Alpari"/>
        <s v="776849 - A-Alpari"/>
        <s v="776980 - R-Alpari"/>
        <s v="776982 - V-Alpari"/>
        <s v="777094 - G-Alpari2"/>
        <s v="87012568 - T-FXCM"/>
        <s v="917261 - S-Alpari"/>
        <s v="918062 - IN-Alpari"/>
        <s v="918583 - LE-Alpari"/>
      </sharedItems>
    </cacheField>
    <cacheField name="WEEK" numFmtId="0" sqlType="6">
      <sharedItems containsSemiMixedTypes="0" containsString="0" containsNumber="1" minValue="13.41" maxValue="14.51" count="62">
        <n v="14.27"/>
        <n v="14.28"/>
        <n v="14.29"/>
        <n v="14.3"/>
        <n v="14.31"/>
        <n v="14.32"/>
        <n v="14.33"/>
        <n v="14.34"/>
        <n v="14.35"/>
        <n v="14.36"/>
        <n v="14.37"/>
        <n v="14.38"/>
        <n v="14.39"/>
        <n v="14.4"/>
        <n v="14.41"/>
        <n v="14.42"/>
        <n v="14.43"/>
        <n v="14.44"/>
        <n v="14.45"/>
        <n v="14.46"/>
        <n v="14.47"/>
        <n v="14.48"/>
        <n v="14.49"/>
        <n v="14.5"/>
        <n v="14.51"/>
        <n v="14.24"/>
        <n v="14.26"/>
        <n v="13.42"/>
        <n v="13.43"/>
        <n v="13.44"/>
        <n v="13.45"/>
        <n v="13.46"/>
        <n v="13.47"/>
        <n v="13.48"/>
        <n v="13.49"/>
        <n v="13.5"/>
        <n v="13.51"/>
        <n v="14.01"/>
        <n v="14.02"/>
        <n v="14.03"/>
        <n v="14.04"/>
        <n v="14.05"/>
        <n v="14.06"/>
        <n v="14.07"/>
        <n v="14.08"/>
        <n v="14.09"/>
        <n v="14.1"/>
        <n v="14.11"/>
        <n v="14.12"/>
        <n v="14.13"/>
        <n v="14.14"/>
        <n v="14.15"/>
        <n v="14.16"/>
        <n v="14.17"/>
        <n v="14.18"/>
        <n v="14.19"/>
        <n v="14.2"/>
        <n v="14.21"/>
        <n v="14.22"/>
        <n v="14.23"/>
        <n v="14.25"/>
        <n v="13.41"/>
      </sharedItems>
    </cacheField>
    <cacheField name="TRADEITEM" numFmtId="0" sqlType="1">
      <sharedItems count="17">
        <s v="GBPNZD"/>
        <s v="AUDCAD"/>
        <s v="USDJPY"/>
        <s v="EURUSD"/>
        <s v="AUDJPY"/>
        <s v="GBPUSD"/>
        <s v="NZDUSD"/>
        <s v="EURAUD"/>
        <s v="NZDCHF"/>
        <s v="EURGBP"/>
        <s v="USDCHF"/>
        <s v="GBPAUD"/>
        <s v="CADJPY"/>
        <s v="AUDUSD"/>
        <s v="XAUUSD"/>
        <s v="AUDNZD" u="1"/>
        <s v="GOLD" u="1"/>
      </sharedItems>
    </cacheField>
    <cacheField name="CHCUR" numFmtId="0" sqlType="6">
      <sharedItems containsString="0" containsBlank="1" containsNumber="1" minValue="0.77076999999999996" maxValue="1338.5"/>
    </cacheField>
    <cacheField name="CHMIN" numFmtId="0" sqlType="6">
      <sharedItems containsSemiMixedTypes="0" containsString="0" containsNumber="1" minValue="0.73201000000000005" maxValue="1382.65"/>
    </cacheField>
    <cacheField name="CHMAX" numFmtId="0" sqlType="6">
      <sharedItems containsSemiMixedTypes="0" containsString="0" containsNumber="1" minValue="0.76685000000000003" maxValue="1390"/>
    </cacheField>
    <cacheField name="CHAVG" numFmtId="0" sqlType="6">
      <sharedItems containsSemiMixedTypes="0" containsString="0" containsNumber="1" minValue="0.74943000000000004" maxValue="1382.9549999999999"/>
    </cacheField>
    <cacheField name="CHWIDTH" numFmtId="0" sqlType="6">
      <sharedItems containsSemiMixedTypes="0" containsString="0" containsNumber="1" minValue="0" maxValue="1750.47"/>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1989.405803703703" createdVersion="5" refreshedVersion="5" minRefreshableVersion="3" recordCount="25">
  <cacheSource type="external" connectionId="1"/>
  <cacheFields count="7">
    <cacheField name="Account" numFmtId="0" sqlType="12">
      <sharedItems count="17">
        <s v="1505425 - T-Alpari"/>
        <s v="2148515 - L-XM"/>
        <s v="774022 - G-Alpari"/>
        <s v="774678 - M-Alpari"/>
        <s v="775191 - I-Alpari"/>
        <s v="776849 - A-Alpari"/>
        <s v="776980 - R-Alpari"/>
        <s v="776982 - V-Alpari"/>
        <s v="777094 - G-Alpari2"/>
        <s v="918062 - IN-Alpari"/>
        <s v="918583 - LE-Alpari" u="1"/>
        <s v="620082 - Alpari-Demo" u="1"/>
        <s v="2171896 - I-XM" u="1"/>
        <s v="1501637 - MZ-Alpari" u="1"/>
        <s v="2131916 - G-XM" u="1"/>
        <s v="917261 - S-Alpari" u="1"/>
        <s v="87012568 - T-FXCM" u="1"/>
      </sharedItems>
    </cacheField>
    <cacheField name="TRADEITEM" numFmtId="0" sqlType="1">
      <sharedItems count="19">
        <s v="AUDJPY"/>
        <s v="GBPUSD"/>
        <s v="EURGBP"/>
        <s v="GBPAUD"/>
        <s v="NZDUSD"/>
        <s v="EURUSD"/>
        <s v="CADJPY"/>
        <s v="GBPNZD"/>
        <s v="AUDUSD"/>
        <s v="USDJPY"/>
        <s v="USDCHF"/>
        <s v="EURAUD"/>
        <s v="XAUUSD"/>
        <s v="AUDNZD" u="1"/>
        <s v="NZDCHF" u="1"/>
        <s v="GOLD" u="1"/>
        <s v="GBPJPY" u="1"/>
        <s v="NZDJPY" u="1"/>
        <s v="AUDCAD" u="1"/>
      </sharedItems>
    </cacheField>
    <cacheField name="OPENPL" numFmtId="0" sqlType="6">
      <sharedItems containsSemiMixedTypes="0" containsString="0" containsNumber="1" minValue="-51700.77" maxValue="-87.31" count="25">
        <n v="-1578.54"/>
        <n v="-845.07"/>
        <n v="-10461.200000000001"/>
        <n v="-16497.849999999999"/>
        <n v="-11566.81"/>
        <n v="-1741.81"/>
        <n v="-7920.4"/>
        <n v="-10400.85"/>
        <n v="-972.86"/>
        <n v="-4042.98"/>
        <n v="-28901.97"/>
        <n v="-13715.59"/>
        <n v="-2710"/>
        <n v="-50283.62"/>
        <n v="-7062.96"/>
        <n v="-7058.29"/>
        <n v="-7244.7"/>
        <n v="-12228.81"/>
        <n v="-2164.44"/>
        <n v="-12825.96"/>
        <n v="-19558.150000000001"/>
        <n v="-9493.5499999999993"/>
        <n v="-27756.94"/>
        <n v="-51700.77"/>
        <n v="-87.31"/>
      </sharedItems>
    </cacheField>
    <cacheField name="AVGASK" numFmtId="0" sqlType="6">
      <sharedItems containsSemiMixedTypes="0" containsString="0" containsNumber="1" minValue="0.77473999999999998" maxValue="1196.4739999999999" count="23">
        <n v="96.245999999999995"/>
        <n v="1.5643309523809523"/>
        <n v="0.79454000000000002"/>
        <n v="1.9037299999999999"/>
        <n v="0.77473999999999998"/>
        <n v="1.2474499999999999"/>
        <n v="0.77474900000000002"/>
        <n v="100.35958823529411"/>
        <n v="1.2474400000000001"/>
        <n v="2.0220500000000001"/>
        <n v="0.82272000000000001"/>
        <n v="0.79691999999999996"/>
        <n v="2.0218799999999999"/>
        <n v="116.88682142857142"/>
        <n v="0.82255"/>
        <n v="100.35599999999999"/>
        <n v="0.79688999999999999"/>
        <n v="1.24746"/>
        <n v="0.96289333333333338"/>
        <n v="1.5168600000000001"/>
        <n v="116.898"/>
        <n v="1196.4739999999999"/>
        <n v="1.24742"/>
      </sharedItems>
    </cacheField>
    <cacheField name="CHMIN" numFmtId="0" sqlType="6">
      <sharedItems containsSemiMixedTypes="0" containsString="0" containsNumber="1" minValue="0.77349999999999997" maxValue="1194.9939999999999" count="22">
        <n v="91.8"/>
        <n v="1.5549900000000001"/>
        <n v="0.77800000000000002"/>
        <n v="1.3711599999999999"/>
        <n v="0.77349999999999997"/>
        <n v="1.2769999999999999"/>
        <n v="0.79349000000000003"/>
        <n v="91.099000000000004"/>
        <n v="1.24095"/>
        <n v="1.9189400000000001"/>
        <n v="0.86353000000000002"/>
        <n v="0.78596999999999995"/>
        <n v="1.91"/>
        <n v="101"/>
        <n v="0.86550000000000005"/>
        <n v="90.8"/>
        <n v="0.77998000000000001"/>
        <n v="1.27389"/>
        <n v="0.87092000000000003"/>
        <n v="1.4168400000000001"/>
        <n v="1194.9939999999999"/>
        <n v="1.2649999999999999"/>
      </sharedItems>
    </cacheField>
    <cacheField name="CHMAX" numFmtId="0" sqlType="6">
      <sharedItems containsSemiMixedTypes="0" containsString="0" containsNumber="1" minValue="0.84" maxValue="1390" count="21">
        <n v="102.804"/>
        <n v="1.6180600000000001"/>
        <n v="0.85799999999999998"/>
        <n v="1.8480000000000001"/>
        <n v="0.87961999999999996"/>
        <n v="1.397"/>
        <n v="99.807000000000002"/>
        <n v="1.39151"/>
        <n v="2.0619200000000002"/>
        <n v="0.94952999999999999"/>
        <n v="0.84"/>
        <n v="2.0459499999999999"/>
        <n v="109.196"/>
        <n v="100.015"/>
        <n v="2.03809"/>
        <n v="0.94899999999999995"/>
        <n v="1.554"/>
        <n v="2.0621200000000002"/>
        <n v="109.19799999999999"/>
        <n v="1390"/>
        <n v="1.3970800000000001"/>
      </sharedItems>
    </cacheField>
    <cacheField name="Position" numFmtId="0" formula="MIN((AVGASK-CHMIN)/(CHMAX-CHMIN),1-(AVGASK-CHMIN)/(CHMAX-CHMIN))" databaseField="0"/>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1989.407906828703" createdVersion="5" refreshedVersion="5" minRefreshableVersion="3" recordCount="3745">
  <cacheSource type="external" connectionId="11"/>
  <cacheFields count="5">
    <cacheField name="ACCOUNT" numFmtId="0" sqlType="12">
      <sharedItems count="1472">
        <s v="1501637 - MZ-Alpari"/>
        <s v="1505425 - T-Alpari"/>
        <s v="2131916 - G-XM"/>
        <s v="2148515 - L-XM"/>
        <s v="2171896 - I-XM"/>
        <s v="620082 - Alpari-Demo"/>
        <s v="774022 - G-Alpari"/>
        <s v="774678 - M-Alpari"/>
        <s v="775191 - I-Alpari"/>
        <s v="776849 - A-Alpari"/>
        <s v="776980 - R-Alpari"/>
        <s v="776982 - V-Alpari"/>
        <s v="777094 - G-Alpari2"/>
        <s v="87012568 - T-FXCM"/>
        <s v="917261 - S-Alpari"/>
        <s v="918062 - IN-Alpari"/>
        <s v="918583 - LE-Alpari"/>
        <s v="2131916 - 14-FEB-14" u="1"/>
        <s v="775191 - 09-MAY-14" u="1"/>
        <s v="777094 - 12-JUN-14" u="1"/>
        <s v="774022 - 13-JUN-14" u="1"/>
        <s v="2131916 - 05-NOV-13" u="1"/>
        <s v="2131916 - 24-FEB-14" u="1"/>
        <s v="777094 - 13-JUN-14" u="1"/>
        <s v="2131916 - 15-NOV-13" u="1"/>
        <s v="775191 - 20-JUN-14" u="1"/>
        <s v="2148515 - 02-JUN-14" u="1"/>
        <s v="2131916 - 25-NOV-13" u="1"/>
        <s v="2131916 - 15-JAN-14" u="1"/>
        <s v="2131916 - 10-JUL-13" u="1"/>
        <s v="2148515 - 12-JUN-14" u="1"/>
        <s v="87012568 - 26-MAY-14" u="1"/>
        <s v="774022 - 16-JUN-14" u="1"/>
        <s v="774022 - 02-JUN-14" u="1"/>
        <s v="777094 - 16-JUN-14" u="1"/>
        <s v="777094 - 02-JUN-14" u="1"/>
        <s v="774022 - 17-JUN-14" u="1"/>
        <s v="774022 - 03-JUN-14" u="1"/>
        <s v="2131916 - 30-JUL-13" u="1"/>
        <s v="2148515 - 10-DEC-13" u="1"/>
        <s v="2148515 - 04-MAR-14" u="1"/>
        <s v="777094 - 17-JUN-14" u="1"/>
        <s v="777094 - 03-JUN-14" u="1"/>
        <s v="774022 - 18-JUN-14" u="1"/>
        <s v="774022 - 04-JUN-14" u="1"/>
        <s v="774678 - 31-MAR-14" u="1"/>
        <s v="775191 - 10-JUN-14" u="1"/>
        <s v="2131916 - 04-JUN-13" u="1"/>
        <s v="2131916 - 08-JUL-13" u="1"/>
        <s v="2148515 - 20-DEC-13" u="1"/>
        <s v="774022 - 30-DEC-13" u="1"/>
        <s v="2148515 - 14-MAR-14" u="1"/>
        <s v="777094 - 18-JUN-14" u="1"/>
        <s v="777094 - 04-JUN-14" u="1"/>
        <s v="774022 - 19-JUN-14" u="1"/>
        <s v="774022 - 05-JUN-14" u="1"/>
        <s v="775191 - 11-JUN-14" u="1"/>
        <s v="2131916 - 14-JUN-13" u="1"/>
        <s v="2131916 - 18-JUL-13" u="1"/>
        <s v="2148515 - 30-DEC-13" u="1"/>
        <s v="774022 - 31-DEC-13" u="1"/>
        <s v="2148515 - 10-APR-14" u="1"/>
        <s v="2148515 - 24-MAR-14" u="1"/>
        <s v="777094 - 19-JUN-14" u="1"/>
        <s v="777094 - 05-JUN-14" u="1"/>
        <s v="774022 - 06-JUN-14" u="1"/>
        <s v="775191 - 12-JUN-14" u="1"/>
        <s v="2131916 - 24-JUN-13" u="1"/>
        <s v="777094 - 06-JUN-14" u="1"/>
        <s v="774678 - 20-MAR-14" u="1"/>
        <s v="775191 - 13-JUN-14" u="1"/>
        <s v="2148515 - 18-DEC-13" u="1"/>
        <s v="2148515 - 30-APR-14" u="1"/>
        <s v="774678 - 21-MAR-14" u="1"/>
        <s v="2148515 - 08-APR-14" u="1"/>
        <s v="774022 - 20-DEC-13" u="1"/>
        <s v="2131916 - 20-AUG-13" u="1"/>
        <s v="774022 - 09-JUN-14" u="1"/>
        <s v="2171896 - 04-JUN-14" u="1"/>
        <s v="2131916 - 30-AUG-13" u="1"/>
        <s v="777094 - 09-JUN-14" u="1"/>
        <s v="2131916 - 02-DEC-13" u="1"/>
        <s v="775191 - 16-JUN-14" u="1"/>
        <s v="775191 - 02-JUN-14" u="1"/>
        <s v="2131916 - 22-APR-13" u="1"/>
        <s v="2148515 - 28-APR-14" u="1"/>
        <s v="2131916 - 08-AUG-13" u="1"/>
        <s v="2131916 - 12-DEC-13" u="1"/>
        <s v="774678 - 24-MAR-14" u="1"/>
        <s v="775191 - 17-JUN-14" u="1"/>
        <s v="774678 - 10-MAR-14" u="1"/>
        <s v="775191 - 03-JUN-14" u="1"/>
        <s v="2131916 - 06-MAR-14" u="1"/>
        <s v="2148515 - 06-MAY-14" u="1"/>
        <s v="774022 - 23-DEC-13" u="1"/>
        <s v="774678 - 25-MAR-14" u="1"/>
        <s v="775191 - 18-JUN-14" u="1"/>
        <s v="2131916 - 10-MAY-13" u="1"/>
        <s v="774678 - 11-MAR-14" u="1"/>
        <s v="775191 - 04-JUN-14" u="1"/>
        <s v="2131916 - 02-APR-14" u="1"/>
        <s v="2148515 - 16-MAY-14" u="1"/>
        <s v="2131916 - 28-AUG-13" u="1"/>
        <s v="774022 - 24-DEC-13" u="1"/>
        <s v="774022 - 10-DEC-13" u="1"/>
        <s v="774678 - 26-MAR-14" u="1"/>
        <s v="775191 - 19-JUN-14" u="1"/>
        <s v="2131916 - 20-MAY-13" u="1"/>
        <s v="774678 - 12-MAR-14" u="1"/>
        <s v="775191 - 05-JUN-14" u="1"/>
        <s v="2131916 - 26-MAR-14" u="1"/>
        <s v="2148515 - 26-MAY-14" u="1"/>
        <s v="2171896 - 02-APR-14" u="1"/>
        <s v="774022 - 11-DEC-13" u="1"/>
        <s v="774678 - 27-MAR-14" u="1"/>
        <s v="2131916 - 30-MAY-13" u="1"/>
        <s v="774678 - 13-MAR-14" u="1"/>
        <s v="775191 - 06-JUN-14" u="1"/>
        <s v="2171896 - 26-MAR-14" u="1"/>
        <s v="774022 - 26-DEC-13" u="1"/>
        <s v="774022 - 12-DEC-13" u="1"/>
        <s v="2131916 - 08-MAY-13" u="1"/>
        <s v="774678 - 28-MAR-14" u="1"/>
        <s v="774678 - 14-MAR-14" u="1"/>
        <s v="2171896 - 22-APR-14" u="1"/>
        <s v="774022 - 27-DEC-13" u="1"/>
        <s v="774022 - 13-DEC-13" u="1"/>
        <s v="87012568 - 19-MAY-14" u="1"/>
        <s v="774678 - 30-MAY-14" u="1"/>
        <s v="2131916 - 28-MAY-13" u="1"/>
        <s v="87012568 - 27-MAY-14" u="1"/>
        <s v="775191 - 09-JUN-14" u="1"/>
        <s v="2171896 - 20-MAY-14" u="1"/>
        <s v="774678 - 17-MAR-14" u="1"/>
        <s v="774678 - 03-MAR-14" u="1"/>
        <s v="774022 - 16-DEC-13" u="1"/>
        <s v="774022 - 02-DEC-13" u="1"/>
        <s v="2131916 - 08-MAY-14" u="1"/>
        <s v="2171896 - 30-MAY-14" u="1"/>
        <s v="774678 - 18-MAR-14" u="1"/>
        <s v="774678 - 04-MAR-14" u="1"/>
        <s v="774022 - 17-DEC-13" u="1"/>
        <s v="774022 - 03-DEC-13" u="1"/>
        <s v="2171896 - 08-MAY-14" u="1"/>
        <s v="774678 - 19-MAR-14" u="1"/>
        <s v="774678 - 05-MAR-14" u="1"/>
        <s v="776849 - 31-MAR-14" u="1"/>
        <s v="774022 - 18-DEC-13" u="1"/>
        <s v="774022 - 04-DEC-13" u="1"/>
        <s v="2131916 - 28-MAY-14" u="1"/>
        <s v="2148515 - 21-OCT-13" u="1"/>
        <s v="774678 - 20-MAY-14" u="1"/>
        <s v="774678 - 06-MAR-14" u="1"/>
        <s v="774022 - 19-DEC-13" u="1"/>
        <s v="2148515 - 03-FEB-14" u="1"/>
        <s v="774022 - 05-DEC-13" u="1"/>
        <s v="2148515 - 31-OCT-13" u="1"/>
        <s v="2171896 - 28-MAY-14" u="1"/>
        <s v="774678 - 21-MAY-14" u="1"/>
        <s v="774678 - 07-MAR-14" u="1"/>
        <s v="2148515 - 13-FEB-14" u="1"/>
        <s v="774022 - 06-DEC-13" u="1"/>
        <s v="2148515 - 09-OCT-13" u="1"/>
        <s v="774678 - 22-MAY-14" u="1"/>
        <s v="2148515 - 04-NOV-13" u="1"/>
        <s v="776849 - 20-MAR-14" u="1"/>
        <s v="774678 - 23-MAY-14" u="1"/>
        <s v="2148515 - 14-NOV-13" u="1"/>
        <s v="776849 - 21-MAR-14" u="1"/>
        <s v="2148515 - 29-OCT-13" u="1"/>
        <s v="2148515 - 14-JAN-14" u="1"/>
        <s v="774022 - 09-DEC-13" u="1"/>
        <s v="2131916 - 04-SEP-13" u="1"/>
        <s v="2148515 - 24-JAN-14" u="1"/>
        <s v="2131916 - 03-OCT-13" u="1"/>
        <s v="774678 - 26-MAY-14" u="1"/>
        <s v="774678 - 12-MAY-14" u="1"/>
        <s v="776849 - 24-MAR-14" u="1"/>
        <s v="776849 - 10-MAR-14" u="1"/>
        <s v="2131916 - 24-SEP-13" u="1"/>
        <s v="774678 - 27-MAY-14" u="1"/>
        <s v="774678 - 13-MAY-14" u="1"/>
        <s v="776980 - 31-MAR-14" u="1"/>
        <s v="776982 - 31-MAR-14" u="1"/>
        <s v="776849 - 25-MAR-14" u="1"/>
        <s v="776849 - 11-MAR-14" u="1"/>
        <s v="2131916 - 23-OCT-13" u="1"/>
        <s v="774678 - 28-MAY-14" u="1"/>
        <s v="774678 - 14-MAY-14" u="1"/>
        <s v="2131916 - 05-FEB-14" u="1"/>
        <s v="776849 - 26-MAR-14" u="1"/>
        <s v="776849 - 12-MAR-14" u="1"/>
        <s v="774678 - 29-MAY-14" u="1"/>
        <s v="774678 - 15-MAY-14" u="1"/>
        <s v="774678 - 01-MAY-14" u="1"/>
        <s v="776849 - 27-MAR-14" u="1"/>
        <s v="776849 - 13-MAR-14" u="1"/>
        <s v="2131916 - 06-NOV-13" u="1"/>
        <s v="774678 - 16-MAY-14" u="1"/>
        <s v="774678 - 02-MAY-14" u="1"/>
        <s v="2131916 - 25-FEB-14" u="1"/>
        <s v="776849 - 28-MAR-14" u="1"/>
        <s v="776980 - 20-MAR-14" u="1"/>
        <s v="776982 - 20-MAR-14" u="1"/>
        <s v="776849 - 14-MAR-14" u="1"/>
        <s v="2131916 - 06-JAN-14" u="1"/>
        <s v="2131916 - 01-JUL-13" u="1"/>
        <s v="2148515 - 03-JUN-14" u="1"/>
        <s v="87012568 - 28-MAY-14" u="1"/>
        <s v="776980 - 21-MAR-14" u="1"/>
        <s v="776982 - 21-MAR-14" u="1"/>
        <s v="2131916 - 26-NOV-13" u="1"/>
        <s v="2131916 - 16-JAN-14" u="1"/>
        <s v="2131916 - 11-JUL-13" u="1"/>
        <s v="2148515 - 13-JUN-14" u="1"/>
        <s v="776849 - 30-MAY-14" u="1"/>
        <s v="774678 - 19-MAY-14" u="1"/>
        <s v="774678 - 05-MAY-14" u="1"/>
        <s v="918062 - 30-APR-14" u="1"/>
        <s v="776849 - 17-MAR-14" u="1"/>
        <s v="776849 - 03-MAR-14" u="1"/>
        <s v="2131916 - 31-JUL-13" u="1"/>
        <s v="2148515 - 11-DEC-13" u="1"/>
        <s v="774678 - 06-MAY-14" u="1"/>
        <s v="2148515 - 05-MAR-14" u="1"/>
        <s v="776980 - 24-MAR-14" u="1"/>
        <s v="776982 - 24-MAR-14" u="1"/>
        <s v="776849 - 18-MAR-14" u="1"/>
        <s v="776980 - 10-MAR-14" u="1"/>
        <s v="776982 - 10-MAR-14" u="1"/>
        <s v="776849 - 04-MAR-14" u="1"/>
        <s v="2131916 - 05-JUN-13" u="1"/>
        <s v="2131916 - 09-JUL-13" u="1"/>
        <s v="774678 - 07-MAY-14" u="1"/>
        <s v="2148515 - 01-APR-14" u="1"/>
        <s v="776980 - 25-MAR-14" u="1"/>
        <s v="776982 - 25-MAR-14" u="1"/>
        <s v="87012568 - 01-JUN-14" u="1"/>
        <s v="776849 - 19-MAR-14" u="1"/>
        <s v="776980 - 11-MAR-14" u="1"/>
        <s v="776982 - 11-MAR-14" u="1"/>
        <s v="776849 - 05-MAR-14" u="1"/>
        <s v="2131916 - 19-JUL-13" u="1"/>
        <s v="2148515 - 31-DEC-13" u="1"/>
        <s v="774678 - 08-MAY-14" u="1"/>
        <s v="2148515 - 11-APR-14" u="1"/>
        <s v="2148515 - 25-MAR-14" u="1"/>
        <s v="776849 - 20-MAY-14" u="1"/>
        <s v="776980 - 26-MAR-14" u="1"/>
        <s v="776982 - 26-MAR-14" u="1"/>
        <s v="774022 - 20-FEB-14" u="1"/>
        <s v="776980 - 12-MAR-14" u="1"/>
        <s v="776982 - 12-MAR-14" u="1"/>
        <s v="776849 - 06-MAR-14" u="1"/>
        <s v="2131916 - 25-JUN-13" u="1"/>
        <s v="2131916 - 29-JUL-13" u="1"/>
        <s v="2148515 - 09-DEC-13" u="1"/>
        <s v="774678 - 09-MAY-14" u="1"/>
        <s v="2148515 - 21-APR-14" u="1"/>
        <s v="776849 - 21-MAY-14" u="1"/>
        <s v="776980 - 27-MAR-14" u="1"/>
        <s v="776982 - 27-MAR-14" u="1"/>
        <s v="2131916 - 01-AUG-13" u="1"/>
        <s v="774022 - 21-FEB-14" u="1"/>
        <s v="776980 - 13-MAR-14" u="1"/>
        <s v="776982 - 13-MAR-14" u="1"/>
        <s v="776849 - 07-MAR-14" u="1"/>
        <s v="2148515 - 19-DEC-13" u="1"/>
        <s v="776849 - 22-MAY-14" u="1"/>
        <s v="776980 - 28-MAR-14" u="1"/>
        <s v="776982 - 28-MAR-14" u="1"/>
        <s v="774678 - 20-JUN-14" u="1"/>
        <s v="776980 - 14-MAR-14" u="1"/>
        <s v="776982 - 14-MAR-14" u="1"/>
        <s v="2131916 - 05-JUN-14" u="1"/>
        <s v="2148515 - 09-APR-14" u="1"/>
        <s v="2131916 - 21-AUG-13" u="1"/>
        <s v="2171896 - 05-JUN-14" u="1"/>
        <s v="776980 - 30-MAY-14" u="1"/>
        <s v="776982 - 30-MAY-14" u="1"/>
        <s v="774022 - 24-FEB-14" u="1"/>
        <s v="774022 - 10-FEB-14" u="1"/>
        <s v="2131916 - 03-DEC-13" u="1"/>
        <s v="2131916 - 23-APR-13" u="1"/>
        <s v="2148515 - 29-APR-14" u="1"/>
        <s v="2131916 - 09-AUG-13" u="1"/>
        <s v="774022 - 25-FEB-14" u="1"/>
        <s v="776980 - 17-MAR-14" u="1"/>
        <s v="776982 - 17-MAR-14" u="1"/>
        <s v="774022 - 11-FEB-14" u="1"/>
        <s v="2131916 - 13-DEC-13" u="1"/>
        <s v="2131916 - 01-MAY-13" u="1"/>
        <s v="2131916 - 07-MAR-14" u="1"/>
        <s v="2148515 - 07-MAY-14" u="1"/>
        <s v="2131916 - 19-AUG-13" u="1"/>
        <s v="776849 - 26-MAY-14" u="1"/>
        <s v="774022 - 26-FEB-14" u="1"/>
        <s v="776849 - 12-MAY-14" u="1"/>
        <s v="776980 - 18-MAR-14" u="1"/>
        <s v="776982 - 18-MAR-14" u="1"/>
        <s v="774022 - 12-FEB-14" u="1"/>
        <s v="774678 - 10-JUN-14" u="1"/>
        <s v="2131916 - 23-DEC-13" u="1"/>
        <s v="2131916 - 03-APR-14" u="1"/>
        <s v="2131916 - 17-MAR-14" u="1"/>
        <s v="2131916 - 29-AUG-13" u="1"/>
        <s v="776849 - 27-MAY-14" u="1"/>
        <s v="774022 - 27-FEB-14" u="1"/>
        <s v="776849 - 13-MAY-14" u="1"/>
        <s v="776980 - 19-MAR-14" u="1"/>
        <s v="776982 - 19-MAR-14" u="1"/>
        <s v="774022 - 13-FEB-14" u="1"/>
        <s v="774678 - 11-JUN-14" u="1"/>
        <s v="2131916 - 21-MAY-13" u="1"/>
        <s v="2131916 - 27-MAR-14" u="1"/>
        <s v="2148515 - 27-MAY-14" u="1"/>
        <s v="2171896 - 03-APR-14" u="1"/>
        <s v="2171896 - 17-MAR-14" u="1"/>
        <s v="776849 - 28-MAY-14" u="1"/>
        <s v="776980 - 20-MAY-14" u="1"/>
        <s v="776982 - 20-MAY-14" u="1"/>
        <s v="774022 - 28-FEB-14" u="1"/>
        <s v="776849 - 14-MAY-14" u="1"/>
        <s v="774022 - 14-FEB-14" u="1"/>
        <s v="774678 - 12-JUN-14" u="1"/>
        <s v="776980 - 06-MAR-14" u="1"/>
        <s v="776982 - 06-MAR-14" u="1"/>
        <s v="775191 - 20-FEB-14" u="1"/>
        <s v="2131916 - 31-MAY-13" u="1"/>
        <s v="2171896 - 27-MAR-14" u="1"/>
        <s v="776849 - 29-MAY-14" u="1"/>
        <s v="776980 - 21-MAY-14" u="1"/>
        <s v="776982 - 21-MAY-14" u="1"/>
        <s v="776849 - 15-MAY-14" u="1"/>
        <s v="774678 - 13-JUN-14" u="1"/>
        <s v="776849 - 01-MAY-14" u="1"/>
        <s v="776980 - 07-MAR-14" u="1"/>
        <s v="776982 - 07-MAR-14" u="1"/>
        <s v="775191 - 21-FEB-14" u="1"/>
        <s v="2131916 - 09-MAY-13" u="1"/>
        <s v="2171896 - 23-APR-14" u="1"/>
        <s v="776980 - 22-MAY-14" u="1"/>
        <s v="776982 - 22-MAY-14" u="1"/>
        <s v="918062 - 29-APR-14" u="1"/>
        <s v="776849 - 16-MAY-14" u="1"/>
        <s v="776849 - 02-MAY-14" u="1"/>
        <s v="87012568 - 29-MAY-14" u="1"/>
        <s v="2171896 - 01-MAY-14" u="1"/>
        <s v="776980 - 23-MAY-14" u="1"/>
        <s v="776982 - 23-MAY-14" u="1"/>
        <s v="774022 - 17-FEB-14" u="1"/>
        <s v="774022 - 03-FEB-14" u="1"/>
        <s v="2131916 - 29-MAY-13" u="1"/>
        <s v="2131916 - 21-MAY-14" u="1"/>
        <s v="774022 - 18-FEB-14" u="1"/>
        <s v="774678 - 16-JUN-14" u="1"/>
        <s v="774022 - 04-FEB-14" u="1"/>
        <s v="774678 - 02-JUN-14" u="1"/>
        <s v="775191 - 24-FEB-14" u="1"/>
        <s v="775191 - 10-FEB-14" u="1"/>
        <s v="2171896 - 21-MAY-14" u="1"/>
        <s v="917261 - 30-APR-14" u="1"/>
        <s v="776849 - 19-MAY-14" u="1"/>
        <s v="774022 - 19-FEB-14" u="1"/>
        <s v="774678 - 17-JUN-14" u="1"/>
        <s v="776849 - 05-MAY-14" u="1"/>
        <s v="774022 - 05-FEB-14" u="1"/>
        <s v="774678 - 03-JUN-14" u="1"/>
        <s v="775191 - 25-FEB-14" u="1"/>
        <s v="2131916 - 09-MAY-14" u="1"/>
        <s v="775191 - 11-FEB-14" u="1"/>
        <s v="776982 - 26-MAY-14" u="1"/>
        <s v="776980 - 12-MAY-14" u="1"/>
        <s v="776982 - 12-MAY-14" u="1"/>
        <s v="774678 - 18-JUN-14" u="1"/>
        <s v="776849 - 06-MAY-14" u="1"/>
        <s v="774022 - 06-FEB-14" u="1"/>
        <s v="774678 - 04-JUN-14" u="1"/>
        <s v="775191 - 26-FEB-14" u="1"/>
        <s v="2171896 - 09-MAY-14" u="1"/>
        <s v="775191 - 12-FEB-14" u="1"/>
        <s v="87012568 - 02-JUN-14" u="1"/>
        <s v="774678 - 30-DEC-13" u="1"/>
        <s v="776980 - 27-MAY-14" u="1"/>
        <s v="776982 - 27-MAY-14" u="1"/>
        <s v="776980 - 13-MAY-14" u="1"/>
        <s v="776982 - 13-MAY-14" u="1"/>
        <s v="774678 - 19-JUN-14" u="1"/>
        <s v="776849 - 07-MAY-14" u="1"/>
        <s v="774022 - 07-FEB-14" u="1"/>
        <s v="774678 - 05-JUN-14" u="1"/>
        <s v="775191 - 27-FEB-14" u="1"/>
        <s v="2131916 - 29-MAY-14" u="1"/>
        <s v="2148515 - 22-OCT-13" u="1"/>
        <s v="2171896 - 19-MAY-14" u="1"/>
        <s v="775191 - 13-FEB-14" u="1"/>
        <s v="87012568 - 10-JUN-14" u="1"/>
        <s v="774678 - 31-DEC-13" u="1"/>
        <s v="776980 - 28-MAY-14" u="1"/>
        <s v="776982 - 28-MAY-14" u="1"/>
        <s v="776980 - 14-MAY-14" u="1"/>
        <s v="776982 - 14-MAY-14" u="1"/>
        <s v="2148515 - 04-FEB-14" u="1"/>
        <s v="776849 - 08-MAY-14" u="1"/>
        <s v="774678 - 06-JUN-14" u="1"/>
        <s v="775191 - 28-FEB-14" u="1"/>
        <s v="2171896 - 29-MAY-14" u="1"/>
        <s v="775191 - 14-FEB-14" u="1"/>
        <s v="776980 - 29-MAY-14" u="1"/>
        <s v="776982 - 29-MAY-14" u="1"/>
        <s v="776980 - 15-MAY-14" u="1"/>
        <s v="776982 - 15-MAY-14" u="1"/>
        <s v="2148515 - 14-FEB-14" u="1"/>
        <s v="776849 - 09-MAY-14" u="1"/>
        <s v="776980 - 01-MAY-14" u="1"/>
        <s v="776982 - 01-MAY-14" u="1"/>
        <s v="2148515 - 05-NOV-13" u="1"/>
        <s v="917261 - 21-APR-14" u="1"/>
        <s v="776980 - 16-MAY-14" u="1"/>
        <s v="776982 - 16-MAY-14" u="1"/>
        <s v="2148515 - 24-FEB-14" u="1"/>
        <s v="776980 - 02-MAY-14" u="1"/>
        <s v="776982 - 02-MAY-14" u="1"/>
        <s v="2148515 - 15-NOV-13" u="1"/>
        <s v="776849 - 20-JUN-14" u="1"/>
        <s v="917261 - 22-APR-14" u="1"/>
        <s v="774678 - 20-DEC-13" u="1"/>
        <s v="774678 - 09-JUN-14" u="1"/>
        <s v="775191 - 17-FEB-14" u="1"/>
        <s v="2148515 - 25-NOV-13" u="1"/>
        <s v="775191 - 03-FEB-14" u="1"/>
        <s v="917261 - 23-APR-14" u="1"/>
        <s v="2148515 - 15-JAN-14" u="1"/>
        <s v="2131916 - 05-SEP-13" u="1"/>
        <s v="775191 - 18-FEB-14" u="1"/>
        <s v="775191 - 04-FEB-14" u="1"/>
        <s v="917261 - 24-APR-14" u="1"/>
        <s v="917261 - 10-APR-14" u="1"/>
        <s v="776980 - 19-MAY-14" u="1"/>
        <s v="776982 - 19-MAY-14" u="1"/>
        <s v="2131916 - 04-OCT-13" u="1"/>
        <s v="776980 - 05-MAY-14" u="1"/>
        <s v="776982 - 05-MAY-14" u="1"/>
        <s v="775191 - 19-FEB-14" u="1"/>
        <s v="775191 - 05-FEB-14" u="1"/>
        <s v="917261 - 25-APR-14" u="1"/>
        <s v="917261 - 11-APR-14" u="1"/>
        <s v="774678 - 23-DEC-13" u="1"/>
        <s v="2131916 - 14-OCT-13" u="1"/>
        <s v="776980 - 06-MAY-14" u="1"/>
        <s v="776982 - 06-MAY-14" u="1"/>
        <s v="2131916 - 25-SEP-13" u="1"/>
        <s v="775191 - 06-FEB-14" u="1"/>
        <s v="776849 - 10-JUN-14" u="1"/>
        <s v="774678 - 24-DEC-13" u="1"/>
        <s v="774678 - 10-DEC-13" u="1"/>
        <s v="2131916 - 24-OCT-13" u="1"/>
        <s v="776980 - 07-MAY-14" u="1"/>
        <s v="776982 - 07-MAY-14" u="1"/>
        <s v="775191 - 07-FEB-14" u="1"/>
        <s v="776849 - 11-JUN-14" u="1"/>
        <s v="2131916 - 06-FEB-14" u="1"/>
        <s v="774678 - 11-DEC-13" u="1"/>
        <s v="776980 - 08-MAY-14" u="1"/>
        <s v="776982 - 08-MAY-14" u="1"/>
        <s v="776849 - 12-JUN-14" u="1"/>
        <s v="917261 - 28-APR-14" u="1"/>
        <s v="917261 - 14-APR-14" u="1"/>
        <s v="774678 - 26-DEC-13" u="1"/>
        <s v="774678 - 12-DEC-13" u="1"/>
        <s v="776980 - 09-MAY-14" u="1"/>
        <s v="776982 - 09-MAY-14" u="1"/>
        <s v="2131916 - 07-NOV-13" u="1"/>
        <s v="776849 - 13-JUN-14" u="1"/>
        <s v="917261 - 29-APR-14" u="1"/>
        <s v="917261 - 15-APR-14" u="1"/>
        <s v="2131916 - 26-FEB-14" u="1"/>
        <s v="774678 - 27-DEC-13" u="1"/>
        <s v="917261 - 01-APR-14" u="1"/>
        <s v="774678 - 13-DEC-13" u="1"/>
        <s v="2131916 - 07-JAN-14" u="1"/>
        <s v="776980 - 20-JUN-14" u="1"/>
        <s v="776982 - 20-JUN-14" u="1"/>
        <s v="2131916 - 02-JUL-13" u="1"/>
        <s v="2148515 - 04-JUN-14" u="1"/>
        <s v="917261 - 16-APR-14" u="1"/>
        <s v="917261 - 02-APR-14" u="1"/>
        <s v="2131916 - 27-NOV-13" u="1"/>
        <s v="2131916 - 17-JAN-14" u="1"/>
        <s v="2131916 - 12-JUL-13" u="1"/>
        <s v="917261 - 17-APR-14" u="1"/>
        <s v="917261 - 03-APR-14" u="1"/>
        <s v="2131916 - 27-JAN-14" u="1"/>
        <s v="2131916 - 22-JUL-13" u="1"/>
        <s v="2148515 - 02-DEC-13" u="1"/>
        <s v="776849 - 16-JUN-14" u="1"/>
        <s v="776849 - 02-JUN-14" u="1"/>
        <s v="917261 - 18-APR-14" u="1"/>
        <s v="917261 - 04-APR-14" u="1"/>
        <s v="774678 - 16-DEC-13" u="1"/>
        <s v="774678 - 02-DEC-13" u="1"/>
        <s v="2148515 - 12-DEC-13" u="1"/>
        <s v="776849 - 17-JUN-14" u="1"/>
        <s v="776849 - 03-JUN-14" u="1"/>
        <s v="2148515 - 06-MAR-14" u="1"/>
        <s v="87012568 - 03-JUN-14" u="1"/>
        <s v="774678 - 17-DEC-13" u="1"/>
        <s v="774678 - 03-DEC-13" u="1"/>
        <s v="2131916 - 06-JUN-13" u="1"/>
        <s v="776849 - 18-JUN-14" u="1"/>
        <s v="776980 - 10-JUN-14" u="1"/>
        <s v="776982 - 10-JUN-14" u="1"/>
        <s v="776849 - 04-JUN-14" u="1"/>
        <s v="2148515 - 02-APR-14" u="1"/>
        <s v="87012568 - 11-JUN-14" u="1"/>
        <s v="774678 - 18-DEC-13" u="1"/>
        <s v="774678 - 04-DEC-13" u="1"/>
        <s v="776849 - 19-JUN-14" u="1"/>
        <s v="776980 - 11-JUN-14" u="1"/>
        <s v="776982 - 11-JUN-14" u="1"/>
        <s v="776849 - 05-JUN-14" u="1"/>
        <s v="2148515 - 26-MAR-14" u="1"/>
        <s v="917261 - 07-APR-14" u="1"/>
        <s v="774678 - 19-DEC-13" u="1"/>
        <s v="774678 - 05-DEC-13" u="1"/>
        <s v="2131916 - 26-JUN-13" u="1"/>
        <s v="776980 - 12-JUN-14" u="1"/>
        <s v="776982 - 12-JUN-14" u="1"/>
        <s v="776849 - 06-JUN-14" u="1"/>
        <s v="2148515 - 22-APR-14" u="1"/>
        <s v="917261 - 08-APR-14" u="1"/>
        <s v="2131916 - 02-AUG-13" u="1"/>
        <s v="774678 - 06-DEC-13" u="1"/>
        <s v="620082 - 06-JUN-14" u="1"/>
        <s v="776980 - 13-JUN-14" u="1"/>
        <s v="776982 - 13-JUN-14" u="1"/>
        <s v="917261 - 09-APR-14" u="1"/>
        <s v="2131916 - 12-AUG-13" u="1"/>
        <s v="2131916 - 10-MAR-14" u="1"/>
        <s v="2131916 - 22-AUG-13" u="1"/>
        <s v="2171896 - 06-JUN-14" u="1"/>
        <s v="2131916 - 20-MAR-14" u="1"/>
        <s v="2148515 - 20-MAY-14" u="1"/>
        <s v="2171896 - 10-MAR-14" u="1"/>
        <s v="776849 - 09-JUN-14" u="1"/>
        <s v="774678 - 09-DEC-13" u="1"/>
        <s v="2131916 - 04-DEC-13" u="1"/>
        <s v="2171896 - 16-JUN-14" u="1"/>
        <s v="2131916 - 24-APR-13" u="1"/>
        <s v="776980 - 16-JUN-14" u="1"/>
        <s v="776982 - 16-JUN-14" u="1"/>
        <s v="2148515 - 30-MAY-14" u="1"/>
        <s v="2171896 - 20-MAR-14" u="1"/>
        <s v="776980 - 02-JUN-14" u="1"/>
        <s v="776982 - 02-JUN-14" u="1"/>
        <s v="2131916 - 02-MAY-13" u="1"/>
        <s v="2148515 - 08-MAY-14" u="1"/>
        <s v="776980 - 17-JUN-14" u="1"/>
        <s v="776982 - 17-JUN-14" u="1"/>
        <s v="776980 - 03-JUN-14" u="1"/>
        <s v="776982 - 03-JUN-14" u="1"/>
        <s v="2131916 - 24-DEC-13" u="1"/>
        <s v="2131916 - 04-APR-14" u="1"/>
        <s v="2131916 - 18-MAR-14" u="1"/>
        <s v="776980 - 18-JUN-14" u="1"/>
        <s v="776982 - 18-JUN-14" u="1"/>
        <s v="776980 - 04-JUN-14" u="1"/>
        <s v="776982 - 04-JUN-14" u="1"/>
        <s v="2131916 - 22-MAY-13" u="1"/>
        <s v="2131916 - 28-MAR-14" u="1"/>
        <s v="2148515 - 28-MAY-14" u="1"/>
        <s v="2171896 - 04-APR-14" u="1"/>
        <s v="2171896 - 18-MAR-14" u="1"/>
        <s v="776980 - 19-JUN-14" u="1"/>
        <s v="776982 - 19-JUN-14" u="1"/>
        <s v="776980 - 05-JUN-14" u="1"/>
        <s v="776982 - 05-JUN-14" u="1"/>
        <s v="2171896 - 14-APR-14" u="1"/>
        <s v="2171896 - 28-MAR-14" u="1"/>
        <s v="776980 - 06-JUN-14" u="1"/>
        <s v="776982 - 06-JUN-14" u="1"/>
        <s v="2171896 - 24-APR-14" u="1"/>
        <s v="2131916 - 12-MAY-14" u="1"/>
        <s v="2171896 - 02-MAY-14" u="1"/>
        <s v="2171896 - 12-MAY-14" u="1"/>
        <s v="776980 - 09-JUN-14" u="1"/>
        <s v="776982 - 09-JUN-14" u="1"/>
        <s v="2171896 - 22-MAY-14" u="1"/>
        <s v="87012568 - 04-JUN-14" u="1"/>
        <s v="87012568 - 12-JUN-14" u="1"/>
        <s v="2148515 - 23-OCT-13" u="1"/>
        <s v="87012568 - 20-JUN-14" u="1"/>
        <s v="774678 - 20-FEB-14" u="1"/>
        <s v="2148515 - 05-FEB-14" u="1"/>
        <s v="774678 - 21-FEB-14" u="1"/>
        <s v="2148515 - 06-NOV-13" u="1"/>
        <s v="2148515 - 25-FEB-14" u="1"/>
        <s v="2148515 - 06-JAN-14" u="1"/>
        <s v="2148515 - 26-NOV-13" u="1"/>
        <s v="2148515 - 16-JAN-14" u="1"/>
        <s v="774678 - 24-FEB-14" u="1"/>
        <s v="774678 - 10-FEB-14" u="1"/>
        <s v="2131916 - 06-SEP-13" u="1"/>
        <s v="774678 - 25-FEB-14" u="1"/>
        <s v="774678 - 11-FEB-14" u="1"/>
        <s v="2131916 - 16-SEP-13" u="1"/>
        <s v="774678 - 26-FEB-14" u="1"/>
        <s v="2131916 - 15-OCT-13" u="1"/>
        <s v="774678 - 12-FEB-14" u="1"/>
        <s v="2131916 - 26-SEP-13" u="1"/>
        <s v="774678 - 27-FEB-14" u="1"/>
        <s v="2131916 - 25-OCT-13" u="1"/>
        <s v="774678 - 13-FEB-14" u="1"/>
        <s v="2131916 - 20-NOV-13" u="1"/>
        <s v="2131916 - 10-JAN-14" u="1"/>
        <s v="2131916 - 07-FEB-14" u="1"/>
        <s v="774678 - 28-FEB-14" u="1"/>
        <s v="774678 - 14-FEB-14" u="1"/>
        <s v="2131916 - 20-JAN-14" u="1"/>
        <s v="2131916 - 17-FEB-14" u="1"/>
        <s v="2131916 - 08-NOV-13" u="1"/>
        <s v="2131916 - 30-JAN-14" u="1"/>
        <s v="2131916 - 27-FEB-14" u="1"/>
        <s v="2131916 - 18-NOV-13" u="1"/>
        <s v="2131916 - 08-JAN-14" u="1"/>
        <s v="2131916 - 03-JUL-13" u="1"/>
        <s v="2148515 - 05-JUN-14" u="1"/>
        <s v="774678 - 17-FEB-14" u="1"/>
        <s v="2131916 - 28-NOV-13" u="1"/>
        <s v="774678 - 03-FEB-14" u="1"/>
        <s v="774678 - 18-FEB-14" u="1"/>
        <s v="774678 - 04-FEB-14" u="1"/>
        <s v="2131916 - 28-JAN-14" u="1"/>
        <s v="2131916 - 23-JUL-13" u="1"/>
        <s v="2148515 - 03-DEC-13" u="1"/>
        <s v="87012568 - 05-JUN-14" u="1"/>
        <s v="774678 - 19-FEB-14" u="1"/>
        <s v="774678 - 05-FEB-14" u="1"/>
        <s v="2148515 - 13-DEC-13" u="1"/>
        <s v="2148515 - 07-MAR-14" u="1"/>
        <s v="87012568 - 13-JUN-14" u="1"/>
        <s v="774678 - 06-FEB-14" u="1"/>
        <s v="2131916 - 07-JUN-13" u="1"/>
        <s v="2148515 - 23-DEC-13" u="1"/>
        <s v="2148515 - 03-APR-14" u="1"/>
        <s v="2148515 - 17-MAR-14" u="1"/>
        <s v="774678 - 07-FEB-14" u="1"/>
        <s v="2131916 - 17-JUN-13" u="1"/>
        <s v="2148515 - 27-MAR-14" u="1"/>
        <s v="2131916 - 27-JUN-13" u="1"/>
        <s v="2148515 - 23-APR-14" u="1"/>
        <s v="2131916 - 13-AUG-13" u="1"/>
        <s v="2131916 - 11-MAR-14" u="1"/>
        <s v="2131916 - 23-AUG-13" u="1"/>
        <s v="2131916 - 17-JUN-14" u="1"/>
        <s v="2131916 - 15-APR-13" u="1"/>
        <s v="2131916 - 21-MAR-14" u="1"/>
        <s v="2148515 - 21-MAY-14" u="1"/>
        <s v="2171896 - 11-MAR-14" u="1"/>
        <s v="2131916 - 05-DEC-13" u="1"/>
        <s v="918062 - 30-MAY-14" u="1"/>
        <s v="2171896 - 17-JUN-14" u="1"/>
        <s v="2131916 - 25-APR-13" u="1"/>
        <s v="2131916 - 31-MAR-14" u="1"/>
        <s v="2171896 - 21-MAR-14" u="1"/>
        <s v="2131916 - 03-MAY-13" u="1"/>
        <s v="2148515 - 09-MAY-14" u="1"/>
        <s v="2171896 - 31-MAR-14" u="1"/>
        <s v="2131916 - 13-MAY-13" u="1"/>
        <s v="2131916 - 19-MAR-14" u="1"/>
        <s v="2148515 - 19-MAY-14" u="1"/>
        <s v="917261 - 31-MAR-14" u="1"/>
        <s v="2131916 - 23-MAY-13" u="1"/>
        <s v="2148515 - 29-MAY-14" u="1"/>
        <s v="2171896 - 19-MAR-14" u="1"/>
        <s v="918062 - 20-MAY-14" u="1"/>
        <s v="2131916 - 25-APR-14" u="1"/>
        <s v="2171896 - 15-APR-14" u="1"/>
        <s v="918062 - 21-MAY-14" u="1"/>
        <s v="2171896 - 25-APR-14" u="1"/>
        <s v="917261 - 20-MAR-14" u="1"/>
        <s v="87012568 - 01-MAY-14" u="1"/>
        <s v="918062 - 22-MAY-14" u="1"/>
        <s v="917261 - 21-MAR-14" u="1"/>
        <s v="2131916 - 23-MAY-14" u="1"/>
        <s v="2171896 - 13-MAY-14" u="1"/>
        <s v="918062 - 23-MAY-14" u="1"/>
        <s v="2171896 - 23-MAY-14" u="1"/>
        <s v="87012568 - 06-JUN-14" u="1"/>
        <s v="917261 - 24-MAR-14" u="1"/>
        <s v="917261 - 10-MAR-14" u="1"/>
        <s v="918062 - 26-MAY-14" u="1"/>
        <s v="918062 - 12-MAY-14" u="1"/>
        <s v="917261 - 25-MAR-14" u="1"/>
        <s v="2148515 - 24-OCT-13" u="1"/>
        <s v="917261 - 11-MAR-14" u="1"/>
        <s v="918062 - 27-MAY-14" u="1"/>
        <s v="918062 - 13-MAY-14" u="1"/>
        <s v="2148515 - 06-FEB-14" u="1"/>
        <s v="917261 - 26-MAR-14" u="1"/>
        <s v="917261 - 12-MAR-14" u="1"/>
        <s v="918062 - 28-MAY-14" u="1"/>
        <s v="918062 - 14-MAY-14" u="1"/>
        <s v="917261 - 27-MAR-14" u="1"/>
        <s v="774022 - 20-NOV-13" u="1"/>
        <s v="917261 - 13-MAR-14" u="1"/>
        <s v="2148515 - 07-NOV-13" u="1"/>
        <s v="918062 - 29-MAY-14" u="1"/>
        <s v="918062 - 15-MAY-14" u="1"/>
        <s v="918062 - 01-MAY-14" u="1"/>
        <s v="2148515 - 26-FEB-14" u="1"/>
        <s v="917261 - 28-MAR-14" u="1"/>
        <s v="774022 - 21-NOV-13" u="1"/>
        <s v="917261 - 14-MAR-14" u="1"/>
        <s v="918062 - 16-MAY-14" u="1"/>
        <s v="2148515 - 07-JAN-14" u="1"/>
        <s v="918062 - 02-MAY-14" u="1"/>
        <s v="774022 - 22-NOV-13" u="1"/>
        <s v="2148515 - 27-NOV-13" u="1"/>
        <s v="2148515 - 17-JAN-14" u="1"/>
        <s v="917261 - 30-MAY-14" u="1"/>
        <s v="2148515 - 27-JAN-14" u="1"/>
        <s v="2131916 - 10-FEB-14" u="1"/>
        <s v="2131916 - 17-SEP-13" u="1"/>
        <s v="2131916 - 01-NOV-13" u="1"/>
        <s v="917261 - 17-MAR-14" u="1"/>
        <s v="918062 - 19-MAY-14" u="1"/>
        <s v="918062 - 05-MAY-14" u="1"/>
        <s v="2131916 - 20-FEB-14" u="1"/>
        <s v="2131916 - 16-OCT-13" u="1"/>
        <s v="2131916 - 27-SEP-13" u="1"/>
        <s v="2131916 - 11-NOV-13" u="1"/>
        <s v="774022 - 25-NOV-13" u="1"/>
        <s v="917261 - 18-MAR-14" u="1"/>
        <s v="774022 - 11-NOV-13" u="1"/>
        <s v="918062 - 06-MAY-14" u="1"/>
        <s v="2131916 - 21-NOV-13" u="1"/>
        <s v="774022 - 26-NOV-13" u="1"/>
        <s v="917261 - 19-MAR-14" u="1"/>
        <s v="774022 - 12-NOV-13" u="1"/>
        <s v="918062 - 07-MAY-14" u="1"/>
        <s v="917261 - 20-MAY-14" u="1"/>
        <s v="774022 - 27-NOV-13" u="1"/>
        <s v="774022 - 13-NOV-13" u="1"/>
        <s v="2131916 - 21-JAN-14" u="1"/>
        <s v="918062 - 08-MAY-14" u="1"/>
        <s v="2131916 - 18-FEB-14" u="1"/>
        <s v="917261 - 21-MAY-14" u="1"/>
        <s v="774022 - 28-NOV-13" u="1"/>
        <s v="774022 - 14-NOV-13" u="1"/>
        <s v="917261 - 07-MAR-14" u="1"/>
        <s v="2131916 - 31-JAN-14" u="1"/>
        <s v="918062 - 09-MAY-14" u="1"/>
        <s v="2131916 - 28-FEB-14" u="1"/>
        <s v="87012568 - 02-MAY-14" u="1"/>
        <s v="2131916 - 19-NOV-13" u="1"/>
        <s v="917261 - 22-MAY-14" u="1"/>
        <s v="774022 - 29-NOV-13" u="1"/>
        <s v="2131916 - 09-JAN-14" u="1"/>
        <s v="774022 - 15-NOV-13" u="1"/>
        <s v="2131916 - 04-JUL-13" u="1"/>
        <s v="774022 - 01-NOV-13" u="1"/>
        <s v="2148515 - 06-JUN-14" u="1"/>
        <s v="2148515 - 10-MAR-14" u="1"/>
        <s v="918062 - 20-JUN-14" u="1"/>
        <s v="2131916 - 29-NOV-13" u="1"/>
        <s v="917261 - 23-MAY-14" u="1"/>
        <s v="2131916 - 10-JUN-13" u="1"/>
        <s v="2148515 - 16-JUN-14" u="1"/>
        <s v="2148515 - 20-MAR-14" u="1"/>
        <s v="2131916 - 29-JAN-14" u="1"/>
        <s v="2131916 - 20-JUN-13" u="1"/>
        <s v="2131916 - 24-JUL-13" u="1"/>
        <s v="2148515 - 04-DEC-13" u="1"/>
        <s v="87012568 - 15-JUN-14" u="1"/>
        <s v="774022 - 18-NOV-13" u="1"/>
        <s v="774022 - 04-NOV-13" u="1"/>
        <s v="917261 - 26-MAY-14" u="1"/>
        <s v="917261 - 12-MAY-14" u="1"/>
        <s v="774022 - 19-NOV-13" u="1"/>
        <s v="2148515 - 24-DEC-13" u="1"/>
        <s v="774022 - 05-NOV-13" u="1"/>
        <s v="2148515 - 04-APR-14" u="1"/>
        <s v="2148515 - 18-MAR-14" u="1"/>
        <s v="917261 - 27-MAY-14" u="1"/>
        <s v="918062 - 10-JUN-14" u="1"/>
        <s v="917261 - 13-MAY-14" u="1"/>
        <s v="2131916 - 18-JUN-13" u="1"/>
        <s v="774022 - 06-NOV-13" u="1"/>
        <s v="2148515 - 14-APR-14" u="1"/>
        <s v="2148515 - 28-MAR-14" u="1"/>
        <s v="917261 - 28-MAY-14" u="1"/>
        <s v="918062 - 11-JUN-14" u="1"/>
        <s v="917261 - 14-MAY-14" u="1"/>
        <s v="2131916 - 28-JUN-13" u="1"/>
        <s v="2171896 - 10-JUN-14" u="1"/>
        <s v="774022 - 07-NOV-13" u="1"/>
        <s v="2148515 - 24-APR-14" u="1"/>
        <s v="917261 - 29-MAY-14" u="1"/>
        <s v="918062 - 12-JUN-14" u="1"/>
        <s v="917261 - 15-MAY-14" u="1"/>
        <s v="917261 - 01-MAY-14" u="1"/>
        <s v="2171896 - 20-JUN-14" u="1"/>
        <s v="774022 - 08-NOV-13" u="1"/>
        <s v="2148515 - 02-MAY-14" u="1"/>
        <s v="2131916 - 14-AUG-13" u="1"/>
        <s v="918062 - 13-JUN-14" u="1"/>
        <s v="917261 - 16-MAY-14" u="1"/>
        <s v="917261 - 02-MAY-14" u="1"/>
        <s v="2131916 - 12-MAR-14" u="1"/>
        <s v="2148515 - 12-MAY-14" u="1"/>
        <s v="2131916 - 16-APR-13" u="1"/>
        <s v="2148515 - 22-MAY-14" u="1"/>
        <s v="2171896 - 12-MAR-14" u="1"/>
        <s v="2131916 - 06-DEC-13" u="1"/>
        <s v="2171896 - 18-JUN-14" u="1"/>
        <s v="2131916 - 26-APR-13" u="1"/>
        <s v="918062 - 16-JUN-14" u="1"/>
        <s v="2131916 - 16-DEC-13" u="1"/>
        <s v="917261 - 19-MAY-14" u="1"/>
        <s v="918062 - 02-JUN-14" u="1"/>
        <s v="917261 - 05-MAY-14" u="1"/>
        <s v="918062 - 17-JUN-14" u="1"/>
        <s v="2131916 - 26-DEC-13" u="1"/>
        <s v="918062 - 03-JUN-14" u="1"/>
        <s v="2131916 - 14-MAY-13" u="1"/>
        <s v="917261 - 06-MAY-14" u="1"/>
        <s v="918062 - 18-JUN-14" u="1"/>
        <s v="918062 - 04-JUN-14" u="1"/>
        <s v="2131916 - 24-MAY-13" u="1"/>
        <s v="917261 - 07-MAY-14" u="1"/>
        <s v="2131916 - 16-APR-14" u="1"/>
        <s v="918062 - 19-JUN-14" u="1"/>
        <s v="918062 - 05-JUN-14" u="1"/>
        <s v="917261 - 08-MAY-14" u="1"/>
        <s v="2171896 - 16-APR-14" u="1"/>
        <s v="918062 - 06-JUN-14" u="1"/>
        <s v="917261 - 09-MAY-14" u="1"/>
        <s v="2131916 - 14-MAY-14" u="1"/>
        <s v="87012568 - 11-MAY-14" u="1"/>
        <s v="917261 - 20-JUN-14" u="1"/>
        <s v="2171896 - 14-MAY-14" u="1"/>
        <s v="87012568 - 08-JUN-14" u="1"/>
        <s v="918062 - 09-JUN-14" u="1"/>
        <s v="918583 - 30-MAY-14" u="1"/>
        <s v="87012568 - 16-JUN-14" u="1"/>
        <s v="917261 - 10-JUN-14" u="1"/>
        <s v="2148515 - 25-OCT-13" u="1"/>
        <s v="2148515 - 20-NOV-13" u="1"/>
        <s v="774022 - 30-APR-14" u="1"/>
        <s v="2148515 - 10-JAN-14" u="1"/>
        <s v="917261 - 11-JUN-14" u="1"/>
        <s v="2148515 - 07-FEB-14" u="1"/>
        <s v="777094 - 30-APR-14" u="1"/>
        <s v="2148515 - 20-JAN-14" u="1"/>
        <s v="917261 - 12-JUN-14" u="1"/>
        <s v="2148515 - 17-FEB-14" u="1"/>
        <s v="2131916 - 10-SEP-13" u="1"/>
        <s v="2148515 - 08-NOV-13" u="1"/>
        <s v="2148515 - 30-JAN-14" u="1"/>
        <s v="917261 - 13-JUN-14" u="1"/>
        <s v="2148515 - 27-FEB-14" u="1"/>
        <s v="2131916 - 20-SEP-13" u="1"/>
        <s v="2148515 - 18-NOV-13" u="1"/>
        <s v="918583 - 22-MAY-14" u="1"/>
        <s v="2148515 - 08-JAN-14" u="1"/>
        <s v="774022 - 30-JAN-14" u="1"/>
        <s v="2131916 - 30-SEP-13" u="1"/>
        <s v="2148515 - 28-NOV-13" u="1"/>
        <s v="918583 - 23-MAY-14" u="1"/>
        <s v="774022 - 31-JAN-14" u="1"/>
        <s v="2148515 - 28-JAN-14" u="1"/>
        <s v="774022 - 21-APR-14" u="1"/>
        <s v="2131916 - 11-FEB-14" u="1"/>
        <s v="917261 - 16-JUN-14" u="1"/>
        <s v="2131916 - 07-OCT-13" u="1"/>
        <s v="917261 - 02-JUN-14" u="1"/>
        <s v="2131916 - 18-SEP-13" u="1"/>
        <s v="777094 - 21-APR-14" u="1"/>
        <s v="774022 - 22-APR-14" u="1"/>
        <s v="2131916 - 21-FEB-14" u="1"/>
        <s v="917261 - 17-JUN-14" u="1"/>
        <s v="2131916 - 17-OCT-13" u="1"/>
        <s v="917261 - 03-JUN-14" u="1"/>
        <s v="2131916 - 12-NOV-13" u="1"/>
        <s v="918583 - 26-MAY-14" u="1"/>
        <s v="2131916 - 02-JAN-14" u="1"/>
        <s v="777094 - 22-APR-14" u="1"/>
        <s v="774022 - 23-APR-14" u="1"/>
        <s v="774022 - 20-JAN-14" u="1"/>
        <s v="917261 - 18-JUN-14" u="1"/>
        <s v="2131916 - 27-OCT-13" u="1"/>
        <s v="917261 - 04-JUN-14" u="1"/>
        <s v="2131916 - 22-NOV-13" u="1"/>
        <s v="918583 - 27-MAY-14" u="1"/>
        <s v="777094 - 23-APR-14" u="1"/>
        <s v="774022 - 24-APR-14" u="1"/>
        <s v="774022 - 10-APR-14" u="1"/>
        <s v="774022 - 21-JAN-14" u="1"/>
        <s v="775191 - 30-APR-14" u="1"/>
        <s v="917261 - 19-JUN-14" u="1"/>
        <s v="917261 - 05-JUN-14" u="1"/>
        <s v="918583 - 28-MAY-14" u="1"/>
        <s v="2131916 - 22-JAN-14" u="1"/>
        <s v="777094 - 24-APR-14" u="1"/>
        <s v="777094 - 10-APR-14" u="1"/>
        <s v="2131916 - 19-FEB-14" u="1"/>
        <s v="774022 - 25-APR-14" u="1"/>
        <s v="87012568 - 04-MAY-14" u="1"/>
        <s v="774022 - 11-APR-14" u="1"/>
        <s v="774022 - 22-JAN-14" u="1"/>
        <s v="917261 - 06-JUN-14" u="1"/>
        <s v="918583 - 29-MAY-14" u="1"/>
        <s v="777094 - 25-APR-14" u="1"/>
        <s v="777094 - 11-APR-14" u="1"/>
        <s v="87012568 - 12-MAY-14" u="1"/>
        <s v="774022 - 23-JAN-14" u="1"/>
        <s v="2131916 - 05-JUL-13" u="1"/>
        <s v="2148515 - 11-MAR-14" u="1"/>
        <s v="87012568 - 09-JUN-14" u="1"/>
        <s v="87012568 - 20-MAY-14" u="1"/>
        <s v="774022 - 24-JAN-14" u="1"/>
        <s v="774022 - 10-JAN-14" u="1"/>
        <s v="775191 - 30-JAN-14" u="1"/>
        <s v="2131916 - 11-JUN-13" u="1"/>
        <s v="2131916 - 15-JUL-13" u="1"/>
        <s v="2148515 - 17-JUN-14" u="1"/>
        <s v="774022 - 28-APR-14" u="1"/>
        <s v="2148515 - 21-MAR-14" u="1"/>
        <s v="87012568 - 17-JUN-14" u="1"/>
        <s v="774022 - 14-APR-14" u="1"/>
        <s v="775191 - 31-JAN-14" u="1"/>
        <s v="917261 - 09-JUN-14" u="1"/>
        <s v="87012568 - 10-FEB-14" u="1"/>
        <s v="2131916 - 21-JUN-13" u="1"/>
        <s v="2131916 - 25-JUL-13" u="1"/>
        <s v="2148515 - 05-DEC-13" u="1"/>
        <s v="777094 - 28-APR-14" u="1"/>
        <s v="777094 - 14-APR-14" u="1"/>
        <s v="774022 - 29-APR-14" u="1"/>
        <s v="2148515 - 31-MAR-14" u="1"/>
        <s v="774022 - 15-APR-14" u="1"/>
        <s v="774022 - 01-APR-14" u="1"/>
        <s v="775191 - 21-APR-14" u="1"/>
        <s v="777094 - 29-APR-14" u="1"/>
        <s v="777094 - 15-APR-14" u="1"/>
        <s v="777094 - 01-APR-14" u="1"/>
        <s v="774022 - 16-APR-14" u="1"/>
        <s v="774022 - 27-JAN-14" u="1"/>
        <s v="774022 - 02-APR-14" u="1"/>
        <s v="774022 - 13-JAN-14" u="1"/>
        <s v="775191 - 22-APR-14" u="1"/>
        <s v="777094 - 16-APR-14" u="1"/>
        <s v="2148515 - 19-MAR-14" u="1"/>
        <s v="777094 - 02-APR-14" u="1"/>
        <s v="774022 - 17-APR-14" u="1"/>
        <s v="774022 - 28-JAN-14" u="1"/>
        <s v="774022 - 03-APR-14" u="1"/>
        <s v="774022 - 14-JAN-14" u="1"/>
        <s v="775191 - 23-APR-14" u="1"/>
        <s v="775191 - 20-JAN-14" u="1"/>
        <s v="2131916 - 19-JUN-13" u="1"/>
        <s v="2131916 - 11-JUN-14" u="1"/>
        <s v="777094 - 17-APR-14" u="1"/>
        <s v="2148515 - 15-APR-14" u="1"/>
        <s v="777094 - 03-APR-14" u="1"/>
        <s v="774022 - 18-APR-14" u="1"/>
        <s v="774022 - 29-JAN-14" u="1"/>
        <s v="774022 - 04-APR-14" u="1"/>
        <s v="774022 - 15-JAN-14" u="1"/>
        <s v="775191 - 24-APR-14" u="1"/>
        <s v="775191 - 10-APR-14" u="1"/>
        <s v="775191 - 21-JAN-14" u="1"/>
        <s v="2171896 - 11-JUN-14" u="1"/>
        <s v="777094 - 18-APR-14" u="1"/>
        <s v="2148515 - 25-APR-14" u="1"/>
        <s v="777094 - 04-APR-14" u="1"/>
        <s v="2131916 - 05-AUG-13" u="1"/>
        <s v="774022 - 16-JAN-14" u="1"/>
        <s v="775191 - 25-APR-14" u="1"/>
        <s v="774022 - 02-JAN-14" u="1"/>
        <s v="775191 - 11-APR-14" u="1"/>
        <s v="775191 - 22-JAN-14" u="1"/>
        <s v="774678 - 20-NOV-13" u="1"/>
        <s v="2131916 - 03-MAR-14" u="1"/>
        <s v="2131916 - 15-AUG-13" u="1"/>
        <s v="774022 - 17-JAN-14" u="1"/>
        <s v="774022 - 03-JAN-14" u="1"/>
        <s v="775191 - 23-JAN-14" u="1"/>
        <s v="774678 - 21-NOV-13" u="1"/>
        <s v="2131916 - 09-JUN-14" u="1"/>
        <s v="2131916 - 13-MAR-14" u="1"/>
        <s v="2148515 - 13-MAY-14" u="1"/>
        <s v="774022 - 07-APR-14" u="1"/>
        <s v="918583 - 20-JUN-14" u="1"/>
        <s v="775191 - 24-JAN-14" u="1"/>
        <s v="774678 - 22-NOV-13" u="1"/>
        <s v="2171896 - 09-JUN-14" u="1"/>
        <s v="2131916 - 17-APR-13" u="1"/>
        <s v="2171896 - 13-MAR-14" u="1"/>
        <s v="777094 - 07-APR-14" u="1"/>
        <s v="774022 - 08-APR-14" u="1"/>
        <s v="775191 - 28-APR-14" u="1"/>
        <s v="775191 - 14-APR-14" u="1"/>
        <s v="2171896 - 19-JUN-14" u="1"/>
        <s v="777094 - 08-APR-14" u="1"/>
        <s v="774022 - 09-APR-14" u="1"/>
        <s v="775191 - 29-APR-14" u="1"/>
        <s v="774022 - 06-JAN-14" u="1"/>
        <s v="775191 - 15-APR-14" u="1"/>
        <s v="2131916 - 17-DEC-13" u="1"/>
        <s v="775191 - 01-APR-14" u="1"/>
        <s v="777094 - 09-APR-14" u="1"/>
        <s v="774022 - 07-JAN-14" u="1"/>
        <s v="775191 - 16-APR-14" u="1"/>
        <s v="775191 - 27-JAN-14" u="1"/>
        <s v="2131916 - 27-DEC-13" u="1"/>
        <s v="774678 - 25-NOV-13" u="1"/>
        <s v="775191 - 02-APR-14" u="1"/>
        <s v="2131916 - 15-MAY-13" u="1"/>
        <s v="774022 - 08-JAN-14" u="1"/>
        <s v="775191 - 17-APR-14" u="1"/>
        <s v="775191 - 28-JAN-14" u="1"/>
        <s v="918583 - 10-JUN-14" u="1"/>
        <s v="774678 - 26-NOV-13" u="1"/>
        <s v="775191 - 03-APR-14" u="1"/>
        <s v="2171896 - 07-APR-14" u="1"/>
        <s v="774022 - 09-JAN-14" u="1"/>
        <s v="775191 - 18-APR-14" u="1"/>
        <s v="775191 - 29-JAN-14" u="1"/>
        <s v="918583 - 11-JUN-14" u="1"/>
        <s v="774678 - 27-NOV-13" u="1"/>
        <s v="775191 - 04-APR-14" u="1"/>
        <s v="775191 - 15-JAN-14" u="1"/>
        <s v="87012568 - 05-MAY-14" u="1"/>
        <s v="2171896 - 17-APR-14" u="1"/>
        <s v="918583 - 12-JUN-14" u="1"/>
        <s v="774678 - 28-NOV-13" u="1"/>
        <s v="775191 - 16-JAN-14" u="1"/>
        <s v="87012568 - 13-MAY-14" u="1"/>
        <s v="774678 - 14-NOV-13" u="1"/>
        <s v="918583 - 13-JUN-14" u="1"/>
        <s v="774678 - 29-NOV-13" u="1"/>
        <s v="775191 - 17-JAN-14" u="1"/>
        <s v="2171896 - 05-MAY-14" u="1"/>
        <s v="87012568 - 21-MAY-14" u="1"/>
        <s v="774678 - 15-NOV-13" u="1"/>
        <s v="775191 - 07-APR-14" u="1"/>
        <s v="2171896 - 15-MAY-14" u="1"/>
        <s v="87012568 - 18-JUN-14" u="1"/>
        <s v="775191 - 08-APR-14" u="1"/>
        <s v="2148515 - 10-FEB-14" u="1"/>
        <s v="918583 - 16-JUN-14" u="1"/>
        <s v="775191 - 09-APR-14" u="1"/>
        <s v="918583 - 02-JUN-14" u="1"/>
        <s v="774678 - 18-NOV-13" u="1"/>
        <s v="2148515 - 01-NOV-13" u="1"/>
        <s v="2148515 - 20-FEB-14" u="1"/>
        <s v="918583 - 17-JUN-14" u="1"/>
        <s v="2148515 - 16-OCT-13" u="1"/>
        <s v="918583 - 03-JUN-14" u="1"/>
        <s v="774678 - 19-NOV-13" u="1"/>
        <s v="2148515 - 11-NOV-13" u="1"/>
        <s v="918583 - 18-JUN-14" u="1"/>
        <s v="918583 - 04-JUN-14" u="1"/>
        <s v="2148515 - 21-NOV-13" u="1"/>
        <s v="918583 - 19-JUN-14" u="1"/>
        <s v="918583 - 05-JUN-14" u="1"/>
        <s v="775191 - 09-JAN-14" u="1"/>
        <s v="2148515 - 21-JAN-14" u="1"/>
        <s v="2148515 - 18-FEB-14" u="1"/>
        <s v="2131916 - 11-SEP-13" u="1"/>
        <s v="918583 - 06-JUN-14" u="1"/>
        <s v="2148515 - 31-JAN-14" u="1"/>
        <s v="2148515 - 28-FEB-14" u="1"/>
        <s v="2131916 - 10-OCT-13" u="1"/>
        <s v="2148515 - 19-NOV-13" u="1"/>
        <s v="2148515 - 09-JAN-14" u="1"/>
        <s v="2148515 - 29-NOV-13" u="1"/>
        <s v="2131916 - 09-SEP-13" u="1"/>
        <s v="2131916 - 30-OCT-13" u="1"/>
        <s v="918583 - 09-JUN-14" u="1"/>
        <s v="2148515 - 29-JAN-14" u="1"/>
        <s v="2131916 - 12-FEB-14" u="1"/>
        <s v="2131916 - 08-OCT-13" u="1"/>
        <s v="2131916 - 19-SEP-13" u="1"/>
        <s v="2131916 - 18-OCT-13" u="1"/>
        <s v="2131916 - 13-NOV-13" u="1"/>
        <s v="2131916 - 03-JAN-14" u="1"/>
        <s v="2131916 - 28-OCT-13" u="1"/>
        <s v="2131916 - 13-JAN-14" u="1"/>
        <s v="2148515 - 10-JUN-14" u="1"/>
        <s v="87012568 - 06-MAY-14" u="1"/>
        <s v="2131916 - 23-JAN-14" u="1"/>
        <s v="2148515 - 20-JUN-14" u="1"/>
        <s v="87012568 - 14-MAY-14" u="1"/>
        <s v="87012568 - 22-MAY-14" u="1"/>
        <s v="2148515 - 12-MAR-14" u="1"/>
        <s v="87012568 - 19-JUN-14" u="1"/>
        <s v="87012568 - 30-MAY-14" u="1"/>
        <s v="2131916 - 12-JUN-13" u="1"/>
        <s v="2131916 - 16-JUL-13" u="1"/>
        <s v="2148515 - 18-JUN-14" u="1"/>
        <s v="2131916 - 26-JUL-13" u="1"/>
        <s v="2148515 - 06-DEC-13" u="1"/>
        <s v="2148515 - 16-DEC-13" u="1"/>
        <s v="2148515 - 26-DEC-13" u="1"/>
        <s v="2131916 - 12-JUN-14" u="1"/>
        <s v="2171896 - 02-JUN-14" u="1"/>
        <s v="774678 - 30-APR-14" u="1"/>
        <s v="2148515 - 16-APR-14" u="1"/>
        <s v="2171896 - 12-JUN-14" u="1"/>
        <s v="2131916 - 06-AUG-13" u="1"/>
        <s v="2131916 - 10-DEC-13" u="1"/>
        <s v="2131916 - 04-MAR-14" u="1"/>
        <s v="2131916 - 30-APR-13" u="1"/>
        <s v="2131916 - 16-AUG-13" u="1"/>
        <s v="2131916 - 20-DEC-13" u="1"/>
        <s v="2131916 - 14-MAR-14" u="1"/>
        <s v="2148515 - 14-MAY-14" u="1"/>
        <s v="774678 - 30-JAN-14" u="1"/>
        <s v="2131916 - 26-AUG-13" u="1"/>
        <s v="2131916 - 30-DEC-13" u="1"/>
        <s v="2131916 - 18-APR-13" u="1"/>
        <s v="2131916 - 24-MAR-14" u="1"/>
        <s v="2171896 - 14-MAR-14" u="1"/>
        <s v="774678 - 31-JAN-14" u="1"/>
        <s v="2171896 - 10-APR-14" u="1"/>
        <s v="2171896 - 24-MAR-14" u="1"/>
        <s v="774678 - 21-APR-14" u="1"/>
        <s v="2131916 - 18-DEC-13" u="1"/>
        <s v="2131916 - 06-MAY-13" u="1"/>
        <s v="2131916 - 30-APR-14" u="1"/>
        <s v="774678 - 22-APR-14" u="1"/>
        <s v="2131916 - 16-MAY-13" u="1"/>
        <s v="2171896 - 30-APR-14" u="1"/>
        <s v="774678 - 23-APR-14" u="1"/>
        <s v="774678 - 20-JAN-14" u="1"/>
        <s v="87012568 - 07-MAY-14" u="1"/>
        <s v="2171896 - 08-APR-14" u="1"/>
        <s v="774678 - 24-APR-14" u="1"/>
        <s v="774678 - 10-APR-14" u="1"/>
        <s v="774678 - 21-JAN-14" u="1"/>
        <s v="87012568 - 15-MAY-14" u="1"/>
        <s v="2131916 - 28-APR-14" u="1"/>
        <s v="2171896 - 18-APR-14" u="1"/>
        <s v="774678 - 25-APR-14" u="1"/>
        <s v="774678 - 11-APR-14" u="1"/>
        <s v="774678 - 22-JAN-14" u="1"/>
        <s v="2131916 - 06-MAY-14" u="1"/>
        <s v="87012568 - 23-MAY-14" u="1"/>
        <s v="2171896 - 28-APR-14" u="1"/>
        <s v="774678 - 23-JAN-14" u="1"/>
        <s v="774022 - 31-MAR-14" u="1"/>
        <s v="2131916 - 16-MAY-14" u="1"/>
        <s v="2171896 - 06-MAY-14" u="1"/>
        <s v="774678 - 24-JAN-14" u="1"/>
        <s v="774678 - 10-JAN-14" u="1"/>
        <s v="777094 - 31-MAR-14" u="1"/>
        <s v="2171896 - 16-MAY-14" u="1"/>
        <s v="774678 - 28-APR-14" u="1"/>
        <s v="774678 - 14-APR-14" u="1"/>
        <s v="2171896 - 26-MAY-14" u="1"/>
        <s v="774678 - 29-APR-14" u="1"/>
        <s v="774678 - 15-APR-14" u="1"/>
        <s v="774678 - 01-APR-14" u="1"/>
        <s v="2148515 - 11-FEB-14" u="1"/>
        <s v="774022 - 20-MAR-14" u="1"/>
        <s v="774678 - 16-APR-14" u="1"/>
        <s v="774678 - 27-JAN-14" u="1"/>
        <s v="774678 - 02-APR-14" u="1"/>
        <s v="774678 - 13-JAN-14" u="1"/>
        <s v="2148515 - 21-FEB-14" u="1"/>
        <s v="777094 - 20-MAR-14" u="1"/>
        <s v="2148515 - 17-OCT-13" u="1"/>
        <s v="774022 - 21-MAR-14" u="1"/>
        <s v="2148515 - 12-NOV-13" u="1"/>
        <s v="2148515 - 02-JAN-14" u="1"/>
        <s v="774678 - 17-APR-14" u="1"/>
        <s v="774678 - 28-JAN-14" u="1"/>
        <s v="774678 - 03-APR-14" u="1"/>
        <s v="774678 - 14-JAN-14" u="1"/>
        <s v="777094 - 21-MAR-14" u="1"/>
        <s v="2148515 - 27-OCT-13" u="1"/>
        <s v="2148515 - 22-NOV-13" u="1"/>
        <s v="774678 - 29-JAN-14" u="1"/>
        <s v="774678 - 04-APR-14" u="1"/>
        <s v="774678 - 15-JAN-14" u="1"/>
        <s v="776849 - 30-APR-14" u="1"/>
        <s v="2131916 - 02-SEP-13" u="1"/>
        <s v="2148515 - 22-JAN-14" u="1"/>
        <s v="2148515 - 19-FEB-14" u="1"/>
        <s v="774678 - 16-JAN-14" u="1"/>
        <s v="2131916 - 01-OCT-13" u="1"/>
        <s v="774678 - 02-JAN-14" u="1"/>
        <s v="2131916 - 12-SEP-13" u="1"/>
        <s v="774022 - 24-MAR-14" u="1"/>
        <s v="774022 - 10-MAR-14" u="1"/>
        <s v="774678 - 17-JAN-14" u="1"/>
        <s v="2131916 - 11-OCT-13" u="1"/>
        <s v="774678 - 03-JAN-14" u="1"/>
        <s v="777094 - 24-MAR-14" u="1"/>
        <s v="777094 - 10-MAR-14" u="1"/>
        <s v="774022 - 25-MAR-14" u="1"/>
        <s v="774022 - 11-MAR-14" u="1"/>
        <s v="775191 - 31-MAR-14" u="1"/>
        <s v="774678 - 07-APR-14" u="1"/>
        <s v="2131916 - 21-OCT-13" u="1"/>
        <s v="777094 - 25-MAR-14" u="1"/>
        <s v="777094 - 11-MAR-14" u="1"/>
        <s v="774022 - 26-MAR-14" u="1"/>
        <s v="774022 - 12-MAR-14" u="1"/>
        <s v="2131916 - 03-FEB-14" u="1"/>
        <s v="774678 - 08-APR-14" u="1"/>
        <s v="2131916 - 31-OCT-13" u="1"/>
        <s v="777094 - 26-MAR-14" u="1"/>
        <s v="777094 - 12-MAR-14" u="1"/>
        <s v="774022 - 27-MAR-14" u="1"/>
        <s v="774022 - 13-MAR-14" u="1"/>
        <s v="2131916 - 13-FEB-14" u="1"/>
        <s v="2131916 - 09-OCT-13" u="1"/>
        <s v="774678 - 09-APR-14" u="1"/>
        <s v="774678 - 06-JAN-14" u="1"/>
        <s v="777094 - 27-MAR-14" u="1"/>
        <s v="2131916 - 04-NOV-13" u="1"/>
        <s v="776849 - 21-APR-14" u="1"/>
        <s v="777094 - 13-MAR-14" u="1"/>
        <s v="774022 - 28-MAR-14" u="1"/>
        <s v="774022 - 14-MAR-14" u="1"/>
        <s v="775191 - 20-MAR-14" u="1"/>
        <s v="774678 - 07-JAN-14" u="1"/>
        <s v="777094 - 28-MAR-14" u="1"/>
        <s v="2131916 - 14-NOV-13" u="1"/>
        <s v="776849 - 22-APR-14" u="1"/>
        <s v="777094 - 14-MAR-14" u="1"/>
        <s v="775191 - 21-MAR-14" u="1"/>
        <s v="87012568 - 08-MAY-14" u="1"/>
        <s v="2131916 - 29-OCT-13" u="1"/>
        <s v="774678 - 08-JAN-14" u="1"/>
        <s v="774022 - 30-MAY-14" u="1"/>
        <s v="776849 - 23-APR-14" u="1"/>
        <s v="2131916 - 14-JAN-14" u="1"/>
        <s v="2148515 - 11-JUN-14" u="1"/>
        <s v="87012568 - 16-MAY-14" u="1"/>
        <s v="777094 - 30-MAY-14" u="1"/>
        <s v="774678 - 09-JAN-14" u="1"/>
        <s v="776980 - 30-APR-14" u="1"/>
        <s v="776982 - 30-APR-14" u="1"/>
        <s v="776849 - 24-APR-14" u="1"/>
        <s v="776849 - 10-APR-14" u="1"/>
        <s v="2131916 - 24-JAN-14" u="1"/>
        <s v="774022 - 17-MAR-14" u="1"/>
        <s v="774022 - 03-MAR-14" u="1"/>
        <s v="776849 - 25-APR-14" u="1"/>
        <s v="777094 - 17-MAR-14" u="1"/>
        <s v="776849 - 11-APR-14" u="1"/>
        <s v="774022 - 18-MAR-14" u="1"/>
        <s v="774022 - 04-MAR-14" u="1"/>
        <s v="775191 - 24-MAR-14" u="1"/>
        <s v="775191 - 10-MAR-14" u="1"/>
        <s v="2148515 - 03-MAR-14" u="1"/>
        <s v="777094 - 18-MAR-14" u="1"/>
        <s v="2131916 - 03-JUN-13" u="1"/>
        <s v="774022 - 19-MAR-14" u="1"/>
        <s v="2148515 - 09-JUN-14" u="1"/>
        <s v="774022 - 05-MAR-14" u="1"/>
        <s v="775191 - 25-MAR-14" u="1"/>
        <s v="775191 - 11-MAR-14" u="1"/>
        <s v="2148515 - 13-MAR-14" u="1"/>
        <s v="777094 - 19-MAR-14" u="1"/>
        <s v="774022 - 20-MAY-14" u="1"/>
        <s v="2131916 - 13-JUN-13" u="1"/>
        <s v="2131916 - 17-JUL-13" u="1"/>
        <s v="2148515 - 19-JUN-14" u="1"/>
        <s v="774022 - 06-MAR-14" u="1"/>
        <s v="774022 - 30-OCT-13" u="1"/>
        <s v="775191 - 26-MAR-14" u="1"/>
        <s v="775191 - 12-MAR-14" u="1"/>
        <s v="777094 - 20-MAY-14" u="1"/>
        <s v="776849 - 28-APR-14" u="1"/>
        <s v="774022 - 21-MAY-14" u="1"/>
        <s v="776849 - 14-APR-14" u="1"/>
        <s v="774022 - 07-MAR-14" u="1"/>
        <s v="774022 - 31-OCT-13" u="1"/>
        <s v="775191 - 27-MAR-14" u="1"/>
        <s v="775191 - 13-MAR-14" u="1"/>
        <s v="777094 - 21-MAY-14" u="1"/>
        <s v="776849 - 29-APR-14" u="1"/>
        <s v="776980 - 21-APR-14" u="1"/>
        <s v="774022 - 22-MAY-14" u="1"/>
        <s v="776849 - 15-APR-14" u="1"/>
        <s v="2148515 - 17-DEC-13" u="1"/>
        <s v="776849 - 01-APR-14" u="1"/>
        <s v="775191 - 28-MAR-14" u="1"/>
        <s v="775191 - 14-MAR-14" u="1"/>
        <s v="777094 - 22-MAY-14" u="1"/>
        <s v="776980 - 22-APR-14" u="1"/>
        <s v="774022 - 23-MAY-14" u="1"/>
        <s v="776849 - 16-APR-14" u="1"/>
        <s v="2148515 - 27-DEC-13" u="1"/>
        <s v="776849 - 02-APR-14" u="1"/>
        <s v="2148515 - 07-APR-14" u="1"/>
        <s v="777094 - 23-MAY-14" u="1"/>
        <s v="776980 - 23-APR-14" u="1"/>
        <s v="776849 - 17-APR-14" u="1"/>
        <s v="2171896 - 03-JUN-14" u="1"/>
        <s v="775191 - 30-MAY-14" u="1"/>
        <s v="776849 - 03-APR-14" u="1"/>
        <s v="2131916 - 11-APR-13" u="1"/>
        <s v="2148515 - 17-APR-14" u="1"/>
        <s v="776980 - 24-APR-14" u="1"/>
        <s v="776849 - 18-APR-14" u="1"/>
        <s v="776980 - 10-APR-14" u="1"/>
        <s v="776982 - 10-APR-14" u="1"/>
        <s v="2171896 - 13-JUN-14" u="1"/>
        <s v="776849 - 04-APR-14" u="1"/>
        <s v="774022 - 21-OCT-13" u="1"/>
        <s v="775191 - 17-MAR-14" u="1"/>
        <s v="2131916 - 07-AUG-13" u="1"/>
        <s v="775191 - 03-MAR-14" u="1"/>
        <s v="776980 - 25-APR-14" u="1"/>
        <s v="776982 - 25-APR-14" u="1"/>
        <s v="2131916 - 11-DEC-13" u="1"/>
        <s v="774022 - 26-MAY-14" u="1"/>
        <s v="776980 - 11-APR-14" u="1"/>
        <s v="776982 - 11-APR-14" u="1"/>
        <s v="774022 - 12-MAY-14" u="1"/>
        <s v="2131916 - 05-MAR-14" u="1"/>
        <s v="2148515 - 05-MAY-14" u="1"/>
        <s v="774022 - 22-OCT-13" u="1"/>
        <s v="775191 - 18-MAR-14" u="1"/>
        <s v="775191 - 04-MAR-14" u="1"/>
        <s v="777094 - 26-MAY-14" u="1"/>
        <s v="777094 - 12-MAY-14" u="1"/>
        <s v="774022 - 27-MAY-14" u="1"/>
        <s v="774022 - 13-MAY-14" u="1"/>
        <s v="2131916 - 01-APR-14" u="1"/>
        <s v="2148515 - 15-MAY-14" u="1"/>
        <s v="774022 - 23-OCT-13" u="1"/>
        <s v="775191 - 19-MAR-14" u="1"/>
        <s v="2131916 - 27-AUG-13" u="1"/>
        <s v="775191 - 05-MAR-14" u="1"/>
        <s v="777094 - 27-MAY-14" u="1"/>
        <s v="777094 - 13-MAY-14" u="1"/>
        <s v="2131916 - 31-DEC-13" u="1"/>
        <s v="774022 - 28-MAY-14" u="1"/>
        <s v="2131916 - 19-APR-13" u="1"/>
        <s v="774022 - 14-MAY-14" u="1"/>
        <s v="776849 - 07-APR-14" u="1"/>
        <s v="2131916 - 11-APR-14" u="1"/>
        <s v="2131916 - 25-MAR-14" u="1"/>
        <s v="2171896 - 01-APR-14" u="1"/>
        <s v="775191 - 20-MAY-14" u="1"/>
        <s v="774022 - 24-OCT-13" u="1"/>
        <s v="774022 - 10-OCT-13" u="1"/>
        <s v="775191 - 06-MAR-14" u="1"/>
        <s v="777094 - 28-MAY-14" u="1"/>
        <s v="2131916 - 09-DEC-13" u="1"/>
        <s v="620082 - 07-APR-14" u="1"/>
        <s v="776980 - 28-APR-14" u="1"/>
        <s v="776982 - 28-APR-14" u="1"/>
        <s v="777094 - 14-MAY-14" u="1"/>
        <s v="774022 - 29-MAY-14" u="1"/>
        <s v="776980 - 14-APR-14" u="1"/>
        <s v="776982 - 14-APR-14" u="1"/>
        <s v="2131916 - 29-APR-13" u="1"/>
        <s v="774022 - 15-MAY-14" u="1"/>
        <s v="776849 - 08-APR-14" u="1"/>
        <s v="2131916 - 21-APR-14" u="1"/>
        <s v="2171896 - 11-APR-14" u="1"/>
        <s v="2171896 - 25-MAR-14" u="1"/>
        <s v="774022 - 01-MAY-14" u="1"/>
        <s v="775191 - 21-MAY-14" u="1"/>
        <s v="774022 - 25-OCT-13" u="1"/>
        <s v="774022 - 11-OCT-13" u="1"/>
        <s v="775191 - 07-MAR-14" u="1"/>
        <s v="777094 - 29-MAY-14" u="1"/>
        <s v="2131916 - 19-DEC-13" u="1"/>
        <s v="776980 - 29-APR-14" u="1"/>
        <s v="776982 - 29-APR-14" u="1"/>
        <s v="777094 - 15-MAY-14" u="1"/>
        <s v="2131916 - 07-MAY-13" u="1"/>
        <s v="776980 - 15-APR-14" u="1"/>
        <s v="777094 - 01-MAY-14" u="1"/>
        <s v="774022 - 16-MAY-14" u="1"/>
        <s v="776849 - 09-APR-14" u="1"/>
        <s v="776980 - 01-APR-14" u="1"/>
        <s v="776982 - 01-APR-14" u="1"/>
        <s v="2171896 - 21-APR-14" u="1"/>
        <s v="774022 - 02-MAY-14" u="1"/>
        <s v="775191 - 22-MAY-14" u="1"/>
        <s v="777094 - 16-MAY-14" u="1"/>
        <s v="2131916 - 17-MAY-13" u="1"/>
        <s v="87012568 - 09-MAY-14" u="1"/>
        <s v="776980 - 16-APR-14" u="1"/>
        <s v="777094 - 02-MAY-14" u="1"/>
        <s v="776980 - 02-APR-14" u="1"/>
        <s v="776982 - 02-APR-14" u="1"/>
        <s v="775191 - 23-MAY-14" u="1"/>
        <s v="2131916 - 27-MAY-13" u="1"/>
        <s v="776980 - 17-APR-14" u="1"/>
        <s v="2171896 - 09-APR-14" u="1"/>
        <s v="776980 - 03-APR-14" u="1"/>
        <s v="776982 - 03-APR-14" u="1"/>
        <s v="774022 - 28-OCT-13" u="1"/>
        <s v="774022 - 14-OCT-13" u="1"/>
        <s v="774022 - 19-MAY-14" u="1"/>
        <s v="776980 - 04-APR-14" u="1"/>
        <s v="776982 - 04-APR-14" u="1"/>
        <s v="774022 - 05-MAY-14" u="1"/>
        <s v="774022 - 29-OCT-13" u="1"/>
        <s v="774022 - 15-OCT-13" u="1"/>
        <s v="777094 - 19-MAY-14" u="1"/>
        <s v="777094 - 05-MAY-14" u="1"/>
        <s v="2171896 - 29-APR-14" u="1"/>
        <s v="774022 - 06-MAY-14" u="1"/>
        <s v="775191 - 12-MAY-14" u="1"/>
        <s v="774022 - 16-OCT-13" u="1"/>
        <s v="2171896 - 07-MAY-14" u="1"/>
        <s v="777094 - 06-MAY-14" u="1"/>
        <s v="774022 - 07-MAY-14" u="1"/>
        <s v="775191 - 27-MAY-14" u="1"/>
        <s v="775191 - 13-MAY-14" u="1"/>
        <s v="774022 - 17-OCT-13" u="1"/>
        <s v="777094 - 07-MAY-14" u="1"/>
        <s v="776980 - 07-APR-14" u="1"/>
        <s v="776982 - 07-APR-14" u="1"/>
        <s v="774022 - 08-MAY-14" u="1"/>
        <s v="775191 - 28-MAY-14" u="1"/>
        <s v="775191 - 14-MAY-14" u="1"/>
        <s v="774022 - 18-OCT-13" u="1"/>
        <s v="2148515 - 30-OCT-13" u="1"/>
        <s v="2171896 - 27-MAY-14" u="1"/>
        <s v="777094 - 08-MAY-14" u="1"/>
        <s v="776980 - 08-APR-14" u="1"/>
        <s v="776982 - 08-APR-14" u="1"/>
        <s v="774022 - 09-MAY-14" u="1"/>
        <s v="775191 - 29-MAY-14" u="1"/>
        <s v="775191 - 15-MAY-14" u="1"/>
        <s v="775191 - 01-MAY-14" u="1"/>
        <s v="2148515 - 12-FEB-14" u="1"/>
        <s v="777094 - 09-MAY-14" u="1"/>
        <s v="776980 - 09-APR-14" u="1"/>
        <s v="776982 - 09-APR-14" u="1"/>
        <s v="775191 - 16-MAY-14" u="1"/>
        <s v="775191 - 02-MAY-14" u="1"/>
        <s v="774022 - 20-JUN-14" u="1"/>
        <s v="2148515 - 18-OCT-13" u="1"/>
        <s v="2148515 - 13-NOV-13" u="1"/>
        <s v="2148515 - 03-JAN-14" u="1"/>
        <s v="777094 - 20-JUN-14" u="1"/>
        <s v="774022 - 07-OCT-13" u="1"/>
        <s v="2148515 - 13-JAN-14" u="1"/>
        <s v="774022 - 08-OCT-13" u="1"/>
        <s v="2131916 - 03-SEP-13" u="1"/>
        <s v="2148515 - 23-JAN-14" u="1"/>
        <s v="775191 - 19-MAY-14" u="1"/>
        <s v="775191 - 05-MAY-14" u="1"/>
        <s v="774022 - 09-OCT-13" u="1"/>
        <s v="2131916 - 02-OCT-13" u="1"/>
        <s v="2131916 - 13-SEP-13" u="1"/>
        <s v="775191 - 06-MAY-14" u="1"/>
        <s v="774022 - 10-JUN-14" u="1"/>
        <s v="2131916 - 23-SEP-13" u="1"/>
        <s v="775191 - 07-MAY-14" u="1"/>
        <s v="777094 - 10-JUN-14" u="1"/>
        <s v="2131916 - 22-OCT-13" u="1"/>
        <s v="774022 - 11-JUN-14" u="1"/>
        <s v="2131916 - 04-FEB-14" u="1"/>
        <s v="775191 - 08-MAY-14" u="1"/>
        <s v="777094 - 11-JUN-14" u="1"/>
        <s v="774022 - 12-JUN-14" u="1"/>
      </sharedItems>
    </cacheField>
    <cacheField name="WEEK" numFmtId="0" sqlType="6">
      <sharedItems containsSemiMixedTypes="0" containsString="0" containsNumber="1" minValue="13.15" maxValue="14.51" count="90">
        <n v="14.27"/>
        <n v="14.28"/>
        <n v="14.29"/>
        <n v="14.3"/>
        <n v="14.31"/>
        <n v="14.32"/>
        <n v="14.33"/>
        <n v="14.34"/>
        <n v="14.35"/>
        <n v="14.36"/>
        <n v="14.37"/>
        <n v="14.38"/>
        <n v="14.39"/>
        <n v="14.4"/>
        <n v="14.41"/>
        <n v="14.42"/>
        <n v="14.43"/>
        <n v="14.44"/>
        <n v="14.45"/>
        <n v="14.46"/>
        <n v="14.47"/>
        <n v="14.48"/>
        <n v="14.49"/>
        <n v="14.5"/>
        <n v="14.51"/>
        <n v="13.16"/>
        <n v="13.17"/>
        <n v="13.18"/>
        <n v="13.19"/>
        <n v="13.2"/>
        <n v="13.21"/>
        <n v="13.22"/>
        <n v="13.23"/>
        <n v="13.24"/>
        <n v="13.25"/>
        <n v="13.26"/>
        <n v="13.27"/>
        <n v="13.28"/>
        <n v="13.29"/>
        <n v="13.3"/>
        <n v="13.31"/>
        <n v="13.32"/>
        <n v="13.33"/>
        <n v="13.34"/>
        <n v="13.35"/>
        <n v="13.36"/>
        <n v="13.37"/>
        <n v="13.38"/>
        <n v="13.39"/>
        <n v="13.4"/>
        <n v="13.41"/>
        <n v="13.42"/>
        <n v="13.43"/>
        <n v="13.44"/>
        <n v="13.45"/>
        <n v="13.46"/>
        <n v="13.47"/>
        <n v="13.48"/>
        <n v="13.49"/>
        <n v="13.5"/>
        <n v="13.51"/>
        <n v="13.52"/>
        <n v="13.53"/>
        <n v="14.01"/>
        <n v="14.02"/>
        <n v="14.03"/>
        <n v="14.04"/>
        <n v="14.05"/>
        <n v="14.06"/>
        <n v="14.07"/>
        <n v="14.08"/>
        <n v="14.09"/>
        <n v="14.1"/>
        <n v="14.11"/>
        <n v="14.12"/>
        <n v="14.13"/>
        <n v="14.14"/>
        <n v="14.16"/>
        <n v="14.17"/>
        <n v="14.18"/>
        <n v="14.19"/>
        <n v="14.2"/>
        <n v="14.21"/>
        <n v="14.22"/>
        <n v="14.23"/>
        <n v="14.24"/>
        <n v="14.25"/>
        <n v="14.26"/>
        <n v="14.15"/>
        <n v="13.15" u="1"/>
      </sharedItems>
    </cacheField>
    <cacheField name="TRADEITEM" numFmtId="0" sqlType="1">
      <sharedItems count="24">
        <s v="GBPNZD"/>
        <s v="AUDCAD"/>
        <s v="USDJPY"/>
        <s v="EURUSD"/>
        <s v="GBPUSD"/>
        <s v="AUDJPY"/>
        <s v="USDCAD"/>
        <s v="NZDUSD"/>
        <s v="AUDUSD"/>
        <s v="USDCHF"/>
        <s v="GBPAUD"/>
        <s v="AUDNZD"/>
        <s v="EURJPY"/>
        <s v="EURCHF"/>
        <s v="EURCAD"/>
        <s v="GBPCHF"/>
        <s v="GOLD"/>
        <s v="NZDJPY"/>
        <s v="EURAUD"/>
        <s v="GBPJPY"/>
        <s v="EURGBP"/>
        <s v="NZDCHF"/>
        <s v="CADJPY"/>
        <s v="XAUUSD"/>
      </sharedItems>
    </cacheField>
    <cacheField name="CLOSEDPROFIT" numFmtId="0" sqlType="6">
      <sharedItems containsSemiMixedTypes="0" containsString="0" containsNumber="1" minValue="-41956.26" maxValue="6686.38"/>
    </cacheField>
    <cacheField name="OPENPL" numFmtId="0" sqlType="6">
      <sharedItems containsSemiMixedTypes="0" containsString="0" containsNumber="1" minValue="-112810.44" maxValue="2090.1799999999998"/>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1989.744377430558" createdVersion="5" refreshedVersion="5" minRefreshableVersion="3" recordCount="97">
  <cacheSource type="external" connectionId="8"/>
  <cacheFields count="5">
    <cacheField name="ACCOUNT" numFmtId="0" sqlType="12">
      <sharedItems count="16">
        <s v="776980 - R-Alpari"/>
        <s v="776982 - V-Alpari"/>
        <s v="776849 - A-Alpari"/>
        <s v="774022 - G-Alpari"/>
        <s v="774678 - M-Alpari"/>
        <s v="775191 - I-Alpari"/>
        <s v="777094 - G-Alpari2"/>
        <s v="918062 - IN-Alpari"/>
        <s v="1505425 - T-Alpari"/>
        <s v="2131916 - G-XM"/>
        <s v="2171896 - I-XM"/>
        <s v="918583 - LE-Alpari"/>
        <s v="1501637 - MZ-Alpari"/>
        <s v="2148515 - L-XM"/>
        <s v="917261 - S-Alpari"/>
        <s v="87012568 - T-FXCM"/>
      </sharedItems>
    </cacheField>
    <cacheField name="TRADEITEM" numFmtId="0" sqlType="1">
      <sharedItems count="24">
        <s v="AUDUSD"/>
        <s v="GBPNZD"/>
        <s v="USDJPY"/>
        <s v="EURUSD"/>
        <s v="GBPAUD"/>
        <s v="NZDUSD"/>
        <s v="XAUUSD"/>
        <s v="CADJPY"/>
        <s v="GBPUSD"/>
        <s v="AUDJPY"/>
        <s v="EURGBP"/>
        <s v="USDCHF"/>
        <s v="EURAUD"/>
        <s v="AUDNZD"/>
        <s v="GBPJPY"/>
        <s v="GOLD"/>
        <s v="NZDCHF"/>
        <s v="GBPCHF"/>
        <s v="AUDCAD"/>
        <s v="EURCHF"/>
        <s v="USDCAD"/>
        <s v="EURCAD"/>
        <s v="EURJPY"/>
        <s v="NZDJPY"/>
      </sharedItems>
    </cacheField>
    <cacheField name="OPENPL" numFmtId="0" sqlType="6">
      <sharedItems containsSemiMixedTypes="0" containsString="0" containsNumber="1" minValue="-65223.74" maxValue="0" count="25">
        <n v="-15993.5"/>
        <n v="-2101.34"/>
        <n v="-65223.74"/>
        <n v="-17763.87"/>
        <n v="-18263.52"/>
        <n v="-7172.22"/>
        <n v="-21026.5"/>
        <n v="-51540.34"/>
        <n v="-80.61"/>
        <n v="-8096.96"/>
        <n v="-676.91"/>
        <n v="-12646.17"/>
        <n v="-40865.46"/>
        <n v="-4509.42"/>
        <n v="-5287.53"/>
        <n v="-9470.92"/>
        <n v="-15044.38"/>
        <n v="-29064.35"/>
        <n v="-12170.71"/>
        <n v="-1637.58"/>
        <n v="-33221.910000000003"/>
        <n v="-18896.55"/>
        <n v="-10814"/>
        <n v="-7841.97"/>
        <n v="0"/>
      </sharedItems>
    </cacheField>
    <cacheField name="CLOSEDPL" numFmtId="0" sqlType="6">
      <sharedItems containsSemiMixedTypes="0" containsString="0" containsNumber="1" minValue="-45968.22" maxValue="37441.21"/>
    </cacheField>
    <cacheField name="Net PL" numFmtId="0" formula="CLOSEDPL+OPENPL" databaseField="0"/>
  </cacheFields>
  <extLst>
    <ext xmlns:x14="http://schemas.microsoft.com/office/spreadsheetml/2009/9/main" uri="{725AE2AE-9491-48be-B2B4-4EB974FC3084}">
      <x14:pivotCacheDefinition pivotCacheId="5"/>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1990.466585532406" createdVersion="5" refreshedVersion="5" minRefreshableVersion="3" recordCount="1929">
  <cacheSource type="external" connectionId="3"/>
  <cacheFields count="4">
    <cacheField name="ACCOUNT" numFmtId="0" sqlType="12">
      <sharedItems count="16">
        <s v="1501637 - MZ-Alpari"/>
        <s v="1505425 - T-Alpari"/>
        <s v="2131916 - G-XM"/>
        <s v="2148515 - L-XM"/>
        <s v="2171896 - I-XM"/>
        <s v="774022 - G-Alpari"/>
        <s v="774678 - M-Alpari"/>
        <s v="775191 - I-Alpari"/>
        <s v="776849 - A-Alpari"/>
        <s v="776980 - R-Alpari"/>
        <s v="776982 - V-Alpari"/>
        <s v="777094 - G-Alpari2"/>
        <s v="87012568 - T-FXCM"/>
        <s v="917261 - S-Alpari"/>
        <s v="918062 - IN-Alpari"/>
        <s v="918583 - LE-Alpari"/>
      </sharedItems>
    </cacheField>
    <cacheField name="WEEK" numFmtId="0" sqlType="6">
      <sharedItems containsSemiMixedTypes="0" containsString="0" containsNumber="1" minValue="13.15" maxValue="14.51" count="90">
        <n v="14.27"/>
        <n v="14.28"/>
        <n v="14.29"/>
        <n v="14.3"/>
        <n v="14.31"/>
        <n v="14.32"/>
        <n v="14.33"/>
        <n v="14.34"/>
        <n v="14.35"/>
        <n v="14.36"/>
        <n v="14.37"/>
        <n v="14.38"/>
        <n v="14.39"/>
        <n v="14.4"/>
        <n v="14.41"/>
        <n v="14.42"/>
        <n v="14.43"/>
        <n v="14.44"/>
        <n v="14.45"/>
        <n v="14.46"/>
        <n v="14.47"/>
        <n v="14.48"/>
        <n v="14.49"/>
        <n v="14.5"/>
        <n v="14.51"/>
        <n v="13.16"/>
        <n v="13.17"/>
        <n v="13.18"/>
        <n v="13.19"/>
        <n v="13.2"/>
        <n v="13.21"/>
        <n v="13.22"/>
        <n v="13.23"/>
        <n v="13.24"/>
        <n v="13.25"/>
        <n v="13.26"/>
        <n v="13.27"/>
        <n v="13.28"/>
        <n v="13.29"/>
        <n v="13.3"/>
        <n v="13.31"/>
        <n v="13.32"/>
        <n v="13.33"/>
        <n v="13.34"/>
        <n v="13.35"/>
        <n v="13.36"/>
        <n v="13.37"/>
        <n v="13.38"/>
        <n v="13.39"/>
        <n v="13.4"/>
        <n v="13.41"/>
        <n v="13.42"/>
        <n v="13.43"/>
        <n v="13.44"/>
        <n v="13.45"/>
        <n v="13.46"/>
        <n v="13.47"/>
        <n v="13.48"/>
        <n v="13.49"/>
        <n v="13.5"/>
        <n v="13.51"/>
        <n v="13.52"/>
        <n v="13.53"/>
        <n v="14.01"/>
        <n v="14.02"/>
        <n v="14.03"/>
        <n v="14.04"/>
        <n v="14.05"/>
        <n v="14.06"/>
        <n v="14.07"/>
        <n v="14.08"/>
        <n v="14.09"/>
        <n v="14.1"/>
        <n v="14.11"/>
        <n v="14.12"/>
        <n v="14.13"/>
        <n v="14.14"/>
        <n v="14.16"/>
        <n v="14.17"/>
        <n v="14.18"/>
        <n v="14.19"/>
        <n v="14.2"/>
        <n v="14.21"/>
        <n v="14.22"/>
        <n v="14.23"/>
        <n v="14.24"/>
        <n v="14.25"/>
        <n v="14.26"/>
        <n v="14.15"/>
        <n v="13.15" u="1"/>
      </sharedItems>
    </cacheField>
    <cacheField name="ITEM" numFmtId="0" sqlType="1">
      <sharedItems count="28">
        <s v="AUDCAD"/>
        <s v="EURUSD"/>
        <s v="GBPNZD"/>
        <s v="USDJPY"/>
        <s v="AUDJPY"/>
        <s v="GBPUSD"/>
        <s v="NZDUSD"/>
        <s v="USDCAD"/>
        <s v="AUDUSD"/>
        <s v="AUDNZD"/>
        <s v="GBPAUD"/>
        <s v="USDCHF"/>
        <s v="EURCHF"/>
        <s v="EURJPY"/>
        <s v="EURCAD"/>
        <s v="GBPCHF"/>
        <s v="GOLD"/>
        <s v="EURAUD"/>
        <s v="GBPJPY"/>
        <s v="NZDJPY"/>
        <s v="EURGBP"/>
        <s v="NZDCHF"/>
        <s v="CADJPY"/>
        <s v="XAUUSD"/>
        <s v="GOLD  " u="1"/>
        <s v="SWAP" u="1"/>
        <s v="CASH" u="1"/>
        <s v="SELL" u="1"/>
      </sharedItems>
    </cacheField>
    <cacheField name="TRADEPROFIT" numFmtId="0" sqlType="6">
      <sharedItems containsSemiMixedTypes="0" containsString="0" containsNumber="1" minValue="-41956.26" maxValue="6686.38"/>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gcaglion" refreshedDate="41990.469681249997" createdVersion="5" refreshedVersion="5" minRefreshableVersion="3" recordCount="1820">
  <cacheSource type="external" connectionId="6"/>
  <cacheFields count="4">
    <cacheField name="ACCOUNT" numFmtId="0" sqlType="12">
      <sharedItems count="17">
        <s v="1501637 - MZ-Alpari"/>
        <s v="1505425 - T-Alpari"/>
        <s v="2131916 - G-XM"/>
        <s v="2148515 - L-XM"/>
        <s v="2171896 - I-XM"/>
        <s v="620082 - Alpari-Demo"/>
        <s v="774022 - G-Alpari"/>
        <s v="774678 - M-Alpari"/>
        <s v="775191 - I-Alpari"/>
        <s v="776849 - A-Alpari"/>
        <s v="776980 - R-Alpari"/>
        <s v="776982 - V-Alpari"/>
        <s v="777094 - G-Alpari2"/>
        <s v="87012568 - T-FXCM"/>
        <s v="917261 - S-Alpari"/>
        <s v="918062 - IN-Alpari"/>
        <s v="918583 - LE-Alpari"/>
      </sharedItems>
    </cacheField>
    <cacheField name="WEEK" numFmtId="0" sqlType="6">
      <sharedItems containsSemiMixedTypes="0" containsString="0" containsNumber="1" minValue="13.41" maxValue="14.51" count="62">
        <n v="14.27"/>
        <n v="14.28"/>
        <n v="14.29"/>
        <n v="14.3"/>
        <n v="14.31"/>
        <n v="14.32"/>
        <n v="14.33"/>
        <n v="14.34"/>
        <n v="14.35"/>
        <n v="14.36"/>
        <n v="14.37"/>
        <n v="14.38"/>
        <n v="14.39"/>
        <n v="14.4"/>
        <n v="14.41"/>
        <n v="14.42"/>
        <n v="14.43"/>
        <n v="14.44"/>
        <n v="14.45"/>
        <n v="14.46"/>
        <n v="14.47"/>
        <n v="14.48"/>
        <n v="14.49"/>
        <n v="14.5"/>
        <n v="14.51"/>
        <n v="14.24"/>
        <n v="14.25"/>
        <n v="14.26"/>
        <n v="13.42"/>
        <n v="13.43"/>
        <n v="13.44"/>
        <n v="13.45"/>
        <n v="13.46"/>
        <n v="13.47"/>
        <n v="13.48"/>
        <n v="13.49"/>
        <n v="13.5"/>
        <n v="13.51"/>
        <n v="14.01"/>
        <n v="14.02"/>
        <n v="14.03"/>
        <n v="14.04"/>
        <n v="14.05"/>
        <n v="14.06"/>
        <n v="14.07"/>
        <n v="14.08"/>
        <n v="14.09"/>
        <n v="14.1"/>
        <n v="14.11"/>
        <n v="14.12"/>
        <n v="14.13"/>
        <n v="14.14"/>
        <n v="14.15"/>
        <n v="14.16"/>
        <n v="14.17"/>
        <n v="14.18"/>
        <n v="14.19"/>
        <n v="14.2"/>
        <n v="14.21"/>
        <n v="14.22"/>
        <n v="14.23"/>
        <n v="13.41"/>
      </sharedItems>
    </cacheField>
    <cacheField name="TRADEITEM" numFmtId="0" sqlType="1">
      <sharedItems count="19">
        <s v="AUDCAD"/>
        <s v="GBPNZD"/>
        <s v="EURUSD"/>
        <s v="USDJPY"/>
        <s v="AUDJPY"/>
        <s v="GBPUSD"/>
        <s v="NZDUSD"/>
        <s v="AUDNZD"/>
        <s v="EURAUD"/>
        <s v="EURGBP"/>
        <s v="NZDCHF"/>
        <s v="GOLD"/>
        <s v="USDCHF"/>
        <s v="GBPAUD"/>
        <s v="CADJPY"/>
        <s v="AUDUSD"/>
        <s v="XAUUSD"/>
        <s v="GBPJPY" u="1"/>
        <s v="NZDJPY" u="1"/>
      </sharedItems>
    </cacheField>
    <cacheField name="OPENPL" numFmtId="0" sqlType="6">
      <sharedItems containsSemiMixedTypes="0" containsString="0" containsNumber="1" minValue="-112810.44" maxValue="2090.1799999999998"/>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gcaglion" refreshedDate="42025.41853761574" createdVersion="5" refreshedVersion="5" minRefreshableVersion="3" recordCount="9">
  <cacheSource type="external" connectionId="7"/>
  <cacheFields count="19">
    <cacheField name="DESCRIPTION" numFmtId="0" sqlType="12">
      <sharedItems count="18">
        <s v="G-Alpari"/>
        <s v="M-Alpari"/>
        <s v="I-Alpari"/>
        <s v="A-Alpari"/>
        <s v="R-Alpari"/>
        <s v="V-Alpari"/>
        <s v="G-Alpari2"/>
        <s v="Sara-MX"/>
        <s v="T-Alpari"/>
        <s v="T-FXCM" u="1"/>
        <s v="I-XM" u="1"/>
        <s v="G-XM" u="1"/>
        <s v="L-XM" u="1"/>
        <s v="LE-Alpari" u="1"/>
        <s v="S-Alpari" u="1"/>
        <s v="Alpari-Demo" u="1"/>
        <s v="MZ-Alpari" u="1"/>
        <s v="IN-Alpari" u="1"/>
      </sharedItems>
    </cacheField>
    <cacheField name="ACCOUNTNUMBER" numFmtId="0" sqlType="6">
      <sharedItems containsSemiMixedTypes="0" containsString="0" containsNumber="1" containsInteger="1" minValue="774022" maxValue="5145521" count="9">
        <n v="774022"/>
        <n v="774678"/>
        <n v="775191"/>
        <n v="776849"/>
        <n v="776980"/>
        <n v="776982"/>
        <n v="777094"/>
        <n v="5145521"/>
        <n v="1505425"/>
      </sharedItems>
    </cacheField>
    <cacheField name="STARTDATE" numFmtId="0" sqlType="11">
      <sharedItems containsSemiMixedTypes="0" containsNonDate="0" containsDate="1" containsString="0" minDate="2014-02-24T00:00:00" maxDate="2015-01-14T16:39:06" count="7">
        <d v="2014-05-28T00:00:00"/>
        <d v="2014-02-24T00:00:00"/>
        <d v="2014-03-03T00:00:00"/>
        <d v="2014-03-06T00:00:00"/>
        <d v="2014-04-25T00:00:00"/>
        <d v="2015-01-14T16:39:06"/>
        <d v="2014-10-15T12:37:25"/>
      </sharedItems>
    </cacheField>
    <cacheField name="VPSENV" numFmtId="0" sqlType="12">
      <sharedItems count="4">
        <s v="260-288"/>
        <s v="260-294"/>
        <s v="T61P"/>
        <s v="G-XM"/>
      </sharedItems>
    </cacheField>
    <cacheField name="STARTBALANCE" numFmtId="0" sqlType="6">
      <sharedItems containsSemiMixedTypes="0" containsString="0" containsNumber="1" containsInteger="1" minValue="4999" maxValue="100000" count="6">
        <n v="40000"/>
        <n v="80000"/>
        <n v="50000"/>
        <n v="100000"/>
        <n v="4999"/>
        <n v="25000"/>
      </sharedItems>
    </cacheField>
    <cacheField name="ACCOUNTBALANCE" numFmtId="0" sqlType="6">
      <sharedItems containsSemiMixedTypes="0" containsString="0" containsNumber="1" minValue="1693.09" maxValue="82005.37" count="9">
        <n v="28307.93"/>
        <n v="1693.09"/>
        <n v="19387.650000000001"/>
        <n v="47305.94"/>
        <n v="13061.9"/>
        <n v="3341.86"/>
        <n v="82005.37"/>
        <n v="6512.14"/>
        <n v="21983.85"/>
      </sharedItems>
    </cacheField>
    <cacheField name="ACCOUNTPROFIT" numFmtId="0" sqlType="6">
      <sharedItems containsSemiMixedTypes="0" containsString="0" containsNumber="1" minValue="-1457.27" maxValue="0" count="2">
        <n v="0"/>
        <n v="-1457.27"/>
      </sharedItems>
    </cacheField>
    <cacheField name="LATESTUPDATE" numFmtId="0" sqlType="11">
      <sharedItems containsSemiMixedTypes="0" containsNonDate="0" containsDate="1" containsString="0" minDate="2015-01-20T08:42:27" maxDate="2015-01-21T09:59:18" count="9">
        <d v="2015-01-20T08:42:46"/>
        <d v="2015-01-20T08:57:14"/>
        <d v="2015-01-20T08:42:27"/>
        <d v="2015-01-20T08:43:33"/>
        <d v="2015-01-20T09:28:47"/>
        <d v="2015-01-20T09:25:36"/>
        <d v="2015-01-20T08:43:18"/>
        <d v="2015-01-21T09:59:18"/>
        <d v="2015-01-20T08:44:02"/>
      </sharedItems>
    </cacheField>
    <cacheField name="ACCOUNTEQUITY" numFmtId="0" sqlType="6">
      <sharedItems containsSemiMixedTypes="0" containsString="0" containsNumber="1" minValue="1693.09" maxValue="82005.37" count="9">
        <n v="28307.93"/>
        <n v="1693.09"/>
        <n v="19387.650000000001"/>
        <n v="47305.94"/>
        <n v="13061.9"/>
        <n v="3341.86"/>
        <n v="82005.37"/>
        <n v="5054.87"/>
        <n v="21983.85"/>
      </sharedItems>
    </cacheField>
    <cacheField name="NETBALANCE" numFmtId="0" sqlType="6">
      <sharedItems containsSemiMixedTypes="0" containsString="0" containsNumber="1" minValue="1693.09" maxValue="82005.37" count="9">
        <n v="28307.93"/>
        <n v="1693.09"/>
        <n v="19387.650000000001"/>
        <n v="47305.94"/>
        <n v="13061.9"/>
        <n v="3341.86"/>
        <n v="82005.37"/>
        <n v="5054.87"/>
        <n v="21983.85"/>
      </sharedItems>
    </cacheField>
    <cacheField name="MARGINP" numFmtId="0" sqlType="6">
      <sharedItems containsSemiMixedTypes="0" containsString="0" containsNumber="1" minValue="0" maxValue="431.21473037058303" count="2">
        <n v="0"/>
        <n v="431.21473037058303"/>
      </sharedItems>
    </cacheField>
    <cacheField name="Months" numFmtId="0" sqlType="6">
      <sharedItems containsSemiMixedTypes="0" containsString="0" containsNumber="1" minValue="0.22415702160493828" maxValue="11.047284336419754" count="7">
        <n v="7.9472843364197532"/>
        <n v="11.047284336419754"/>
        <n v="10.813951003086419"/>
        <n v="10.71395100308642"/>
        <n v="9.0472843364197537"/>
        <n v="0.22415702160493828"/>
        <n v="3.2630848765432097"/>
      </sharedItems>
    </cacheField>
    <cacheField name="Net Profit" numFmtId="0" sqlType="6">
      <sharedItems containsSemiMixedTypes="0" containsString="0" containsNumber="1" minValue="-96658.14" maxValue="55.87" count="9">
        <n v="-11692.07"/>
        <n v="-78306.91"/>
        <n v="-30612.35"/>
        <n v="-52694.06"/>
        <n v="-36938.1"/>
        <n v="-96658.14"/>
        <n v="-17994.63"/>
        <n v="55.87"/>
        <n v="-3016.15"/>
      </sharedItems>
    </cacheField>
    <cacheField name="Net Profit %" numFmtId="0" sqlType="6">
      <sharedItems containsSemiMixedTypes="0" containsString="0" containsNumber="1" minValue="-0.97883637499999998" maxValue="1.117623524704941E-2" count="9">
        <n v="-0.29230175000000003"/>
        <n v="-0.97883637499999998"/>
        <n v="-0.61224699999999999"/>
        <n v="-0.52694059999999998"/>
        <n v="-0.73876200000000003"/>
        <n v="-0.96658140000000003"/>
        <n v="-0.1799463"/>
        <n v="1.117623524704941E-2"/>
        <n v="-0.120646"/>
      </sharedItems>
    </cacheField>
    <cacheField name="Annualized Net Profit%" numFmtId="0" sqlType="6">
      <sharedItems containsSemiMixedTypes="0" containsString="0" containsNumber="1" minValue="-1.2998457064801137" maxValue="0.60661730721401375" count="9">
        <n v="-0.44749096770526037"/>
        <n v="-1.0780184100604859"/>
        <n v="-0.93730195766752178"/>
        <n v="-0.59285552815095355"/>
        <n v="-0.83893150131176675"/>
        <n v="-1.2998457064801137"/>
        <n v="-0.2043454043582339"/>
        <n v="0.60661730721401375"/>
        <n v="-0.44983802818566654"/>
      </sharedItems>
    </cacheField>
    <cacheField name="ABSSIZE" numFmtId="0" sqlType="6">
      <sharedItems containsSemiMixedTypes="0" containsString="0" containsNumber="1" minValue="0.02" maxValue="0.8" count="6">
        <n v="0.2"/>
        <n v="0.6"/>
        <n v="0.3"/>
        <n v="0.7"/>
        <n v="0.8"/>
        <n v="0.02"/>
      </sharedItems>
    </cacheField>
    <cacheField name="Size-Rel" numFmtId="0" sqlType="6">
      <sharedItems containsSemiMixedTypes="0" containsString="0" containsNumber="1" minValue="0.40008001600320064" maxValue="2.4" count="7">
        <n v="0.5"/>
        <n v="0.75"/>
        <n v="0.6"/>
        <n v="0.7"/>
        <n v="0.8"/>
        <n v="0.40008001600320064"/>
        <n v="2.4"/>
      </sharedItems>
    </cacheField>
    <cacheField name="ACCOUNTNUMBER2" numFmtId="0" sqlType="6">
      <sharedItems containsSemiMixedTypes="0" containsString="0" containsNumber="1" containsInteger="1" minValue="774022" maxValue="5145521" count="9">
        <n v="774022"/>
        <n v="774678"/>
        <n v="775191"/>
        <n v="776849"/>
        <n v="776980"/>
        <n v="776982"/>
        <n v="777094"/>
        <n v="5145521"/>
        <n v="1505425"/>
      </sharedItems>
    </cacheField>
    <cacheField name="Margin%" numFmtId="0" sqlType="6">
      <sharedItems containsSemiMixedTypes="0" containsString="0" containsNumber="1" minValue="0" maxValue="1172.2396393221259" count="2">
        <n v="0"/>
        <n v="1172.2396393221259"/>
      </sharedItems>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gcaglion" refreshedDate="42181.482123842594" createdVersion="5" refreshedVersion="5" minRefreshableVersion="3" recordCount="634">
  <cacheSource type="external" connectionId="4"/>
  <cacheFields count="6">
    <cacheField name="ACCOUNT" numFmtId="0" sqlType="12">
      <sharedItems count="18">
        <s v="1501637 - MZ-Alpari"/>
        <s v="1505425 - T-Alpari"/>
        <s v="2131916 - G-XM"/>
        <s v="2148515 - L-XM"/>
        <s v="2171896 - I-XM"/>
        <s v="5145521 - Sara-MX"/>
        <s v="774022 - G-Alpari"/>
        <s v="774678 - M-Alpari"/>
        <s v="775191 - I-Alpari"/>
        <s v="776849 - A-Alpari"/>
        <s v="776980 - R-Alpari"/>
        <s v="776982 - V-Alpari"/>
        <s v="777094 - G-Alpari2"/>
        <s v="87012568 - T-FXCM"/>
        <s v="917261 - S-Alpari"/>
        <s v="918062 - IN-Alpari"/>
        <s v="918583 - LE-Alpari"/>
        <s v="620082 - Alpari-Demo" u="1"/>
      </sharedItems>
    </cacheField>
    <cacheField name="WEEK" numFmtId="0" sqlType="6">
      <sharedItems containsSemiMixedTypes="0" containsString="0" containsNumber="1" minValue="13.15" maxValue="15.05" count="96">
        <n v="14.27"/>
        <n v="14.28"/>
        <n v="14.29"/>
        <n v="14.3"/>
        <n v="14.31"/>
        <n v="14.32"/>
        <n v="14.33"/>
        <n v="14.34"/>
        <n v="14.35"/>
        <n v="14.36"/>
        <n v="14.37"/>
        <n v="14.38"/>
        <n v="14.39"/>
        <n v="14.4"/>
        <n v="14.41"/>
        <n v="14.42"/>
        <n v="14.43"/>
        <n v="14.44"/>
        <n v="14.45"/>
        <n v="14.46"/>
        <n v="14.47"/>
        <n v="14.48"/>
        <n v="14.49"/>
        <n v="14.01"/>
        <n v="14.5"/>
        <n v="14.51"/>
        <n v="14.52"/>
        <n v="15.01"/>
        <n v="15.02"/>
        <n v="15.03"/>
        <n v="14.24"/>
        <n v="14.25"/>
        <n v="14.26"/>
        <n v="13.42"/>
        <n v="13.43"/>
        <n v="13.44"/>
        <n v="13.45"/>
        <n v="13.46"/>
        <n v="13.47"/>
        <n v="13.48"/>
        <n v="13.49"/>
        <n v="13.5"/>
        <n v="13.51"/>
        <n v="14.02"/>
        <n v="14.03"/>
        <n v="14.04"/>
        <n v="14.05"/>
        <n v="14.06"/>
        <n v="14.07"/>
        <n v="14.08"/>
        <n v="14.09"/>
        <n v="14.1"/>
        <n v="14.11"/>
        <n v="14.12"/>
        <n v="14.13"/>
        <n v="14.14"/>
        <n v="14.15"/>
        <n v="14.16"/>
        <n v="14.17"/>
        <n v="14.18"/>
        <n v="14.19"/>
        <n v="14.2"/>
        <n v="14.21"/>
        <n v="14.22"/>
        <n v="14.23"/>
        <n v="15.04"/>
        <n v="15.05"/>
        <n v="13.41"/>
        <n v="13.27" u="1"/>
        <n v="13.38" u="1"/>
        <n v="13.2" u="1"/>
        <n v="13.31" u="1"/>
        <n v="13.53" u="1"/>
        <n v="13.24" u="1"/>
        <n v="13.35" u="1"/>
        <n v="13.17" u="1"/>
        <n v="13.28" u="1"/>
        <n v="13.39" u="1"/>
        <n v="13.21" u="1"/>
        <n v="13.32" u="1"/>
        <n v="13.25" u="1"/>
        <n v="13.26" u="1"/>
        <n v="13.36" u="1"/>
        <n v="13.37" u="1"/>
        <n v="13.18" u="1"/>
        <n v="13.19" u="1"/>
        <n v="13.29" u="1"/>
        <n v="13.3" u="1"/>
        <n v="13.4" u="1"/>
        <n v="13.52" u="1"/>
        <n v="13.22" u="1"/>
        <n v="13.23" u="1"/>
        <n v="13.33" u="1"/>
        <n v="13.34" u="1"/>
        <n v="13.15" u="1"/>
        <n v="13.16" u="1"/>
      </sharedItems>
    </cacheField>
    <cacheField name="CLOSEDPLPROG" numFmtId="0" sqlType="6">
      <sharedItems containsSemiMixedTypes="0" containsString="0" containsNumber="1" minValue="-94243.33" maxValue="98366.33"/>
    </cacheField>
    <cacheField name="OPENPL" numFmtId="0" sqlType="6">
      <sharedItems containsSemiMixedTypes="0" containsString="0" containsNumber="1" minValue="-173617.66" maxValue="292.52"/>
    </cacheField>
    <cacheField name="CASH" numFmtId="0" sqlType="6">
      <sharedItems containsSemiMixedTypes="0" containsString="0" containsNumber="1" minValue="-5793.68" maxValue="120000"/>
    </cacheField>
    <cacheField name="EQUITY" numFmtId="0" sqlType="6">
      <sharedItems containsSemiMixedTypes="0" containsString="0" containsNumber="1" minValue="-123200.87" maxValue="157440.329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193">
  <r>
    <x v="0"/>
    <x v="0"/>
    <x v="0"/>
    <n v="1.96217"/>
    <n v="1.9620200000000001"/>
    <n v="1.9620299999999999"/>
    <n v="1.9620249999999999"/>
    <n v="0.1"/>
  </r>
  <r>
    <x v="0"/>
    <x v="0"/>
    <x v="0"/>
    <n v="1.96217"/>
    <n v="1.9620200000000001"/>
    <n v="1.9620299999999999"/>
    <n v="1.9620249999999999"/>
    <n v="0.1"/>
  </r>
  <r>
    <x v="0"/>
    <x v="0"/>
    <x v="1"/>
    <n v="0.99707000000000001"/>
    <n v="0.99450000000000005"/>
    <n v="0.99751000000000001"/>
    <n v="0.99600500000000003"/>
    <n v="30.1"/>
  </r>
  <r>
    <x v="0"/>
    <x v="0"/>
    <x v="1"/>
    <n v="0.99707000000000001"/>
    <n v="0.99450000000000005"/>
    <n v="0.99751000000000001"/>
    <n v="0.99600500000000003"/>
    <n v="30.1"/>
  </r>
  <r>
    <x v="0"/>
    <x v="0"/>
    <x v="1"/>
    <n v="0.99707000000000001"/>
    <n v="0.99450000000000005"/>
    <n v="0.99751000000000001"/>
    <n v="0.99600500000000003"/>
    <n v="30.1"/>
  </r>
  <r>
    <x v="0"/>
    <x v="0"/>
    <x v="1"/>
    <n v="0.99707000000000001"/>
    <n v="0.99450000000000005"/>
    <n v="0.99751000000000001"/>
    <n v="0.99600500000000003"/>
    <n v="30.1"/>
  </r>
  <r>
    <x v="0"/>
    <x v="1"/>
    <x v="2"/>
    <n v="101.325"/>
    <n v="101.199"/>
    <n v="102.20099999999999"/>
    <n v="101.7"/>
    <n v="100.2"/>
  </r>
  <r>
    <x v="0"/>
    <x v="1"/>
    <x v="2"/>
    <n v="101.325"/>
    <n v="101.199"/>
    <n v="102.20099999999999"/>
    <n v="101.7"/>
    <n v="100.2"/>
  </r>
  <r>
    <x v="0"/>
    <x v="1"/>
    <x v="2"/>
    <n v="101.325"/>
    <n v="101.199"/>
    <n v="102.20099999999999"/>
    <n v="101.7"/>
    <n v="100.2"/>
  </r>
  <r>
    <x v="0"/>
    <x v="1"/>
    <x v="2"/>
    <n v="101.325"/>
    <n v="101.199"/>
    <n v="102.20099999999999"/>
    <n v="101.7"/>
    <n v="100.2"/>
  </r>
  <r>
    <x v="0"/>
    <x v="1"/>
    <x v="2"/>
    <n v="101.325"/>
    <n v="101.199"/>
    <n v="102.20099999999999"/>
    <n v="101.7"/>
    <n v="100.2"/>
  </r>
  <r>
    <x v="0"/>
    <x v="1"/>
    <x v="2"/>
    <n v="101.325"/>
    <n v="101.199"/>
    <n v="102.20099999999999"/>
    <n v="101.7"/>
    <n v="100.2"/>
  </r>
  <r>
    <x v="0"/>
    <x v="1"/>
    <x v="2"/>
    <n v="101.325"/>
    <n v="101.199"/>
    <n v="102.20099999999999"/>
    <n v="101.7"/>
    <n v="100.2"/>
  </r>
  <r>
    <x v="0"/>
    <x v="1"/>
    <x v="0"/>
    <n v="1.94255"/>
    <n v="1.9419200000000001"/>
    <n v="1.966"/>
    <n v="1.9539599999999999"/>
    <n v="240.8"/>
  </r>
  <r>
    <x v="0"/>
    <x v="1"/>
    <x v="0"/>
    <n v="1.94255"/>
    <n v="1.9419200000000001"/>
    <n v="1.966"/>
    <n v="1.9539599999999999"/>
    <n v="240.8"/>
  </r>
  <r>
    <x v="0"/>
    <x v="1"/>
    <x v="0"/>
    <n v="1.94255"/>
    <n v="1.9419200000000001"/>
    <n v="1.966"/>
    <n v="1.9539599999999999"/>
    <n v="240.8"/>
  </r>
  <r>
    <x v="0"/>
    <x v="1"/>
    <x v="0"/>
    <n v="1.94255"/>
    <n v="1.9419200000000001"/>
    <n v="1.966"/>
    <n v="1.9539599999999999"/>
    <n v="240.8"/>
  </r>
  <r>
    <x v="0"/>
    <x v="1"/>
    <x v="0"/>
    <n v="1.94255"/>
    <n v="1.9419200000000001"/>
    <n v="1.966"/>
    <n v="1.9539599999999999"/>
    <n v="240.8"/>
  </r>
  <r>
    <x v="0"/>
    <x v="1"/>
    <x v="0"/>
    <n v="1.94255"/>
    <n v="1.9419200000000001"/>
    <n v="1.966"/>
    <n v="1.9539599999999999"/>
    <n v="240.8"/>
  </r>
  <r>
    <x v="0"/>
    <x v="1"/>
    <x v="0"/>
    <n v="1.94255"/>
    <n v="1.9419200000000001"/>
    <n v="1.966"/>
    <n v="1.9539599999999999"/>
    <n v="240.8"/>
  </r>
  <r>
    <x v="0"/>
    <x v="1"/>
    <x v="0"/>
    <n v="1.94255"/>
    <n v="1.9419200000000001"/>
    <n v="1.966"/>
    <n v="1.9539599999999999"/>
    <n v="240.8"/>
  </r>
  <r>
    <x v="0"/>
    <x v="1"/>
    <x v="3"/>
    <n v="1.36012"/>
    <n v="1.3580000000000001"/>
    <n v="1.3641000000000001"/>
    <n v="1.3610500000000001"/>
    <n v="61"/>
  </r>
  <r>
    <x v="0"/>
    <x v="1"/>
    <x v="3"/>
    <n v="1.36012"/>
    <n v="1.3580000000000001"/>
    <n v="1.3641000000000001"/>
    <n v="1.3610500000000001"/>
    <n v="61"/>
  </r>
  <r>
    <x v="0"/>
    <x v="1"/>
    <x v="3"/>
    <n v="1.36012"/>
    <n v="1.3580000000000001"/>
    <n v="1.3641000000000001"/>
    <n v="1.3610500000000001"/>
    <n v="61"/>
  </r>
  <r>
    <x v="0"/>
    <x v="1"/>
    <x v="3"/>
    <n v="1.36012"/>
    <n v="1.3580000000000001"/>
    <n v="1.3641000000000001"/>
    <n v="1.3610500000000001"/>
    <n v="61"/>
  </r>
  <r>
    <x v="0"/>
    <x v="1"/>
    <x v="1"/>
    <n v="1.00779"/>
    <n v="0.99450000000000005"/>
    <n v="1.0081"/>
    <n v="1.0013000000000001"/>
    <n v="136"/>
  </r>
  <r>
    <x v="0"/>
    <x v="1"/>
    <x v="1"/>
    <n v="1.00779"/>
    <n v="0.99450000000000005"/>
    <n v="1.0081"/>
    <n v="1.0013000000000001"/>
    <n v="136"/>
  </r>
  <r>
    <x v="0"/>
    <x v="1"/>
    <x v="1"/>
    <n v="1.00779"/>
    <n v="0.99450000000000005"/>
    <n v="1.0081"/>
    <n v="1.0013000000000001"/>
    <n v="136"/>
  </r>
  <r>
    <x v="0"/>
    <x v="1"/>
    <x v="1"/>
    <n v="1.00779"/>
    <n v="0.99450000000000005"/>
    <n v="1.0081"/>
    <n v="1.0013000000000001"/>
    <n v="136"/>
  </r>
  <r>
    <x v="0"/>
    <x v="1"/>
    <x v="1"/>
    <n v="1.00779"/>
    <n v="0.99450000000000005"/>
    <n v="1.0081"/>
    <n v="1.0013000000000001"/>
    <n v="136"/>
  </r>
  <r>
    <x v="0"/>
    <x v="1"/>
    <x v="1"/>
    <n v="1.00779"/>
    <n v="0.99450000000000005"/>
    <n v="1.0081"/>
    <n v="1.0013000000000001"/>
    <n v="136"/>
  </r>
  <r>
    <x v="0"/>
    <x v="1"/>
    <x v="1"/>
    <n v="1.00779"/>
    <n v="0.99450000000000005"/>
    <n v="1.0081"/>
    <n v="1.0013000000000001"/>
    <n v="136"/>
  </r>
  <r>
    <x v="0"/>
    <x v="1"/>
    <x v="1"/>
    <n v="1.00779"/>
    <n v="0.99450000000000005"/>
    <n v="1.0081"/>
    <n v="1.0013000000000001"/>
    <n v="136"/>
  </r>
  <r>
    <x v="0"/>
    <x v="1"/>
    <x v="1"/>
    <n v="1.00779"/>
    <n v="0.99450000000000005"/>
    <n v="1.0081"/>
    <n v="1.0013000000000001"/>
    <n v="136"/>
  </r>
  <r>
    <x v="0"/>
    <x v="1"/>
    <x v="1"/>
    <n v="1.00779"/>
    <n v="0.99450000000000005"/>
    <n v="1.0081"/>
    <n v="1.0013000000000001"/>
    <n v="136"/>
  </r>
  <r>
    <x v="0"/>
    <x v="1"/>
    <x v="1"/>
    <n v="1.00779"/>
    <n v="0.99450000000000005"/>
    <n v="1.0081"/>
    <n v="1.0013000000000001"/>
    <n v="136"/>
  </r>
  <r>
    <x v="0"/>
    <x v="2"/>
    <x v="2"/>
    <n v="101.315"/>
    <n v="101.199"/>
    <n v="102.20099999999999"/>
    <n v="101.7"/>
    <n v="100.2"/>
  </r>
  <r>
    <x v="0"/>
    <x v="2"/>
    <x v="2"/>
    <n v="101.315"/>
    <n v="101.199"/>
    <n v="102.20099999999999"/>
    <n v="101.7"/>
    <n v="100.2"/>
  </r>
  <r>
    <x v="0"/>
    <x v="2"/>
    <x v="2"/>
    <n v="101.315"/>
    <n v="101.199"/>
    <n v="102.20099999999999"/>
    <n v="101.7"/>
    <n v="100.2"/>
  </r>
  <r>
    <x v="0"/>
    <x v="2"/>
    <x v="2"/>
    <n v="101.315"/>
    <n v="101.199"/>
    <n v="102.20099999999999"/>
    <n v="101.7"/>
    <n v="100.2"/>
  </r>
  <r>
    <x v="0"/>
    <x v="2"/>
    <x v="2"/>
    <n v="101.315"/>
    <n v="101.199"/>
    <n v="102.20099999999999"/>
    <n v="101.7"/>
    <n v="100.2"/>
  </r>
  <r>
    <x v="0"/>
    <x v="2"/>
    <x v="2"/>
    <n v="101.315"/>
    <n v="101.199"/>
    <n v="102.20099999999999"/>
    <n v="101.7"/>
    <n v="100.2"/>
  </r>
  <r>
    <x v="0"/>
    <x v="2"/>
    <x v="2"/>
    <n v="101.315"/>
    <n v="101.199"/>
    <n v="102.20099999999999"/>
    <n v="101.7"/>
    <n v="100.2"/>
  </r>
  <r>
    <x v="0"/>
    <x v="2"/>
    <x v="0"/>
    <n v="1.96496"/>
    <n v="1.9378299999999999"/>
    <n v="1.974"/>
    <n v="1.9559150000000001"/>
    <n v="361.7"/>
  </r>
  <r>
    <x v="0"/>
    <x v="2"/>
    <x v="0"/>
    <n v="1.96496"/>
    <n v="1.9378299999999999"/>
    <n v="1.974"/>
    <n v="1.9559150000000001"/>
    <n v="361.7"/>
  </r>
  <r>
    <x v="0"/>
    <x v="2"/>
    <x v="0"/>
    <n v="1.96496"/>
    <n v="1.9378299999999999"/>
    <n v="1.974"/>
    <n v="1.9559150000000001"/>
    <n v="361.7"/>
  </r>
  <r>
    <x v="0"/>
    <x v="2"/>
    <x v="0"/>
    <n v="1.96496"/>
    <n v="1.9378299999999999"/>
    <n v="1.974"/>
    <n v="1.9559150000000001"/>
    <n v="361.7"/>
  </r>
  <r>
    <x v="0"/>
    <x v="2"/>
    <x v="0"/>
    <n v="1.96496"/>
    <n v="1.9378299999999999"/>
    <n v="1.974"/>
    <n v="1.9559150000000001"/>
    <n v="361.7"/>
  </r>
  <r>
    <x v="0"/>
    <x v="2"/>
    <x v="0"/>
    <n v="1.96496"/>
    <n v="1.9378299999999999"/>
    <n v="1.974"/>
    <n v="1.9559150000000001"/>
    <n v="361.7"/>
  </r>
  <r>
    <x v="0"/>
    <x v="2"/>
    <x v="0"/>
    <n v="1.96496"/>
    <n v="1.9378299999999999"/>
    <n v="1.974"/>
    <n v="1.9559150000000001"/>
    <n v="361.7"/>
  </r>
  <r>
    <x v="0"/>
    <x v="2"/>
    <x v="0"/>
    <n v="1.96496"/>
    <n v="1.9378299999999999"/>
    <n v="1.974"/>
    <n v="1.9559150000000001"/>
    <n v="361.7"/>
  </r>
  <r>
    <x v="0"/>
    <x v="2"/>
    <x v="0"/>
    <n v="1.96496"/>
    <n v="1.9378299999999999"/>
    <n v="1.974"/>
    <n v="1.9559150000000001"/>
    <n v="361.7"/>
  </r>
  <r>
    <x v="0"/>
    <x v="2"/>
    <x v="0"/>
    <n v="1.96496"/>
    <n v="1.9378299999999999"/>
    <n v="1.974"/>
    <n v="1.9559150000000001"/>
    <n v="361.7"/>
  </r>
  <r>
    <x v="0"/>
    <x v="2"/>
    <x v="0"/>
    <n v="1.96496"/>
    <n v="1.9378299999999999"/>
    <n v="1.974"/>
    <n v="1.9559150000000001"/>
    <n v="361.7"/>
  </r>
  <r>
    <x v="0"/>
    <x v="2"/>
    <x v="3"/>
    <n v="1.3522700000000001"/>
    <n v="1.349"/>
    <n v="1.3641000000000001"/>
    <n v="1.3565499999999999"/>
    <n v="151"/>
  </r>
  <r>
    <x v="0"/>
    <x v="2"/>
    <x v="3"/>
    <n v="1.3522700000000001"/>
    <n v="1.349"/>
    <n v="1.3641000000000001"/>
    <n v="1.3565499999999999"/>
    <n v="151"/>
  </r>
  <r>
    <x v="0"/>
    <x v="2"/>
    <x v="3"/>
    <n v="1.3522700000000001"/>
    <n v="1.349"/>
    <n v="1.3641000000000001"/>
    <n v="1.3565499999999999"/>
    <n v="151"/>
  </r>
  <r>
    <x v="0"/>
    <x v="2"/>
    <x v="3"/>
    <n v="1.3522700000000001"/>
    <n v="1.349"/>
    <n v="1.3641000000000001"/>
    <n v="1.3565499999999999"/>
    <n v="151"/>
  </r>
  <r>
    <x v="0"/>
    <x v="2"/>
    <x v="3"/>
    <n v="1.3522700000000001"/>
    <n v="1.349"/>
    <n v="1.3641000000000001"/>
    <n v="1.3565499999999999"/>
    <n v="151"/>
  </r>
  <r>
    <x v="0"/>
    <x v="2"/>
    <x v="3"/>
    <n v="1.3522700000000001"/>
    <n v="1.349"/>
    <n v="1.3641000000000001"/>
    <n v="1.3565499999999999"/>
    <n v="151"/>
  </r>
  <r>
    <x v="0"/>
    <x v="2"/>
    <x v="3"/>
    <n v="1.3522700000000001"/>
    <n v="1.349"/>
    <n v="1.3641000000000001"/>
    <n v="1.3565499999999999"/>
    <n v="151"/>
  </r>
  <r>
    <x v="0"/>
    <x v="2"/>
    <x v="1"/>
    <n v="1.00769"/>
    <n v="0.99450000000000005"/>
    <n v="1.0095000000000001"/>
    <n v="1.002"/>
    <n v="150"/>
  </r>
  <r>
    <x v="0"/>
    <x v="2"/>
    <x v="1"/>
    <n v="1.00769"/>
    <n v="0.99450000000000005"/>
    <n v="1.0095000000000001"/>
    <n v="1.002"/>
    <n v="150"/>
  </r>
  <r>
    <x v="0"/>
    <x v="2"/>
    <x v="1"/>
    <n v="1.00769"/>
    <n v="0.99450000000000005"/>
    <n v="1.0095000000000001"/>
    <n v="1.002"/>
    <n v="150"/>
  </r>
  <r>
    <x v="0"/>
    <x v="2"/>
    <x v="1"/>
    <n v="1.00769"/>
    <n v="0.99450000000000005"/>
    <n v="1.0095000000000001"/>
    <n v="1.002"/>
    <n v="150"/>
  </r>
  <r>
    <x v="0"/>
    <x v="2"/>
    <x v="1"/>
    <n v="1.00769"/>
    <n v="0.99450000000000005"/>
    <n v="1.0095000000000001"/>
    <n v="1.002"/>
    <n v="150"/>
  </r>
  <r>
    <x v="0"/>
    <x v="2"/>
    <x v="1"/>
    <n v="1.00769"/>
    <n v="0.99450000000000005"/>
    <n v="1.0095000000000001"/>
    <n v="1.002"/>
    <n v="150"/>
  </r>
  <r>
    <x v="0"/>
    <x v="2"/>
    <x v="1"/>
    <n v="1.00769"/>
    <n v="0.99450000000000005"/>
    <n v="1.0095000000000001"/>
    <n v="1.002"/>
    <n v="150"/>
  </r>
  <r>
    <x v="0"/>
    <x v="2"/>
    <x v="1"/>
    <n v="1.00769"/>
    <n v="0.99450000000000005"/>
    <n v="1.0095000000000001"/>
    <n v="1.002"/>
    <n v="150"/>
  </r>
  <r>
    <x v="0"/>
    <x v="2"/>
    <x v="1"/>
    <n v="1.00769"/>
    <n v="0.99450000000000005"/>
    <n v="1.0095000000000001"/>
    <n v="1.002"/>
    <n v="150"/>
  </r>
  <r>
    <x v="0"/>
    <x v="2"/>
    <x v="1"/>
    <n v="1.00769"/>
    <n v="0.99450000000000005"/>
    <n v="1.0095000000000001"/>
    <n v="1.002"/>
    <n v="150"/>
  </r>
  <r>
    <x v="0"/>
    <x v="2"/>
    <x v="1"/>
    <n v="1.00769"/>
    <n v="0.99450000000000005"/>
    <n v="1.0095000000000001"/>
    <n v="1.002"/>
    <n v="150"/>
  </r>
  <r>
    <x v="0"/>
    <x v="2"/>
    <x v="1"/>
    <n v="1.00769"/>
    <n v="0.99450000000000005"/>
    <n v="1.0095000000000001"/>
    <n v="1.002"/>
    <n v="150"/>
  </r>
  <r>
    <x v="0"/>
    <x v="3"/>
    <x v="2"/>
    <n v="101.804"/>
    <n v="101.199"/>
    <n v="102.20099999999999"/>
    <n v="101.7"/>
    <n v="100.2"/>
  </r>
  <r>
    <x v="0"/>
    <x v="3"/>
    <x v="2"/>
    <n v="101.804"/>
    <n v="101.199"/>
    <n v="102.20099999999999"/>
    <n v="101.7"/>
    <n v="100.2"/>
  </r>
  <r>
    <x v="0"/>
    <x v="3"/>
    <x v="2"/>
    <n v="101.804"/>
    <n v="101.199"/>
    <n v="102.20099999999999"/>
    <n v="101.7"/>
    <n v="100.2"/>
  </r>
  <r>
    <x v="0"/>
    <x v="3"/>
    <x v="2"/>
    <n v="101.804"/>
    <n v="101.199"/>
    <n v="102.20099999999999"/>
    <n v="101.7"/>
    <n v="100.2"/>
  </r>
  <r>
    <x v="0"/>
    <x v="3"/>
    <x v="2"/>
    <n v="101.804"/>
    <n v="101.199"/>
    <n v="102.20099999999999"/>
    <n v="101.7"/>
    <n v="100.2"/>
  </r>
  <r>
    <x v="0"/>
    <x v="3"/>
    <x v="2"/>
    <n v="101.804"/>
    <n v="101.199"/>
    <n v="102.20099999999999"/>
    <n v="101.7"/>
    <n v="100.2"/>
  </r>
  <r>
    <x v="0"/>
    <x v="3"/>
    <x v="2"/>
    <n v="101.804"/>
    <n v="101.199"/>
    <n v="102.20099999999999"/>
    <n v="101.7"/>
    <n v="100.2"/>
  </r>
  <r>
    <x v="0"/>
    <x v="3"/>
    <x v="0"/>
    <n v="1.9835499999999999"/>
    <n v="1.9378299999999999"/>
    <n v="1.9860100000000001"/>
    <n v="1.9619200000000001"/>
    <n v="481.8"/>
  </r>
  <r>
    <x v="0"/>
    <x v="3"/>
    <x v="0"/>
    <n v="1.9835499999999999"/>
    <n v="1.9378299999999999"/>
    <n v="1.9860100000000001"/>
    <n v="1.9619200000000001"/>
    <n v="481.8"/>
  </r>
  <r>
    <x v="0"/>
    <x v="3"/>
    <x v="0"/>
    <n v="1.9835499999999999"/>
    <n v="1.9378299999999999"/>
    <n v="1.9860100000000001"/>
    <n v="1.9619200000000001"/>
    <n v="481.8"/>
  </r>
  <r>
    <x v="0"/>
    <x v="3"/>
    <x v="0"/>
    <n v="1.9835499999999999"/>
    <n v="1.9378299999999999"/>
    <n v="1.9860100000000001"/>
    <n v="1.9619200000000001"/>
    <n v="481.8"/>
  </r>
  <r>
    <x v="0"/>
    <x v="3"/>
    <x v="0"/>
    <n v="1.9835499999999999"/>
    <n v="1.9378299999999999"/>
    <n v="1.9860100000000001"/>
    <n v="1.9619200000000001"/>
    <n v="481.8"/>
  </r>
  <r>
    <x v="0"/>
    <x v="3"/>
    <x v="0"/>
    <n v="1.9835499999999999"/>
    <n v="1.9378299999999999"/>
    <n v="1.9860100000000001"/>
    <n v="1.9619200000000001"/>
    <n v="481.8"/>
  </r>
  <r>
    <x v="0"/>
    <x v="3"/>
    <x v="0"/>
    <n v="1.9835499999999999"/>
    <n v="1.9378299999999999"/>
    <n v="1.9860100000000001"/>
    <n v="1.9619200000000001"/>
    <n v="481.8"/>
  </r>
  <r>
    <x v="0"/>
    <x v="3"/>
    <x v="0"/>
    <n v="1.9835499999999999"/>
    <n v="1.9378299999999999"/>
    <n v="1.9860100000000001"/>
    <n v="1.9619200000000001"/>
    <n v="481.8"/>
  </r>
  <r>
    <x v="0"/>
    <x v="3"/>
    <x v="0"/>
    <n v="1.9835499999999999"/>
    <n v="1.9378299999999999"/>
    <n v="1.9860100000000001"/>
    <n v="1.9619200000000001"/>
    <n v="481.8"/>
  </r>
  <r>
    <x v="0"/>
    <x v="3"/>
    <x v="0"/>
    <n v="1.9835499999999999"/>
    <n v="1.9378299999999999"/>
    <n v="1.9860100000000001"/>
    <n v="1.9619200000000001"/>
    <n v="481.8"/>
  </r>
  <r>
    <x v="0"/>
    <x v="3"/>
    <x v="0"/>
    <n v="1.9835499999999999"/>
    <n v="1.9378299999999999"/>
    <n v="1.9860100000000001"/>
    <n v="1.9619200000000001"/>
    <n v="481.8"/>
  </r>
  <r>
    <x v="0"/>
    <x v="3"/>
    <x v="0"/>
    <n v="1.9835499999999999"/>
    <n v="1.9378299999999999"/>
    <n v="1.9860100000000001"/>
    <n v="1.9619200000000001"/>
    <n v="481.8"/>
  </r>
  <r>
    <x v="0"/>
    <x v="3"/>
    <x v="0"/>
    <n v="1.9835499999999999"/>
    <n v="1.9378299999999999"/>
    <n v="1.9860100000000001"/>
    <n v="1.9619200000000001"/>
    <n v="481.8"/>
  </r>
  <r>
    <x v="0"/>
    <x v="3"/>
    <x v="0"/>
    <n v="1.9835499999999999"/>
    <n v="1.9378299999999999"/>
    <n v="1.9860100000000001"/>
    <n v="1.9619200000000001"/>
    <n v="481.8"/>
  </r>
  <r>
    <x v="0"/>
    <x v="3"/>
    <x v="3"/>
    <n v="1.34283"/>
    <n v="1.34297"/>
    <n v="1.3641000000000001"/>
    <n v="1.3535349999999999"/>
    <n v="211.3"/>
  </r>
  <r>
    <x v="0"/>
    <x v="3"/>
    <x v="3"/>
    <n v="1.34283"/>
    <n v="1.34297"/>
    <n v="1.3641000000000001"/>
    <n v="1.3535349999999999"/>
    <n v="211.3"/>
  </r>
  <r>
    <x v="0"/>
    <x v="3"/>
    <x v="3"/>
    <n v="1.34283"/>
    <n v="1.34297"/>
    <n v="1.3641000000000001"/>
    <n v="1.3535349999999999"/>
    <n v="211.3"/>
  </r>
  <r>
    <x v="0"/>
    <x v="3"/>
    <x v="3"/>
    <n v="1.34283"/>
    <n v="1.34297"/>
    <n v="1.3641000000000001"/>
    <n v="1.3535349999999999"/>
    <n v="211.3"/>
  </r>
  <r>
    <x v="0"/>
    <x v="3"/>
    <x v="3"/>
    <n v="1.34283"/>
    <n v="1.34297"/>
    <n v="1.3641000000000001"/>
    <n v="1.3535349999999999"/>
    <n v="211.3"/>
  </r>
  <r>
    <x v="0"/>
    <x v="3"/>
    <x v="3"/>
    <n v="1.34283"/>
    <n v="1.34297"/>
    <n v="1.3641000000000001"/>
    <n v="1.3535349999999999"/>
    <n v="211.3"/>
  </r>
  <r>
    <x v="0"/>
    <x v="3"/>
    <x v="3"/>
    <n v="1.34283"/>
    <n v="1.34297"/>
    <n v="1.3641000000000001"/>
    <n v="1.3535349999999999"/>
    <n v="211.3"/>
  </r>
  <r>
    <x v="0"/>
    <x v="3"/>
    <x v="3"/>
    <n v="1.34283"/>
    <n v="1.34297"/>
    <n v="1.3641000000000001"/>
    <n v="1.3535349999999999"/>
    <n v="211.3"/>
  </r>
  <r>
    <x v="0"/>
    <x v="3"/>
    <x v="3"/>
    <n v="1.34283"/>
    <n v="1.34297"/>
    <n v="1.3641000000000001"/>
    <n v="1.3535349999999999"/>
    <n v="211.3"/>
  </r>
  <r>
    <x v="0"/>
    <x v="3"/>
    <x v="1"/>
    <n v="1.01553"/>
    <n v="0.99450000000000005"/>
    <n v="1.01705"/>
    <n v="1.0057750000000001"/>
    <n v="225.5"/>
  </r>
  <r>
    <x v="0"/>
    <x v="3"/>
    <x v="1"/>
    <n v="1.01553"/>
    <n v="0.99450000000000005"/>
    <n v="1.01705"/>
    <n v="1.0057750000000001"/>
    <n v="225.5"/>
  </r>
  <r>
    <x v="0"/>
    <x v="3"/>
    <x v="1"/>
    <n v="1.01553"/>
    <n v="0.99450000000000005"/>
    <n v="1.01705"/>
    <n v="1.0057750000000001"/>
    <n v="225.5"/>
  </r>
  <r>
    <x v="0"/>
    <x v="3"/>
    <x v="1"/>
    <n v="1.01553"/>
    <n v="0.99450000000000005"/>
    <n v="1.01705"/>
    <n v="1.0057750000000001"/>
    <n v="225.5"/>
  </r>
  <r>
    <x v="0"/>
    <x v="3"/>
    <x v="1"/>
    <n v="1.01553"/>
    <n v="0.99450000000000005"/>
    <n v="1.01705"/>
    <n v="1.0057750000000001"/>
    <n v="225.5"/>
  </r>
  <r>
    <x v="0"/>
    <x v="3"/>
    <x v="1"/>
    <n v="1.01553"/>
    <n v="0.99450000000000005"/>
    <n v="1.01705"/>
    <n v="1.0057750000000001"/>
    <n v="225.5"/>
  </r>
  <r>
    <x v="0"/>
    <x v="3"/>
    <x v="1"/>
    <n v="1.01553"/>
    <n v="0.99450000000000005"/>
    <n v="1.01705"/>
    <n v="1.0057750000000001"/>
    <n v="225.5"/>
  </r>
  <r>
    <x v="0"/>
    <x v="3"/>
    <x v="1"/>
    <n v="1.01553"/>
    <n v="0.99450000000000005"/>
    <n v="1.01705"/>
    <n v="1.0057750000000001"/>
    <n v="225.5"/>
  </r>
  <r>
    <x v="0"/>
    <x v="3"/>
    <x v="1"/>
    <n v="1.01553"/>
    <n v="0.99450000000000005"/>
    <n v="1.01705"/>
    <n v="1.0057750000000001"/>
    <n v="225.5"/>
  </r>
  <r>
    <x v="0"/>
    <x v="3"/>
    <x v="1"/>
    <n v="1.01553"/>
    <n v="0.99450000000000005"/>
    <n v="1.01705"/>
    <n v="1.0057750000000001"/>
    <n v="225.5"/>
  </r>
  <r>
    <x v="0"/>
    <x v="3"/>
    <x v="1"/>
    <n v="1.01553"/>
    <n v="0.99450000000000005"/>
    <n v="1.01705"/>
    <n v="1.0057750000000001"/>
    <n v="225.5"/>
  </r>
  <r>
    <x v="0"/>
    <x v="3"/>
    <x v="1"/>
    <n v="1.01553"/>
    <n v="0.99450000000000005"/>
    <n v="1.01705"/>
    <n v="1.0057750000000001"/>
    <n v="225.5"/>
  </r>
  <r>
    <x v="0"/>
    <x v="3"/>
    <x v="1"/>
    <n v="1.01553"/>
    <n v="0.99450000000000005"/>
    <n v="1.01705"/>
    <n v="1.0057750000000001"/>
    <n v="225.5"/>
  </r>
  <r>
    <x v="0"/>
    <x v="3"/>
    <x v="1"/>
    <n v="1.01553"/>
    <n v="0.99450000000000005"/>
    <n v="1.01705"/>
    <n v="1.0057750000000001"/>
    <n v="225.5"/>
  </r>
  <r>
    <x v="0"/>
    <x v="3"/>
    <x v="1"/>
    <n v="1.01553"/>
    <n v="0.99450000000000005"/>
    <n v="1.01705"/>
    <n v="1.0057750000000001"/>
    <n v="225.5"/>
  </r>
  <r>
    <x v="0"/>
    <x v="3"/>
    <x v="1"/>
    <n v="1.01553"/>
    <n v="0.99450000000000005"/>
    <n v="1.01705"/>
    <n v="1.0057750000000001"/>
    <n v="225.5"/>
  </r>
  <r>
    <x v="0"/>
    <x v="3"/>
    <x v="1"/>
    <n v="1.01553"/>
    <n v="0.99450000000000005"/>
    <n v="1.01705"/>
    <n v="1.0057750000000001"/>
    <n v="225.5"/>
  </r>
  <r>
    <x v="0"/>
    <x v="4"/>
    <x v="2"/>
    <n v="102.596"/>
    <n v="101.199"/>
    <n v="103"/>
    <n v="102.09950000000001"/>
    <n v="180.1"/>
  </r>
  <r>
    <x v="0"/>
    <x v="4"/>
    <x v="2"/>
    <n v="102.596"/>
    <n v="101.199"/>
    <n v="103"/>
    <n v="102.09950000000001"/>
    <n v="180.1"/>
  </r>
  <r>
    <x v="0"/>
    <x v="4"/>
    <x v="2"/>
    <n v="102.596"/>
    <n v="101.199"/>
    <n v="103"/>
    <n v="102.09950000000001"/>
    <n v="180.1"/>
  </r>
  <r>
    <x v="0"/>
    <x v="4"/>
    <x v="2"/>
    <n v="102.596"/>
    <n v="101.199"/>
    <n v="103"/>
    <n v="102.09950000000001"/>
    <n v="180.1"/>
  </r>
  <r>
    <x v="0"/>
    <x v="4"/>
    <x v="2"/>
    <n v="102.596"/>
    <n v="101.199"/>
    <n v="103"/>
    <n v="102.09950000000001"/>
    <n v="180.1"/>
  </r>
  <r>
    <x v="0"/>
    <x v="4"/>
    <x v="2"/>
    <n v="102.596"/>
    <n v="101.199"/>
    <n v="103"/>
    <n v="102.09950000000001"/>
    <n v="180.1"/>
  </r>
  <r>
    <x v="0"/>
    <x v="4"/>
    <x v="2"/>
    <n v="102.596"/>
    <n v="101.199"/>
    <n v="103"/>
    <n v="102.09950000000001"/>
    <n v="180.1"/>
  </r>
  <r>
    <x v="0"/>
    <x v="4"/>
    <x v="2"/>
    <n v="102.596"/>
    <n v="101.199"/>
    <n v="103"/>
    <n v="102.09950000000001"/>
    <n v="180.1"/>
  </r>
  <r>
    <x v="0"/>
    <x v="4"/>
    <x v="2"/>
    <n v="102.596"/>
    <n v="101.199"/>
    <n v="103"/>
    <n v="102.09950000000001"/>
    <n v="180.1"/>
  </r>
  <r>
    <x v="0"/>
    <x v="4"/>
    <x v="2"/>
    <n v="102.596"/>
    <n v="101.199"/>
    <n v="103"/>
    <n v="102.09950000000001"/>
    <n v="180.1"/>
  </r>
  <r>
    <x v="0"/>
    <x v="4"/>
    <x v="0"/>
    <n v="1.97536"/>
    <n v="1.9378299999999999"/>
    <n v="1.9940100000000001"/>
    <n v="1.9659199999999999"/>
    <n v="561.79999999999995"/>
  </r>
  <r>
    <x v="0"/>
    <x v="4"/>
    <x v="0"/>
    <n v="1.97536"/>
    <n v="1.9378299999999999"/>
    <n v="1.9940100000000001"/>
    <n v="1.9659199999999999"/>
    <n v="561.79999999999995"/>
  </r>
  <r>
    <x v="0"/>
    <x v="4"/>
    <x v="0"/>
    <n v="1.97536"/>
    <n v="1.9378299999999999"/>
    <n v="1.9940100000000001"/>
    <n v="1.9659199999999999"/>
    <n v="561.79999999999995"/>
  </r>
  <r>
    <x v="0"/>
    <x v="4"/>
    <x v="0"/>
    <n v="1.97536"/>
    <n v="1.9378299999999999"/>
    <n v="1.9940100000000001"/>
    <n v="1.9659199999999999"/>
    <n v="561.79999999999995"/>
  </r>
  <r>
    <x v="0"/>
    <x v="4"/>
    <x v="0"/>
    <n v="1.97536"/>
    <n v="1.9378299999999999"/>
    <n v="1.9940100000000001"/>
    <n v="1.9659199999999999"/>
    <n v="561.79999999999995"/>
  </r>
  <r>
    <x v="0"/>
    <x v="4"/>
    <x v="0"/>
    <n v="1.97536"/>
    <n v="1.9378299999999999"/>
    <n v="1.9940100000000001"/>
    <n v="1.9659199999999999"/>
    <n v="561.79999999999995"/>
  </r>
  <r>
    <x v="0"/>
    <x v="4"/>
    <x v="0"/>
    <n v="1.97536"/>
    <n v="1.9378299999999999"/>
    <n v="1.9940100000000001"/>
    <n v="1.9659199999999999"/>
    <n v="561.79999999999995"/>
  </r>
  <r>
    <x v="0"/>
    <x v="4"/>
    <x v="0"/>
    <n v="1.97536"/>
    <n v="1.9378299999999999"/>
    <n v="1.9940100000000001"/>
    <n v="1.9659199999999999"/>
    <n v="561.79999999999995"/>
  </r>
  <r>
    <x v="0"/>
    <x v="4"/>
    <x v="0"/>
    <n v="1.97536"/>
    <n v="1.9378299999999999"/>
    <n v="1.9940100000000001"/>
    <n v="1.9659199999999999"/>
    <n v="561.79999999999995"/>
  </r>
  <r>
    <x v="0"/>
    <x v="4"/>
    <x v="0"/>
    <n v="1.97536"/>
    <n v="1.9378299999999999"/>
    <n v="1.9940100000000001"/>
    <n v="1.9659199999999999"/>
    <n v="561.79999999999995"/>
  </r>
  <r>
    <x v="0"/>
    <x v="4"/>
    <x v="0"/>
    <n v="1.97536"/>
    <n v="1.9378299999999999"/>
    <n v="1.9940100000000001"/>
    <n v="1.9659199999999999"/>
    <n v="561.79999999999995"/>
  </r>
  <r>
    <x v="0"/>
    <x v="4"/>
    <x v="0"/>
    <n v="1.97536"/>
    <n v="1.9378299999999999"/>
    <n v="1.9940100000000001"/>
    <n v="1.9659199999999999"/>
    <n v="561.79999999999995"/>
  </r>
  <r>
    <x v="0"/>
    <x v="4"/>
    <x v="0"/>
    <n v="1.97536"/>
    <n v="1.9378299999999999"/>
    <n v="1.9940100000000001"/>
    <n v="1.9659199999999999"/>
    <n v="561.79999999999995"/>
  </r>
  <r>
    <x v="0"/>
    <x v="4"/>
    <x v="0"/>
    <n v="1.97536"/>
    <n v="1.9378299999999999"/>
    <n v="1.9940100000000001"/>
    <n v="1.9659199999999999"/>
    <n v="561.79999999999995"/>
  </r>
  <r>
    <x v="0"/>
    <x v="4"/>
    <x v="0"/>
    <n v="1.97536"/>
    <n v="1.9378299999999999"/>
    <n v="1.9940100000000001"/>
    <n v="1.9659199999999999"/>
    <n v="561.79999999999995"/>
  </r>
  <r>
    <x v="0"/>
    <x v="4"/>
    <x v="0"/>
    <n v="1.97536"/>
    <n v="1.9378299999999999"/>
    <n v="1.9940100000000001"/>
    <n v="1.9659199999999999"/>
    <n v="561.79999999999995"/>
  </r>
  <r>
    <x v="0"/>
    <x v="4"/>
    <x v="0"/>
    <n v="1.97536"/>
    <n v="1.9378299999999999"/>
    <n v="1.9940100000000001"/>
    <n v="1.9659199999999999"/>
    <n v="561.79999999999995"/>
  </r>
  <r>
    <x v="0"/>
    <x v="4"/>
    <x v="3"/>
    <n v="1.34263"/>
    <n v="1.33697"/>
    <n v="1.3641000000000001"/>
    <n v="1.350535"/>
    <n v="271.3"/>
  </r>
  <r>
    <x v="0"/>
    <x v="4"/>
    <x v="3"/>
    <n v="1.34263"/>
    <n v="1.33697"/>
    <n v="1.3641000000000001"/>
    <n v="1.350535"/>
    <n v="271.3"/>
  </r>
  <r>
    <x v="0"/>
    <x v="4"/>
    <x v="3"/>
    <n v="1.34263"/>
    <n v="1.33697"/>
    <n v="1.3641000000000001"/>
    <n v="1.350535"/>
    <n v="271.3"/>
  </r>
  <r>
    <x v="0"/>
    <x v="4"/>
    <x v="3"/>
    <n v="1.34263"/>
    <n v="1.33697"/>
    <n v="1.3641000000000001"/>
    <n v="1.350535"/>
    <n v="271.3"/>
  </r>
  <r>
    <x v="0"/>
    <x v="4"/>
    <x v="3"/>
    <n v="1.34263"/>
    <n v="1.33697"/>
    <n v="1.3641000000000001"/>
    <n v="1.350535"/>
    <n v="271.3"/>
  </r>
  <r>
    <x v="0"/>
    <x v="4"/>
    <x v="3"/>
    <n v="1.34263"/>
    <n v="1.33697"/>
    <n v="1.3641000000000001"/>
    <n v="1.350535"/>
    <n v="271.3"/>
  </r>
  <r>
    <x v="0"/>
    <x v="4"/>
    <x v="3"/>
    <n v="1.34263"/>
    <n v="1.33697"/>
    <n v="1.3641000000000001"/>
    <n v="1.350535"/>
    <n v="271.3"/>
  </r>
  <r>
    <x v="0"/>
    <x v="4"/>
    <x v="3"/>
    <n v="1.34263"/>
    <n v="1.33697"/>
    <n v="1.3641000000000001"/>
    <n v="1.350535"/>
    <n v="271.3"/>
  </r>
  <r>
    <x v="0"/>
    <x v="4"/>
    <x v="3"/>
    <n v="1.34263"/>
    <n v="1.33697"/>
    <n v="1.3641000000000001"/>
    <n v="1.350535"/>
    <n v="271.3"/>
  </r>
  <r>
    <x v="0"/>
    <x v="4"/>
    <x v="3"/>
    <n v="1.34263"/>
    <n v="1.33697"/>
    <n v="1.3641000000000001"/>
    <n v="1.350535"/>
    <n v="271.3"/>
  </r>
  <r>
    <x v="0"/>
    <x v="4"/>
    <x v="3"/>
    <n v="1.34263"/>
    <n v="1.33697"/>
    <n v="1.3641000000000001"/>
    <n v="1.350535"/>
    <n v="271.3"/>
  </r>
  <r>
    <x v="0"/>
    <x v="4"/>
    <x v="1"/>
    <n v="1.01607"/>
    <n v="0.99450000000000005"/>
    <n v="1.0185"/>
    <n v="1.0065"/>
    <n v="240"/>
  </r>
  <r>
    <x v="0"/>
    <x v="4"/>
    <x v="1"/>
    <n v="1.01607"/>
    <n v="0.99450000000000005"/>
    <n v="1.0185"/>
    <n v="1.0065"/>
    <n v="240"/>
  </r>
  <r>
    <x v="0"/>
    <x v="4"/>
    <x v="1"/>
    <n v="1.01607"/>
    <n v="0.99450000000000005"/>
    <n v="1.0185"/>
    <n v="1.0065"/>
    <n v="240"/>
  </r>
  <r>
    <x v="0"/>
    <x v="4"/>
    <x v="1"/>
    <n v="1.01607"/>
    <n v="0.99450000000000005"/>
    <n v="1.0185"/>
    <n v="1.0065"/>
    <n v="240"/>
  </r>
  <r>
    <x v="0"/>
    <x v="4"/>
    <x v="1"/>
    <n v="1.01607"/>
    <n v="0.99450000000000005"/>
    <n v="1.0185"/>
    <n v="1.0065"/>
    <n v="240"/>
  </r>
  <r>
    <x v="0"/>
    <x v="4"/>
    <x v="1"/>
    <n v="1.01607"/>
    <n v="0.99450000000000005"/>
    <n v="1.0185"/>
    <n v="1.0065"/>
    <n v="240"/>
  </r>
  <r>
    <x v="0"/>
    <x v="4"/>
    <x v="1"/>
    <n v="1.01607"/>
    <n v="0.99450000000000005"/>
    <n v="1.0185"/>
    <n v="1.0065"/>
    <n v="240"/>
  </r>
  <r>
    <x v="0"/>
    <x v="4"/>
    <x v="1"/>
    <n v="1.01607"/>
    <n v="0.99450000000000005"/>
    <n v="1.0185"/>
    <n v="1.0065"/>
    <n v="240"/>
  </r>
  <r>
    <x v="0"/>
    <x v="4"/>
    <x v="1"/>
    <n v="1.01607"/>
    <n v="0.99450000000000005"/>
    <n v="1.0185"/>
    <n v="1.0065"/>
    <n v="240"/>
  </r>
  <r>
    <x v="0"/>
    <x v="4"/>
    <x v="1"/>
    <n v="1.01607"/>
    <n v="0.99450000000000005"/>
    <n v="1.0185"/>
    <n v="1.0065"/>
    <n v="240"/>
  </r>
  <r>
    <x v="0"/>
    <x v="4"/>
    <x v="1"/>
    <n v="1.01607"/>
    <n v="0.99450000000000005"/>
    <n v="1.0185"/>
    <n v="1.0065"/>
    <n v="240"/>
  </r>
  <r>
    <x v="0"/>
    <x v="4"/>
    <x v="1"/>
    <n v="1.01607"/>
    <n v="0.99450000000000005"/>
    <n v="1.0185"/>
    <n v="1.0065"/>
    <n v="240"/>
  </r>
  <r>
    <x v="0"/>
    <x v="4"/>
    <x v="1"/>
    <n v="1.01607"/>
    <n v="0.99450000000000005"/>
    <n v="1.0185"/>
    <n v="1.0065"/>
    <n v="240"/>
  </r>
  <r>
    <x v="0"/>
    <x v="4"/>
    <x v="1"/>
    <n v="1.01607"/>
    <n v="0.99450000000000005"/>
    <n v="1.0185"/>
    <n v="1.0065"/>
    <n v="240"/>
  </r>
  <r>
    <x v="0"/>
    <x v="4"/>
    <x v="1"/>
    <n v="1.01607"/>
    <n v="0.99450000000000005"/>
    <n v="1.0185"/>
    <n v="1.0065"/>
    <n v="240"/>
  </r>
  <r>
    <x v="0"/>
    <x v="4"/>
    <x v="1"/>
    <n v="1.01607"/>
    <n v="0.99450000000000005"/>
    <n v="1.0185"/>
    <n v="1.0065"/>
    <n v="240"/>
  </r>
  <r>
    <x v="0"/>
    <x v="4"/>
    <x v="1"/>
    <n v="1.01607"/>
    <n v="0.99450000000000005"/>
    <n v="1.0185"/>
    <n v="1.0065"/>
    <n v="240"/>
  </r>
  <r>
    <x v="0"/>
    <x v="4"/>
    <x v="1"/>
    <n v="1.01607"/>
    <n v="0.99450000000000005"/>
    <n v="1.0185"/>
    <n v="1.0065"/>
    <n v="240"/>
  </r>
  <r>
    <x v="0"/>
    <x v="5"/>
    <x v="2"/>
    <n v="102.017"/>
    <n v="101.199"/>
    <n v="103"/>
    <n v="102.09950000000001"/>
    <n v="180.1"/>
  </r>
  <r>
    <x v="0"/>
    <x v="5"/>
    <x v="2"/>
    <n v="102.017"/>
    <n v="101.199"/>
    <n v="103"/>
    <n v="102.09950000000001"/>
    <n v="180.1"/>
  </r>
  <r>
    <x v="0"/>
    <x v="5"/>
    <x v="2"/>
    <n v="102.017"/>
    <n v="101.199"/>
    <n v="103"/>
    <n v="102.09950000000001"/>
    <n v="180.1"/>
  </r>
  <r>
    <x v="0"/>
    <x v="5"/>
    <x v="2"/>
    <n v="102.017"/>
    <n v="101.199"/>
    <n v="103"/>
    <n v="102.09950000000001"/>
    <n v="180.1"/>
  </r>
  <r>
    <x v="0"/>
    <x v="5"/>
    <x v="2"/>
    <n v="102.017"/>
    <n v="101.199"/>
    <n v="103"/>
    <n v="102.09950000000001"/>
    <n v="180.1"/>
  </r>
  <r>
    <x v="0"/>
    <x v="5"/>
    <x v="2"/>
    <n v="102.017"/>
    <n v="101.199"/>
    <n v="103"/>
    <n v="102.09950000000001"/>
    <n v="180.1"/>
  </r>
  <r>
    <x v="0"/>
    <x v="5"/>
    <x v="2"/>
    <n v="102.017"/>
    <n v="101.199"/>
    <n v="103"/>
    <n v="102.09950000000001"/>
    <n v="180.1"/>
  </r>
  <r>
    <x v="0"/>
    <x v="5"/>
    <x v="2"/>
    <n v="102.017"/>
    <n v="101.199"/>
    <n v="103"/>
    <n v="102.09950000000001"/>
    <n v="180.1"/>
  </r>
  <r>
    <x v="0"/>
    <x v="5"/>
    <x v="2"/>
    <n v="102.017"/>
    <n v="101.199"/>
    <n v="103"/>
    <n v="102.09950000000001"/>
    <n v="180.1"/>
  </r>
  <r>
    <x v="0"/>
    <x v="5"/>
    <x v="2"/>
    <n v="102.017"/>
    <n v="101.199"/>
    <n v="103"/>
    <n v="102.09950000000001"/>
    <n v="180.1"/>
  </r>
  <r>
    <x v="0"/>
    <x v="5"/>
    <x v="2"/>
    <n v="102.017"/>
    <n v="101.199"/>
    <n v="103"/>
    <n v="102.09950000000001"/>
    <n v="180.1"/>
  </r>
  <r>
    <x v="0"/>
    <x v="5"/>
    <x v="0"/>
    <n v="1.98126"/>
    <n v="1.9378299999999999"/>
    <n v="2.0020199999999999"/>
    <n v="1.9699249999999999"/>
    <n v="641.9"/>
  </r>
  <r>
    <x v="0"/>
    <x v="5"/>
    <x v="0"/>
    <n v="1.98126"/>
    <n v="1.9378299999999999"/>
    <n v="2.0020199999999999"/>
    <n v="1.9699249999999999"/>
    <n v="641.9"/>
  </r>
  <r>
    <x v="0"/>
    <x v="5"/>
    <x v="0"/>
    <n v="1.98126"/>
    <n v="1.9378299999999999"/>
    <n v="2.0020199999999999"/>
    <n v="1.9699249999999999"/>
    <n v="641.9"/>
  </r>
  <r>
    <x v="0"/>
    <x v="5"/>
    <x v="0"/>
    <n v="1.98126"/>
    <n v="1.9378299999999999"/>
    <n v="2.0020199999999999"/>
    <n v="1.9699249999999999"/>
    <n v="641.9"/>
  </r>
  <r>
    <x v="0"/>
    <x v="5"/>
    <x v="0"/>
    <n v="1.98126"/>
    <n v="1.9378299999999999"/>
    <n v="2.0020199999999999"/>
    <n v="1.9699249999999999"/>
    <n v="641.9"/>
  </r>
  <r>
    <x v="0"/>
    <x v="5"/>
    <x v="0"/>
    <n v="1.98126"/>
    <n v="1.9378299999999999"/>
    <n v="2.0020199999999999"/>
    <n v="1.9699249999999999"/>
    <n v="641.9"/>
  </r>
  <r>
    <x v="0"/>
    <x v="5"/>
    <x v="0"/>
    <n v="1.98126"/>
    <n v="1.9378299999999999"/>
    <n v="2.0020199999999999"/>
    <n v="1.9699249999999999"/>
    <n v="641.9"/>
  </r>
  <r>
    <x v="0"/>
    <x v="5"/>
    <x v="0"/>
    <n v="1.98126"/>
    <n v="1.9378299999999999"/>
    <n v="2.0020199999999999"/>
    <n v="1.9699249999999999"/>
    <n v="641.9"/>
  </r>
  <r>
    <x v="0"/>
    <x v="5"/>
    <x v="0"/>
    <n v="1.98126"/>
    <n v="1.9378299999999999"/>
    <n v="2.0020199999999999"/>
    <n v="1.9699249999999999"/>
    <n v="641.9"/>
  </r>
  <r>
    <x v="0"/>
    <x v="5"/>
    <x v="0"/>
    <n v="1.98126"/>
    <n v="1.9378299999999999"/>
    <n v="2.0020199999999999"/>
    <n v="1.9699249999999999"/>
    <n v="641.9"/>
  </r>
  <r>
    <x v="0"/>
    <x v="5"/>
    <x v="0"/>
    <n v="1.98126"/>
    <n v="1.9378299999999999"/>
    <n v="2.0020199999999999"/>
    <n v="1.9699249999999999"/>
    <n v="641.9"/>
  </r>
  <r>
    <x v="0"/>
    <x v="5"/>
    <x v="0"/>
    <n v="1.98126"/>
    <n v="1.9378299999999999"/>
    <n v="2.0020199999999999"/>
    <n v="1.9699249999999999"/>
    <n v="641.9"/>
  </r>
  <r>
    <x v="0"/>
    <x v="5"/>
    <x v="0"/>
    <n v="1.98126"/>
    <n v="1.9378299999999999"/>
    <n v="2.0020199999999999"/>
    <n v="1.9699249999999999"/>
    <n v="641.9"/>
  </r>
  <r>
    <x v="0"/>
    <x v="5"/>
    <x v="0"/>
    <n v="1.98126"/>
    <n v="1.9378299999999999"/>
    <n v="2.0020199999999999"/>
    <n v="1.9699249999999999"/>
    <n v="641.9"/>
  </r>
  <r>
    <x v="0"/>
    <x v="5"/>
    <x v="0"/>
    <n v="1.98126"/>
    <n v="1.9378299999999999"/>
    <n v="2.0020199999999999"/>
    <n v="1.9699249999999999"/>
    <n v="641.9"/>
  </r>
  <r>
    <x v="0"/>
    <x v="5"/>
    <x v="0"/>
    <n v="1.98126"/>
    <n v="1.9378299999999999"/>
    <n v="2.0020199999999999"/>
    <n v="1.9699249999999999"/>
    <n v="641.9"/>
  </r>
  <r>
    <x v="0"/>
    <x v="5"/>
    <x v="0"/>
    <n v="1.98126"/>
    <n v="1.9378299999999999"/>
    <n v="2.0020199999999999"/>
    <n v="1.9699249999999999"/>
    <n v="641.9"/>
  </r>
  <r>
    <x v="0"/>
    <x v="5"/>
    <x v="0"/>
    <n v="1.98126"/>
    <n v="1.9378299999999999"/>
    <n v="2.0020199999999999"/>
    <n v="1.9699249999999999"/>
    <n v="641.9"/>
  </r>
  <r>
    <x v="0"/>
    <x v="5"/>
    <x v="3"/>
    <n v="1.3409"/>
    <n v="1.3340000000000001"/>
    <n v="1.3641000000000001"/>
    <n v="1.3490500000000001"/>
    <n v="301"/>
  </r>
  <r>
    <x v="0"/>
    <x v="5"/>
    <x v="3"/>
    <n v="1.3409"/>
    <n v="1.3340000000000001"/>
    <n v="1.3641000000000001"/>
    <n v="1.3490500000000001"/>
    <n v="301"/>
  </r>
  <r>
    <x v="0"/>
    <x v="5"/>
    <x v="3"/>
    <n v="1.3409"/>
    <n v="1.3340000000000001"/>
    <n v="1.3641000000000001"/>
    <n v="1.3490500000000001"/>
    <n v="301"/>
  </r>
  <r>
    <x v="0"/>
    <x v="5"/>
    <x v="3"/>
    <n v="1.3409"/>
    <n v="1.3340000000000001"/>
    <n v="1.3641000000000001"/>
    <n v="1.3490500000000001"/>
    <n v="301"/>
  </r>
  <r>
    <x v="0"/>
    <x v="5"/>
    <x v="3"/>
    <n v="1.3409"/>
    <n v="1.3340000000000001"/>
    <n v="1.3641000000000001"/>
    <n v="1.3490500000000001"/>
    <n v="301"/>
  </r>
  <r>
    <x v="0"/>
    <x v="5"/>
    <x v="3"/>
    <n v="1.3409"/>
    <n v="1.3340000000000001"/>
    <n v="1.3641000000000001"/>
    <n v="1.3490500000000001"/>
    <n v="301"/>
  </r>
  <r>
    <x v="0"/>
    <x v="5"/>
    <x v="3"/>
    <n v="1.3409"/>
    <n v="1.3340000000000001"/>
    <n v="1.3641000000000001"/>
    <n v="1.3490500000000001"/>
    <n v="301"/>
  </r>
  <r>
    <x v="0"/>
    <x v="5"/>
    <x v="3"/>
    <n v="1.3409"/>
    <n v="1.3340000000000001"/>
    <n v="1.3641000000000001"/>
    <n v="1.3490500000000001"/>
    <n v="301"/>
  </r>
  <r>
    <x v="0"/>
    <x v="5"/>
    <x v="3"/>
    <n v="1.3409"/>
    <n v="1.3340000000000001"/>
    <n v="1.3641000000000001"/>
    <n v="1.3490500000000001"/>
    <n v="301"/>
  </r>
  <r>
    <x v="0"/>
    <x v="5"/>
    <x v="3"/>
    <n v="1.3409"/>
    <n v="1.3340000000000001"/>
    <n v="1.3641000000000001"/>
    <n v="1.3490500000000001"/>
    <n v="301"/>
  </r>
  <r>
    <x v="0"/>
    <x v="5"/>
    <x v="3"/>
    <n v="1.3409"/>
    <n v="1.3340000000000001"/>
    <n v="1.3641000000000001"/>
    <n v="1.3490500000000001"/>
    <n v="301"/>
  </r>
  <r>
    <x v="0"/>
    <x v="5"/>
    <x v="3"/>
    <n v="1.3409"/>
    <n v="1.3340000000000001"/>
    <n v="1.3641000000000001"/>
    <n v="1.3490500000000001"/>
    <n v="301"/>
  </r>
  <r>
    <x v="0"/>
    <x v="5"/>
    <x v="1"/>
    <n v="1.0174399999999999"/>
    <n v="0.99450000000000005"/>
    <n v="1.0230600000000001"/>
    <n v="1.00878"/>
    <n v="285.60000000000002"/>
  </r>
  <r>
    <x v="0"/>
    <x v="5"/>
    <x v="1"/>
    <n v="1.0174399999999999"/>
    <n v="0.99450000000000005"/>
    <n v="1.0230600000000001"/>
    <n v="1.00878"/>
    <n v="285.60000000000002"/>
  </r>
  <r>
    <x v="0"/>
    <x v="5"/>
    <x v="1"/>
    <n v="1.0174399999999999"/>
    <n v="0.99450000000000005"/>
    <n v="1.0230600000000001"/>
    <n v="1.00878"/>
    <n v="285.60000000000002"/>
  </r>
  <r>
    <x v="0"/>
    <x v="5"/>
    <x v="1"/>
    <n v="1.0174399999999999"/>
    <n v="0.99450000000000005"/>
    <n v="1.0230600000000001"/>
    <n v="1.00878"/>
    <n v="285.60000000000002"/>
  </r>
  <r>
    <x v="0"/>
    <x v="5"/>
    <x v="1"/>
    <n v="1.0174399999999999"/>
    <n v="0.99450000000000005"/>
    <n v="1.0230600000000001"/>
    <n v="1.00878"/>
    <n v="285.60000000000002"/>
  </r>
  <r>
    <x v="0"/>
    <x v="5"/>
    <x v="1"/>
    <n v="1.0174399999999999"/>
    <n v="0.99450000000000005"/>
    <n v="1.0230600000000001"/>
    <n v="1.00878"/>
    <n v="285.60000000000002"/>
  </r>
  <r>
    <x v="0"/>
    <x v="5"/>
    <x v="1"/>
    <n v="1.0174399999999999"/>
    <n v="0.99450000000000005"/>
    <n v="1.0230600000000001"/>
    <n v="1.00878"/>
    <n v="285.60000000000002"/>
  </r>
  <r>
    <x v="0"/>
    <x v="5"/>
    <x v="1"/>
    <n v="1.0174399999999999"/>
    <n v="0.99450000000000005"/>
    <n v="1.0230600000000001"/>
    <n v="1.00878"/>
    <n v="285.60000000000002"/>
  </r>
  <r>
    <x v="0"/>
    <x v="5"/>
    <x v="1"/>
    <n v="1.0174399999999999"/>
    <n v="0.99450000000000005"/>
    <n v="1.0230600000000001"/>
    <n v="1.00878"/>
    <n v="285.60000000000002"/>
  </r>
  <r>
    <x v="0"/>
    <x v="5"/>
    <x v="1"/>
    <n v="1.0174399999999999"/>
    <n v="0.99450000000000005"/>
    <n v="1.0230600000000001"/>
    <n v="1.00878"/>
    <n v="285.60000000000002"/>
  </r>
  <r>
    <x v="0"/>
    <x v="5"/>
    <x v="1"/>
    <n v="1.0174399999999999"/>
    <n v="0.99450000000000005"/>
    <n v="1.0230600000000001"/>
    <n v="1.00878"/>
    <n v="285.60000000000002"/>
  </r>
  <r>
    <x v="0"/>
    <x v="5"/>
    <x v="1"/>
    <n v="1.0174399999999999"/>
    <n v="0.99450000000000005"/>
    <n v="1.0230600000000001"/>
    <n v="1.00878"/>
    <n v="285.60000000000002"/>
  </r>
  <r>
    <x v="0"/>
    <x v="5"/>
    <x v="1"/>
    <n v="1.0174399999999999"/>
    <n v="0.99450000000000005"/>
    <n v="1.0230600000000001"/>
    <n v="1.00878"/>
    <n v="285.60000000000002"/>
  </r>
  <r>
    <x v="0"/>
    <x v="5"/>
    <x v="1"/>
    <n v="1.0174399999999999"/>
    <n v="0.99450000000000005"/>
    <n v="1.0230600000000001"/>
    <n v="1.00878"/>
    <n v="285.60000000000002"/>
  </r>
  <r>
    <x v="0"/>
    <x v="5"/>
    <x v="1"/>
    <n v="1.0174399999999999"/>
    <n v="0.99450000000000005"/>
    <n v="1.0230600000000001"/>
    <n v="1.00878"/>
    <n v="285.60000000000002"/>
  </r>
  <r>
    <x v="0"/>
    <x v="5"/>
    <x v="1"/>
    <n v="1.0174399999999999"/>
    <n v="0.99450000000000005"/>
    <n v="1.0230600000000001"/>
    <n v="1.00878"/>
    <n v="285.60000000000002"/>
  </r>
  <r>
    <x v="0"/>
    <x v="5"/>
    <x v="1"/>
    <n v="1.0174399999999999"/>
    <n v="0.99450000000000005"/>
    <n v="1.0230600000000001"/>
    <n v="1.00878"/>
    <n v="285.60000000000002"/>
  </r>
  <r>
    <x v="0"/>
    <x v="5"/>
    <x v="1"/>
    <n v="1.0174399999999999"/>
    <n v="0.99450000000000005"/>
    <n v="1.0230600000000001"/>
    <n v="1.00878"/>
    <n v="285.60000000000002"/>
  </r>
  <r>
    <x v="0"/>
    <x v="5"/>
    <x v="1"/>
    <n v="1.0174399999999999"/>
    <n v="0.99450000000000005"/>
    <n v="1.0230600000000001"/>
    <n v="1.00878"/>
    <n v="285.60000000000002"/>
  </r>
  <r>
    <x v="0"/>
    <x v="5"/>
    <x v="1"/>
    <n v="1.0174399999999999"/>
    <n v="0.99450000000000005"/>
    <n v="1.0230600000000001"/>
    <n v="1.00878"/>
    <n v="285.60000000000002"/>
  </r>
  <r>
    <x v="0"/>
    <x v="5"/>
    <x v="1"/>
    <n v="1.0174399999999999"/>
    <n v="0.99450000000000005"/>
    <n v="1.0230600000000001"/>
    <n v="1.00878"/>
    <n v="285.60000000000002"/>
  </r>
  <r>
    <x v="0"/>
    <x v="5"/>
    <x v="1"/>
    <n v="1.0174399999999999"/>
    <n v="0.99450000000000005"/>
    <n v="1.0230600000000001"/>
    <n v="1.00878"/>
    <n v="285.60000000000002"/>
  </r>
  <r>
    <x v="0"/>
    <x v="6"/>
    <x v="3"/>
    <n v="1.3404400000000001"/>
    <n v="1.3340000000000001"/>
    <n v="1.3641000000000001"/>
    <n v="1.3490500000000001"/>
    <n v="301"/>
  </r>
  <r>
    <x v="0"/>
    <x v="6"/>
    <x v="3"/>
    <n v="1.3404400000000001"/>
    <n v="1.3340000000000001"/>
    <n v="1.3641000000000001"/>
    <n v="1.3490500000000001"/>
    <n v="301"/>
  </r>
  <r>
    <x v="0"/>
    <x v="6"/>
    <x v="3"/>
    <n v="1.3404400000000001"/>
    <n v="1.3340000000000001"/>
    <n v="1.3641000000000001"/>
    <n v="1.3490500000000001"/>
    <n v="301"/>
  </r>
  <r>
    <x v="0"/>
    <x v="6"/>
    <x v="3"/>
    <n v="1.3404400000000001"/>
    <n v="1.3340000000000001"/>
    <n v="1.3641000000000001"/>
    <n v="1.3490500000000001"/>
    <n v="301"/>
  </r>
  <r>
    <x v="0"/>
    <x v="6"/>
    <x v="1"/>
    <n v="1.01342"/>
    <n v="0.99450000000000005"/>
    <n v="1.0230600000000001"/>
    <n v="1.00878"/>
    <n v="285.60000000000002"/>
  </r>
  <r>
    <x v="0"/>
    <x v="6"/>
    <x v="1"/>
    <n v="1.01342"/>
    <n v="0.99450000000000005"/>
    <n v="1.0230600000000001"/>
    <n v="1.00878"/>
    <n v="285.60000000000002"/>
  </r>
  <r>
    <x v="0"/>
    <x v="6"/>
    <x v="1"/>
    <n v="1.01342"/>
    <n v="0.99450000000000005"/>
    <n v="1.0230600000000001"/>
    <n v="1.00878"/>
    <n v="285.60000000000002"/>
  </r>
  <r>
    <x v="0"/>
    <x v="6"/>
    <x v="1"/>
    <n v="1.01342"/>
    <n v="0.99450000000000005"/>
    <n v="1.0230600000000001"/>
    <n v="1.00878"/>
    <n v="285.60000000000002"/>
  </r>
  <r>
    <x v="0"/>
    <x v="6"/>
    <x v="1"/>
    <n v="1.01342"/>
    <n v="0.99450000000000005"/>
    <n v="1.0230600000000001"/>
    <n v="1.00878"/>
    <n v="285.60000000000002"/>
  </r>
  <r>
    <x v="0"/>
    <x v="6"/>
    <x v="1"/>
    <n v="1.01342"/>
    <n v="0.99450000000000005"/>
    <n v="1.0230600000000001"/>
    <n v="1.00878"/>
    <n v="285.60000000000002"/>
  </r>
  <r>
    <x v="0"/>
    <x v="6"/>
    <x v="1"/>
    <n v="1.01342"/>
    <n v="0.99450000000000005"/>
    <n v="1.0230600000000001"/>
    <n v="1.00878"/>
    <n v="285.60000000000002"/>
  </r>
  <r>
    <x v="0"/>
    <x v="6"/>
    <x v="1"/>
    <n v="1.01342"/>
    <n v="0.99450000000000005"/>
    <n v="1.0230600000000001"/>
    <n v="1.00878"/>
    <n v="285.60000000000002"/>
  </r>
  <r>
    <x v="0"/>
    <x v="6"/>
    <x v="1"/>
    <n v="1.01342"/>
    <n v="0.99450000000000005"/>
    <n v="1.0230600000000001"/>
    <n v="1.00878"/>
    <n v="285.60000000000002"/>
  </r>
  <r>
    <x v="0"/>
    <x v="6"/>
    <x v="1"/>
    <n v="1.01342"/>
    <n v="0.99450000000000005"/>
    <n v="1.0230600000000001"/>
    <n v="1.00878"/>
    <n v="285.60000000000002"/>
  </r>
  <r>
    <x v="0"/>
    <x v="6"/>
    <x v="1"/>
    <n v="1.01342"/>
    <n v="0.99450000000000005"/>
    <n v="1.0230600000000001"/>
    <n v="1.00878"/>
    <n v="285.60000000000002"/>
  </r>
  <r>
    <x v="0"/>
    <x v="6"/>
    <x v="1"/>
    <n v="1.01342"/>
    <n v="0.99450000000000005"/>
    <n v="1.0230600000000001"/>
    <n v="1.00878"/>
    <n v="285.60000000000002"/>
  </r>
  <r>
    <x v="0"/>
    <x v="6"/>
    <x v="1"/>
    <n v="1.01342"/>
    <n v="0.99450000000000005"/>
    <n v="1.0230600000000001"/>
    <n v="1.00878"/>
    <n v="285.60000000000002"/>
  </r>
  <r>
    <x v="0"/>
    <x v="6"/>
    <x v="1"/>
    <n v="1.01342"/>
    <n v="0.99450000000000005"/>
    <n v="1.0230600000000001"/>
    <n v="1.00878"/>
    <n v="285.60000000000002"/>
  </r>
  <r>
    <x v="0"/>
    <x v="6"/>
    <x v="1"/>
    <n v="1.01342"/>
    <n v="0.99450000000000005"/>
    <n v="1.0230600000000001"/>
    <n v="1.00878"/>
    <n v="285.60000000000002"/>
  </r>
  <r>
    <x v="0"/>
    <x v="6"/>
    <x v="1"/>
    <n v="1.01342"/>
    <n v="0.99450000000000005"/>
    <n v="1.0230600000000001"/>
    <n v="1.00878"/>
    <n v="285.60000000000002"/>
  </r>
  <r>
    <x v="0"/>
    <x v="6"/>
    <x v="1"/>
    <n v="1.01342"/>
    <n v="0.99450000000000005"/>
    <n v="1.0230600000000001"/>
    <n v="1.00878"/>
    <n v="285.60000000000002"/>
  </r>
  <r>
    <x v="0"/>
    <x v="6"/>
    <x v="1"/>
    <n v="1.01342"/>
    <n v="0.99450000000000005"/>
    <n v="1.0230600000000001"/>
    <n v="1.00878"/>
    <n v="285.60000000000002"/>
  </r>
  <r>
    <x v="0"/>
    <x v="6"/>
    <x v="1"/>
    <n v="1.01342"/>
    <n v="0.99450000000000005"/>
    <n v="1.0230600000000001"/>
    <n v="1.00878"/>
    <n v="285.60000000000002"/>
  </r>
  <r>
    <x v="0"/>
    <x v="6"/>
    <x v="1"/>
    <n v="1.01342"/>
    <n v="0.99450000000000005"/>
    <n v="1.0230600000000001"/>
    <n v="1.00878"/>
    <n v="285.60000000000002"/>
  </r>
  <r>
    <x v="0"/>
    <x v="6"/>
    <x v="1"/>
    <n v="1.01342"/>
    <n v="0.99450000000000005"/>
    <n v="1.0230600000000001"/>
    <n v="1.00878"/>
    <n v="285.60000000000002"/>
  </r>
  <r>
    <x v="0"/>
    <x v="7"/>
    <x v="1"/>
    <n v="1.0190600000000001"/>
    <n v="0.99450000000000005"/>
    <n v="1.0230600000000001"/>
    <n v="1.00878"/>
    <n v="285.60000000000002"/>
  </r>
  <r>
    <x v="0"/>
    <x v="7"/>
    <x v="1"/>
    <n v="1.0190600000000001"/>
    <n v="0.99450000000000005"/>
    <n v="1.0230600000000001"/>
    <n v="1.00878"/>
    <n v="285.60000000000002"/>
  </r>
  <r>
    <x v="0"/>
    <x v="7"/>
    <x v="1"/>
    <n v="1.0190600000000001"/>
    <n v="0.99450000000000005"/>
    <n v="1.0230600000000001"/>
    <n v="1.00878"/>
    <n v="285.60000000000002"/>
  </r>
  <r>
    <x v="0"/>
    <x v="7"/>
    <x v="1"/>
    <n v="1.0190600000000001"/>
    <n v="0.99450000000000005"/>
    <n v="1.0230600000000001"/>
    <n v="1.00878"/>
    <n v="285.60000000000002"/>
  </r>
  <r>
    <x v="0"/>
    <x v="7"/>
    <x v="1"/>
    <n v="1.0190600000000001"/>
    <n v="0.99450000000000005"/>
    <n v="1.0230600000000001"/>
    <n v="1.00878"/>
    <n v="285.60000000000002"/>
  </r>
  <r>
    <x v="0"/>
    <x v="7"/>
    <x v="1"/>
    <n v="1.0190600000000001"/>
    <n v="0.99450000000000005"/>
    <n v="1.0230600000000001"/>
    <n v="1.00878"/>
    <n v="285.60000000000002"/>
  </r>
  <r>
    <x v="0"/>
    <x v="7"/>
    <x v="1"/>
    <n v="1.0190600000000001"/>
    <n v="0.99450000000000005"/>
    <n v="1.0230600000000001"/>
    <n v="1.00878"/>
    <n v="285.60000000000002"/>
  </r>
  <r>
    <x v="0"/>
    <x v="7"/>
    <x v="1"/>
    <n v="1.0190600000000001"/>
    <n v="0.99450000000000005"/>
    <n v="1.0230600000000001"/>
    <n v="1.00878"/>
    <n v="285.60000000000002"/>
  </r>
  <r>
    <x v="0"/>
    <x v="7"/>
    <x v="1"/>
    <n v="1.0190600000000001"/>
    <n v="0.99450000000000005"/>
    <n v="1.0230600000000001"/>
    <n v="1.00878"/>
    <n v="285.60000000000002"/>
  </r>
  <r>
    <x v="0"/>
    <x v="7"/>
    <x v="2"/>
    <n v="103.934"/>
    <n v="101.199"/>
    <n v="104.202"/>
    <n v="102.70050000000001"/>
    <n v="300.3"/>
  </r>
  <r>
    <x v="0"/>
    <x v="7"/>
    <x v="2"/>
    <n v="103.934"/>
    <n v="101.199"/>
    <n v="104.202"/>
    <n v="102.70050000000001"/>
    <n v="300.3"/>
  </r>
  <r>
    <x v="0"/>
    <x v="7"/>
    <x v="2"/>
    <n v="103.934"/>
    <n v="101.199"/>
    <n v="104.202"/>
    <n v="102.70050000000001"/>
    <n v="300.3"/>
  </r>
  <r>
    <x v="0"/>
    <x v="7"/>
    <x v="2"/>
    <n v="103.934"/>
    <n v="101.199"/>
    <n v="104.202"/>
    <n v="102.70050000000001"/>
    <n v="300.3"/>
  </r>
  <r>
    <x v="0"/>
    <x v="7"/>
    <x v="2"/>
    <n v="103.934"/>
    <n v="101.199"/>
    <n v="104.202"/>
    <n v="102.70050000000001"/>
    <n v="300.3"/>
  </r>
  <r>
    <x v="0"/>
    <x v="7"/>
    <x v="2"/>
    <n v="103.934"/>
    <n v="101.199"/>
    <n v="104.202"/>
    <n v="102.70050000000001"/>
    <n v="300.3"/>
  </r>
  <r>
    <x v="0"/>
    <x v="7"/>
    <x v="2"/>
    <n v="103.934"/>
    <n v="101.199"/>
    <n v="104.202"/>
    <n v="102.70050000000001"/>
    <n v="300.3"/>
  </r>
  <r>
    <x v="0"/>
    <x v="7"/>
    <x v="2"/>
    <n v="103.934"/>
    <n v="101.199"/>
    <n v="104.202"/>
    <n v="102.70050000000001"/>
    <n v="300.3"/>
  </r>
  <r>
    <x v="0"/>
    <x v="7"/>
    <x v="2"/>
    <n v="103.934"/>
    <n v="101.199"/>
    <n v="104.202"/>
    <n v="102.70050000000001"/>
    <n v="300.3"/>
  </r>
  <r>
    <x v="0"/>
    <x v="7"/>
    <x v="2"/>
    <n v="103.934"/>
    <n v="101.199"/>
    <n v="104.202"/>
    <n v="102.70050000000001"/>
    <n v="300.3"/>
  </r>
  <r>
    <x v="0"/>
    <x v="7"/>
    <x v="2"/>
    <n v="103.934"/>
    <n v="101.199"/>
    <n v="104.202"/>
    <n v="102.70050000000001"/>
    <n v="300.3"/>
  </r>
  <r>
    <x v="0"/>
    <x v="7"/>
    <x v="2"/>
    <n v="103.934"/>
    <n v="101.199"/>
    <n v="104.202"/>
    <n v="102.70050000000001"/>
    <n v="300.3"/>
  </r>
  <r>
    <x v="0"/>
    <x v="7"/>
    <x v="2"/>
    <n v="103.934"/>
    <n v="101.199"/>
    <n v="104.202"/>
    <n v="102.70050000000001"/>
    <n v="300.3"/>
  </r>
  <r>
    <x v="0"/>
    <x v="7"/>
    <x v="2"/>
    <n v="103.934"/>
    <n v="101.199"/>
    <n v="104.202"/>
    <n v="102.70050000000001"/>
    <n v="300.3"/>
  </r>
  <r>
    <x v="0"/>
    <x v="7"/>
    <x v="2"/>
    <n v="103.934"/>
    <n v="101.199"/>
    <n v="104.202"/>
    <n v="102.70050000000001"/>
    <n v="300.3"/>
  </r>
  <r>
    <x v="0"/>
    <x v="7"/>
    <x v="2"/>
    <n v="103.934"/>
    <n v="101.199"/>
    <n v="104.202"/>
    <n v="102.70050000000001"/>
    <n v="300.3"/>
  </r>
  <r>
    <x v="0"/>
    <x v="7"/>
    <x v="2"/>
    <n v="103.934"/>
    <n v="101.199"/>
    <n v="104.202"/>
    <n v="102.70050000000001"/>
    <n v="300.3"/>
  </r>
  <r>
    <x v="0"/>
    <x v="7"/>
    <x v="0"/>
    <n v="1.97037"/>
    <n v="1.9378299999999999"/>
    <n v="2.0020199999999999"/>
    <n v="1.9699249999999999"/>
    <n v="641.9"/>
  </r>
  <r>
    <x v="0"/>
    <x v="7"/>
    <x v="0"/>
    <n v="1.97037"/>
    <n v="1.9378299999999999"/>
    <n v="2.0020199999999999"/>
    <n v="1.9699249999999999"/>
    <n v="641.9"/>
  </r>
  <r>
    <x v="0"/>
    <x v="7"/>
    <x v="0"/>
    <n v="1.97037"/>
    <n v="1.9378299999999999"/>
    <n v="2.0020199999999999"/>
    <n v="1.9699249999999999"/>
    <n v="641.9"/>
  </r>
  <r>
    <x v="0"/>
    <x v="7"/>
    <x v="0"/>
    <n v="1.97037"/>
    <n v="1.9378299999999999"/>
    <n v="2.0020199999999999"/>
    <n v="1.9699249999999999"/>
    <n v="641.9"/>
  </r>
  <r>
    <x v="0"/>
    <x v="7"/>
    <x v="0"/>
    <n v="1.97037"/>
    <n v="1.9378299999999999"/>
    <n v="2.0020199999999999"/>
    <n v="1.9699249999999999"/>
    <n v="641.9"/>
  </r>
  <r>
    <x v="0"/>
    <x v="7"/>
    <x v="0"/>
    <n v="1.97037"/>
    <n v="1.9378299999999999"/>
    <n v="2.0020199999999999"/>
    <n v="1.9699249999999999"/>
    <n v="641.9"/>
  </r>
  <r>
    <x v="0"/>
    <x v="7"/>
    <x v="0"/>
    <n v="1.97037"/>
    <n v="1.9378299999999999"/>
    <n v="2.0020199999999999"/>
    <n v="1.9699249999999999"/>
    <n v="641.9"/>
  </r>
  <r>
    <x v="0"/>
    <x v="7"/>
    <x v="0"/>
    <n v="1.97037"/>
    <n v="1.9378299999999999"/>
    <n v="2.0020199999999999"/>
    <n v="1.9699249999999999"/>
    <n v="641.9"/>
  </r>
  <r>
    <x v="0"/>
    <x v="7"/>
    <x v="0"/>
    <n v="1.97037"/>
    <n v="1.9378299999999999"/>
    <n v="2.0020199999999999"/>
    <n v="1.9699249999999999"/>
    <n v="641.9"/>
  </r>
  <r>
    <x v="0"/>
    <x v="7"/>
    <x v="0"/>
    <n v="1.97037"/>
    <n v="1.9378299999999999"/>
    <n v="2.0020199999999999"/>
    <n v="1.9699249999999999"/>
    <n v="641.9"/>
  </r>
  <r>
    <x v="0"/>
    <x v="7"/>
    <x v="0"/>
    <n v="1.97037"/>
    <n v="1.9378299999999999"/>
    <n v="2.0020199999999999"/>
    <n v="1.9699249999999999"/>
    <n v="641.9"/>
  </r>
  <r>
    <x v="0"/>
    <x v="7"/>
    <x v="0"/>
    <n v="1.97037"/>
    <n v="1.9378299999999999"/>
    <n v="2.0020199999999999"/>
    <n v="1.9699249999999999"/>
    <n v="641.9"/>
  </r>
  <r>
    <x v="0"/>
    <x v="7"/>
    <x v="0"/>
    <n v="1.97037"/>
    <n v="1.9378299999999999"/>
    <n v="2.0020199999999999"/>
    <n v="1.9699249999999999"/>
    <n v="641.9"/>
  </r>
  <r>
    <x v="0"/>
    <x v="7"/>
    <x v="0"/>
    <n v="1.97037"/>
    <n v="1.9378299999999999"/>
    <n v="2.0020199999999999"/>
    <n v="1.9699249999999999"/>
    <n v="641.9"/>
  </r>
  <r>
    <x v="0"/>
    <x v="7"/>
    <x v="0"/>
    <n v="1.97037"/>
    <n v="1.9378299999999999"/>
    <n v="2.0020199999999999"/>
    <n v="1.9699249999999999"/>
    <n v="641.9"/>
  </r>
  <r>
    <x v="0"/>
    <x v="7"/>
    <x v="0"/>
    <n v="1.97037"/>
    <n v="1.9378299999999999"/>
    <n v="2.0020199999999999"/>
    <n v="1.9699249999999999"/>
    <n v="641.9"/>
  </r>
  <r>
    <x v="0"/>
    <x v="7"/>
    <x v="0"/>
    <n v="1.97037"/>
    <n v="1.9378299999999999"/>
    <n v="2.0020199999999999"/>
    <n v="1.9699249999999999"/>
    <n v="641.9"/>
  </r>
  <r>
    <x v="0"/>
    <x v="7"/>
    <x v="0"/>
    <n v="1.97037"/>
    <n v="1.9378299999999999"/>
    <n v="2.0020199999999999"/>
    <n v="1.9699249999999999"/>
    <n v="641.9"/>
  </r>
  <r>
    <x v="0"/>
    <x v="7"/>
    <x v="0"/>
    <n v="1.97037"/>
    <n v="1.9378299999999999"/>
    <n v="2.0020199999999999"/>
    <n v="1.9699249999999999"/>
    <n v="641.9"/>
  </r>
  <r>
    <x v="0"/>
    <x v="7"/>
    <x v="3"/>
    <n v="1.32368"/>
    <n v="1.3220000000000001"/>
    <n v="1.3641000000000001"/>
    <n v="1.3430500000000001"/>
    <n v="421"/>
  </r>
  <r>
    <x v="0"/>
    <x v="7"/>
    <x v="3"/>
    <n v="1.32368"/>
    <n v="1.3220000000000001"/>
    <n v="1.3641000000000001"/>
    <n v="1.3430500000000001"/>
    <n v="421"/>
  </r>
  <r>
    <x v="0"/>
    <x v="7"/>
    <x v="3"/>
    <n v="1.32368"/>
    <n v="1.3220000000000001"/>
    <n v="1.3641000000000001"/>
    <n v="1.3430500000000001"/>
    <n v="421"/>
  </r>
  <r>
    <x v="0"/>
    <x v="7"/>
    <x v="3"/>
    <n v="1.32368"/>
    <n v="1.3220000000000001"/>
    <n v="1.3641000000000001"/>
    <n v="1.3430500000000001"/>
    <n v="421"/>
  </r>
  <r>
    <x v="0"/>
    <x v="7"/>
    <x v="3"/>
    <n v="1.32368"/>
    <n v="1.3220000000000001"/>
    <n v="1.3641000000000001"/>
    <n v="1.3430500000000001"/>
    <n v="421"/>
  </r>
  <r>
    <x v="0"/>
    <x v="7"/>
    <x v="3"/>
    <n v="1.32368"/>
    <n v="1.3220000000000001"/>
    <n v="1.3641000000000001"/>
    <n v="1.3430500000000001"/>
    <n v="421"/>
  </r>
  <r>
    <x v="0"/>
    <x v="7"/>
    <x v="3"/>
    <n v="1.32368"/>
    <n v="1.3220000000000001"/>
    <n v="1.3641000000000001"/>
    <n v="1.3430500000000001"/>
    <n v="421"/>
  </r>
  <r>
    <x v="0"/>
    <x v="7"/>
    <x v="3"/>
    <n v="1.32368"/>
    <n v="1.3220000000000001"/>
    <n v="1.3641000000000001"/>
    <n v="1.3430500000000001"/>
    <n v="421"/>
  </r>
  <r>
    <x v="0"/>
    <x v="7"/>
    <x v="3"/>
    <n v="1.32368"/>
    <n v="1.3220000000000001"/>
    <n v="1.3641000000000001"/>
    <n v="1.3430500000000001"/>
    <n v="421"/>
  </r>
  <r>
    <x v="0"/>
    <x v="7"/>
    <x v="3"/>
    <n v="1.32368"/>
    <n v="1.3220000000000001"/>
    <n v="1.3641000000000001"/>
    <n v="1.3430500000000001"/>
    <n v="421"/>
  </r>
  <r>
    <x v="0"/>
    <x v="7"/>
    <x v="3"/>
    <n v="1.32368"/>
    <n v="1.3220000000000001"/>
    <n v="1.3641000000000001"/>
    <n v="1.3430500000000001"/>
    <n v="421"/>
  </r>
  <r>
    <x v="0"/>
    <x v="7"/>
    <x v="3"/>
    <n v="1.32368"/>
    <n v="1.3220000000000001"/>
    <n v="1.3641000000000001"/>
    <n v="1.3430500000000001"/>
    <n v="421"/>
  </r>
  <r>
    <x v="0"/>
    <x v="7"/>
    <x v="3"/>
    <n v="1.32368"/>
    <n v="1.3220000000000001"/>
    <n v="1.3641000000000001"/>
    <n v="1.3430500000000001"/>
    <n v="421"/>
  </r>
  <r>
    <x v="0"/>
    <x v="7"/>
    <x v="3"/>
    <n v="1.32368"/>
    <n v="1.3220000000000001"/>
    <n v="1.3641000000000001"/>
    <n v="1.3430500000000001"/>
    <n v="421"/>
  </r>
  <r>
    <x v="0"/>
    <x v="7"/>
    <x v="3"/>
    <n v="1.32368"/>
    <n v="1.3220000000000001"/>
    <n v="1.3641000000000001"/>
    <n v="1.3430500000000001"/>
    <n v="421"/>
  </r>
  <r>
    <x v="0"/>
    <x v="7"/>
    <x v="3"/>
    <n v="1.32368"/>
    <n v="1.3220000000000001"/>
    <n v="1.3641000000000001"/>
    <n v="1.3430500000000001"/>
    <n v="421"/>
  </r>
  <r>
    <x v="0"/>
    <x v="7"/>
    <x v="1"/>
    <n v="1.0190600000000001"/>
    <n v="0.99450000000000005"/>
    <n v="1.0230600000000001"/>
    <n v="1.00878"/>
    <n v="285.60000000000002"/>
  </r>
  <r>
    <x v="0"/>
    <x v="7"/>
    <x v="1"/>
    <n v="1.0190600000000001"/>
    <n v="0.99450000000000005"/>
    <n v="1.0230600000000001"/>
    <n v="1.00878"/>
    <n v="285.60000000000002"/>
  </r>
  <r>
    <x v="0"/>
    <x v="7"/>
    <x v="1"/>
    <n v="1.0190600000000001"/>
    <n v="0.99450000000000005"/>
    <n v="1.0230600000000001"/>
    <n v="1.00878"/>
    <n v="285.60000000000002"/>
  </r>
  <r>
    <x v="0"/>
    <x v="7"/>
    <x v="1"/>
    <n v="1.0190600000000001"/>
    <n v="0.99450000000000005"/>
    <n v="1.0230600000000001"/>
    <n v="1.00878"/>
    <n v="285.60000000000002"/>
  </r>
  <r>
    <x v="0"/>
    <x v="7"/>
    <x v="1"/>
    <n v="1.0190600000000001"/>
    <n v="0.99450000000000005"/>
    <n v="1.0230600000000001"/>
    <n v="1.00878"/>
    <n v="285.60000000000002"/>
  </r>
  <r>
    <x v="0"/>
    <x v="7"/>
    <x v="1"/>
    <n v="1.0190600000000001"/>
    <n v="0.99450000000000005"/>
    <n v="1.0230600000000001"/>
    <n v="1.00878"/>
    <n v="285.60000000000002"/>
  </r>
  <r>
    <x v="0"/>
    <x v="7"/>
    <x v="1"/>
    <n v="1.0190600000000001"/>
    <n v="0.99450000000000005"/>
    <n v="1.0230600000000001"/>
    <n v="1.00878"/>
    <n v="285.60000000000002"/>
  </r>
  <r>
    <x v="0"/>
    <x v="7"/>
    <x v="1"/>
    <n v="1.0190600000000001"/>
    <n v="0.99450000000000005"/>
    <n v="1.0230600000000001"/>
    <n v="1.00878"/>
    <n v="285.60000000000002"/>
  </r>
  <r>
    <x v="0"/>
    <x v="7"/>
    <x v="1"/>
    <n v="1.0190600000000001"/>
    <n v="0.99450000000000005"/>
    <n v="1.0230600000000001"/>
    <n v="1.00878"/>
    <n v="285.60000000000002"/>
  </r>
  <r>
    <x v="0"/>
    <x v="7"/>
    <x v="1"/>
    <n v="1.0190600000000001"/>
    <n v="0.99450000000000005"/>
    <n v="1.0230600000000001"/>
    <n v="1.00878"/>
    <n v="285.60000000000002"/>
  </r>
  <r>
    <x v="0"/>
    <x v="7"/>
    <x v="1"/>
    <n v="1.0190600000000001"/>
    <n v="0.99450000000000005"/>
    <n v="1.0230600000000001"/>
    <n v="1.00878"/>
    <n v="285.60000000000002"/>
  </r>
  <r>
    <x v="0"/>
    <x v="7"/>
    <x v="1"/>
    <n v="1.0190600000000001"/>
    <n v="0.99450000000000005"/>
    <n v="1.0230600000000001"/>
    <n v="1.00878"/>
    <n v="285.60000000000002"/>
  </r>
  <r>
    <x v="0"/>
    <x v="8"/>
    <x v="1"/>
    <n v="1.0150999999999999"/>
    <n v="0.99450000000000005"/>
    <n v="1.0230600000000001"/>
    <n v="1.00878"/>
    <n v="285.60000000000002"/>
  </r>
  <r>
    <x v="0"/>
    <x v="8"/>
    <x v="1"/>
    <n v="1.0150999999999999"/>
    <n v="0.99450000000000005"/>
    <n v="1.0230600000000001"/>
    <n v="1.00878"/>
    <n v="285.60000000000002"/>
  </r>
  <r>
    <x v="0"/>
    <x v="8"/>
    <x v="1"/>
    <n v="1.0150999999999999"/>
    <n v="0.99450000000000005"/>
    <n v="1.0230600000000001"/>
    <n v="1.00878"/>
    <n v="285.60000000000002"/>
  </r>
  <r>
    <x v="0"/>
    <x v="8"/>
    <x v="1"/>
    <n v="1.0150999999999999"/>
    <n v="0.99450000000000005"/>
    <n v="1.0230600000000001"/>
    <n v="1.00878"/>
    <n v="285.60000000000002"/>
  </r>
  <r>
    <x v="0"/>
    <x v="8"/>
    <x v="1"/>
    <n v="1.0150999999999999"/>
    <n v="0.99450000000000005"/>
    <n v="1.0230600000000001"/>
    <n v="1.00878"/>
    <n v="285.60000000000002"/>
  </r>
  <r>
    <x v="0"/>
    <x v="8"/>
    <x v="1"/>
    <n v="1.0150999999999999"/>
    <n v="0.99450000000000005"/>
    <n v="1.0230600000000001"/>
    <n v="1.00878"/>
    <n v="285.60000000000002"/>
  </r>
  <r>
    <x v="0"/>
    <x v="8"/>
    <x v="1"/>
    <n v="1.0150999999999999"/>
    <n v="0.99450000000000005"/>
    <n v="1.0230600000000001"/>
    <n v="1.00878"/>
    <n v="285.60000000000002"/>
  </r>
  <r>
    <x v="0"/>
    <x v="8"/>
    <x v="1"/>
    <n v="1.0150999999999999"/>
    <n v="0.99450000000000005"/>
    <n v="1.0230600000000001"/>
    <n v="1.00878"/>
    <n v="285.60000000000002"/>
  </r>
  <r>
    <x v="0"/>
    <x v="8"/>
    <x v="1"/>
    <n v="1.0150999999999999"/>
    <n v="0.99450000000000005"/>
    <n v="1.0230600000000001"/>
    <n v="1.00878"/>
    <n v="285.60000000000002"/>
  </r>
  <r>
    <x v="0"/>
    <x v="8"/>
    <x v="1"/>
    <n v="1.0150999999999999"/>
    <n v="0.99450000000000005"/>
    <n v="1.0230600000000001"/>
    <n v="1.00878"/>
    <n v="285.60000000000002"/>
  </r>
  <r>
    <x v="0"/>
    <x v="8"/>
    <x v="1"/>
    <n v="1.0150999999999999"/>
    <n v="0.99450000000000005"/>
    <n v="1.0230600000000001"/>
    <n v="1.00878"/>
    <n v="285.60000000000002"/>
  </r>
  <r>
    <x v="0"/>
    <x v="8"/>
    <x v="1"/>
    <n v="1.0150999999999999"/>
    <n v="0.99450000000000005"/>
    <n v="1.0230600000000001"/>
    <n v="1.00878"/>
    <n v="285.60000000000002"/>
  </r>
  <r>
    <x v="0"/>
    <x v="8"/>
    <x v="2"/>
    <n v="104.054"/>
    <n v="101.199"/>
    <n v="104.202"/>
    <n v="102.70050000000001"/>
    <n v="300.3"/>
  </r>
  <r>
    <x v="0"/>
    <x v="8"/>
    <x v="2"/>
    <n v="104.054"/>
    <n v="101.199"/>
    <n v="104.202"/>
    <n v="102.70050000000001"/>
    <n v="300.3"/>
  </r>
  <r>
    <x v="0"/>
    <x v="8"/>
    <x v="2"/>
    <n v="104.054"/>
    <n v="101.199"/>
    <n v="104.202"/>
    <n v="102.70050000000001"/>
    <n v="300.3"/>
  </r>
  <r>
    <x v="0"/>
    <x v="8"/>
    <x v="2"/>
    <n v="104.054"/>
    <n v="101.199"/>
    <n v="104.202"/>
    <n v="102.70050000000001"/>
    <n v="300.3"/>
  </r>
  <r>
    <x v="0"/>
    <x v="8"/>
    <x v="2"/>
    <n v="104.054"/>
    <n v="101.199"/>
    <n v="104.202"/>
    <n v="102.70050000000001"/>
    <n v="300.3"/>
  </r>
  <r>
    <x v="0"/>
    <x v="8"/>
    <x v="2"/>
    <n v="104.054"/>
    <n v="101.199"/>
    <n v="104.202"/>
    <n v="102.70050000000001"/>
    <n v="300.3"/>
  </r>
  <r>
    <x v="0"/>
    <x v="8"/>
    <x v="2"/>
    <n v="104.054"/>
    <n v="101.199"/>
    <n v="104.202"/>
    <n v="102.70050000000001"/>
    <n v="300.3"/>
  </r>
  <r>
    <x v="0"/>
    <x v="8"/>
    <x v="2"/>
    <n v="104.054"/>
    <n v="101.199"/>
    <n v="104.202"/>
    <n v="102.70050000000001"/>
    <n v="300.3"/>
  </r>
  <r>
    <x v="0"/>
    <x v="8"/>
    <x v="2"/>
    <n v="104.054"/>
    <n v="101.199"/>
    <n v="104.202"/>
    <n v="102.70050000000001"/>
    <n v="300.3"/>
  </r>
  <r>
    <x v="0"/>
    <x v="8"/>
    <x v="2"/>
    <n v="104.054"/>
    <n v="101.199"/>
    <n v="104.202"/>
    <n v="102.70050000000001"/>
    <n v="300.3"/>
  </r>
  <r>
    <x v="0"/>
    <x v="8"/>
    <x v="2"/>
    <n v="104.054"/>
    <n v="101.199"/>
    <n v="104.202"/>
    <n v="102.70050000000001"/>
    <n v="300.3"/>
  </r>
  <r>
    <x v="0"/>
    <x v="8"/>
    <x v="2"/>
    <n v="104.054"/>
    <n v="101.199"/>
    <n v="104.202"/>
    <n v="102.70050000000001"/>
    <n v="300.3"/>
  </r>
  <r>
    <x v="0"/>
    <x v="8"/>
    <x v="2"/>
    <n v="104.054"/>
    <n v="101.199"/>
    <n v="104.202"/>
    <n v="102.70050000000001"/>
    <n v="300.3"/>
  </r>
  <r>
    <x v="0"/>
    <x v="8"/>
    <x v="2"/>
    <n v="104.054"/>
    <n v="101.199"/>
    <n v="104.202"/>
    <n v="102.70050000000001"/>
    <n v="300.3"/>
  </r>
  <r>
    <x v="0"/>
    <x v="8"/>
    <x v="2"/>
    <n v="104.054"/>
    <n v="101.199"/>
    <n v="104.202"/>
    <n v="102.70050000000001"/>
    <n v="300.3"/>
  </r>
  <r>
    <x v="0"/>
    <x v="8"/>
    <x v="2"/>
    <n v="104.054"/>
    <n v="101.199"/>
    <n v="104.202"/>
    <n v="102.70050000000001"/>
    <n v="300.3"/>
  </r>
  <r>
    <x v="0"/>
    <x v="8"/>
    <x v="2"/>
    <n v="104.054"/>
    <n v="101.199"/>
    <n v="104.202"/>
    <n v="102.70050000000001"/>
    <n v="300.3"/>
  </r>
  <r>
    <x v="0"/>
    <x v="8"/>
    <x v="0"/>
    <n v="1.98454"/>
    <n v="1.9378299999999999"/>
    <n v="2.0020199999999999"/>
    <n v="1.9699249999999999"/>
    <n v="641.9"/>
  </r>
  <r>
    <x v="0"/>
    <x v="8"/>
    <x v="0"/>
    <n v="1.98454"/>
    <n v="1.9378299999999999"/>
    <n v="2.0020199999999999"/>
    <n v="1.9699249999999999"/>
    <n v="641.9"/>
  </r>
  <r>
    <x v="0"/>
    <x v="8"/>
    <x v="0"/>
    <n v="1.98454"/>
    <n v="1.9378299999999999"/>
    <n v="2.0020199999999999"/>
    <n v="1.9699249999999999"/>
    <n v="641.9"/>
  </r>
  <r>
    <x v="0"/>
    <x v="8"/>
    <x v="0"/>
    <n v="1.98454"/>
    <n v="1.9378299999999999"/>
    <n v="2.0020199999999999"/>
    <n v="1.9699249999999999"/>
    <n v="641.9"/>
  </r>
  <r>
    <x v="0"/>
    <x v="8"/>
    <x v="0"/>
    <n v="1.98454"/>
    <n v="1.9378299999999999"/>
    <n v="2.0020199999999999"/>
    <n v="1.9699249999999999"/>
    <n v="641.9"/>
  </r>
  <r>
    <x v="0"/>
    <x v="8"/>
    <x v="0"/>
    <n v="1.98454"/>
    <n v="1.9378299999999999"/>
    <n v="2.0020199999999999"/>
    <n v="1.9699249999999999"/>
    <n v="641.9"/>
  </r>
  <r>
    <x v="0"/>
    <x v="8"/>
    <x v="0"/>
    <n v="1.98454"/>
    <n v="1.9378299999999999"/>
    <n v="2.0020199999999999"/>
    <n v="1.9699249999999999"/>
    <n v="641.9"/>
  </r>
  <r>
    <x v="0"/>
    <x v="8"/>
    <x v="0"/>
    <n v="1.98454"/>
    <n v="1.9378299999999999"/>
    <n v="2.0020199999999999"/>
    <n v="1.9699249999999999"/>
    <n v="641.9"/>
  </r>
  <r>
    <x v="0"/>
    <x v="8"/>
    <x v="0"/>
    <n v="1.98454"/>
    <n v="1.9378299999999999"/>
    <n v="2.0020199999999999"/>
    <n v="1.9699249999999999"/>
    <n v="641.9"/>
  </r>
  <r>
    <x v="0"/>
    <x v="8"/>
    <x v="0"/>
    <n v="1.98454"/>
    <n v="1.9378299999999999"/>
    <n v="2.0020199999999999"/>
    <n v="1.9699249999999999"/>
    <n v="641.9"/>
  </r>
  <r>
    <x v="0"/>
    <x v="8"/>
    <x v="0"/>
    <n v="1.98454"/>
    <n v="1.9378299999999999"/>
    <n v="2.0020199999999999"/>
    <n v="1.9699249999999999"/>
    <n v="641.9"/>
  </r>
  <r>
    <x v="0"/>
    <x v="8"/>
    <x v="0"/>
    <n v="1.98454"/>
    <n v="1.9378299999999999"/>
    <n v="2.0020199999999999"/>
    <n v="1.9699249999999999"/>
    <n v="641.9"/>
  </r>
  <r>
    <x v="0"/>
    <x v="8"/>
    <x v="0"/>
    <n v="1.98454"/>
    <n v="1.9378299999999999"/>
    <n v="2.0020199999999999"/>
    <n v="1.9699249999999999"/>
    <n v="641.9"/>
  </r>
  <r>
    <x v="0"/>
    <x v="8"/>
    <x v="0"/>
    <n v="1.98454"/>
    <n v="1.9378299999999999"/>
    <n v="2.0020199999999999"/>
    <n v="1.9699249999999999"/>
    <n v="641.9"/>
  </r>
  <r>
    <x v="0"/>
    <x v="8"/>
    <x v="0"/>
    <n v="1.98454"/>
    <n v="1.9378299999999999"/>
    <n v="2.0020199999999999"/>
    <n v="1.9699249999999999"/>
    <n v="641.9"/>
  </r>
  <r>
    <x v="0"/>
    <x v="8"/>
    <x v="0"/>
    <n v="1.98454"/>
    <n v="1.9378299999999999"/>
    <n v="2.0020199999999999"/>
    <n v="1.9699249999999999"/>
    <n v="641.9"/>
  </r>
  <r>
    <x v="0"/>
    <x v="8"/>
    <x v="0"/>
    <n v="1.98454"/>
    <n v="1.9378299999999999"/>
    <n v="2.0020199999999999"/>
    <n v="1.9699249999999999"/>
    <n v="641.9"/>
  </r>
  <r>
    <x v="0"/>
    <x v="8"/>
    <x v="0"/>
    <n v="1.98454"/>
    <n v="1.9378299999999999"/>
    <n v="2.0020199999999999"/>
    <n v="1.9699249999999999"/>
    <n v="641.9"/>
  </r>
  <r>
    <x v="0"/>
    <x v="8"/>
    <x v="0"/>
    <n v="1.98454"/>
    <n v="1.9378299999999999"/>
    <n v="2.0020199999999999"/>
    <n v="1.9699249999999999"/>
    <n v="641.9"/>
  </r>
  <r>
    <x v="0"/>
    <x v="8"/>
    <x v="3"/>
    <n v="1.31307"/>
    <n v="1.31599"/>
    <n v="1.3641000000000001"/>
    <n v="1.3400449999999999"/>
    <n v="481.1"/>
  </r>
  <r>
    <x v="0"/>
    <x v="8"/>
    <x v="3"/>
    <n v="1.31307"/>
    <n v="1.31599"/>
    <n v="1.3641000000000001"/>
    <n v="1.3400449999999999"/>
    <n v="481.1"/>
  </r>
  <r>
    <x v="0"/>
    <x v="8"/>
    <x v="3"/>
    <n v="1.31307"/>
    <n v="1.31599"/>
    <n v="1.3641000000000001"/>
    <n v="1.3400449999999999"/>
    <n v="481.1"/>
  </r>
  <r>
    <x v="0"/>
    <x v="8"/>
    <x v="3"/>
    <n v="1.31307"/>
    <n v="1.31599"/>
    <n v="1.3641000000000001"/>
    <n v="1.3400449999999999"/>
    <n v="481.1"/>
  </r>
  <r>
    <x v="0"/>
    <x v="8"/>
    <x v="3"/>
    <n v="1.31307"/>
    <n v="1.31599"/>
    <n v="1.3641000000000001"/>
    <n v="1.3400449999999999"/>
    <n v="481.1"/>
  </r>
  <r>
    <x v="0"/>
    <x v="8"/>
    <x v="3"/>
    <n v="1.31307"/>
    <n v="1.31599"/>
    <n v="1.3641000000000001"/>
    <n v="1.3400449999999999"/>
    <n v="481.1"/>
  </r>
  <r>
    <x v="0"/>
    <x v="8"/>
    <x v="3"/>
    <n v="1.31307"/>
    <n v="1.31599"/>
    <n v="1.3641000000000001"/>
    <n v="1.3400449999999999"/>
    <n v="481.1"/>
  </r>
  <r>
    <x v="0"/>
    <x v="8"/>
    <x v="3"/>
    <n v="1.31307"/>
    <n v="1.31599"/>
    <n v="1.3641000000000001"/>
    <n v="1.3400449999999999"/>
    <n v="481.1"/>
  </r>
  <r>
    <x v="0"/>
    <x v="8"/>
    <x v="3"/>
    <n v="1.31307"/>
    <n v="1.31599"/>
    <n v="1.3641000000000001"/>
    <n v="1.3400449999999999"/>
    <n v="481.1"/>
  </r>
  <r>
    <x v="0"/>
    <x v="8"/>
    <x v="3"/>
    <n v="1.31307"/>
    <n v="1.31599"/>
    <n v="1.3641000000000001"/>
    <n v="1.3400449999999999"/>
    <n v="481.1"/>
  </r>
  <r>
    <x v="0"/>
    <x v="8"/>
    <x v="3"/>
    <n v="1.31307"/>
    <n v="1.31599"/>
    <n v="1.3641000000000001"/>
    <n v="1.3400449999999999"/>
    <n v="481.1"/>
  </r>
  <r>
    <x v="0"/>
    <x v="8"/>
    <x v="3"/>
    <n v="1.31307"/>
    <n v="1.31599"/>
    <n v="1.3641000000000001"/>
    <n v="1.3400449999999999"/>
    <n v="481.1"/>
  </r>
  <r>
    <x v="0"/>
    <x v="8"/>
    <x v="3"/>
    <n v="1.31307"/>
    <n v="1.31599"/>
    <n v="1.3641000000000001"/>
    <n v="1.3400449999999999"/>
    <n v="481.1"/>
  </r>
  <r>
    <x v="0"/>
    <x v="8"/>
    <x v="3"/>
    <n v="1.31307"/>
    <n v="1.31599"/>
    <n v="1.3641000000000001"/>
    <n v="1.3400449999999999"/>
    <n v="481.1"/>
  </r>
  <r>
    <x v="0"/>
    <x v="8"/>
    <x v="3"/>
    <n v="1.31307"/>
    <n v="1.31599"/>
    <n v="1.3641000000000001"/>
    <n v="1.3400449999999999"/>
    <n v="481.1"/>
  </r>
  <r>
    <x v="0"/>
    <x v="8"/>
    <x v="3"/>
    <n v="1.31307"/>
    <n v="1.31599"/>
    <n v="1.3641000000000001"/>
    <n v="1.3400449999999999"/>
    <n v="481.1"/>
  </r>
  <r>
    <x v="0"/>
    <x v="8"/>
    <x v="3"/>
    <n v="1.31307"/>
    <n v="1.31599"/>
    <n v="1.3641000000000001"/>
    <n v="1.3400449999999999"/>
    <n v="481.1"/>
  </r>
  <r>
    <x v="0"/>
    <x v="8"/>
    <x v="3"/>
    <n v="1.31307"/>
    <n v="1.31599"/>
    <n v="1.3641000000000001"/>
    <n v="1.3400449999999999"/>
    <n v="481.1"/>
  </r>
  <r>
    <x v="0"/>
    <x v="8"/>
    <x v="3"/>
    <n v="1.31307"/>
    <n v="1.31599"/>
    <n v="1.3641000000000001"/>
    <n v="1.3400449999999999"/>
    <n v="481.1"/>
  </r>
  <r>
    <x v="0"/>
    <x v="8"/>
    <x v="1"/>
    <n v="1.0150999999999999"/>
    <n v="0.99450000000000005"/>
    <n v="1.0230600000000001"/>
    <n v="1.00878"/>
    <n v="285.60000000000002"/>
  </r>
  <r>
    <x v="0"/>
    <x v="8"/>
    <x v="1"/>
    <n v="1.0150999999999999"/>
    <n v="0.99450000000000005"/>
    <n v="1.0230600000000001"/>
    <n v="1.00878"/>
    <n v="285.60000000000002"/>
  </r>
  <r>
    <x v="0"/>
    <x v="8"/>
    <x v="1"/>
    <n v="1.0150999999999999"/>
    <n v="0.99450000000000005"/>
    <n v="1.0230600000000001"/>
    <n v="1.00878"/>
    <n v="285.60000000000002"/>
  </r>
  <r>
    <x v="0"/>
    <x v="8"/>
    <x v="1"/>
    <n v="1.0150999999999999"/>
    <n v="0.99450000000000005"/>
    <n v="1.0230600000000001"/>
    <n v="1.00878"/>
    <n v="285.60000000000002"/>
  </r>
  <r>
    <x v="0"/>
    <x v="8"/>
    <x v="1"/>
    <n v="1.0150999999999999"/>
    <n v="0.99450000000000005"/>
    <n v="1.0230600000000001"/>
    <n v="1.00878"/>
    <n v="285.60000000000002"/>
  </r>
  <r>
    <x v="0"/>
    <x v="8"/>
    <x v="1"/>
    <n v="1.0150999999999999"/>
    <n v="0.99450000000000005"/>
    <n v="1.0230600000000001"/>
    <n v="1.00878"/>
    <n v="285.60000000000002"/>
  </r>
  <r>
    <x v="0"/>
    <x v="8"/>
    <x v="1"/>
    <n v="1.0150999999999999"/>
    <n v="0.99450000000000005"/>
    <n v="1.0230600000000001"/>
    <n v="1.00878"/>
    <n v="285.60000000000002"/>
  </r>
  <r>
    <x v="0"/>
    <x v="8"/>
    <x v="1"/>
    <n v="1.0150999999999999"/>
    <n v="0.99450000000000005"/>
    <n v="1.0230600000000001"/>
    <n v="1.00878"/>
    <n v="285.60000000000002"/>
  </r>
  <r>
    <x v="0"/>
    <x v="8"/>
    <x v="1"/>
    <n v="1.0150999999999999"/>
    <n v="0.99450000000000005"/>
    <n v="1.0230600000000001"/>
    <n v="1.00878"/>
    <n v="285.60000000000002"/>
  </r>
  <r>
    <x v="0"/>
    <x v="9"/>
    <x v="3"/>
    <n v="1.2949900000000001"/>
    <n v="1.292"/>
    <n v="1.3641000000000001"/>
    <n v="1.32805"/>
    <n v="721"/>
  </r>
  <r>
    <x v="0"/>
    <x v="9"/>
    <x v="3"/>
    <n v="1.2949900000000001"/>
    <n v="1.292"/>
    <n v="1.3641000000000001"/>
    <n v="1.32805"/>
    <n v="721"/>
  </r>
  <r>
    <x v="0"/>
    <x v="9"/>
    <x v="3"/>
    <n v="1.2949900000000001"/>
    <n v="1.292"/>
    <n v="1.3641000000000001"/>
    <n v="1.32805"/>
    <n v="721"/>
  </r>
  <r>
    <x v="0"/>
    <x v="9"/>
    <x v="3"/>
    <n v="1.2949900000000001"/>
    <n v="1.292"/>
    <n v="1.3641000000000001"/>
    <n v="1.32805"/>
    <n v="721"/>
  </r>
  <r>
    <x v="0"/>
    <x v="9"/>
    <x v="3"/>
    <n v="1.2949900000000001"/>
    <n v="1.292"/>
    <n v="1.3641000000000001"/>
    <n v="1.32805"/>
    <n v="721"/>
  </r>
  <r>
    <x v="0"/>
    <x v="9"/>
    <x v="3"/>
    <n v="1.2949900000000001"/>
    <n v="1.292"/>
    <n v="1.3641000000000001"/>
    <n v="1.32805"/>
    <n v="721"/>
  </r>
  <r>
    <x v="0"/>
    <x v="9"/>
    <x v="3"/>
    <n v="1.2949900000000001"/>
    <n v="1.292"/>
    <n v="1.3641000000000001"/>
    <n v="1.32805"/>
    <n v="721"/>
  </r>
  <r>
    <x v="0"/>
    <x v="9"/>
    <x v="3"/>
    <n v="1.2949900000000001"/>
    <n v="1.292"/>
    <n v="1.3641000000000001"/>
    <n v="1.32805"/>
    <n v="721"/>
  </r>
  <r>
    <x v="0"/>
    <x v="9"/>
    <x v="1"/>
    <n v="1.0202"/>
    <n v="0.99450000000000005"/>
    <n v="1.02441"/>
    <n v="1.009455"/>
    <n v="299.10000000000002"/>
  </r>
  <r>
    <x v="0"/>
    <x v="9"/>
    <x v="1"/>
    <n v="1.0202"/>
    <n v="0.99450000000000005"/>
    <n v="1.02441"/>
    <n v="1.009455"/>
    <n v="299.10000000000002"/>
  </r>
  <r>
    <x v="0"/>
    <x v="9"/>
    <x v="1"/>
    <n v="1.0202"/>
    <n v="0.99450000000000005"/>
    <n v="1.02441"/>
    <n v="1.009455"/>
    <n v="299.10000000000002"/>
  </r>
  <r>
    <x v="0"/>
    <x v="9"/>
    <x v="1"/>
    <n v="1.0202"/>
    <n v="0.99450000000000005"/>
    <n v="1.02441"/>
    <n v="1.009455"/>
    <n v="299.10000000000002"/>
  </r>
  <r>
    <x v="0"/>
    <x v="9"/>
    <x v="1"/>
    <n v="1.0202"/>
    <n v="0.99450000000000005"/>
    <n v="1.02441"/>
    <n v="1.009455"/>
    <n v="299.10000000000002"/>
  </r>
  <r>
    <x v="0"/>
    <x v="9"/>
    <x v="1"/>
    <n v="1.0202"/>
    <n v="0.99450000000000005"/>
    <n v="1.02441"/>
    <n v="1.009455"/>
    <n v="299.10000000000002"/>
  </r>
  <r>
    <x v="0"/>
    <x v="9"/>
    <x v="1"/>
    <n v="1.0202"/>
    <n v="0.99450000000000005"/>
    <n v="1.02441"/>
    <n v="1.009455"/>
    <n v="299.10000000000002"/>
  </r>
  <r>
    <x v="0"/>
    <x v="9"/>
    <x v="1"/>
    <n v="1.0202"/>
    <n v="0.99450000000000005"/>
    <n v="1.02441"/>
    <n v="1.009455"/>
    <n v="299.10000000000002"/>
  </r>
  <r>
    <x v="0"/>
    <x v="9"/>
    <x v="1"/>
    <n v="1.0202"/>
    <n v="0.99450000000000005"/>
    <n v="1.02441"/>
    <n v="1.009455"/>
    <n v="299.10000000000002"/>
  </r>
  <r>
    <x v="0"/>
    <x v="9"/>
    <x v="1"/>
    <n v="1.0202"/>
    <n v="0.99450000000000005"/>
    <n v="1.02441"/>
    <n v="1.009455"/>
    <n v="299.10000000000002"/>
  </r>
  <r>
    <x v="0"/>
    <x v="9"/>
    <x v="1"/>
    <n v="1.0202"/>
    <n v="0.99450000000000005"/>
    <n v="1.02441"/>
    <n v="1.009455"/>
    <n v="299.10000000000002"/>
  </r>
  <r>
    <x v="0"/>
    <x v="9"/>
    <x v="1"/>
    <n v="1.0202"/>
    <n v="0.99450000000000005"/>
    <n v="1.02441"/>
    <n v="1.009455"/>
    <n v="299.10000000000002"/>
  </r>
  <r>
    <x v="0"/>
    <x v="9"/>
    <x v="1"/>
    <n v="1.0202"/>
    <n v="0.99450000000000005"/>
    <n v="1.02441"/>
    <n v="1.009455"/>
    <n v="299.10000000000002"/>
  </r>
  <r>
    <x v="0"/>
    <x v="9"/>
    <x v="1"/>
    <n v="1.0202"/>
    <n v="0.99450000000000005"/>
    <n v="1.02441"/>
    <n v="1.009455"/>
    <n v="299.10000000000002"/>
  </r>
  <r>
    <x v="0"/>
    <x v="9"/>
    <x v="1"/>
    <n v="1.0202"/>
    <n v="0.99450000000000005"/>
    <n v="1.02441"/>
    <n v="1.009455"/>
    <n v="299.10000000000002"/>
  </r>
  <r>
    <x v="0"/>
    <x v="9"/>
    <x v="1"/>
    <n v="1.0202"/>
    <n v="0.99450000000000005"/>
    <n v="1.02441"/>
    <n v="1.009455"/>
    <n v="299.10000000000002"/>
  </r>
  <r>
    <x v="0"/>
    <x v="9"/>
    <x v="1"/>
    <n v="1.0202"/>
    <n v="0.99450000000000005"/>
    <n v="1.02441"/>
    <n v="1.009455"/>
    <n v="299.10000000000002"/>
  </r>
  <r>
    <x v="0"/>
    <x v="9"/>
    <x v="1"/>
    <n v="1.0202"/>
    <n v="0.99450000000000005"/>
    <n v="1.02441"/>
    <n v="1.009455"/>
    <n v="299.10000000000002"/>
  </r>
  <r>
    <x v="0"/>
    <x v="9"/>
    <x v="1"/>
    <n v="1.0202"/>
    <n v="0.99450000000000005"/>
    <n v="1.02441"/>
    <n v="1.009455"/>
    <n v="299.10000000000002"/>
  </r>
  <r>
    <x v="0"/>
    <x v="9"/>
    <x v="1"/>
    <n v="1.0202"/>
    <n v="0.99450000000000005"/>
    <n v="1.02441"/>
    <n v="1.009455"/>
    <n v="299.10000000000002"/>
  </r>
  <r>
    <x v="0"/>
    <x v="9"/>
    <x v="1"/>
    <n v="1.0202"/>
    <n v="0.99450000000000005"/>
    <n v="1.02441"/>
    <n v="1.009455"/>
    <n v="299.10000000000002"/>
  </r>
  <r>
    <x v="0"/>
    <x v="9"/>
    <x v="2"/>
    <n v="105.066"/>
    <n v="101.199"/>
    <n v="105.60299999999999"/>
    <n v="103.401"/>
    <n v="440.4"/>
  </r>
  <r>
    <x v="0"/>
    <x v="9"/>
    <x v="2"/>
    <n v="105.066"/>
    <n v="101.199"/>
    <n v="105.60299999999999"/>
    <n v="103.401"/>
    <n v="440.4"/>
  </r>
  <r>
    <x v="0"/>
    <x v="9"/>
    <x v="2"/>
    <n v="105.066"/>
    <n v="101.199"/>
    <n v="105.60299999999999"/>
    <n v="103.401"/>
    <n v="440.4"/>
  </r>
  <r>
    <x v="0"/>
    <x v="9"/>
    <x v="2"/>
    <n v="105.066"/>
    <n v="101.199"/>
    <n v="105.60299999999999"/>
    <n v="103.401"/>
    <n v="440.4"/>
  </r>
  <r>
    <x v="0"/>
    <x v="9"/>
    <x v="2"/>
    <n v="105.066"/>
    <n v="101.199"/>
    <n v="105.60299999999999"/>
    <n v="103.401"/>
    <n v="440.4"/>
  </r>
  <r>
    <x v="0"/>
    <x v="9"/>
    <x v="2"/>
    <n v="105.066"/>
    <n v="101.199"/>
    <n v="105.60299999999999"/>
    <n v="103.401"/>
    <n v="440.4"/>
  </r>
  <r>
    <x v="0"/>
    <x v="9"/>
    <x v="2"/>
    <n v="105.066"/>
    <n v="101.199"/>
    <n v="105.60299999999999"/>
    <n v="103.401"/>
    <n v="440.4"/>
  </r>
  <r>
    <x v="0"/>
    <x v="9"/>
    <x v="2"/>
    <n v="105.066"/>
    <n v="101.199"/>
    <n v="105.60299999999999"/>
    <n v="103.401"/>
    <n v="440.4"/>
  </r>
  <r>
    <x v="0"/>
    <x v="9"/>
    <x v="2"/>
    <n v="105.066"/>
    <n v="101.199"/>
    <n v="105.60299999999999"/>
    <n v="103.401"/>
    <n v="440.4"/>
  </r>
  <r>
    <x v="0"/>
    <x v="9"/>
    <x v="2"/>
    <n v="105.066"/>
    <n v="101.199"/>
    <n v="105.60299999999999"/>
    <n v="103.401"/>
    <n v="440.4"/>
  </r>
  <r>
    <x v="0"/>
    <x v="9"/>
    <x v="2"/>
    <n v="105.066"/>
    <n v="101.199"/>
    <n v="105.60299999999999"/>
    <n v="103.401"/>
    <n v="440.4"/>
  </r>
  <r>
    <x v="0"/>
    <x v="9"/>
    <x v="2"/>
    <n v="105.066"/>
    <n v="101.199"/>
    <n v="105.60299999999999"/>
    <n v="103.401"/>
    <n v="440.4"/>
  </r>
  <r>
    <x v="0"/>
    <x v="9"/>
    <x v="2"/>
    <n v="105.066"/>
    <n v="101.199"/>
    <n v="105.60299999999999"/>
    <n v="103.401"/>
    <n v="440.4"/>
  </r>
  <r>
    <x v="0"/>
    <x v="9"/>
    <x v="2"/>
    <n v="105.066"/>
    <n v="101.199"/>
    <n v="105.60299999999999"/>
    <n v="103.401"/>
    <n v="440.4"/>
  </r>
  <r>
    <x v="0"/>
    <x v="9"/>
    <x v="2"/>
    <n v="105.066"/>
    <n v="101.199"/>
    <n v="105.60299999999999"/>
    <n v="103.401"/>
    <n v="440.4"/>
  </r>
  <r>
    <x v="0"/>
    <x v="9"/>
    <x v="2"/>
    <n v="105.066"/>
    <n v="101.199"/>
    <n v="105.60299999999999"/>
    <n v="103.401"/>
    <n v="440.4"/>
  </r>
  <r>
    <x v="0"/>
    <x v="9"/>
    <x v="2"/>
    <n v="105.066"/>
    <n v="101.199"/>
    <n v="105.60299999999999"/>
    <n v="103.401"/>
    <n v="440.4"/>
  </r>
  <r>
    <x v="0"/>
    <x v="9"/>
    <x v="2"/>
    <n v="105.066"/>
    <n v="101.199"/>
    <n v="105.60299999999999"/>
    <n v="103.401"/>
    <n v="440.4"/>
  </r>
  <r>
    <x v="0"/>
    <x v="9"/>
    <x v="2"/>
    <n v="105.066"/>
    <n v="101.199"/>
    <n v="105.60299999999999"/>
    <n v="103.401"/>
    <n v="440.4"/>
  </r>
  <r>
    <x v="0"/>
    <x v="9"/>
    <x v="2"/>
    <n v="105.066"/>
    <n v="101.199"/>
    <n v="105.60299999999999"/>
    <n v="103.401"/>
    <n v="440.4"/>
  </r>
  <r>
    <x v="0"/>
    <x v="9"/>
    <x v="2"/>
    <n v="105.066"/>
    <n v="101.199"/>
    <n v="105.60299999999999"/>
    <n v="103.401"/>
    <n v="440.4"/>
  </r>
  <r>
    <x v="0"/>
    <x v="9"/>
    <x v="2"/>
    <n v="105.066"/>
    <n v="101.199"/>
    <n v="105.60299999999999"/>
    <n v="103.401"/>
    <n v="440.4"/>
  </r>
  <r>
    <x v="0"/>
    <x v="9"/>
    <x v="2"/>
    <n v="105.066"/>
    <n v="101.199"/>
    <n v="105.60299999999999"/>
    <n v="103.401"/>
    <n v="440.4"/>
  </r>
  <r>
    <x v="0"/>
    <x v="9"/>
    <x v="2"/>
    <n v="105.066"/>
    <n v="101.199"/>
    <n v="105.60299999999999"/>
    <n v="103.401"/>
    <n v="440.4"/>
  </r>
  <r>
    <x v="0"/>
    <x v="9"/>
    <x v="2"/>
    <n v="105.066"/>
    <n v="101.199"/>
    <n v="105.60299999999999"/>
    <n v="103.401"/>
    <n v="440.4"/>
  </r>
  <r>
    <x v="0"/>
    <x v="9"/>
    <x v="0"/>
    <n v="1.9586699999999999"/>
    <n v="1.9378299999999999"/>
    <n v="2.0020199999999999"/>
    <n v="1.9699249999999999"/>
    <n v="641.9"/>
  </r>
  <r>
    <x v="0"/>
    <x v="9"/>
    <x v="0"/>
    <n v="1.9586699999999999"/>
    <n v="1.9378299999999999"/>
    <n v="2.0020199999999999"/>
    <n v="1.9699249999999999"/>
    <n v="641.9"/>
  </r>
  <r>
    <x v="0"/>
    <x v="9"/>
    <x v="0"/>
    <n v="1.9586699999999999"/>
    <n v="1.9378299999999999"/>
    <n v="2.0020199999999999"/>
    <n v="1.9699249999999999"/>
    <n v="641.9"/>
  </r>
  <r>
    <x v="0"/>
    <x v="9"/>
    <x v="0"/>
    <n v="1.9586699999999999"/>
    <n v="1.9378299999999999"/>
    <n v="2.0020199999999999"/>
    <n v="1.9699249999999999"/>
    <n v="641.9"/>
  </r>
  <r>
    <x v="0"/>
    <x v="9"/>
    <x v="0"/>
    <n v="1.9586699999999999"/>
    <n v="1.9378299999999999"/>
    <n v="2.0020199999999999"/>
    <n v="1.9699249999999999"/>
    <n v="641.9"/>
  </r>
  <r>
    <x v="0"/>
    <x v="9"/>
    <x v="0"/>
    <n v="1.9586699999999999"/>
    <n v="1.9378299999999999"/>
    <n v="2.0020199999999999"/>
    <n v="1.9699249999999999"/>
    <n v="641.9"/>
  </r>
  <r>
    <x v="0"/>
    <x v="9"/>
    <x v="0"/>
    <n v="1.9586699999999999"/>
    <n v="1.9378299999999999"/>
    <n v="2.0020199999999999"/>
    <n v="1.9699249999999999"/>
    <n v="641.9"/>
  </r>
  <r>
    <x v="0"/>
    <x v="9"/>
    <x v="0"/>
    <n v="1.9586699999999999"/>
    <n v="1.9378299999999999"/>
    <n v="2.0020199999999999"/>
    <n v="1.9699249999999999"/>
    <n v="641.9"/>
  </r>
  <r>
    <x v="0"/>
    <x v="9"/>
    <x v="0"/>
    <n v="1.9586699999999999"/>
    <n v="1.9378299999999999"/>
    <n v="2.0020199999999999"/>
    <n v="1.9699249999999999"/>
    <n v="641.9"/>
  </r>
  <r>
    <x v="0"/>
    <x v="9"/>
    <x v="0"/>
    <n v="1.9586699999999999"/>
    <n v="1.9378299999999999"/>
    <n v="2.0020199999999999"/>
    <n v="1.9699249999999999"/>
    <n v="641.9"/>
  </r>
  <r>
    <x v="0"/>
    <x v="9"/>
    <x v="0"/>
    <n v="1.9586699999999999"/>
    <n v="1.9378299999999999"/>
    <n v="2.0020199999999999"/>
    <n v="1.9699249999999999"/>
    <n v="641.9"/>
  </r>
  <r>
    <x v="0"/>
    <x v="9"/>
    <x v="0"/>
    <n v="1.9586699999999999"/>
    <n v="1.9378299999999999"/>
    <n v="2.0020199999999999"/>
    <n v="1.9699249999999999"/>
    <n v="641.9"/>
  </r>
  <r>
    <x v="0"/>
    <x v="9"/>
    <x v="0"/>
    <n v="1.9586699999999999"/>
    <n v="1.9378299999999999"/>
    <n v="2.0020199999999999"/>
    <n v="1.9699249999999999"/>
    <n v="641.9"/>
  </r>
  <r>
    <x v="0"/>
    <x v="9"/>
    <x v="0"/>
    <n v="1.9586699999999999"/>
    <n v="1.9378299999999999"/>
    <n v="2.0020199999999999"/>
    <n v="1.9699249999999999"/>
    <n v="641.9"/>
  </r>
  <r>
    <x v="0"/>
    <x v="9"/>
    <x v="0"/>
    <n v="1.9586699999999999"/>
    <n v="1.9378299999999999"/>
    <n v="2.0020199999999999"/>
    <n v="1.9699249999999999"/>
    <n v="641.9"/>
  </r>
  <r>
    <x v="0"/>
    <x v="9"/>
    <x v="0"/>
    <n v="1.9586699999999999"/>
    <n v="1.9378299999999999"/>
    <n v="2.0020199999999999"/>
    <n v="1.9699249999999999"/>
    <n v="641.9"/>
  </r>
  <r>
    <x v="0"/>
    <x v="9"/>
    <x v="0"/>
    <n v="1.9586699999999999"/>
    <n v="1.9378299999999999"/>
    <n v="2.0020199999999999"/>
    <n v="1.9699249999999999"/>
    <n v="641.9"/>
  </r>
  <r>
    <x v="0"/>
    <x v="9"/>
    <x v="0"/>
    <n v="1.9586699999999999"/>
    <n v="1.9378299999999999"/>
    <n v="2.0020199999999999"/>
    <n v="1.9699249999999999"/>
    <n v="641.9"/>
  </r>
  <r>
    <x v="0"/>
    <x v="9"/>
    <x v="0"/>
    <n v="1.9586699999999999"/>
    <n v="1.9378299999999999"/>
    <n v="2.0020199999999999"/>
    <n v="1.9699249999999999"/>
    <n v="641.9"/>
  </r>
  <r>
    <x v="0"/>
    <x v="9"/>
    <x v="0"/>
    <n v="1.9586699999999999"/>
    <n v="1.9378299999999999"/>
    <n v="2.0020199999999999"/>
    <n v="1.9699249999999999"/>
    <n v="641.9"/>
  </r>
  <r>
    <x v="0"/>
    <x v="9"/>
    <x v="3"/>
    <n v="1.2949900000000001"/>
    <n v="1.292"/>
    <n v="1.3641000000000001"/>
    <n v="1.32805"/>
    <n v="721"/>
  </r>
  <r>
    <x v="0"/>
    <x v="9"/>
    <x v="3"/>
    <n v="1.2949900000000001"/>
    <n v="1.292"/>
    <n v="1.3641000000000001"/>
    <n v="1.32805"/>
    <n v="721"/>
  </r>
  <r>
    <x v="0"/>
    <x v="9"/>
    <x v="3"/>
    <n v="1.2949900000000001"/>
    <n v="1.292"/>
    <n v="1.3641000000000001"/>
    <n v="1.32805"/>
    <n v="721"/>
  </r>
  <r>
    <x v="0"/>
    <x v="9"/>
    <x v="3"/>
    <n v="1.2949900000000001"/>
    <n v="1.292"/>
    <n v="1.3641000000000001"/>
    <n v="1.32805"/>
    <n v="721"/>
  </r>
  <r>
    <x v="0"/>
    <x v="9"/>
    <x v="3"/>
    <n v="1.2949900000000001"/>
    <n v="1.292"/>
    <n v="1.3641000000000001"/>
    <n v="1.32805"/>
    <n v="721"/>
  </r>
  <r>
    <x v="0"/>
    <x v="9"/>
    <x v="3"/>
    <n v="1.2949900000000001"/>
    <n v="1.292"/>
    <n v="1.3641000000000001"/>
    <n v="1.32805"/>
    <n v="721"/>
  </r>
  <r>
    <x v="0"/>
    <x v="9"/>
    <x v="3"/>
    <n v="1.2949900000000001"/>
    <n v="1.292"/>
    <n v="1.3641000000000001"/>
    <n v="1.32805"/>
    <n v="721"/>
  </r>
  <r>
    <x v="0"/>
    <x v="9"/>
    <x v="3"/>
    <n v="1.2949900000000001"/>
    <n v="1.292"/>
    <n v="1.3641000000000001"/>
    <n v="1.32805"/>
    <n v="721"/>
  </r>
  <r>
    <x v="0"/>
    <x v="9"/>
    <x v="3"/>
    <n v="1.2949900000000001"/>
    <n v="1.292"/>
    <n v="1.3641000000000001"/>
    <n v="1.32805"/>
    <n v="721"/>
  </r>
  <r>
    <x v="0"/>
    <x v="9"/>
    <x v="3"/>
    <n v="1.2949900000000001"/>
    <n v="1.292"/>
    <n v="1.3641000000000001"/>
    <n v="1.32805"/>
    <n v="721"/>
  </r>
  <r>
    <x v="0"/>
    <x v="9"/>
    <x v="3"/>
    <n v="1.2949900000000001"/>
    <n v="1.292"/>
    <n v="1.3641000000000001"/>
    <n v="1.32805"/>
    <n v="721"/>
  </r>
  <r>
    <x v="0"/>
    <x v="9"/>
    <x v="3"/>
    <n v="1.2949900000000001"/>
    <n v="1.292"/>
    <n v="1.3641000000000001"/>
    <n v="1.32805"/>
    <n v="721"/>
  </r>
  <r>
    <x v="0"/>
    <x v="9"/>
    <x v="3"/>
    <n v="1.2949900000000001"/>
    <n v="1.292"/>
    <n v="1.3641000000000001"/>
    <n v="1.32805"/>
    <n v="721"/>
  </r>
  <r>
    <x v="0"/>
    <x v="9"/>
    <x v="3"/>
    <n v="1.2949900000000001"/>
    <n v="1.292"/>
    <n v="1.3641000000000001"/>
    <n v="1.32805"/>
    <n v="721"/>
  </r>
  <r>
    <x v="0"/>
    <x v="9"/>
    <x v="3"/>
    <n v="1.2949900000000001"/>
    <n v="1.292"/>
    <n v="1.3641000000000001"/>
    <n v="1.32805"/>
    <n v="721"/>
  </r>
  <r>
    <x v="0"/>
    <x v="9"/>
    <x v="3"/>
    <n v="1.2949900000000001"/>
    <n v="1.292"/>
    <n v="1.3641000000000001"/>
    <n v="1.32805"/>
    <n v="721"/>
  </r>
  <r>
    <x v="0"/>
    <x v="9"/>
    <x v="3"/>
    <n v="1.2949900000000001"/>
    <n v="1.292"/>
    <n v="1.3641000000000001"/>
    <n v="1.32805"/>
    <n v="721"/>
  </r>
  <r>
    <x v="0"/>
    <x v="9"/>
    <x v="3"/>
    <n v="1.2949900000000001"/>
    <n v="1.292"/>
    <n v="1.3641000000000001"/>
    <n v="1.32805"/>
    <n v="721"/>
  </r>
  <r>
    <x v="0"/>
    <x v="9"/>
    <x v="3"/>
    <n v="1.2949900000000001"/>
    <n v="1.292"/>
    <n v="1.3641000000000001"/>
    <n v="1.32805"/>
    <n v="721"/>
  </r>
  <r>
    <x v="0"/>
    <x v="10"/>
    <x v="3"/>
    <n v="1.29609"/>
    <n v="1.286"/>
    <n v="1.3641000000000001"/>
    <n v="1.3250500000000001"/>
    <n v="781"/>
  </r>
  <r>
    <x v="0"/>
    <x v="10"/>
    <x v="3"/>
    <n v="1.29609"/>
    <n v="1.286"/>
    <n v="1.3641000000000001"/>
    <n v="1.3250500000000001"/>
    <n v="781"/>
  </r>
  <r>
    <x v="0"/>
    <x v="10"/>
    <x v="3"/>
    <n v="1.29609"/>
    <n v="1.286"/>
    <n v="1.3641000000000001"/>
    <n v="1.3250500000000001"/>
    <n v="781"/>
  </r>
  <r>
    <x v="0"/>
    <x v="10"/>
    <x v="3"/>
    <n v="1.29609"/>
    <n v="1.286"/>
    <n v="1.3641000000000001"/>
    <n v="1.3250500000000001"/>
    <n v="781"/>
  </r>
  <r>
    <x v="0"/>
    <x v="10"/>
    <x v="3"/>
    <n v="1.29609"/>
    <n v="1.286"/>
    <n v="1.3641000000000001"/>
    <n v="1.3250500000000001"/>
    <n v="781"/>
  </r>
  <r>
    <x v="0"/>
    <x v="10"/>
    <x v="3"/>
    <n v="1.29609"/>
    <n v="1.286"/>
    <n v="1.3641000000000001"/>
    <n v="1.3250500000000001"/>
    <n v="781"/>
  </r>
  <r>
    <x v="0"/>
    <x v="10"/>
    <x v="3"/>
    <n v="1.29609"/>
    <n v="1.286"/>
    <n v="1.3641000000000001"/>
    <n v="1.3250500000000001"/>
    <n v="781"/>
  </r>
  <r>
    <x v="0"/>
    <x v="10"/>
    <x v="3"/>
    <n v="1.29609"/>
    <n v="1.286"/>
    <n v="1.3641000000000001"/>
    <n v="1.3250500000000001"/>
    <n v="781"/>
  </r>
  <r>
    <x v="0"/>
    <x v="10"/>
    <x v="3"/>
    <n v="1.29609"/>
    <n v="1.286"/>
    <n v="1.3641000000000001"/>
    <n v="1.3250500000000001"/>
    <n v="781"/>
  </r>
  <r>
    <x v="0"/>
    <x v="10"/>
    <x v="3"/>
    <n v="1.29609"/>
    <n v="1.286"/>
    <n v="1.3641000000000001"/>
    <n v="1.3250500000000001"/>
    <n v="781"/>
  </r>
  <r>
    <x v="0"/>
    <x v="10"/>
    <x v="3"/>
    <n v="1.29609"/>
    <n v="1.286"/>
    <n v="1.3641000000000001"/>
    <n v="1.3250500000000001"/>
    <n v="781"/>
  </r>
  <r>
    <x v="0"/>
    <x v="10"/>
    <x v="3"/>
    <n v="1.29609"/>
    <n v="1.286"/>
    <n v="1.3641000000000001"/>
    <n v="1.3250500000000001"/>
    <n v="781"/>
  </r>
  <r>
    <x v="0"/>
    <x v="10"/>
    <x v="3"/>
    <n v="1.29609"/>
    <n v="1.286"/>
    <n v="1.3641000000000001"/>
    <n v="1.3250500000000001"/>
    <n v="781"/>
  </r>
  <r>
    <x v="0"/>
    <x v="10"/>
    <x v="3"/>
    <n v="1.29609"/>
    <n v="1.286"/>
    <n v="1.3641000000000001"/>
    <n v="1.3250500000000001"/>
    <n v="781"/>
  </r>
  <r>
    <x v="0"/>
    <x v="10"/>
    <x v="3"/>
    <n v="1.29609"/>
    <n v="1.286"/>
    <n v="1.3641000000000001"/>
    <n v="1.3250500000000001"/>
    <n v="781"/>
  </r>
  <r>
    <x v="0"/>
    <x v="10"/>
    <x v="3"/>
    <n v="1.29609"/>
    <n v="1.286"/>
    <n v="1.3641000000000001"/>
    <n v="1.3250500000000001"/>
    <n v="781"/>
  </r>
  <r>
    <x v="0"/>
    <x v="10"/>
    <x v="3"/>
    <n v="1.29609"/>
    <n v="1.286"/>
    <n v="1.3641000000000001"/>
    <n v="1.3250500000000001"/>
    <n v="781"/>
  </r>
  <r>
    <x v="0"/>
    <x v="10"/>
    <x v="3"/>
    <n v="1.29609"/>
    <n v="1.286"/>
    <n v="1.3641000000000001"/>
    <n v="1.3250500000000001"/>
    <n v="781"/>
  </r>
  <r>
    <x v="0"/>
    <x v="10"/>
    <x v="3"/>
    <n v="1.29609"/>
    <n v="1.286"/>
    <n v="1.3641000000000001"/>
    <n v="1.3250500000000001"/>
    <n v="781"/>
  </r>
  <r>
    <x v="0"/>
    <x v="10"/>
    <x v="3"/>
    <n v="1.29609"/>
    <n v="1.286"/>
    <n v="1.3641000000000001"/>
    <n v="1.3250500000000001"/>
    <n v="781"/>
  </r>
  <r>
    <x v="0"/>
    <x v="10"/>
    <x v="1"/>
    <n v="1.0021800000000001"/>
    <n v="0.99450000000000005"/>
    <n v="1.02441"/>
    <n v="1.009455"/>
    <n v="299.10000000000002"/>
  </r>
  <r>
    <x v="0"/>
    <x v="10"/>
    <x v="1"/>
    <n v="1.0021800000000001"/>
    <n v="0.99450000000000005"/>
    <n v="1.02441"/>
    <n v="1.009455"/>
    <n v="299.10000000000002"/>
  </r>
  <r>
    <x v="0"/>
    <x v="10"/>
    <x v="1"/>
    <n v="1.0021800000000001"/>
    <n v="0.99450000000000005"/>
    <n v="1.02441"/>
    <n v="1.009455"/>
    <n v="299.10000000000002"/>
  </r>
  <r>
    <x v="0"/>
    <x v="10"/>
    <x v="1"/>
    <n v="1.0021800000000001"/>
    <n v="0.99450000000000005"/>
    <n v="1.02441"/>
    <n v="1.009455"/>
    <n v="299.10000000000002"/>
  </r>
  <r>
    <x v="0"/>
    <x v="10"/>
    <x v="1"/>
    <n v="1.0021800000000001"/>
    <n v="0.99450000000000005"/>
    <n v="1.02441"/>
    <n v="1.009455"/>
    <n v="299.10000000000002"/>
  </r>
  <r>
    <x v="0"/>
    <x v="10"/>
    <x v="1"/>
    <n v="1.0021800000000001"/>
    <n v="0.99450000000000005"/>
    <n v="1.02441"/>
    <n v="1.009455"/>
    <n v="299.10000000000002"/>
  </r>
  <r>
    <x v="0"/>
    <x v="10"/>
    <x v="1"/>
    <n v="1.0021800000000001"/>
    <n v="0.99450000000000005"/>
    <n v="1.02441"/>
    <n v="1.009455"/>
    <n v="299.10000000000002"/>
  </r>
  <r>
    <x v="0"/>
    <x v="10"/>
    <x v="1"/>
    <n v="1.0021800000000001"/>
    <n v="0.99450000000000005"/>
    <n v="1.02441"/>
    <n v="1.009455"/>
    <n v="299.10000000000002"/>
  </r>
  <r>
    <x v="0"/>
    <x v="10"/>
    <x v="1"/>
    <n v="1.0021800000000001"/>
    <n v="0.99450000000000005"/>
    <n v="1.02441"/>
    <n v="1.009455"/>
    <n v="299.10000000000002"/>
  </r>
  <r>
    <x v="0"/>
    <x v="10"/>
    <x v="1"/>
    <n v="1.0021800000000001"/>
    <n v="0.99450000000000005"/>
    <n v="1.02441"/>
    <n v="1.009455"/>
    <n v="299.10000000000002"/>
  </r>
  <r>
    <x v="0"/>
    <x v="10"/>
    <x v="1"/>
    <n v="1.0021800000000001"/>
    <n v="0.99450000000000005"/>
    <n v="1.02441"/>
    <n v="1.009455"/>
    <n v="299.10000000000002"/>
  </r>
  <r>
    <x v="0"/>
    <x v="10"/>
    <x v="1"/>
    <n v="1.0021800000000001"/>
    <n v="0.99450000000000005"/>
    <n v="1.02441"/>
    <n v="1.009455"/>
    <n v="299.10000000000002"/>
  </r>
  <r>
    <x v="0"/>
    <x v="10"/>
    <x v="1"/>
    <n v="1.0021800000000001"/>
    <n v="0.99450000000000005"/>
    <n v="1.02441"/>
    <n v="1.009455"/>
    <n v="299.10000000000002"/>
  </r>
  <r>
    <x v="0"/>
    <x v="10"/>
    <x v="1"/>
    <n v="1.0021800000000001"/>
    <n v="0.99450000000000005"/>
    <n v="1.02441"/>
    <n v="1.009455"/>
    <n v="299.10000000000002"/>
  </r>
  <r>
    <x v="0"/>
    <x v="10"/>
    <x v="1"/>
    <n v="1.0021800000000001"/>
    <n v="0.99450000000000005"/>
    <n v="1.02441"/>
    <n v="1.009455"/>
    <n v="299.10000000000002"/>
  </r>
  <r>
    <x v="0"/>
    <x v="10"/>
    <x v="1"/>
    <n v="1.0021800000000001"/>
    <n v="0.99450000000000005"/>
    <n v="1.02441"/>
    <n v="1.009455"/>
    <n v="299.10000000000002"/>
  </r>
  <r>
    <x v="0"/>
    <x v="10"/>
    <x v="1"/>
    <n v="1.0021800000000001"/>
    <n v="0.99450000000000005"/>
    <n v="1.02441"/>
    <n v="1.009455"/>
    <n v="299.10000000000002"/>
  </r>
  <r>
    <x v="0"/>
    <x v="10"/>
    <x v="1"/>
    <n v="1.0021800000000001"/>
    <n v="0.99450000000000005"/>
    <n v="1.02441"/>
    <n v="1.009455"/>
    <n v="299.10000000000002"/>
  </r>
  <r>
    <x v="0"/>
    <x v="10"/>
    <x v="1"/>
    <n v="1.0021800000000001"/>
    <n v="0.99450000000000005"/>
    <n v="1.02441"/>
    <n v="1.009455"/>
    <n v="299.10000000000002"/>
  </r>
  <r>
    <x v="0"/>
    <x v="10"/>
    <x v="1"/>
    <n v="1.0021800000000001"/>
    <n v="0.99450000000000005"/>
    <n v="1.02441"/>
    <n v="1.009455"/>
    <n v="299.10000000000002"/>
  </r>
  <r>
    <x v="0"/>
    <x v="10"/>
    <x v="1"/>
    <n v="1.0021800000000001"/>
    <n v="0.99450000000000005"/>
    <n v="1.02441"/>
    <n v="1.009455"/>
    <n v="299.10000000000002"/>
  </r>
  <r>
    <x v="0"/>
    <x v="10"/>
    <x v="1"/>
    <n v="1.0021800000000001"/>
    <n v="0.99450000000000005"/>
    <n v="1.02441"/>
    <n v="1.009455"/>
    <n v="299.10000000000002"/>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2"/>
    <n v="107.29600000000001"/>
    <n v="101.199"/>
    <n v="107.4"/>
    <n v="104.29949999999999"/>
    <n v="620.1"/>
  </r>
  <r>
    <x v="0"/>
    <x v="10"/>
    <x v="0"/>
    <n v="1.9958499999999999"/>
    <n v="1.9378299999999999"/>
    <n v="2.0020199999999999"/>
    <n v="1.9699249999999999"/>
    <n v="641.9"/>
  </r>
  <r>
    <x v="0"/>
    <x v="10"/>
    <x v="0"/>
    <n v="1.9958499999999999"/>
    <n v="1.9378299999999999"/>
    <n v="2.0020199999999999"/>
    <n v="1.9699249999999999"/>
    <n v="641.9"/>
  </r>
  <r>
    <x v="0"/>
    <x v="10"/>
    <x v="0"/>
    <n v="1.9958499999999999"/>
    <n v="1.9378299999999999"/>
    <n v="2.0020199999999999"/>
    <n v="1.9699249999999999"/>
    <n v="641.9"/>
  </r>
  <r>
    <x v="0"/>
    <x v="10"/>
    <x v="0"/>
    <n v="1.9958499999999999"/>
    <n v="1.9378299999999999"/>
    <n v="2.0020199999999999"/>
    <n v="1.9699249999999999"/>
    <n v="641.9"/>
  </r>
  <r>
    <x v="0"/>
    <x v="10"/>
    <x v="0"/>
    <n v="1.9958499999999999"/>
    <n v="1.9378299999999999"/>
    <n v="2.0020199999999999"/>
    <n v="1.9699249999999999"/>
    <n v="641.9"/>
  </r>
  <r>
    <x v="0"/>
    <x v="10"/>
    <x v="0"/>
    <n v="1.9958499999999999"/>
    <n v="1.9378299999999999"/>
    <n v="2.0020199999999999"/>
    <n v="1.9699249999999999"/>
    <n v="641.9"/>
  </r>
  <r>
    <x v="0"/>
    <x v="10"/>
    <x v="0"/>
    <n v="1.9958499999999999"/>
    <n v="1.9378299999999999"/>
    <n v="2.0020199999999999"/>
    <n v="1.9699249999999999"/>
    <n v="641.9"/>
  </r>
  <r>
    <x v="0"/>
    <x v="10"/>
    <x v="0"/>
    <n v="1.9958499999999999"/>
    <n v="1.9378299999999999"/>
    <n v="2.0020199999999999"/>
    <n v="1.9699249999999999"/>
    <n v="641.9"/>
  </r>
  <r>
    <x v="0"/>
    <x v="10"/>
    <x v="0"/>
    <n v="1.9958499999999999"/>
    <n v="1.9378299999999999"/>
    <n v="2.0020199999999999"/>
    <n v="1.9699249999999999"/>
    <n v="641.9"/>
  </r>
  <r>
    <x v="0"/>
    <x v="10"/>
    <x v="0"/>
    <n v="1.9958499999999999"/>
    <n v="1.9378299999999999"/>
    <n v="2.0020199999999999"/>
    <n v="1.9699249999999999"/>
    <n v="641.9"/>
  </r>
  <r>
    <x v="0"/>
    <x v="10"/>
    <x v="0"/>
    <n v="1.9958499999999999"/>
    <n v="1.9378299999999999"/>
    <n v="2.0020199999999999"/>
    <n v="1.9699249999999999"/>
    <n v="641.9"/>
  </r>
  <r>
    <x v="0"/>
    <x v="10"/>
    <x v="0"/>
    <n v="1.9958499999999999"/>
    <n v="1.9378299999999999"/>
    <n v="2.0020199999999999"/>
    <n v="1.9699249999999999"/>
    <n v="641.9"/>
  </r>
  <r>
    <x v="0"/>
    <x v="10"/>
    <x v="0"/>
    <n v="1.9958499999999999"/>
    <n v="1.9378299999999999"/>
    <n v="2.0020199999999999"/>
    <n v="1.9699249999999999"/>
    <n v="641.9"/>
  </r>
  <r>
    <x v="0"/>
    <x v="10"/>
    <x v="0"/>
    <n v="1.9958499999999999"/>
    <n v="1.9378299999999999"/>
    <n v="2.0020199999999999"/>
    <n v="1.9699249999999999"/>
    <n v="641.9"/>
  </r>
  <r>
    <x v="0"/>
    <x v="10"/>
    <x v="0"/>
    <n v="1.9958499999999999"/>
    <n v="1.9378299999999999"/>
    <n v="2.0020199999999999"/>
    <n v="1.9699249999999999"/>
    <n v="641.9"/>
  </r>
  <r>
    <x v="0"/>
    <x v="10"/>
    <x v="0"/>
    <n v="1.9958499999999999"/>
    <n v="1.9378299999999999"/>
    <n v="2.0020199999999999"/>
    <n v="1.9699249999999999"/>
    <n v="641.9"/>
  </r>
  <r>
    <x v="0"/>
    <x v="10"/>
    <x v="0"/>
    <n v="1.9958499999999999"/>
    <n v="1.9378299999999999"/>
    <n v="2.0020199999999999"/>
    <n v="1.9699249999999999"/>
    <n v="641.9"/>
  </r>
  <r>
    <x v="0"/>
    <x v="10"/>
    <x v="0"/>
    <n v="1.9958499999999999"/>
    <n v="1.9378299999999999"/>
    <n v="2.0020199999999999"/>
    <n v="1.9699249999999999"/>
    <n v="641.9"/>
  </r>
  <r>
    <x v="0"/>
    <x v="10"/>
    <x v="0"/>
    <n v="1.9958499999999999"/>
    <n v="1.9378299999999999"/>
    <n v="2.0020199999999999"/>
    <n v="1.9699249999999999"/>
    <n v="641.9"/>
  </r>
  <r>
    <x v="0"/>
    <x v="10"/>
    <x v="0"/>
    <n v="1.9958499999999999"/>
    <n v="1.9378299999999999"/>
    <n v="2.0020199999999999"/>
    <n v="1.9699249999999999"/>
    <n v="641.9"/>
  </r>
  <r>
    <x v="0"/>
    <x v="10"/>
    <x v="0"/>
    <n v="1.9958499999999999"/>
    <n v="1.9378299999999999"/>
    <n v="2.0020199999999999"/>
    <n v="1.9699249999999999"/>
    <n v="641.9"/>
  </r>
  <r>
    <x v="0"/>
    <x v="10"/>
    <x v="0"/>
    <n v="1.9958499999999999"/>
    <n v="1.9378299999999999"/>
    <n v="2.0020199999999999"/>
    <n v="1.9699249999999999"/>
    <n v="641.9"/>
  </r>
  <r>
    <x v="0"/>
    <x v="10"/>
    <x v="3"/>
    <n v="1.29609"/>
    <n v="1.286"/>
    <n v="1.3641000000000001"/>
    <n v="1.3250500000000001"/>
    <n v="781"/>
  </r>
  <r>
    <x v="0"/>
    <x v="10"/>
    <x v="3"/>
    <n v="1.29609"/>
    <n v="1.286"/>
    <n v="1.3641000000000001"/>
    <n v="1.3250500000000001"/>
    <n v="781"/>
  </r>
  <r>
    <x v="0"/>
    <x v="10"/>
    <x v="3"/>
    <n v="1.29609"/>
    <n v="1.286"/>
    <n v="1.3641000000000001"/>
    <n v="1.3250500000000001"/>
    <n v="781"/>
  </r>
  <r>
    <x v="0"/>
    <x v="10"/>
    <x v="3"/>
    <n v="1.29609"/>
    <n v="1.286"/>
    <n v="1.3641000000000001"/>
    <n v="1.3250500000000001"/>
    <n v="781"/>
  </r>
  <r>
    <x v="0"/>
    <x v="10"/>
    <x v="3"/>
    <n v="1.29609"/>
    <n v="1.286"/>
    <n v="1.3641000000000001"/>
    <n v="1.3250500000000001"/>
    <n v="781"/>
  </r>
  <r>
    <x v="0"/>
    <x v="10"/>
    <x v="3"/>
    <n v="1.29609"/>
    <n v="1.286"/>
    <n v="1.3641000000000001"/>
    <n v="1.3250500000000001"/>
    <n v="781"/>
  </r>
  <r>
    <x v="0"/>
    <x v="10"/>
    <x v="3"/>
    <n v="1.29609"/>
    <n v="1.286"/>
    <n v="1.3641000000000001"/>
    <n v="1.3250500000000001"/>
    <n v="781"/>
  </r>
  <r>
    <x v="0"/>
    <x v="10"/>
    <x v="3"/>
    <n v="1.29609"/>
    <n v="1.286"/>
    <n v="1.3641000000000001"/>
    <n v="1.3250500000000001"/>
    <n v="781"/>
  </r>
  <r>
    <x v="0"/>
    <x v="10"/>
    <x v="3"/>
    <n v="1.29609"/>
    <n v="1.286"/>
    <n v="1.3641000000000001"/>
    <n v="1.3250500000000001"/>
    <n v="781"/>
  </r>
  <r>
    <x v="0"/>
    <x v="11"/>
    <x v="3"/>
    <n v="1.2827599999999999"/>
    <n v="1.286"/>
    <n v="1.3641000000000001"/>
    <n v="1.3250500000000001"/>
    <n v="781"/>
  </r>
  <r>
    <x v="0"/>
    <x v="11"/>
    <x v="3"/>
    <n v="1.2827599999999999"/>
    <n v="1.286"/>
    <n v="1.3641000000000001"/>
    <n v="1.3250500000000001"/>
    <n v="781"/>
  </r>
  <r>
    <x v="0"/>
    <x v="11"/>
    <x v="3"/>
    <n v="1.2827599999999999"/>
    <n v="1.286"/>
    <n v="1.3641000000000001"/>
    <n v="1.3250500000000001"/>
    <n v="781"/>
  </r>
  <r>
    <x v="0"/>
    <x v="11"/>
    <x v="3"/>
    <n v="1.2827599999999999"/>
    <n v="1.286"/>
    <n v="1.3641000000000001"/>
    <n v="1.3250500000000001"/>
    <n v="781"/>
  </r>
  <r>
    <x v="0"/>
    <x v="11"/>
    <x v="3"/>
    <n v="1.2827599999999999"/>
    <n v="1.286"/>
    <n v="1.3641000000000001"/>
    <n v="1.3250500000000001"/>
    <n v="781"/>
  </r>
  <r>
    <x v="0"/>
    <x v="11"/>
    <x v="3"/>
    <n v="1.2827599999999999"/>
    <n v="1.286"/>
    <n v="1.3641000000000001"/>
    <n v="1.3250500000000001"/>
    <n v="781"/>
  </r>
  <r>
    <x v="0"/>
    <x v="11"/>
    <x v="3"/>
    <n v="1.2827599999999999"/>
    <n v="1.286"/>
    <n v="1.3641000000000001"/>
    <n v="1.3250500000000001"/>
    <n v="781"/>
  </r>
  <r>
    <x v="0"/>
    <x v="11"/>
    <x v="3"/>
    <n v="1.2827599999999999"/>
    <n v="1.286"/>
    <n v="1.3641000000000001"/>
    <n v="1.3250500000000001"/>
    <n v="781"/>
  </r>
  <r>
    <x v="0"/>
    <x v="11"/>
    <x v="3"/>
    <n v="1.2827599999999999"/>
    <n v="1.286"/>
    <n v="1.3641000000000001"/>
    <n v="1.3250500000000001"/>
    <n v="781"/>
  </r>
  <r>
    <x v="0"/>
    <x v="11"/>
    <x v="3"/>
    <n v="1.2827599999999999"/>
    <n v="1.286"/>
    <n v="1.3641000000000001"/>
    <n v="1.3250500000000001"/>
    <n v="781"/>
  </r>
  <r>
    <x v="0"/>
    <x v="11"/>
    <x v="3"/>
    <n v="1.2827599999999999"/>
    <n v="1.286"/>
    <n v="1.3641000000000001"/>
    <n v="1.3250500000000001"/>
    <n v="781"/>
  </r>
  <r>
    <x v="0"/>
    <x v="11"/>
    <x v="3"/>
    <n v="1.2827599999999999"/>
    <n v="1.286"/>
    <n v="1.3641000000000001"/>
    <n v="1.3250500000000001"/>
    <n v="781"/>
  </r>
  <r>
    <x v="0"/>
    <x v="11"/>
    <x v="3"/>
    <n v="1.2827599999999999"/>
    <n v="1.286"/>
    <n v="1.3641000000000001"/>
    <n v="1.3250500000000001"/>
    <n v="781"/>
  </r>
  <r>
    <x v="0"/>
    <x v="11"/>
    <x v="3"/>
    <n v="1.2827599999999999"/>
    <n v="1.286"/>
    <n v="1.3641000000000001"/>
    <n v="1.3250500000000001"/>
    <n v="781"/>
  </r>
  <r>
    <x v="0"/>
    <x v="11"/>
    <x v="3"/>
    <n v="1.2827599999999999"/>
    <n v="1.286"/>
    <n v="1.3641000000000001"/>
    <n v="1.3250500000000001"/>
    <n v="781"/>
  </r>
  <r>
    <x v="0"/>
    <x v="11"/>
    <x v="3"/>
    <n v="1.2827599999999999"/>
    <n v="1.286"/>
    <n v="1.3641000000000001"/>
    <n v="1.3250500000000001"/>
    <n v="781"/>
  </r>
  <r>
    <x v="0"/>
    <x v="11"/>
    <x v="3"/>
    <n v="1.2827599999999999"/>
    <n v="1.286"/>
    <n v="1.3641000000000001"/>
    <n v="1.3250500000000001"/>
    <n v="781"/>
  </r>
  <r>
    <x v="0"/>
    <x v="11"/>
    <x v="3"/>
    <n v="1.2827599999999999"/>
    <n v="1.286"/>
    <n v="1.3641000000000001"/>
    <n v="1.3250500000000001"/>
    <n v="781"/>
  </r>
  <r>
    <x v="0"/>
    <x v="11"/>
    <x v="3"/>
    <n v="1.2827599999999999"/>
    <n v="1.286"/>
    <n v="1.3641000000000001"/>
    <n v="1.3250500000000001"/>
    <n v="781"/>
  </r>
  <r>
    <x v="0"/>
    <x v="11"/>
    <x v="3"/>
    <n v="1.2827599999999999"/>
    <n v="1.286"/>
    <n v="1.3641000000000001"/>
    <n v="1.3250500000000001"/>
    <n v="781"/>
  </r>
  <r>
    <x v="0"/>
    <x v="11"/>
    <x v="1"/>
    <n v="0.97814999999999996"/>
    <n v="0.98697999999999997"/>
    <n v="1.02441"/>
    <n v="1.005695"/>
    <n v="374.3"/>
  </r>
  <r>
    <x v="0"/>
    <x v="11"/>
    <x v="1"/>
    <n v="0.97814999999999996"/>
    <n v="0.98697999999999997"/>
    <n v="1.02441"/>
    <n v="1.005695"/>
    <n v="374.3"/>
  </r>
  <r>
    <x v="0"/>
    <x v="11"/>
    <x v="1"/>
    <n v="0.97814999999999996"/>
    <n v="0.98697999999999997"/>
    <n v="1.02441"/>
    <n v="1.005695"/>
    <n v="374.3"/>
  </r>
  <r>
    <x v="0"/>
    <x v="11"/>
    <x v="1"/>
    <n v="0.97814999999999996"/>
    <n v="0.98697999999999997"/>
    <n v="1.02441"/>
    <n v="1.005695"/>
    <n v="374.3"/>
  </r>
  <r>
    <x v="0"/>
    <x v="11"/>
    <x v="1"/>
    <n v="0.97814999999999996"/>
    <n v="0.98697999999999997"/>
    <n v="1.02441"/>
    <n v="1.005695"/>
    <n v="374.3"/>
  </r>
  <r>
    <x v="0"/>
    <x v="11"/>
    <x v="1"/>
    <n v="0.97814999999999996"/>
    <n v="0.98697999999999997"/>
    <n v="1.02441"/>
    <n v="1.005695"/>
    <n v="374.3"/>
  </r>
  <r>
    <x v="0"/>
    <x v="11"/>
    <x v="1"/>
    <n v="0.97814999999999996"/>
    <n v="0.98697999999999997"/>
    <n v="1.02441"/>
    <n v="1.005695"/>
    <n v="374.3"/>
  </r>
  <r>
    <x v="0"/>
    <x v="11"/>
    <x v="1"/>
    <n v="0.97814999999999996"/>
    <n v="0.98697999999999997"/>
    <n v="1.02441"/>
    <n v="1.005695"/>
    <n v="374.3"/>
  </r>
  <r>
    <x v="0"/>
    <x v="11"/>
    <x v="1"/>
    <n v="0.97814999999999996"/>
    <n v="0.98697999999999997"/>
    <n v="1.02441"/>
    <n v="1.005695"/>
    <n v="374.3"/>
  </r>
  <r>
    <x v="0"/>
    <x v="11"/>
    <x v="1"/>
    <n v="0.97814999999999996"/>
    <n v="0.98697999999999997"/>
    <n v="1.02441"/>
    <n v="1.005695"/>
    <n v="374.3"/>
  </r>
  <r>
    <x v="0"/>
    <x v="11"/>
    <x v="1"/>
    <n v="0.97814999999999996"/>
    <n v="0.98697999999999997"/>
    <n v="1.02441"/>
    <n v="1.005695"/>
    <n v="374.3"/>
  </r>
  <r>
    <x v="0"/>
    <x v="11"/>
    <x v="1"/>
    <n v="0.97814999999999996"/>
    <n v="0.98697999999999997"/>
    <n v="1.02441"/>
    <n v="1.005695"/>
    <n v="374.3"/>
  </r>
  <r>
    <x v="0"/>
    <x v="11"/>
    <x v="1"/>
    <n v="0.97814999999999996"/>
    <n v="0.98697999999999997"/>
    <n v="1.02441"/>
    <n v="1.005695"/>
    <n v="374.3"/>
  </r>
  <r>
    <x v="0"/>
    <x v="11"/>
    <x v="1"/>
    <n v="0.97814999999999996"/>
    <n v="0.98697999999999997"/>
    <n v="1.02441"/>
    <n v="1.005695"/>
    <n v="374.3"/>
  </r>
  <r>
    <x v="0"/>
    <x v="11"/>
    <x v="1"/>
    <n v="0.97814999999999996"/>
    <n v="0.98697999999999997"/>
    <n v="1.02441"/>
    <n v="1.005695"/>
    <n v="374.3"/>
  </r>
  <r>
    <x v="0"/>
    <x v="11"/>
    <x v="1"/>
    <n v="0.97814999999999996"/>
    <n v="0.98697999999999997"/>
    <n v="1.02441"/>
    <n v="1.005695"/>
    <n v="374.3"/>
  </r>
  <r>
    <x v="0"/>
    <x v="11"/>
    <x v="1"/>
    <n v="0.97814999999999996"/>
    <n v="0.98697999999999997"/>
    <n v="1.02441"/>
    <n v="1.005695"/>
    <n v="374.3"/>
  </r>
  <r>
    <x v="0"/>
    <x v="11"/>
    <x v="1"/>
    <n v="0.97814999999999996"/>
    <n v="0.98697999999999997"/>
    <n v="1.02441"/>
    <n v="1.005695"/>
    <n v="374.3"/>
  </r>
  <r>
    <x v="0"/>
    <x v="11"/>
    <x v="1"/>
    <n v="0.97814999999999996"/>
    <n v="0.98697999999999997"/>
    <n v="1.02441"/>
    <n v="1.005695"/>
    <n v="374.3"/>
  </r>
  <r>
    <x v="0"/>
    <x v="11"/>
    <x v="1"/>
    <n v="0.97814999999999996"/>
    <n v="0.98697999999999997"/>
    <n v="1.02441"/>
    <n v="1.005695"/>
    <n v="374.3"/>
  </r>
  <r>
    <x v="0"/>
    <x v="11"/>
    <x v="1"/>
    <n v="0.97814999999999996"/>
    <n v="0.98697999999999997"/>
    <n v="1.02441"/>
    <n v="1.005695"/>
    <n v="374.3"/>
  </r>
  <r>
    <x v="0"/>
    <x v="11"/>
    <x v="1"/>
    <n v="0.97814999999999996"/>
    <n v="0.98697999999999997"/>
    <n v="1.02441"/>
    <n v="1.005695"/>
    <n v="374.3"/>
  </r>
  <r>
    <x v="0"/>
    <x v="11"/>
    <x v="1"/>
    <n v="0.97814999999999996"/>
    <n v="0.98697999999999997"/>
    <n v="1.02441"/>
    <n v="1.005695"/>
    <n v="374.3"/>
  </r>
  <r>
    <x v="0"/>
    <x v="11"/>
    <x v="1"/>
    <n v="0.97814999999999996"/>
    <n v="0.98697999999999997"/>
    <n v="1.02441"/>
    <n v="1.005695"/>
    <n v="374.3"/>
  </r>
  <r>
    <x v="0"/>
    <x v="11"/>
    <x v="1"/>
    <n v="0.97814999999999996"/>
    <n v="0.98697999999999997"/>
    <n v="1.02441"/>
    <n v="1.005695"/>
    <n v="374.3"/>
  </r>
  <r>
    <x v="0"/>
    <x v="11"/>
    <x v="1"/>
    <n v="0.97814999999999996"/>
    <n v="0.98697999999999997"/>
    <n v="1.02441"/>
    <n v="1.005695"/>
    <n v="374.3"/>
  </r>
  <r>
    <x v="0"/>
    <x v="11"/>
    <x v="1"/>
    <n v="0.97814999999999996"/>
    <n v="0.98697999999999997"/>
    <n v="1.02441"/>
    <n v="1.005695"/>
    <n v="374.3"/>
  </r>
  <r>
    <x v="0"/>
    <x v="11"/>
    <x v="1"/>
    <n v="0.97814999999999996"/>
    <n v="0.98697999999999997"/>
    <n v="1.02441"/>
    <n v="1.005695"/>
    <n v="374.3"/>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2"/>
    <n v="109.005"/>
    <n v="101.199"/>
    <n v="108.2"/>
    <n v="104.6995"/>
    <n v="700.1"/>
  </r>
  <r>
    <x v="0"/>
    <x v="11"/>
    <x v="0"/>
    <n v="2.00278"/>
    <n v="1.9378299999999999"/>
    <n v="2.0060199999999999"/>
    <n v="1.9719249999999999"/>
    <n v="681.9"/>
  </r>
  <r>
    <x v="0"/>
    <x v="11"/>
    <x v="0"/>
    <n v="2.00278"/>
    <n v="1.9378299999999999"/>
    <n v="2.0060199999999999"/>
    <n v="1.9719249999999999"/>
    <n v="681.9"/>
  </r>
  <r>
    <x v="0"/>
    <x v="11"/>
    <x v="0"/>
    <n v="2.00278"/>
    <n v="1.9378299999999999"/>
    <n v="2.0060199999999999"/>
    <n v="1.9719249999999999"/>
    <n v="681.9"/>
  </r>
  <r>
    <x v="0"/>
    <x v="11"/>
    <x v="0"/>
    <n v="2.00278"/>
    <n v="1.9378299999999999"/>
    <n v="2.0060199999999999"/>
    <n v="1.9719249999999999"/>
    <n v="681.9"/>
  </r>
  <r>
    <x v="0"/>
    <x v="11"/>
    <x v="0"/>
    <n v="2.00278"/>
    <n v="1.9378299999999999"/>
    <n v="2.0060199999999999"/>
    <n v="1.9719249999999999"/>
    <n v="681.9"/>
  </r>
  <r>
    <x v="0"/>
    <x v="11"/>
    <x v="0"/>
    <n v="2.00278"/>
    <n v="1.9378299999999999"/>
    <n v="2.0060199999999999"/>
    <n v="1.9719249999999999"/>
    <n v="681.9"/>
  </r>
  <r>
    <x v="0"/>
    <x v="11"/>
    <x v="0"/>
    <n v="2.00278"/>
    <n v="1.9378299999999999"/>
    <n v="2.0060199999999999"/>
    <n v="1.9719249999999999"/>
    <n v="681.9"/>
  </r>
  <r>
    <x v="0"/>
    <x v="11"/>
    <x v="0"/>
    <n v="2.00278"/>
    <n v="1.9378299999999999"/>
    <n v="2.0060199999999999"/>
    <n v="1.9719249999999999"/>
    <n v="681.9"/>
  </r>
  <r>
    <x v="0"/>
    <x v="11"/>
    <x v="0"/>
    <n v="2.00278"/>
    <n v="1.9378299999999999"/>
    <n v="2.0060199999999999"/>
    <n v="1.9719249999999999"/>
    <n v="681.9"/>
  </r>
  <r>
    <x v="0"/>
    <x v="11"/>
    <x v="0"/>
    <n v="2.00278"/>
    <n v="1.9378299999999999"/>
    <n v="2.0060199999999999"/>
    <n v="1.9719249999999999"/>
    <n v="681.9"/>
  </r>
  <r>
    <x v="0"/>
    <x v="11"/>
    <x v="0"/>
    <n v="2.00278"/>
    <n v="1.9378299999999999"/>
    <n v="2.0060199999999999"/>
    <n v="1.9719249999999999"/>
    <n v="681.9"/>
  </r>
  <r>
    <x v="0"/>
    <x v="11"/>
    <x v="0"/>
    <n v="2.00278"/>
    <n v="1.9378299999999999"/>
    <n v="2.0060199999999999"/>
    <n v="1.9719249999999999"/>
    <n v="681.9"/>
  </r>
  <r>
    <x v="0"/>
    <x v="11"/>
    <x v="0"/>
    <n v="2.00278"/>
    <n v="1.9378299999999999"/>
    <n v="2.0060199999999999"/>
    <n v="1.9719249999999999"/>
    <n v="681.9"/>
  </r>
  <r>
    <x v="0"/>
    <x v="11"/>
    <x v="0"/>
    <n v="2.00278"/>
    <n v="1.9378299999999999"/>
    <n v="2.0060199999999999"/>
    <n v="1.9719249999999999"/>
    <n v="681.9"/>
  </r>
  <r>
    <x v="0"/>
    <x v="11"/>
    <x v="0"/>
    <n v="2.00278"/>
    <n v="1.9378299999999999"/>
    <n v="2.0060199999999999"/>
    <n v="1.9719249999999999"/>
    <n v="681.9"/>
  </r>
  <r>
    <x v="0"/>
    <x v="11"/>
    <x v="0"/>
    <n v="2.00278"/>
    <n v="1.9378299999999999"/>
    <n v="2.0060199999999999"/>
    <n v="1.9719249999999999"/>
    <n v="681.9"/>
  </r>
  <r>
    <x v="0"/>
    <x v="11"/>
    <x v="0"/>
    <n v="2.00278"/>
    <n v="1.9378299999999999"/>
    <n v="2.0060199999999999"/>
    <n v="1.9719249999999999"/>
    <n v="681.9"/>
  </r>
  <r>
    <x v="0"/>
    <x v="11"/>
    <x v="0"/>
    <n v="2.00278"/>
    <n v="1.9378299999999999"/>
    <n v="2.0060199999999999"/>
    <n v="1.9719249999999999"/>
    <n v="681.9"/>
  </r>
  <r>
    <x v="0"/>
    <x v="11"/>
    <x v="0"/>
    <n v="2.00278"/>
    <n v="1.9378299999999999"/>
    <n v="2.0060199999999999"/>
    <n v="1.9719249999999999"/>
    <n v="681.9"/>
  </r>
  <r>
    <x v="0"/>
    <x v="11"/>
    <x v="0"/>
    <n v="2.00278"/>
    <n v="1.9378299999999999"/>
    <n v="2.0060199999999999"/>
    <n v="1.9719249999999999"/>
    <n v="681.9"/>
  </r>
  <r>
    <x v="0"/>
    <x v="11"/>
    <x v="0"/>
    <n v="2.00278"/>
    <n v="1.9378299999999999"/>
    <n v="2.0060199999999999"/>
    <n v="1.9719249999999999"/>
    <n v="681.9"/>
  </r>
  <r>
    <x v="0"/>
    <x v="11"/>
    <x v="0"/>
    <n v="2.00278"/>
    <n v="1.9378299999999999"/>
    <n v="2.0060199999999999"/>
    <n v="1.9719249999999999"/>
    <n v="681.9"/>
  </r>
  <r>
    <x v="0"/>
    <x v="11"/>
    <x v="3"/>
    <n v="1.2827599999999999"/>
    <n v="1.286"/>
    <n v="1.3641000000000001"/>
    <n v="1.3250500000000001"/>
    <n v="781"/>
  </r>
  <r>
    <x v="0"/>
    <x v="11"/>
    <x v="3"/>
    <n v="1.2827599999999999"/>
    <n v="1.286"/>
    <n v="1.3641000000000001"/>
    <n v="1.3250500000000001"/>
    <n v="781"/>
  </r>
  <r>
    <x v="0"/>
    <x v="11"/>
    <x v="3"/>
    <n v="1.2827599999999999"/>
    <n v="1.286"/>
    <n v="1.3641000000000001"/>
    <n v="1.3250500000000001"/>
    <n v="781"/>
  </r>
  <r>
    <x v="0"/>
    <x v="11"/>
    <x v="3"/>
    <n v="1.2827599999999999"/>
    <n v="1.286"/>
    <n v="1.3641000000000001"/>
    <n v="1.3250500000000001"/>
    <n v="781"/>
  </r>
  <r>
    <x v="0"/>
    <x v="11"/>
    <x v="3"/>
    <n v="1.2827599999999999"/>
    <n v="1.286"/>
    <n v="1.3641000000000001"/>
    <n v="1.3250500000000001"/>
    <n v="781"/>
  </r>
  <r>
    <x v="0"/>
    <x v="11"/>
    <x v="3"/>
    <n v="1.2827599999999999"/>
    <n v="1.286"/>
    <n v="1.3641000000000001"/>
    <n v="1.3250500000000001"/>
    <n v="781"/>
  </r>
  <r>
    <x v="0"/>
    <x v="12"/>
    <x v="3"/>
    <n v="1.26817"/>
    <n v="1.286"/>
    <n v="1.3641000000000001"/>
    <n v="1.3250500000000001"/>
    <n v="781"/>
  </r>
  <r>
    <x v="0"/>
    <x v="12"/>
    <x v="3"/>
    <n v="1.26817"/>
    <n v="1.286"/>
    <n v="1.3641000000000001"/>
    <n v="1.3250500000000001"/>
    <n v="781"/>
  </r>
  <r>
    <x v="0"/>
    <x v="12"/>
    <x v="3"/>
    <n v="1.26817"/>
    <n v="1.286"/>
    <n v="1.3641000000000001"/>
    <n v="1.3250500000000001"/>
    <n v="781"/>
  </r>
  <r>
    <x v="0"/>
    <x v="12"/>
    <x v="3"/>
    <n v="1.26817"/>
    <n v="1.286"/>
    <n v="1.3641000000000001"/>
    <n v="1.3250500000000001"/>
    <n v="781"/>
  </r>
  <r>
    <x v="0"/>
    <x v="12"/>
    <x v="3"/>
    <n v="1.26817"/>
    <n v="1.286"/>
    <n v="1.3641000000000001"/>
    <n v="1.3250500000000001"/>
    <n v="781"/>
  </r>
  <r>
    <x v="0"/>
    <x v="12"/>
    <x v="3"/>
    <n v="1.26817"/>
    <n v="1.286"/>
    <n v="1.3641000000000001"/>
    <n v="1.3250500000000001"/>
    <n v="781"/>
  </r>
  <r>
    <x v="0"/>
    <x v="12"/>
    <x v="3"/>
    <n v="1.26817"/>
    <n v="1.286"/>
    <n v="1.3641000000000001"/>
    <n v="1.3250500000000001"/>
    <n v="781"/>
  </r>
  <r>
    <x v="0"/>
    <x v="12"/>
    <x v="3"/>
    <n v="1.26817"/>
    <n v="1.286"/>
    <n v="1.3641000000000001"/>
    <n v="1.3250500000000001"/>
    <n v="781"/>
  </r>
  <r>
    <x v="0"/>
    <x v="12"/>
    <x v="3"/>
    <n v="1.26817"/>
    <n v="1.286"/>
    <n v="1.3641000000000001"/>
    <n v="1.3250500000000001"/>
    <n v="781"/>
  </r>
  <r>
    <x v="0"/>
    <x v="12"/>
    <x v="3"/>
    <n v="1.26817"/>
    <n v="1.286"/>
    <n v="1.3641000000000001"/>
    <n v="1.3250500000000001"/>
    <n v="781"/>
  </r>
  <r>
    <x v="0"/>
    <x v="12"/>
    <x v="3"/>
    <n v="1.26817"/>
    <n v="1.286"/>
    <n v="1.3641000000000001"/>
    <n v="1.3250500000000001"/>
    <n v="781"/>
  </r>
  <r>
    <x v="0"/>
    <x v="12"/>
    <x v="3"/>
    <n v="1.26817"/>
    <n v="1.286"/>
    <n v="1.3641000000000001"/>
    <n v="1.3250500000000001"/>
    <n v="781"/>
  </r>
  <r>
    <x v="0"/>
    <x v="12"/>
    <x v="3"/>
    <n v="1.26817"/>
    <n v="1.286"/>
    <n v="1.3641000000000001"/>
    <n v="1.3250500000000001"/>
    <n v="781"/>
  </r>
  <r>
    <x v="0"/>
    <x v="12"/>
    <x v="3"/>
    <n v="1.26817"/>
    <n v="1.286"/>
    <n v="1.3641000000000001"/>
    <n v="1.3250500000000001"/>
    <n v="781"/>
  </r>
  <r>
    <x v="0"/>
    <x v="12"/>
    <x v="3"/>
    <n v="1.26817"/>
    <n v="1.286"/>
    <n v="1.3641000000000001"/>
    <n v="1.3250500000000001"/>
    <n v="781"/>
  </r>
  <r>
    <x v="0"/>
    <x v="12"/>
    <x v="3"/>
    <n v="1.26817"/>
    <n v="1.286"/>
    <n v="1.3641000000000001"/>
    <n v="1.3250500000000001"/>
    <n v="781"/>
  </r>
  <r>
    <x v="0"/>
    <x v="12"/>
    <x v="3"/>
    <n v="1.26817"/>
    <n v="1.286"/>
    <n v="1.3641000000000001"/>
    <n v="1.3250500000000001"/>
    <n v="781"/>
  </r>
  <r>
    <x v="0"/>
    <x v="12"/>
    <x v="3"/>
    <n v="1.26817"/>
    <n v="1.286"/>
    <n v="1.3641000000000001"/>
    <n v="1.3250500000000001"/>
    <n v="781"/>
  </r>
  <r>
    <x v="0"/>
    <x v="12"/>
    <x v="3"/>
    <n v="1.26817"/>
    <n v="1.286"/>
    <n v="1.3641000000000001"/>
    <n v="1.3250500000000001"/>
    <n v="781"/>
  </r>
  <r>
    <x v="0"/>
    <x v="12"/>
    <x v="1"/>
    <n v="0.97726000000000002"/>
    <n v="0.98697999999999997"/>
    <n v="1.02441"/>
    <n v="1.005695"/>
    <n v="374.3"/>
  </r>
  <r>
    <x v="0"/>
    <x v="12"/>
    <x v="1"/>
    <n v="0.97726000000000002"/>
    <n v="0.98697999999999997"/>
    <n v="1.02441"/>
    <n v="1.005695"/>
    <n v="374.3"/>
  </r>
  <r>
    <x v="0"/>
    <x v="12"/>
    <x v="1"/>
    <n v="0.97726000000000002"/>
    <n v="0.98697999999999997"/>
    <n v="1.02441"/>
    <n v="1.005695"/>
    <n v="374.3"/>
  </r>
  <r>
    <x v="0"/>
    <x v="12"/>
    <x v="1"/>
    <n v="0.97726000000000002"/>
    <n v="0.98697999999999997"/>
    <n v="1.02441"/>
    <n v="1.005695"/>
    <n v="374.3"/>
  </r>
  <r>
    <x v="0"/>
    <x v="12"/>
    <x v="1"/>
    <n v="0.97726000000000002"/>
    <n v="0.98697999999999997"/>
    <n v="1.02441"/>
    <n v="1.005695"/>
    <n v="374.3"/>
  </r>
  <r>
    <x v="0"/>
    <x v="12"/>
    <x v="1"/>
    <n v="0.97726000000000002"/>
    <n v="0.98697999999999997"/>
    <n v="1.02441"/>
    <n v="1.005695"/>
    <n v="374.3"/>
  </r>
  <r>
    <x v="0"/>
    <x v="12"/>
    <x v="1"/>
    <n v="0.97726000000000002"/>
    <n v="0.98697999999999997"/>
    <n v="1.02441"/>
    <n v="1.005695"/>
    <n v="374.3"/>
  </r>
  <r>
    <x v="0"/>
    <x v="12"/>
    <x v="1"/>
    <n v="0.97726000000000002"/>
    <n v="0.98697999999999997"/>
    <n v="1.02441"/>
    <n v="1.005695"/>
    <n v="374.3"/>
  </r>
  <r>
    <x v="0"/>
    <x v="12"/>
    <x v="1"/>
    <n v="0.97726000000000002"/>
    <n v="0.98697999999999997"/>
    <n v="1.02441"/>
    <n v="1.005695"/>
    <n v="374.3"/>
  </r>
  <r>
    <x v="0"/>
    <x v="12"/>
    <x v="1"/>
    <n v="0.97726000000000002"/>
    <n v="0.98697999999999997"/>
    <n v="1.02441"/>
    <n v="1.005695"/>
    <n v="374.3"/>
  </r>
  <r>
    <x v="0"/>
    <x v="12"/>
    <x v="1"/>
    <n v="0.97726000000000002"/>
    <n v="0.98697999999999997"/>
    <n v="1.02441"/>
    <n v="1.005695"/>
    <n v="374.3"/>
  </r>
  <r>
    <x v="0"/>
    <x v="12"/>
    <x v="1"/>
    <n v="0.97726000000000002"/>
    <n v="0.98697999999999997"/>
    <n v="1.02441"/>
    <n v="1.005695"/>
    <n v="374.3"/>
  </r>
  <r>
    <x v="0"/>
    <x v="12"/>
    <x v="1"/>
    <n v="0.97726000000000002"/>
    <n v="0.98697999999999997"/>
    <n v="1.02441"/>
    <n v="1.005695"/>
    <n v="374.3"/>
  </r>
  <r>
    <x v="0"/>
    <x v="12"/>
    <x v="1"/>
    <n v="0.97726000000000002"/>
    <n v="0.98697999999999997"/>
    <n v="1.02441"/>
    <n v="1.005695"/>
    <n v="374.3"/>
  </r>
  <r>
    <x v="0"/>
    <x v="12"/>
    <x v="1"/>
    <n v="0.97726000000000002"/>
    <n v="0.98697999999999997"/>
    <n v="1.02441"/>
    <n v="1.005695"/>
    <n v="374.3"/>
  </r>
  <r>
    <x v="0"/>
    <x v="12"/>
    <x v="1"/>
    <n v="0.97726000000000002"/>
    <n v="0.98697999999999997"/>
    <n v="1.02441"/>
    <n v="1.005695"/>
    <n v="374.3"/>
  </r>
  <r>
    <x v="0"/>
    <x v="12"/>
    <x v="1"/>
    <n v="0.97726000000000002"/>
    <n v="0.98697999999999997"/>
    <n v="1.02441"/>
    <n v="1.005695"/>
    <n v="374.3"/>
  </r>
  <r>
    <x v="0"/>
    <x v="12"/>
    <x v="1"/>
    <n v="0.97726000000000002"/>
    <n v="0.98697999999999997"/>
    <n v="1.02441"/>
    <n v="1.005695"/>
    <n v="374.3"/>
  </r>
  <r>
    <x v="0"/>
    <x v="12"/>
    <x v="1"/>
    <n v="0.97726000000000002"/>
    <n v="0.98697999999999997"/>
    <n v="1.02441"/>
    <n v="1.005695"/>
    <n v="374.3"/>
  </r>
  <r>
    <x v="0"/>
    <x v="12"/>
    <x v="1"/>
    <n v="0.97726000000000002"/>
    <n v="0.98697999999999997"/>
    <n v="1.02441"/>
    <n v="1.005695"/>
    <n v="374.3"/>
  </r>
  <r>
    <x v="0"/>
    <x v="12"/>
    <x v="1"/>
    <n v="0.97726000000000002"/>
    <n v="0.98697999999999997"/>
    <n v="1.02441"/>
    <n v="1.005695"/>
    <n v="374.3"/>
  </r>
  <r>
    <x v="0"/>
    <x v="12"/>
    <x v="1"/>
    <n v="0.97726000000000002"/>
    <n v="0.98697999999999997"/>
    <n v="1.02441"/>
    <n v="1.005695"/>
    <n v="374.3"/>
  </r>
  <r>
    <x v="0"/>
    <x v="12"/>
    <x v="1"/>
    <n v="0.97726000000000002"/>
    <n v="0.98697999999999997"/>
    <n v="1.02441"/>
    <n v="1.005695"/>
    <n v="374.3"/>
  </r>
  <r>
    <x v="0"/>
    <x v="12"/>
    <x v="1"/>
    <n v="0.97726000000000002"/>
    <n v="0.98697999999999997"/>
    <n v="1.02441"/>
    <n v="1.005695"/>
    <n v="374.3"/>
  </r>
  <r>
    <x v="0"/>
    <x v="12"/>
    <x v="1"/>
    <n v="0.97726000000000002"/>
    <n v="0.98697999999999997"/>
    <n v="1.02441"/>
    <n v="1.005695"/>
    <n v="374.3"/>
  </r>
  <r>
    <x v="0"/>
    <x v="12"/>
    <x v="1"/>
    <n v="0.97726000000000002"/>
    <n v="0.98697999999999997"/>
    <n v="1.02441"/>
    <n v="1.005695"/>
    <n v="374.3"/>
  </r>
  <r>
    <x v="0"/>
    <x v="12"/>
    <x v="1"/>
    <n v="0.97726000000000002"/>
    <n v="0.98697999999999997"/>
    <n v="1.02441"/>
    <n v="1.005695"/>
    <n v="374.3"/>
  </r>
  <r>
    <x v="0"/>
    <x v="12"/>
    <x v="1"/>
    <n v="0.97726000000000002"/>
    <n v="0.98697999999999997"/>
    <n v="1.02441"/>
    <n v="1.005695"/>
    <n v="374.3"/>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2"/>
    <n v="109.28"/>
    <n v="101.199"/>
    <n v="108.2"/>
    <n v="104.6995"/>
    <n v="700.1"/>
  </r>
  <r>
    <x v="0"/>
    <x v="12"/>
    <x v="0"/>
    <n v="2.06318"/>
    <n v="1.9378299999999999"/>
    <n v="2.0060199999999999"/>
    <n v="1.9719249999999999"/>
    <n v="681.9"/>
  </r>
  <r>
    <x v="0"/>
    <x v="12"/>
    <x v="0"/>
    <n v="2.06318"/>
    <n v="1.9378299999999999"/>
    <n v="2.0060199999999999"/>
    <n v="1.9719249999999999"/>
    <n v="681.9"/>
  </r>
  <r>
    <x v="0"/>
    <x v="12"/>
    <x v="0"/>
    <n v="2.06318"/>
    <n v="1.9378299999999999"/>
    <n v="2.0060199999999999"/>
    <n v="1.9719249999999999"/>
    <n v="681.9"/>
  </r>
  <r>
    <x v="0"/>
    <x v="12"/>
    <x v="0"/>
    <n v="2.06318"/>
    <n v="1.9378299999999999"/>
    <n v="2.0060199999999999"/>
    <n v="1.9719249999999999"/>
    <n v="681.9"/>
  </r>
  <r>
    <x v="0"/>
    <x v="12"/>
    <x v="0"/>
    <n v="2.06318"/>
    <n v="1.9378299999999999"/>
    <n v="2.0060199999999999"/>
    <n v="1.9719249999999999"/>
    <n v="681.9"/>
  </r>
  <r>
    <x v="0"/>
    <x v="12"/>
    <x v="0"/>
    <n v="2.06318"/>
    <n v="1.9378299999999999"/>
    <n v="2.0060199999999999"/>
    <n v="1.9719249999999999"/>
    <n v="681.9"/>
  </r>
  <r>
    <x v="0"/>
    <x v="12"/>
    <x v="0"/>
    <n v="2.06318"/>
    <n v="1.9378299999999999"/>
    <n v="2.0060199999999999"/>
    <n v="1.9719249999999999"/>
    <n v="681.9"/>
  </r>
  <r>
    <x v="0"/>
    <x v="12"/>
    <x v="0"/>
    <n v="2.06318"/>
    <n v="1.9378299999999999"/>
    <n v="2.0060199999999999"/>
    <n v="1.9719249999999999"/>
    <n v="681.9"/>
  </r>
  <r>
    <x v="0"/>
    <x v="12"/>
    <x v="0"/>
    <n v="2.06318"/>
    <n v="1.9378299999999999"/>
    <n v="2.0060199999999999"/>
    <n v="1.9719249999999999"/>
    <n v="681.9"/>
  </r>
  <r>
    <x v="0"/>
    <x v="12"/>
    <x v="0"/>
    <n v="2.06318"/>
    <n v="1.9378299999999999"/>
    <n v="2.0060199999999999"/>
    <n v="1.9719249999999999"/>
    <n v="681.9"/>
  </r>
  <r>
    <x v="0"/>
    <x v="12"/>
    <x v="0"/>
    <n v="2.06318"/>
    <n v="1.9378299999999999"/>
    <n v="2.0060199999999999"/>
    <n v="1.9719249999999999"/>
    <n v="681.9"/>
  </r>
  <r>
    <x v="0"/>
    <x v="12"/>
    <x v="0"/>
    <n v="2.06318"/>
    <n v="1.9378299999999999"/>
    <n v="2.0060199999999999"/>
    <n v="1.9719249999999999"/>
    <n v="681.9"/>
  </r>
  <r>
    <x v="0"/>
    <x v="12"/>
    <x v="0"/>
    <n v="2.06318"/>
    <n v="1.9378299999999999"/>
    <n v="2.0060199999999999"/>
    <n v="1.9719249999999999"/>
    <n v="681.9"/>
  </r>
  <r>
    <x v="0"/>
    <x v="12"/>
    <x v="0"/>
    <n v="2.06318"/>
    <n v="1.9378299999999999"/>
    <n v="2.0060199999999999"/>
    <n v="1.9719249999999999"/>
    <n v="681.9"/>
  </r>
  <r>
    <x v="0"/>
    <x v="12"/>
    <x v="0"/>
    <n v="2.06318"/>
    <n v="1.9378299999999999"/>
    <n v="2.0060199999999999"/>
    <n v="1.9719249999999999"/>
    <n v="681.9"/>
  </r>
  <r>
    <x v="0"/>
    <x v="12"/>
    <x v="0"/>
    <n v="2.06318"/>
    <n v="1.9378299999999999"/>
    <n v="2.0060199999999999"/>
    <n v="1.9719249999999999"/>
    <n v="681.9"/>
  </r>
  <r>
    <x v="0"/>
    <x v="12"/>
    <x v="0"/>
    <n v="2.06318"/>
    <n v="1.9378299999999999"/>
    <n v="2.0060199999999999"/>
    <n v="1.9719249999999999"/>
    <n v="681.9"/>
  </r>
  <r>
    <x v="0"/>
    <x v="12"/>
    <x v="0"/>
    <n v="2.06318"/>
    <n v="1.9378299999999999"/>
    <n v="2.0060199999999999"/>
    <n v="1.9719249999999999"/>
    <n v="681.9"/>
  </r>
  <r>
    <x v="0"/>
    <x v="12"/>
    <x v="0"/>
    <n v="2.06318"/>
    <n v="1.9378299999999999"/>
    <n v="2.0060199999999999"/>
    <n v="1.9719249999999999"/>
    <n v="681.9"/>
  </r>
  <r>
    <x v="0"/>
    <x v="12"/>
    <x v="0"/>
    <n v="2.06318"/>
    <n v="1.9378299999999999"/>
    <n v="2.0060199999999999"/>
    <n v="1.9719249999999999"/>
    <n v="681.9"/>
  </r>
  <r>
    <x v="0"/>
    <x v="12"/>
    <x v="0"/>
    <n v="2.06318"/>
    <n v="1.9378299999999999"/>
    <n v="2.0060199999999999"/>
    <n v="1.9719249999999999"/>
    <n v="681.9"/>
  </r>
  <r>
    <x v="0"/>
    <x v="12"/>
    <x v="3"/>
    <n v="1.26817"/>
    <n v="1.286"/>
    <n v="1.3641000000000001"/>
    <n v="1.3250500000000001"/>
    <n v="781"/>
  </r>
  <r>
    <x v="0"/>
    <x v="12"/>
    <x v="3"/>
    <n v="1.26817"/>
    <n v="1.286"/>
    <n v="1.3641000000000001"/>
    <n v="1.3250500000000001"/>
    <n v="781"/>
  </r>
  <r>
    <x v="0"/>
    <x v="12"/>
    <x v="3"/>
    <n v="1.26817"/>
    <n v="1.286"/>
    <n v="1.3641000000000001"/>
    <n v="1.3250500000000001"/>
    <n v="781"/>
  </r>
  <r>
    <x v="0"/>
    <x v="12"/>
    <x v="3"/>
    <n v="1.26817"/>
    <n v="1.286"/>
    <n v="1.3641000000000001"/>
    <n v="1.3250500000000001"/>
    <n v="781"/>
  </r>
  <r>
    <x v="0"/>
    <x v="12"/>
    <x v="3"/>
    <n v="1.26817"/>
    <n v="1.286"/>
    <n v="1.3641000000000001"/>
    <n v="1.3250500000000001"/>
    <n v="781"/>
  </r>
  <r>
    <x v="0"/>
    <x v="12"/>
    <x v="3"/>
    <n v="1.26817"/>
    <n v="1.286"/>
    <n v="1.3641000000000001"/>
    <n v="1.3250500000000001"/>
    <n v="781"/>
  </r>
  <r>
    <x v="0"/>
    <x v="12"/>
    <x v="3"/>
    <n v="1.26817"/>
    <n v="1.286"/>
    <n v="1.3641000000000001"/>
    <n v="1.3250500000000001"/>
    <n v="781"/>
  </r>
  <r>
    <x v="0"/>
    <x v="13"/>
    <x v="3"/>
    <n v="1.2514000000000001"/>
    <n v="1.286"/>
    <n v="1.3641000000000001"/>
    <n v="1.3250500000000001"/>
    <n v="781"/>
  </r>
  <r>
    <x v="0"/>
    <x v="13"/>
    <x v="3"/>
    <n v="1.2514000000000001"/>
    <n v="1.286"/>
    <n v="1.3641000000000001"/>
    <n v="1.3250500000000001"/>
    <n v="781"/>
  </r>
  <r>
    <x v="0"/>
    <x v="13"/>
    <x v="3"/>
    <n v="1.2514000000000001"/>
    <n v="1.286"/>
    <n v="1.3641000000000001"/>
    <n v="1.3250500000000001"/>
    <n v="781"/>
  </r>
  <r>
    <x v="0"/>
    <x v="13"/>
    <x v="3"/>
    <n v="1.2514000000000001"/>
    <n v="1.286"/>
    <n v="1.3641000000000001"/>
    <n v="1.3250500000000001"/>
    <n v="781"/>
  </r>
  <r>
    <x v="0"/>
    <x v="13"/>
    <x v="3"/>
    <n v="1.2514000000000001"/>
    <n v="1.286"/>
    <n v="1.3641000000000001"/>
    <n v="1.3250500000000001"/>
    <n v="781"/>
  </r>
  <r>
    <x v="0"/>
    <x v="13"/>
    <x v="3"/>
    <n v="1.2514000000000001"/>
    <n v="1.286"/>
    <n v="1.3641000000000001"/>
    <n v="1.3250500000000001"/>
    <n v="781"/>
  </r>
  <r>
    <x v="0"/>
    <x v="13"/>
    <x v="3"/>
    <n v="1.2514000000000001"/>
    <n v="1.286"/>
    <n v="1.3641000000000001"/>
    <n v="1.3250500000000001"/>
    <n v="781"/>
  </r>
  <r>
    <x v="0"/>
    <x v="13"/>
    <x v="3"/>
    <n v="1.2514000000000001"/>
    <n v="1.286"/>
    <n v="1.3641000000000001"/>
    <n v="1.3250500000000001"/>
    <n v="781"/>
  </r>
  <r>
    <x v="0"/>
    <x v="13"/>
    <x v="3"/>
    <n v="1.2514000000000001"/>
    <n v="1.286"/>
    <n v="1.3641000000000001"/>
    <n v="1.3250500000000001"/>
    <n v="781"/>
  </r>
  <r>
    <x v="0"/>
    <x v="13"/>
    <x v="3"/>
    <n v="1.2514000000000001"/>
    <n v="1.286"/>
    <n v="1.3641000000000001"/>
    <n v="1.3250500000000001"/>
    <n v="781"/>
  </r>
  <r>
    <x v="0"/>
    <x v="13"/>
    <x v="3"/>
    <n v="1.2514000000000001"/>
    <n v="1.286"/>
    <n v="1.3641000000000001"/>
    <n v="1.3250500000000001"/>
    <n v="781"/>
  </r>
  <r>
    <x v="0"/>
    <x v="13"/>
    <x v="3"/>
    <n v="1.2514000000000001"/>
    <n v="1.286"/>
    <n v="1.3641000000000001"/>
    <n v="1.3250500000000001"/>
    <n v="781"/>
  </r>
  <r>
    <x v="0"/>
    <x v="13"/>
    <x v="3"/>
    <n v="1.2514000000000001"/>
    <n v="1.286"/>
    <n v="1.3641000000000001"/>
    <n v="1.3250500000000001"/>
    <n v="781"/>
  </r>
  <r>
    <x v="0"/>
    <x v="13"/>
    <x v="3"/>
    <n v="1.2514000000000001"/>
    <n v="1.286"/>
    <n v="1.3641000000000001"/>
    <n v="1.3250500000000001"/>
    <n v="781"/>
  </r>
  <r>
    <x v="0"/>
    <x v="13"/>
    <x v="3"/>
    <n v="1.2514000000000001"/>
    <n v="1.286"/>
    <n v="1.3641000000000001"/>
    <n v="1.3250500000000001"/>
    <n v="781"/>
  </r>
  <r>
    <x v="0"/>
    <x v="13"/>
    <x v="3"/>
    <n v="1.2514000000000001"/>
    <n v="1.286"/>
    <n v="1.3641000000000001"/>
    <n v="1.3250500000000001"/>
    <n v="781"/>
  </r>
  <r>
    <x v="0"/>
    <x v="13"/>
    <x v="3"/>
    <n v="1.2514000000000001"/>
    <n v="1.286"/>
    <n v="1.3641000000000001"/>
    <n v="1.3250500000000001"/>
    <n v="781"/>
  </r>
  <r>
    <x v="0"/>
    <x v="13"/>
    <x v="3"/>
    <n v="1.2514000000000001"/>
    <n v="1.286"/>
    <n v="1.3641000000000001"/>
    <n v="1.3250500000000001"/>
    <n v="781"/>
  </r>
  <r>
    <x v="0"/>
    <x v="13"/>
    <x v="3"/>
    <n v="1.2514000000000001"/>
    <n v="1.286"/>
    <n v="1.3641000000000001"/>
    <n v="1.3250500000000001"/>
    <n v="781"/>
  </r>
  <r>
    <x v="0"/>
    <x v="13"/>
    <x v="1"/>
    <n v="0.97509000000000001"/>
    <n v="0.98697999999999997"/>
    <n v="1.02441"/>
    <n v="1.005695"/>
    <n v="374.3"/>
  </r>
  <r>
    <x v="0"/>
    <x v="13"/>
    <x v="1"/>
    <n v="0.97509000000000001"/>
    <n v="0.98697999999999997"/>
    <n v="1.02441"/>
    <n v="1.005695"/>
    <n v="374.3"/>
  </r>
  <r>
    <x v="0"/>
    <x v="13"/>
    <x v="1"/>
    <n v="0.97509000000000001"/>
    <n v="0.98697999999999997"/>
    <n v="1.02441"/>
    <n v="1.005695"/>
    <n v="374.3"/>
  </r>
  <r>
    <x v="0"/>
    <x v="13"/>
    <x v="1"/>
    <n v="0.97509000000000001"/>
    <n v="0.98697999999999997"/>
    <n v="1.02441"/>
    <n v="1.005695"/>
    <n v="374.3"/>
  </r>
  <r>
    <x v="0"/>
    <x v="13"/>
    <x v="1"/>
    <n v="0.97509000000000001"/>
    <n v="0.98697999999999997"/>
    <n v="1.02441"/>
    <n v="1.005695"/>
    <n v="374.3"/>
  </r>
  <r>
    <x v="0"/>
    <x v="13"/>
    <x v="1"/>
    <n v="0.97509000000000001"/>
    <n v="0.98697999999999997"/>
    <n v="1.02441"/>
    <n v="1.005695"/>
    <n v="374.3"/>
  </r>
  <r>
    <x v="0"/>
    <x v="13"/>
    <x v="1"/>
    <n v="0.97509000000000001"/>
    <n v="0.98697999999999997"/>
    <n v="1.02441"/>
    <n v="1.005695"/>
    <n v="374.3"/>
  </r>
  <r>
    <x v="0"/>
    <x v="13"/>
    <x v="1"/>
    <n v="0.97509000000000001"/>
    <n v="0.98697999999999997"/>
    <n v="1.02441"/>
    <n v="1.005695"/>
    <n v="374.3"/>
  </r>
  <r>
    <x v="0"/>
    <x v="13"/>
    <x v="1"/>
    <n v="0.97509000000000001"/>
    <n v="0.98697999999999997"/>
    <n v="1.02441"/>
    <n v="1.005695"/>
    <n v="374.3"/>
  </r>
  <r>
    <x v="0"/>
    <x v="13"/>
    <x v="1"/>
    <n v="0.97509000000000001"/>
    <n v="0.98697999999999997"/>
    <n v="1.02441"/>
    <n v="1.005695"/>
    <n v="374.3"/>
  </r>
  <r>
    <x v="0"/>
    <x v="13"/>
    <x v="1"/>
    <n v="0.97509000000000001"/>
    <n v="0.98697999999999997"/>
    <n v="1.02441"/>
    <n v="1.005695"/>
    <n v="374.3"/>
  </r>
  <r>
    <x v="0"/>
    <x v="13"/>
    <x v="1"/>
    <n v="0.97509000000000001"/>
    <n v="0.98697999999999997"/>
    <n v="1.02441"/>
    <n v="1.005695"/>
    <n v="374.3"/>
  </r>
  <r>
    <x v="0"/>
    <x v="13"/>
    <x v="1"/>
    <n v="0.97509000000000001"/>
    <n v="0.98697999999999997"/>
    <n v="1.02441"/>
    <n v="1.005695"/>
    <n v="374.3"/>
  </r>
  <r>
    <x v="0"/>
    <x v="13"/>
    <x v="1"/>
    <n v="0.97509000000000001"/>
    <n v="0.98697999999999997"/>
    <n v="1.02441"/>
    <n v="1.005695"/>
    <n v="374.3"/>
  </r>
  <r>
    <x v="0"/>
    <x v="13"/>
    <x v="1"/>
    <n v="0.97509000000000001"/>
    <n v="0.98697999999999997"/>
    <n v="1.02441"/>
    <n v="1.005695"/>
    <n v="374.3"/>
  </r>
  <r>
    <x v="0"/>
    <x v="13"/>
    <x v="1"/>
    <n v="0.97509000000000001"/>
    <n v="0.98697999999999997"/>
    <n v="1.02441"/>
    <n v="1.005695"/>
    <n v="374.3"/>
  </r>
  <r>
    <x v="0"/>
    <x v="13"/>
    <x v="1"/>
    <n v="0.97509000000000001"/>
    <n v="0.98697999999999997"/>
    <n v="1.02441"/>
    <n v="1.005695"/>
    <n v="374.3"/>
  </r>
  <r>
    <x v="0"/>
    <x v="13"/>
    <x v="1"/>
    <n v="0.97509000000000001"/>
    <n v="0.98697999999999997"/>
    <n v="1.02441"/>
    <n v="1.005695"/>
    <n v="374.3"/>
  </r>
  <r>
    <x v="0"/>
    <x v="13"/>
    <x v="1"/>
    <n v="0.97509000000000001"/>
    <n v="0.98697999999999997"/>
    <n v="1.02441"/>
    <n v="1.005695"/>
    <n v="374.3"/>
  </r>
  <r>
    <x v="0"/>
    <x v="13"/>
    <x v="1"/>
    <n v="0.97509000000000001"/>
    <n v="0.98697999999999997"/>
    <n v="1.02441"/>
    <n v="1.005695"/>
    <n v="374.3"/>
  </r>
  <r>
    <x v="0"/>
    <x v="13"/>
    <x v="1"/>
    <n v="0.97509000000000001"/>
    <n v="0.98697999999999997"/>
    <n v="1.02441"/>
    <n v="1.005695"/>
    <n v="374.3"/>
  </r>
  <r>
    <x v="0"/>
    <x v="13"/>
    <x v="1"/>
    <n v="0.97509000000000001"/>
    <n v="0.98697999999999997"/>
    <n v="1.02441"/>
    <n v="1.005695"/>
    <n v="374.3"/>
  </r>
  <r>
    <x v="0"/>
    <x v="13"/>
    <x v="1"/>
    <n v="0.97509000000000001"/>
    <n v="0.98697999999999997"/>
    <n v="1.02441"/>
    <n v="1.005695"/>
    <n v="374.3"/>
  </r>
  <r>
    <x v="0"/>
    <x v="13"/>
    <x v="1"/>
    <n v="0.97509000000000001"/>
    <n v="0.98697999999999997"/>
    <n v="1.02441"/>
    <n v="1.005695"/>
    <n v="374.3"/>
  </r>
  <r>
    <x v="0"/>
    <x v="13"/>
    <x v="1"/>
    <n v="0.97509000000000001"/>
    <n v="0.98697999999999997"/>
    <n v="1.02441"/>
    <n v="1.005695"/>
    <n v="374.3"/>
  </r>
  <r>
    <x v="0"/>
    <x v="13"/>
    <x v="1"/>
    <n v="0.97509000000000001"/>
    <n v="0.98697999999999997"/>
    <n v="1.02441"/>
    <n v="1.005695"/>
    <n v="374.3"/>
  </r>
  <r>
    <x v="0"/>
    <x v="13"/>
    <x v="1"/>
    <n v="0.97509000000000001"/>
    <n v="0.98697999999999997"/>
    <n v="1.02441"/>
    <n v="1.005695"/>
    <n v="374.3"/>
  </r>
  <r>
    <x v="0"/>
    <x v="13"/>
    <x v="1"/>
    <n v="0.97509000000000001"/>
    <n v="0.98697999999999997"/>
    <n v="1.02441"/>
    <n v="1.005695"/>
    <n v="374.3"/>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2"/>
    <n v="109.748"/>
    <n v="101.199"/>
    <n v="108.2"/>
    <n v="104.6995"/>
    <n v="700.1"/>
  </r>
  <r>
    <x v="0"/>
    <x v="13"/>
    <x v="0"/>
    <n v="2.0533700000000001"/>
    <n v="1.9378299999999999"/>
    <n v="2.0060199999999999"/>
    <n v="1.9719249999999999"/>
    <n v="681.9"/>
  </r>
  <r>
    <x v="0"/>
    <x v="13"/>
    <x v="0"/>
    <n v="2.0533700000000001"/>
    <n v="1.9378299999999999"/>
    <n v="2.0060199999999999"/>
    <n v="1.9719249999999999"/>
    <n v="681.9"/>
  </r>
  <r>
    <x v="0"/>
    <x v="13"/>
    <x v="0"/>
    <n v="2.0533700000000001"/>
    <n v="1.9378299999999999"/>
    <n v="2.0060199999999999"/>
    <n v="1.9719249999999999"/>
    <n v="681.9"/>
  </r>
  <r>
    <x v="0"/>
    <x v="13"/>
    <x v="0"/>
    <n v="2.0533700000000001"/>
    <n v="1.9378299999999999"/>
    <n v="2.0060199999999999"/>
    <n v="1.9719249999999999"/>
    <n v="681.9"/>
  </r>
  <r>
    <x v="0"/>
    <x v="13"/>
    <x v="0"/>
    <n v="2.0533700000000001"/>
    <n v="1.9378299999999999"/>
    <n v="2.0060199999999999"/>
    <n v="1.9719249999999999"/>
    <n v="681.9"/>
  </r>
  <r>
    <x v="0"/>
    <x v="13"/>
    <x v="0"/>
    <n v="2.0533700000000001"/>
    <n v="1.9378299999999999"/>
    <n v="2.0060199999999999"/>
    <n v="1.9719249999999999"/>
    <n v="681.9"/>
  </r>
  <r>
    <x v="0"/>
    <x v="13"/>
    <x v="0"/>
    <n v="2.0533700000000001"/>
    <n v="1.9378299999999999"/>
    <n v="2.0060199999999999"/>
    <n v="1.9719249999999999"/>
    <n v="681.9"/>
  </r>
  <r>
    <x v="0"/>
    <x v="13"/>
    <x v="0"/>
    <n v="2.0533700000000001"/>
    <n v="1.9378299999999999"/>
    <n v="2.0060199999999999"/>
    <n v="1.9719249999999999"/>
    <n v="681.9"/>
  </r>
  <r>
    <x v="0"/>
    <x v="13"/>
    <x v="0"/>
    <n v="2.0533700000000001"/>
    <n v="1.9378299999999999"/>
    <n v="2.0060199999999999"/>
    <n v="1.9719249999999999"/>
    <n v="681.9"/>
  </r>
  <r>
    <x v="0"/>
    <x v="13"/>
    <x v="0"/>
    <n v="2.0533700000000001"/>
    <n v="1.9378299999999999"/>
    <n v="2.0060199999999999"/>
    <n v="1.9719249999999999"/>
    <n v="681.9"/>
  </r>
  <r>
    <x v="0"/>
    <x v="13"/>
    <x v="0"/>
    <n v="2.0533700000000001"/>
    <n v="1.9378299999999999"/>
    <n v="2.0060199999999999"/>
    <n v="1.9719249999999999"/>
    <n v="681.9"/>
  </r>
  <r>
    <x v="0"/>
    <x v="13"/>
    <x v="0"/>
    <n v="2.0533700000000001"/>
    <n v="1.9378299999999999"/>
    <n v="2.0060199999999999"/>
    <n v="1.9719249999999999"/>
    <n v="681.9"/>
  </r>
  <r>
    <x v="0"/>
    <x v="13"/>
    <x v="0"/>
    <n v="2.0533700000000001"/>
    <n v="1.9378299999999999"/>
    <n v="2.0060199999999999"/>
    <n v="1.9719249999999999"/>
    <n v="681.9"/>
  </r>
  <r>
    <x v="0"/>
    <x v="13"/>
    <x v="0"/>
    <n v="2.0533700000000001"/>
    <n v="1.9378299999999999"/>
    <n v="2.0060199999999999"/>
    <n v="1.9719249999999999"/>
    <n v="681.9"/>
  </r>
  <r>
    <x v="0"/>
    <x v="13"/>
    <x v="0"/>
    <n v="2.0533700000000001"/>
    <n v="1.9378299999999999"/>
    <n v="2.0060199999999999"/>
    <n v="1.9719249999999999"/>
    <n v="681.9"/>
  </r>
  <r>
    <x v="0"/>
    <x v="13"/>
    <x v="0"/>
    <n v="2.0533700000000001"/>
    <n v="1.9378299999999999"/>
    <n v="2.0060199999999999"/>
    <n v="1.9719249999999999"/>
    <n v="681.9"/>
  </r>
  <r>
    <x v="0"/>
    <x v="13"/>
    <x v="0"/>
    <n v="2.0533700000000001"/>
    <n v="1.9378299999999999"/>
    <n v="2.0060199999999999"/>
    <n v="1.9719249999999999"/>
    <n v="681.9"/>
  </r>
  <r>
    <x v="0"/>
    <x v="13"/>
    <x v="0"/>
    <n v="2.0533700000000001"/>
    <n v="1.9378299999999999"/>
    <n v="2.0060199999999999"/>
    <n v="1.9719249999999999"/>
    <n v="681.9"/>
  </r>
  <r>
    <x v="0"/>
    <x v="13"/>
    <x v="0"/>
    <n v="2.0533700000000001"/>
    <n v="1.9378299999999999"/>
    <n v="2.0060199999999999"/>
    <n v="1.9719249999999999"/>
    <n v="681.9"/>
  </r>
  <r>
    <x v="0"/>
    <x v="13"/>
    <x v="0"/>
    <n v="2.0533700000000001"/>
    <n v="1.9378299999999999"/>
    <n v="2.0060199999999999"/>
    <n v="1.9719249999999999"/>
    <n v="681.9"/>
  </r>
  <r>
    <x v="0"/>
    <x v="13"/>
    <x v="0"/>
    <n v="2.0533700000000001"/>
    <n v="1.9378299999999999"/>
    <n v="2.0060199999999999"/>
    <n v="1.9719249999999999"/>
    <n v="681.9"/>
  </r>
  <r>
    <x v="0"/>
    <x v="13"/>
    <x v="3"/>
    <n v="1.2514000000000001"/>
    <n v="1.286"/>
    <n v="1.3641000000000001"/>
    <n v="1.3250500000000001"/>
    <n v="781"/>
  </r>
  <r>
    <x v="0"/>
    <x v="13"/>
    <x v="3"/>
    <n v="1.2514000000000001"/>
    <n v="1.286"/>
    <n v="1.3641000000000001"/>
    <n v="1.3250500000000001"/>
    <n v="781"/>
  </r>
  <r>
    <x v="0"/>
    <x v="13"/>
    <x v="3"/>
    <n v="1.2514000000000001"/>
    <n v="1.286"/>
    <n v="1.3641000000000001"/>
    <n v="1.3250500000000001"/>
    <n v="781"/>
  </r>
  <r>
    <x v="0"/>
    <x v="13"/>
    <x v="3"/>
    <n v="1.2514000000000001"/>
    <n v="1.286"/>
    <n v="1.3641000000000001"/>
    <n v="1.3250500000000001"/>
    <n v="781"/>
  </r>
  <r>
    <x v="0"/>
    <x v="13"/>
    <x v="3"/>
    <n v="1.2514000000000001"/>
    <n v="1.286"/>
    <n v="1.3641000000000001"/>
    <n v="1.3250500000000001"/>
    <n v="781"/>
  </r>
  <r>
    <x v="0"/>
    <x v="13"/>
    <x v="3"/>
    <n v="1.2514000000000001"/>
    <n v="1.286"/>
    <n v="1.3641000000000001"/>
    <n v="1.3250500000000001"/>
    <n v="781"/>
  </r>
  <r>
    <x v="0"/>
    <x v="13"/>
    <x v="3"/>
    <n v="1.2514000000000001"/>
    <n v="1.286"/>
    <n v="1.3641000000000001"/>
    <n v="1.3250500000000001"/>
    <n v="781"/>
  </r>
  <r>
    <x v="0"/>
    <x v="14"/>
    <x v="3"/>
    <n v="1.26264"/>
    <n v="1.286"/>
    <n v="1.3641000000000001"/>
    <n v="1.3250500000000001"/>
    <n v="781"/>
  </r>
  <r>
    <x v="0"/>
    <x v="14"/>
    <x v="3"/>
    <n v="1.26264"/>
    <n v="1.286"/>
    <n v="1.3641000000000001"/>
    <n v="1.3250500000000001"/>
    <n v="781"/>
  </r>
  <r>
    <x v="0"/>
    <x v="14"/>
    <x v="3"/>
    <n v="1.26264"/>
    <n v="1.286"/>
    <n v="1.3641000000000001"/>
    <n v="1.3250500000000001"/>
    <n v="781"/>
  </r>
  <r>
    <x v="0"/>
    <x v="14"/>
    <x v="3"/>
    <n v="1.26264"/>
    <n v="1.286"/>
    <n v="1.3641000000000001"/>
    <n v="1.3250500000000001"/>
    <n v="781"/>
  </r>
  <r>
    <x v="0"/>
    <x v="14"/>
    <x v="3"/>
    <n v="1.26264"/>
    <n v="1.286"/>
    <n v="1.3641000000000001"/>
    <n v="1.3250500000000001"/>
    <n v="781"/>
  </r>
  <r>
    <x v="0"/>
    <x v="14"/>
    <x v="3"/>
    <n v="1.26264"/>
    <n v="1.286"/>
    <n v="1.3641000000000001"/>
    <n v="1.3250500000000001"/>
    <n v="781"/>
  </r>
  <r>
    <x v="0"/>
    <x v="14"/>
    <x v="3"/>
    <n v="1.26264"/>
    <n v="1.286"/>
    <n v="1.3641000000000001"/>
    <n v="1.3250500000000001"/>
    <n v="781"/>
  </r>
  <r>
    <x v="0"/>
    <x v="14"/>
    <x v="3"/>
    <n v="1.26264"/>
    <n v="1.286"/>
    <n v="1.3641000000000001"/>
    <n v="1.3250500000000001"/>
    <n v="781"/>
  </r>
  <r>
    <x v="0"/>
    <x v="14"/>
    <x v="3"/>
    <n v="1.26264"/>
    <n v="1.286"/>
    <n v="1.3641000000000001"/>
    <n v="1.3250500000000001"/>
    <n v="781"/>
  </r>
  <r>
    <x v="0"/>
    <x v="14"/>
    <x v="3"/>
    <n v="1.26264"/>
    <n v="1.286"/>
    <n v="1.3641000000000001"/>
    <n v="1.3250500000000001"/>
    <n v="781"/>
  </r>
  <r>
    <x v="0"/>
    <x v="14"/>
    <x v="3"/>
    <n v="1.26264"/>
    <n v="1.286"/>
    <n v="1.3641000000000001"/>
    <n v="1.3250500000000001"/>
    <n v="781"/>
  </r>
  <r>
    <x v="0"/>
    <x v="14"/>
    <x v="3"/>
    <n v="1.26264"/>
    <n v="1.286"/>
    <n v="1.3641000000000001"/>
    <n v="1.3250500000000001"/>
    <n v="781"/>
  </r>
  <r>
    <x v="0"/>
    <x v="14"/>
    <x v="3"/>
    <n v="1.26264"/>
    <n v="1.286"/>
    <n v="1.3641000000000001"/>
    <n v="1.3250500000000001"/>
    <n v="781"/>
  </r>
  <r>
    <x v="0"/>
    <x v="14"/>
    <x v="1"/>
    <n v="0.97216999999999998"/>
    <n v="0.98697999999999997"/>
    <n v="1.02441"/>
    <n v="1.005695"/>
    <n v="374.3"/>
  </r>
  <r>
    <x v="0"/>
    <x v="14"/>
    <x v="1"/>
    <n v="0.97216999999999998"/>
    <n v="0.98697999999999997"/>
    <n v="1.02441"/>
    <n v="1.005695"/>
    <n v="374.3"/>
  </r>
  <r>
    <x v="0"/>
    <x v="14"/>
    <x v="1"/>
    <n v="0.97216999999999998"/>
    <n v="0.98697999999999997"/>
    <n v="1.02441"/>
    <n v="1.005695"/>
    <n v="374.3"/>
  </r>
  <r>
    <x v="0"/>
    <x v="14"/>
    <x v="1"/>
    <n v="0.97216999999999998"/>
    <n v="0.98697999999999997"/>
    <n v="1.02441"/>
    <n v="1.005695"/>
    <n v="374.3"/>
  </r>
  <r>
    <x v="0"/>
    <x v="14"/>
    <x v="1"/>
    <n v="0.97216999999999998"/>
    <n v="0.98697999999999997"/>
    <n v="1.02441"/>
    <n v="1.005695"/>
    <n v="374.3"/>
  </r>
  <r>
    <x v="0"/>
    <x v="14"/>
    <x v="1"/>
    <n v="0.97216999999999998"/>
    <n v="0.98697999999999997"/>
    <n v="1.02441"/>
    <n v="1.005695"/>
    <n v="374.3"/>
  </r>
  <r>
    <x v="0"/>
    <x v="14"/>
    <x v="1"/>
    <n v="0.97216999999999998"/>
    <n v="0.98697999999999997"/>
    <n v="1.02441"/>
    <n v="1.005695"/>
    <n v="374.3"/>
  </r>
  <r>
    <x v="0"/>
    <x v="14"/>
    <x v="1"/>
    <n v="0.97216999999999998"/>
    <n v="0.98697999999999997"/>
    <n v="1.02441"/>
    <n v="1.005695"/>
    <n v="374.3"/>
  </r>
  <r>
    <x v="0"/>
    <x v="14"/>
    <x v="1"/>
    <n v="0.97216999999999998"/>
    <n v="0.98697999999999997"/>
    <n v="1.02441"/>
    <n v="1.005695"/>
    <n v="374.3"/>
  </r>
  <r>
    <x v="0"/>
    <x v="14"/>
    <x v="1"/>
    <n v="0.97216999999999998"/>
    <n v="0.98697999999999997"/>
    <n v="1.02441"/>
    <n v="1.005695"/>
    <n v="374.3"/>
  </r>
  <r>
    <x v="0"/>
    <x v="14"/>
    <x v="1"/>
    <n v="0.97216999999999998"/>
    <n v="0.98697999999999997"/>
    <n v="1.02441"/>
    <n v="1.005695"/>
    <n v="374.3"/>
  </r>
  <r>
    <x v="0"/>
    <x v="14"/>
    <x v="1"/>
    <n v="0.97216999999999998"/>
    <n v="0.98697999999999997"/>
    <n v="1.02441"/>
    <n v="1.005695"/>
    <n v="374.3"/>
  </r>
  <r>
    <x v="0"/>
    <x v="14"/>
    <x v="1"/>
    <n v="0.97216999999999998"/>
    <n v="0.98697999999999997"/>
    <n v="1.02441"/>
    <n v="1.005695"/>
    <n v="374.3"/>
  </r>
  <r>
    <x v="0"/>
    <x v="14"/>
    <x v="1"/>
    <n v="0.97216999999999998"/>
    <n v="0.98697999999999997"/>
    <n v="1.02441"/>
    <n v="1.005695"/>
    <n v="374.3"/>
  </r>
  <r>
    <x v="0"/>
    <x v="14"/>
    <x v="1"/>
    <n v="0.97216999999999998"/>
    <n v="0.98697999999999997"/>
    <n v="1.02441"/>
    <n v="1.005695"/>
    <n v="374.3"/>
  </r>
  <r>
    <x v="0"/>
    <x v="14"/>
    <x v="1"/>
    <n v="0.97216999999999998"/>
    <n v="0.98697999999999997"/>
    <n v="1.02441"/>
    <n v="1.005695"/>
    <n v="374.3"/>
  </r>
  <r>
    <x v="0"/>
    <x v="14"/>
    <x v="1"/>
    <n v="0.97216999999999998"/>
    <n v="0.98697999999999997"/>
    <n v="1.02441"/>
    <n v="1.005695"/>
    <n v="374.3"/>
  </r>
  <r>
    <x v="0"/>
    <x v="14"/>
    <x v="1"/>
    <n v="0.97216999999999998"/>
    <n v="0.98697999999999997"/>
    <n v="1.02441"/>
    <n v="1.005695"/>
    <n v="374.3"/>
  </r>
  <r>
    <x v="0"/>
    <x v="14"/>
    <x v="1"/>
    <n v="0.97216999999999998"/>
    <n v="0.98697999999999997"/>
    <n v="1.02441"/>
    <n v="1.005695"/>
    <n v="374.3"/>
  </r>
  <r>
    <x v="0"/>
    <x v="14"/>
    <x v="1"/>
    <n v="0.97216999999999998"/>
    <n v="0.98697999999999997"/>
    <n v="1.02441"/>
    <n v="1.005695"/>
    <n v="374.3"/>
  </r>
  <r>
    <x v="0"/>
    <x v="14"/>
    <x v="1"/>
    <n v="0.97216999999999998"/>
    <n v="0.98697999999999997"/>
    <n v="1.02441"/>
    <n v="1.005695"/>
    <n v="374.3"/>
  </r>
  <r>
    <x v="0"/>
    <x v="14"/>
    <x v="1"/>
    <n v="0.97216999999999998"/>
    <n v="0.98697999999999997"/>
    <n v="1.02441"/>
    <n v="1.005695"/>
    <n v="374.3"/>
  </r>
  <r>
    <x v="0"/>
    <x v="14"/>
    <x v="1"/>
    <n v="0.97216999999999998"/>
    <n v="0.98697999999999997"/>
    <n v="1.02441"/>
    <n v="1.005695"/>
    <n v="374.3"/>
  </r>
  <r>
    <x v="0"/>
    <x v="14"/>
    <x v="1"/>
    <n v="0.97216999999999998"/>
    <n v="0.98697999999999997"/>
    <n v="1.02441"/>
    <n v="1.005695"/>
    <n v="374.3"/>
  </r>
  <r>
    <x v="0"/>
    <x v="14"/>
    <x v="1"/>
    <n v="0.97216999999999998"/>
    <n v="0.98697999999999997"/>
    <n v="1.02441"/>
    <n v="1.005695"/>
    <n v="374.3"/>
  </r>
  <r>
    <x v="0"/>
    <x v="14"/>
    <x v="1"/>
    <n v="0.97216999999999998"/>
    <n v="0.98697999999999997"/>
    <n v="1.02441"/>
    <n v="1.005695"/>
    <n v="374.3"/>
  </r>
  <r>
    <x v="0"/>
    <x v="14"/>
    <x v="1"/>
    <n v="0.97216999999999998"/>
    <n v="0.98697999999999997"/>
    <n v="1.02441"/>
    <n v="1.005695"/>
    <n v="374.3"/>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2"/>
    <n v="107.637"/>
    <n v="101.199"/>
    <n v="108.2"/>
    <n v="104.6995"/>
    <n v="700.1"/>
  </r>
  <r>
    <x v="0"/>
    <x v="14"/>
    <x v="0"/>
    <n v="2.0558900000000002"/>
    <n v="1.9378299999999999"/>
    <n v="2.0060199999999999"/>
    <n v="1.9719249999999999"/>
    <n v="681.9"/>
  </r>
  <r>
    <x v="0"/>
    <x v="14"/>
    <x v="0"/>
    <n v="2.0558900000000002"/>
    <n v="1.9378299999999999"/>
    <n v="2.0060199999999999"/>
    <n v="1.9719249999999999"/>
    <n v="681.9"/>
  </r>
  <r>
    <x v="0"/>
    <x v="14"/>
    <x v="0"/>
    <n v="2.0558900000000002"/>
    <n v="1.9378299999999999"/>
    <n v="2.0060199999999999"/>
    <n v="1.9719249999999999"/>
    <n v="681.9"/>
  </r>
  <r>
    <x v="0"/>
    <x v="14"/>
    <x v="0"/>
    <n v="2.0558900000000002"/>
    <n v="1.9378299999999999"/>
    <n v="2.0060199999999999"/>
    <n v="1.9719249999999999"/>
    <n v="681.9"/>
  </r>
  <r>
    <x v="0"/>
    <x v="14"/>
    <x v="0"/>
    <n v="2.0558900000000002"/>
    <n v="1.9378299999999999"/>
    <n v="2.0060199999999999"/>
    <n v="1.9719249999999999"/>
    <n v="681.9"/>
  </r>
  <r>
    <x v="0"/>
    <x v="14"/>
    <x v="0"/>
    <n v="2.0558900000000002"/>
    <n v="1.9378299999999999"/>
    <n v="2.0060199999999999"/>
    <n v="1.9719249999999999"/>
    <n v="681.9"/>
  </r>
  <r>
    <x v="0"/>
    <x v="14"/>
    <x v="0"/>
    <n v="2.0558900000000002"/>
    <n v="1.9378299999999999"/>
    <n v="2.0060199999999999"/>
    <n v="1.9719249999999999"/>
    <n v="681.9"/>
  </r>
  <r>
    <x v="0"/>
    <x v="14"/>
    <x v="0"/>
    <n v="2.0558900000000002"/>
    <n v="1.9378299999999999"/>
    <n v="2.0060199999999999"/>
    <n v="1.9719249999999999"/>
    <n v="681.9"/>
  </r>
  <r>
    <x v="0"/>
    <x v="14"/>
    <x v="0"/>
    <n v="2.0558900000000002"/>
    <n v="1.9378299999999999"/>
    <n v="2.0060199999999999"/>
    <n v="1.9719249999999999"/>
    <n v="681.9"/>
  </r>
  <r>
    <x v="0"/>
    <x v="14"/>
    <x v="0"/>
    <n v="2.0558900000000002"/>
    <n v="1.9378299999999999"/>
    <n v="2.0060199999999999"/>
    <n v="1.9719249999999999"/>
    <n v="681.9"/>
  </r>
  <r>
    <x v="0"/>
    <x v="14"/>
    <x v="0"/>
    <n v="2.0558900000000002"/>
    <n v="1.9378299999999999"/>
    <n v="2.0060199999999999"/>
    <n v="1.9719249999999999"/>
    <n v="681.9"/>
  </r>
  <r>
    <x v="0"/>
    <x v="14"/>
    <x v="0"/>
    <n v="2.0558900000000002"/>
    <n v="1.9378299999999999"/>
    <n v="2.0060199999999999"/>
    <n v="1.9719249999999999"/>
    <n v="681.9"/>
  </r>
  <r>
    <x v="0"/>
    <x v="14"/>
    <x v="0"/>
    <n v="2.0558900000000002"/>
    <n v="1.9378299999999999"/>
    <n v="2.0060199999999999"/>
    <n v="1.9719249999999999"/>
    <n v="681.9"/>
  </r>
  <r>
    <x v="0"/>
    <x v="14"/>
    <x v="0"/>
    <n v="2.0558900000000002"/>
    <n v="1.9378299999999999"/>
    <n v="2.0060199999999999"/>
    <n v="1.9719249999999999"/>
    <n v="681.9"/>
  </r>
  <r>
    <x v="0"/>
    <x v="14"/>
    <x v="0"/>
    <n v="2.0558900000000002"/>
    <n v="1.9378299999999999"/>
    <n v="2.0060199999999999"/>
    <n v="1.9719249999999999"/>
    <n v="681.9"/>
  </r>
  <r>
    <x v="0"/>
    <x v="14"/>
    <x v="0"/>
    <n v="2.0558900000000002"/>
    <n v="1.9378299999999999"/>
    <n v="2.0060199999999999"/>
    <n v="1.9719249999999999"/>
    <n v="681.9"/>
  </r>
  <r>
    <x v="0"/>
    <x v="14"/>
    <x v="0"/>
    <n v="2.0558900000000002"/>
    <n v="1.9378299999999999"/>
    <n v="2.0060199999999999"/>
    <n v="1.9719249999999999"/>
    <n v="681.9"/>
  </r>
  <r>
    <x v="0"/>
    <x v="14"/>
    <x v="0"/>
    <n v="2.0558900000000002"/>
    <n v="1.9378299999999999"/>
    <n v="2.0060199999999999"/>
    <n v="1.9719249999999999"/>
    <n v="681.9"/>
  </r>
  <r>
    <x v="0"/>
    <x v="14"/>
    <x v="0"/>
    <n v="2.0558900000000002"/>
    <n v="1.9378299999999999"/>
    <n v="2.0060199999999999"/>
    <n v="1.9719249999999999"/>
    <n v="681.9"/>
  </r>
  <r>
    <x v="0"/>
    <x v="14"/>
    <x v="3"/>
    <n v="1.26264"/>
    <n v="1.286"/>
    <n v="1.3641000000000001"/>
    <n v="1.3250500000000001"/>
    <n v="781"/>
  </r>
  <r>
    <x v="0"/>
    <x v="14"/>
    <x v="3"/>
    <n v="1.26264"/>
    <n v="1.286"/>
    <n v="1.3641000000000001"/>
    <n v="1.3250500000000001"/>
    <n v="781"/>
  </r>
  <r>
    <x v="0"/>
    <x v="14"/>
    <x v="3"/>
    <n v="1.26264"/>
    <n v="1.286"/>
    <n v="1.3641000000000001"/>
    <n v="1.3250500000000001"/>
    <n v="781"/>
  </r>
  <r>
    <x v="0"/>
    <x v="14"/>
    <x v="3"/>
    <n v="1.26264"/>
    <n v="1.286"/>
    <n v="1.3641000000000001"/>
    <n v="1.3250500000000001"/>
    <n v="781"/>
  </r>
  <r>
    <x v="0"/>
    <x v="14"/>
    <x v="3"/>
    <n v="1.26264"/>
    <n v="1.286"/>
    <n v="1.3641000000000001"/>
    <n v="1.3250500000000001"/>
    <n v="781"/>
  </r>
  <r>
    <x v="0"/>
    <x v="14"/>
    <x v="3"/>
    <n v="1.26264"/>
    <n v="1.286"/>
    <n v="1.3641000000000001"/>
    <n v="1.3250500000000001"/>
    <n v="781"/>
  </r>
  <r>
    <x v="0"/>
    <x v="14"/>
    <x v="3"/>
    <n v="1.26264"/>
    <n v="1.286"/>
    <n v="1.3641000000000001"/>
    <n v="1.3250500000000001"/>
    <n v="781"/>
  </r>
  <r>
    <x v="0"/>
    <x v="14"/>
    <x v="3"/>
    <n v="1.26264"/>
    <n v="1.286"/>
    <n v="1.3641000000000001"/>
    <n v="1.3250500000000001"/>
    <n v="781"/>
  </r>
  <r>
    <x v="0"/>
    <x v="14"/>
    <x v="3"/>
    <n v="1.26264"/>
    <n v="1.286"/>
    <n v="1.3641000000000001"/>
    <n v="1.3250500000000001"/>
    <n v="781"/>
  </r>
  <r>
    <x v="0"/>
    <x v="14"/>
    <x v="3"/>
    <n v="1.26264"/>
    <n v="1.286"/>
    <n v="1.3641000000000001"/>
    <n v="1.3250500000000001"/>
    <n v="781"/>
  </r>
  <r>
    <x v="0"/>
    <x v="14"/>
    <x v="3"/>
    <n v="1.26264"/>
    <n v="1.286"/>
    <n v="1.3641000000000001"/>
    <n v="1.3250500000000001"/>
    <n v="781"/>
  </r>
  <r>
    <x v="0"/>
    <x v="14"/>
    <x v="3"/>
    <n v="1.26264"/>
    <n v="1.286"/>
    <n v="1.3641000000000001"/>
    <n v="1.3250500000000001"/>
    <n v="781"/>
  </r>
  <r>
    <x v="0"/>
    <x v="14"/>
    <x v="3"/>
    <n v="1.26264"/>
    <n v="1.286"/>
    <n v="1.3641000000000001"/>
    <n v="1.3250500000000001"/>
    <n v="78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1"/>
    <n v="0.98563000000000001"/>
    <n v="0.98094999999999999"/>
    <n v="1.02441"/>
    <n v="1.00268"/>
    <n v="434.6"/>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2"/>
    <n v="106.85599999999999"/>
    <n v="101.199"/>
    <n v="108.2"/>
    <n v="104.6995"/>
    <n v="700.1"/>
  </r>
  <r>
    <x v="0"/>
    <x v="15"/>
    <x v="0"/>
    <n v="2.0294599999999998"/>
    <n v="1.9378299999999999"/>
    <n v="2.0380199999999999"/>
    <n v="1.9879249999999999"/>
    <n v="1001.9"/>
  </r>
  <r>
    <x v="0"/>
    <x v="15"/>
    <x v="0"/>
    <n v="2.0294599999999998"/>
    <n v="1.9378299999999999"/>
    <n v="2.0380199999999999"/>
    <n v="1.9879249999999999"/>
    <n v="1001.9"/>
  </r>
  <r>
    <x v="0"/>
    <x v="15"/>
    <x v="0"/>
    <n v="2.0294599999999998"/>
    <n v="1.9378299999999999"/>
    <n v="2.0380199999999999"/>
    <n v="1.9879249999999999"/>
    <n v="1001.9"/>
  </r>
  <r>
    <x v="0"/>
    <x v="15"/>
    <x v="0"/>
    <n v="2.0294599999999998"/>
    <n v="1.9378299999999999"/>
    <n v="2.0380199999999999"/>
    <n v="1.9879249999999999"/>
    <n v="1001.9"/>
  </r>
  <r>
    <x v="0"/>
    <x v="15"/>
    <x v="0"/>
    <n v="2.0294599999999998"/>
    <n v="1.9378299999999999"/>
    <n v="2.0380199999999999"/>
    <n v="1.9879249999999999"/>
    <n v="1001.9"/>
  </r>
  <r>
    <x v="0"/>
    <x v="15"/>
    <x v="0"/>
    <n v="2.0294599999999998"/>
    <n v="1.9378299999999999"/>
    <n v="2.0380199999999999"/>
    <n v="1.9879249999999999"/>
    <n v="1001.9"/>
  </r>
  <r>
    <x v="0"/>
    <x v="15"/>
    <x v="0"/>
    <n v="2.0294599999999998"/>
    <n v="1.9378299999999999"/>
    <n v="2.0380199999999999"/>
    <n v="1.9879249999999999"/>
    <n v="1001.9"/>
  </r>
  <r>
    <x v="0"/>
    <x v="15"/>
    <x v="0"/>
    <n v="2.0294599999999998"/>
    <n v="1.9378299999999999"/>
    <n v="2.0380199999999999"/>
    <n v="1.9879249999999999"/>
    <n v="1001.9"/>
  </r>
  <r>
    <x v="0"/>
    <x v="15"/>
    <x v="0"/>
    <n v="2.0294599999999998"/>
    <n v="1.9378299999999999"/>
    <n v="2.0380199999999999"/>
    <n v="1.9879249999999999"/>
    <n v="1001.9"/>
  </r>
  <r>
    <x v="0"/>
    <x v="15"/>
    <x v="0"/>
    <n v="2.0294599999999998"/>
    <n v="1.9378299999999999"/>
    <n v="2.0380199999999999"/>
    <n v="1.9879249999999999"/>
    <n v="1001.9"/>
  </r>
  <r>
    <x v="0"/>
    <x v="15"/>
    <x v="0"/>
    <n v="2.0294599999999998"/>
    <n v="1.9378299999999999"/>
    <n v="2.0380199999999999"/>
    <n v="1.9879249999999999"/>
    <n v="1001.9"/>
  </r>
  <r>
    <x v="0"/>
    <x v="15"/>
    <x v="0"/>
    <n v="2.0294599999999998"/>
    <n v="1.9378299999999999"/>
    <n v="2.0380199999999999"/>
    <n v="1.9879249999999999"/>
    <n v="1001.9"/>
  </r>
  <r>
    <x v="0"/>
    <x v="15"/>
    <x v="0"/>
    <n v="2.0294599999999998"/>
    <n v="1.9378299999999999"/>
    <n v="2.0380199999999999"/>
    <n v="1.9879249999999999"/>
    <n v="1001.9"/>
  </r>
  <r>
    <x v="0"/>
    <x v="15"/>
    <x v="0"/>
    <n v="2.0294599999999998"/>
    <n v="1.9378299999999999"/>
    <n v="2.0380199999999999"/>
    <n v="1.9879249999999999"/>
    <n v="1001.9"/>
  </r>
  <r>
    <x v="0"/>
    <x v="15"/>
    <x v="0"/>
    <n v="2.0294599999999998"/>
    <n v="1.9378299999999999"/>
    <n v="2.0380199999999999"/>
    <n v="1.9879249999999999"/>
    <n v="1001.9"/>
  </r>
  <r>
    <x v="0"/>
    <x v="15"/>
    <x v="0"/>
    <n v="2.0294599999999998"/>
    <n v="1.9378299999999999"/>
    <n v="2.0380199999999999"/>
    <n v="1.9879249999999999"/>
    <n v="1001.9"/>
  </r>
  <r>
    <x v="0"/>
    <x v="15"/>
    <x v="0"/>
    <n v="2.0294599999999998"/>
    <n v="1.9378299999999999"/>
    <n v="2.0380199999999999"/>
    <n v="1.9879249999999999"/>
    <n v="1001.9"/>
  </r>
  <r>
    <x v="0"/>
    <x v="15"/>
    <x v="0"/>
    <n v="2.0294599999999998"/>
    <n v="1.9378299999999999"/>
    <n v="2.0380199999999999"/>
    <n v="1.9879249999999999"/>
    <n v="1001.9"/>
  </r>
  <r>
    <x v="0"/>
    <x v="15"/>
    <x v="0"/>
    <n v="2.0294599999999998"/>
    <n v="1.9378299999999999"/>
    <n v="2.0380199999999999"/>
    <n v="1.9879249999999999"/>
    <n v="1001.9"/>
  </r>
  <r>
    <x v="0"/>
    <x v="15"/>
    <x v="0"/>
    <n v="2.0294599999999998"/>
    <n v="1.9378299999999999"/>
    <n v="2.0380199999999999"/>
    <n v="1.9879249999999999"/>
    <n v="1001.9"/>
  </r>
  <r>
    <x v="0"/>
    <x v="15"/>
    <x v="0"/>
    <n v="2.0294599999999998"/>
    <n v="1.9378299999999999"/>
    <n v="2.0380199999999999"/>
    <n v="1.9879249999999999"/>
    <n v="1001.9"/>
  </r>
  <r>
    <x v="0"/>
    <x v="15"/>
    <x v="0"/>
    <n v="2.0294599999999998"/>
    <n v="1.9378299999999999"/>
    <n v="2.0380199999999999"/>
    <n v="1.9879249999999999"/>
    <n v="1001.9"/>
  </r>
  <r>
    <x v="0"/>
    <x v="15"/>
    <x v="0"/>
    <n v="2.0294599999999998"/>
    <n v="1.9378299999999999"/>
    <n v="2.0380199999999999"/>
    <n v="1.9879249999999999"/>
    <n v="1001.9"/>
  </r>
  <r>
    <x v="0"/>
    <x v="15"/>
    <x v="0"/>
    <n v="2.0294599999999998"/>
    <n v="1.9378299999999999"/>
    <n v="2.0380199999999999"/>
    <n v="1.9879249999999999"/>
    <n v="1001.9"/>
  </r>
  <r>
    <x v="0"/>
    <x v="15"/>
    <x v="0"/>
    <n v="2.0294599999999998"/>
    <n v="1.9378299999999999"/>
    <n v="2.0380199999999999"/>
    <n v="1.9879249999999999"/>
    <n v="1001.9"/>
  </r>
  <r>
    <x v="0"/>
    <x v="15"/>
    <x v="0"/>
    <n v="2.0294599999999998"/>
    <n v="1.9378299999999999"/>
    <n v="2.0380199999999999"/>
    <n v="1.9879249999999999"/>
    <n v="1001.9"/>
  </r>
  <r>
    <x v="0"/>
    <x v="15"/>
    <x v="0"/>
    <n v="2.0294599999999998"/>
    <n v="1.9378299999999999"/>
    <n v="2.0380199999999999"/>
    <n v="1.9879249999999999"/>
    <n v="1001.9"/>
  </r>
  <r>
    <x v="0"/>
    <x v="15"/>
    <x v="0"/>
    <n v="2.0294599999999998"/>
    <n v="1.9378299999999999"/>
    <n v="2.0380199999999999"/>
    <n v="1.9879249999999999"/>
    <n v="1001.9"/>
  </r>
  <r>
    <x v="0"/>
    <x v="15"/>
    <x v="0"/>
    <n v="2.0294599999999998"/>
    <n v="1.9378299999999999"/>
    <n v="2.0380199999999999"/>
    <n v="1.9879249999999999"/>
    <n v="1001.9"/>
  </r>
  <r>
    <x v="0"/>
    <x v="15"/>
    <x v="3"/>
    <n v="1.2758799999999999"/>
    <n v="1.2649999999999999"/>
    <n v="1.3641000000000001"/>
    <n v="1.3145500000000001"/>
    <n v="991"/>
  </r>
  <r>
    <x v="0"/>
    <x v="15"/>
    <x v="3"/>
    <n v="1.2758799999999999"/>
    <n v="1.2649999999999999"/>
    <n v="1.3641000000000001"/>
    <n v="1.3145500000000001"/>
    <n v="991"/>
  </r>
  <r>
    <x v="0"/>
    <x v="15"/>
    <x v="3"/>
    <n v="1.2758799999999999"/>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1"/>
    <n v="0.98672000000000004"/>
    <n v="0.98094999999999999"/>
    <n v="1.02441"/>
    <n v="1.00268"/>
    <n v="434.6"/>
  </r>
  <r>
    <x v="0"/>
    <x v="16"/>
    <x v="1"/>
    <n v="0.98672000000000004"/>
    <n v="0.98094999999999999"/>
    <n v="1.02441"/>
    <n v="1.00268"/>
    <n v="434.6"/>
  </r>
  <r>
    <x v="0"/>
    <x v="16"/>
    <x v="1"/>
    <n v="0.98672000000000004"/>
    <n v="0.98094999999999999"/>
    <n v="1.02441"/>
    <n v="1.00268"/>
    <n v="434.6"/>
  </r>
  <r>
    <x v="0"/>
    <x v="16"/>
    <x v="1"/>
    <n v="0.98672000000000004"/>
    <n v="0.98094999999999999"/>
    <n v="1.02441"/>
    <n v="1.00268"/>
    <n v="434.6"/>
  </r>
  <r>
    <x v="0"/>
    <x v="16"/>
    <x v="1"/>
    <n v="0.98672000000000004"/>
    <n v="0.98094999999999999"/>
    <n v="1.02441"/>
    <n v="1.00268"/>
    <n v="434.6"/>
  </r>
  <r>
    <x v="0"/>
    <x v="16"/>
    <x v="1"/>
    <n v="0.98672000000000004"/>
    <n v="0.98094999999999999"/>
    <n v="1.02441"/>
    <n v="1.00268"/>
    <n v="434.6"/>
  </r>
  <r>
    <x v="0"/>
    <x v="16"/>
    <x v="1"/>
    <n v="0.98672000000000004"/>
    <n v="0.98094999999999999"/>
    <n v="1.02441"/>
    <n v="1.00268"/>
    <n v="434.6"/>
  </r>
  <r>
    <x v="0"/>
    <x v="16"/>
    <x v="1"/>
    <n v="0.98672000000000004"/>
    <n v="0.98094999999999999"/>
    <n v="1.02441"/>
    <n v="1.00268"/>
    <n v="434.6"/>
  </r>
  <r>
    <x v="0"/>
    <x v="16"/>
    <x v="1"/>
    <n v="0.98672000000000004"/>
    <n v="0.98094999999999999"/>
    <n v="1.02441"/>
    <n v="1.00268"/>
    <n v="434.6"/>
  </r>
  <r>
    <x v="0"/>
    <x v="16"/>
    <x v="1"/>
    <n v="0.98672000000000004"/>
    <n v="0.98094999999999999"/>
    <n v="1.02441"/>
    <n v="1.00268"/>
    <n v="434.6"/>
  </r>
  <r>
    <x v="0"/>
    <x v="16"/>
    <x v="1"/>
    <n v="0.98672000000000004"/>
    <n v="0.98094999999999999"/>
    <n v="1.02441"/>
    <n v="1.00268"/>
    <n v="434.6"/>
  </r>
  <r>
    <x v="0"/>
    <x v="16"/>
    <x v="1"/>
    <n v="0.98672000000000004"/>
    <n v="0.98094999999999999"/>
    <n v="1.02441"/>
    <n v="1.00268"/>
    <n v="434.6"/>
  </r>
  <r>
    <x v="0"/>
    <x v="16"/>
    <x v="1"/>
    <n v="0.98672000000000004"/>
    <n v="0.98094999999999999"/>
    <n v="1.02441"/>
    <n v="1.00268"/>
    <n v="434.6"/>
  </r>
  <r>
    <x v="0"/>
    <x v="16"/>
    <x v="1"/>
    <n v="0.98672000000000004"/>
    <n v="0.98094999999999999"/>
    <n v="1.02441"/>
    <n v="1.00268"/>
    <n v="434.6"/>
  </r>
  <r>
    <x v="0"/>
    <x v="16"/>
    <x v="1"/>
    <n v="0.98672000000000004"/>
    <n v="0.98094999999999999"/>
    <n v="1.02441"/>
    <n v="1.00268"/>
    <n v="434.6"/>
  </r>
  <r>
    <x v="0"/>
    <x v="16"/>
    <x v="1"/>
    <n v="0.98672000000000004"/>
    <n v="0.98094999999999999"/>
    <n v="1.02441"/>
    <n v="1.00268"/>
    <n v="434.6"/>
  </r>
  <r>
    <x v="0"/>
    <x v="16"/>
    <x v="1"/>
    <n v="0.98672000000000004"/>
    <n v="0.98094999999999999"/>
    <n v="1.02441"/>
    <n v="1.00268"/>
    <n v="434.6"/>
  </r>
  <r>
    <x v="0"/>
    <x v="16"/>
    <x v="1"/>
    <n v="0.98672000000000004"/>
    <n v="0.98094999999999999"/>
    <n v="1.02441"/>
    <n v="1.00268"/>
    <n v="434.6"/>
  </r>
  <r>
    <x v="0"/>
    <x v="16"/>
    <x v="1"/>
    <n v="0.98672000000000004"/>
    <n v="0.98094999999999999"/>
    <n v="1.02441"/>
    <n v="1.00268"/>
    <n v="434.6"/>
  </r>
  <r>
    <x v="0"/>
    <x v="16"/>
    <x v="1"/>
    <n v="0.98672000000000004"/>
    <n v="0.98094999999999999"/>
    <n v="1.02441"/>
    <n v="1.00268"/>
    <n v="434.6"/>
  </r>
  <r>
    <x v="0"/>
    <x v="16"/>
    <x v="1"/>
    <n v="0.98672000000000004"/>
    <n v="0.98094999999999999"/>
    <n v="1.02441"/>
    <n v="1.00268"/>
    <n v="434.6"/>
  </r>
  <r>
    <x v="0"/>
    <x v="16"/>
    <x v="1"/>
    <n v="0.98672000000000004"/>
    <n v="0.98094999999999999"/>
    <n v="1.02441"/>
    <n v="1.00268"/>
    <n v="434.6"/>
  </r>
  <r>
    <x v="0"/>
    <x v="16"/>
    <x v="1"/>
    <n v="0.98672000000000004"/>
    <n v="0.98094999999999999"/>
    <n v="1.02441"/>
    <n v="1.00268"/>
    <n v="434.6"/>
  </r>
  <r>
    <x v="0"/>
    <x v="16"/>
    <x v="1"/>
    <n v="0.98672000000000004"/>
    <n v="0.98094999999999999"/>
    <n v="1.02441"/>
    <n v="1.00268"/>
    <n v="434.6"/>
  </r>
  <r>
    <x v="0"/>
    <x v="16"/>
    <x v="1"/>
    <n v="0.98672000000000004"/>
    <n v="0.98094999999999999"/>
    <n v="1.02441"/>
    <n v="1.00268"/>
    <n v="434.6"/>
  </r>
  <r>
    <x v="0"/>
    <x v="16"/>
    <x v="1"/>
    <n v="0.98672000000000004"/>
    <n v="0.98094999999999999"/>
    <n v="1.02441"/>
    <n v="1.00268"/>
    <n v="434.6"/>
  </r>
  <r>
    <x v="0"/>
    <x v="16"/>
    <x v="2"/>
    <n v="108.14700000000001"/>
    <n v="101.199"/>
    <n v="108.2"/>
    <n v="104.6995"/>
    <n v="700.1"/>
  </r>
  <r>
    <x v="0"/>
    <x v="16"/>
    <x v="2"/>
    <n v="108.14700000000001"/>
    <n v="101.199"/>
    <n v="108.2"/>
    <n v="104.6995"/>
    <n v="700.1"/>
  </r>
  <r>
    <x v="0"/>
    <x v="16"/>
    <x v="2"/>
    <n v="108.14700000000001"/>
    <n v="101.199"/>
    <n v="108.2"/>
    <n v="104.6995"/>
    <n v="700.1"/>
  </r>
  <r>
    <x v="0"/>
    <x v="16"/>
    <x v="2"/>
    <n v="108.14700000000001"/>
    <n v="101.199"/>
    <n v="108.2"/>
    <n v="104.6995"/>
    <n v="700.1"/>
  </r>
  <r>
    <x v="0"/>
    <x v="16"/>
    <x v="2"/>
    <n v="108.14700000000001"/>
    <n v="101.199"/>
    <n v="108.2"/>
    <n v="104.6995"/>
    <n v="700.1"/>
  </r>
  <r>
    <x v="0"/>
    <x v="16"/>
    <x v="2"/>
    <n v="108.14700000000001"/>
    <n v="101.199"/>
    <n v="108.2"/>
    <n v="104.6995"/>
    <n v="700.1"/>
  </r>
  <r>
    <x v="0"/>
    <x v="16"/>
    <x v="2"/>
    <n v="108.14700000000001"/>
    <n v="101.199"/>
    <n v="108.2"/>
    <n v="104.6995"/>
    <n v="700.1"/>
  </r>
  <r>
    <x v="0"/>
    <x v="16"/>
    <x v="2"/>
    <n v="108.14700000000001"/>
    <n v="101.199"/>
    <n v="108.2"/>
    <n v="104.6995"/>
    <n v="700.1"/>
  </r>
  <r>
    <x v="0"/>
    <x v="16"/>
    <x v="2"/>
    <n v="108.14700000000001"/>
    <n v="101.199"/>
    <n v="108.2"/>
    <n v="104.6995"/>
    <n v="700.1"/>
  </r>
  <r>
    <x v="0"/>
    <x v="16"/>
    <x v="2"/>
    <n v="108.14700000000001"/>
    <n v="101.199"/>
    <n v="108.2"/>
    <n v="104.6995"/>
    <n v="700.1"/>
  </r>
  <r>
    <x v="0"/>
    <x v="16"/>
    <x v="2"/>
    <n v="108.14700000000001"/>
    <n v="101.199"/>
    <n v="108.2"/>
    <n v="104.6995"/>
    <n v="700.1"/>
  </r>
  <r>
    <x v="0"/>
    <x v="16"/>
    <x v="2"/>
    <n v="108.14700000000001"/>
    <n v="101.199"/>
    <n v="108.2"/>
    <n v="104.6995"/>
    <n v="700.1"/>
  </r>
  <r>
    <x v="0"/>
    <x v="16"/>
    <x v="2"/>
    <n v="108.14700000000001"/>
    <n v="101.199"/>
    <n v="108.2"/>
    <n v="104.6995"/>
    <n v="700.1"/>
  </r>
  <r>
    <x v="0"/>
    <x v="16"/>
    <x v="2"/>
    <n v="108.14700000000001"/>
    <n v="101.199"/>
    <n v="108.2"/>
    <n v="104.6995"/>
    <n v="700.1"/>
  </r>
  <r>
    <x v="0"/>
    <x v="16"/>
    <x v="2"/>
    <n v="108.14700000000001"/>
    <n v="101.199"/>
    <n v="108.2"/>
    <n v="104.6995"/>
    <n v="700.1"/>
  </r>
  <r>
    <x v="0"/>
    <x v="16"/>
    <x v="2"/>
    <n v="108.14700000000001"/>
    <n v="101.199"/>
    <n v="108.2"/>
    <n v="104.6995"/>
    <n v="700.1"/>
  </r>
  <r>
    <x v="0"/>
    <x v="16"/>
    <x v="2"/>
    <n v="108.14700000000001"/>
    <n v="101.199"/>
    <n v="108.2"/>
    <n v="104.6995"/>
    <n v="700.1"/>
  </r>
  <r>
    <x v="0"/>
    <x v="16"/>
    <x v="2"/>
    <n v="108.14700000000001"/>
    <n v="101.199"/>
    <n v="108.2"/>
    <n v="104.6995"/>
    <n v="700.1"/>
  </r>
  <r>
    <x v="0"/>
    <x v="16"/>
    <x v="2"/>
    <n v="108.14700000000001"/>
    <n v="101.199"/>
    <n v="108.2"/>
    <n v="104.6995"/>
    <n v="700.1"/>
  </r>
  <r>
    <x v="0"/>
    <x v="16"/>
    <x v="2"/>
    <n v="108.14700000000001"/>
    <n v="101.199"/>
    <n v="108.2"/>
    <n v="104.6995"/>
    <n v="700.1"/>
  </r>
  <r>
    <x v="0"/>
    <x v="16"/>
    <x v="2"/>
    <n v="108.14700000000001"/>
    <n v="101.199"/>
    <n v="108.2"/>
    <n v="104.6995"/>
    <n v="700.1"/>
  </r>
  <r>
    <x v="0"/>
    <x v="16"/>
    <x v="2"/>
    <n v="108.14700000000001"/>
    <n v="101.199"/>
    <n v="108.2"/>
    <n v="104.6995"/>
    <n v="700.1"/>
  </r>
  <r>
    <x v="0"/>
    <x v="16"/>
    <x v="2"/>
    <n v="108.14700000000001"/>
    <n v="101.199"/>
    <n v="108.2"/>
    <n v="104.6995"/>
    <n v="700.1"/>
  </r>
  <r>
    <x v="0"/>
    <x v="16"/>
    <x v="2"/>
    <n v="108.14700000000001"/>
    <n v="101.199"/>
    <n v="108.2"/>
    <n v="104.6995"/>
    <n v="700.1"/>
  </r>
  <r>
    <x v="0"/>
    <x v="16"/>
    <x v="2"/>
    <n v="108.14700000000001"/>
    <n v="101.199"/>
    <n v="108.2"/>
    <n v="104.6995"/>
    <n v="700.1"/>
  </r>
  <r>
    <x v="0"/>
    <x v="16"/>
    <x v="2"/>
    <n v="108.14700000000001"/>
    <n v="101.199"/>
    <n v="108.2"/>
    <n v="104.6995"/>
    <n v="700.1"/>
  </r>
  <r>
    <x v="0"/>
    <x v="16"/>
    <x v="2"/>
    <n v="108.14700000000001"/>
    <n v="101.199"/>
    <n v="108.2"/>
    <n v="104.6995"/>
    <n v="700.1"/>
  </r>
  <r>
    <x v="0"/>
    <x v="16"/>
    <x v="2"/>
    <n v="108.14700000000001"/>
    <n v="101.199"/>
    <n v="108.2"/>
    <n v="104.6995"/>
    <n v="700.1"/>
  </r>
  <r>
    <x v="0"/>
    <x v="16"/>
    <x v="2"/>
    <n v="108.14700000000001"/>
    <n v="101.199"/>
    <n v="108.2"/>
    <n v="104.6995"/>
    <n v="700.1"/>
  </r>
  <r>
    <x v="0"/>
    <x v="16"/>
    <x v="2"/>
    <n v="108.14700000000001"/>
    <n v="101.199"/>
    <n v="108.2"/>
    <n v="104.6995"/>
    <n v="700.1"/>
  </r>
  <r>
    <x v="0"/>
    <x v="16"/>
    <x v="0"/>
    <n v="2.0467200000000001"/>
    <n v="1.9378299999999999"/>
    <n v="2.0380199999999999"/>
    <n v="1.9879249999999999"/>
    <n v="1001.9"/>
  </r>
  <r>
    <x v="0"/>
    <x v="16"/>
    <x v="0"/>
    <n v="2.0467200000000001"/>
    <n v="1.9378299999999999"/>
    <n v="2.0380199999999999"/>
    <n v="1.9879249999999999"/>
    <n v="1001.9"/>
  </r>
  <r>
    <x v="0"/>
    <x v="16"/>
    <x v="0"/>
    <n v="2.0467200000000001"/>
    <n v="1.9378299999999999"/>
    <n v="2.0380199999999999"/>
    <n v="1.9879249999999999"/>
    <n v="1001.9"/>
  </r>
  <r>
    <x v="0"/>
    <x v="16"/>
    <x v="0"/>
    <n v="2.0467200000000001"/>
    <n v="1.9378299999999999"/>
    <n v="2.0380199999999999"/>
    <n v="1.9879249999999999"/>
    <n v="1001.9"/>
  </r>
  <r>
    <x v="0"/>
    <x v="16"/>
    <x v="0"/>
    <n v="2.0467200000000001"/>
    <n v="1.9378299999999999"/>
    <n v="2.0380199999999999"/>
    <n v="1.9879249999999999"/>
    <n v="1001.9"/>
  </r>
  <r>
    <x v="0"/>
    <x v="16"/>
    <x v="0"/>
    <n v="2.0467200000000001"/>
    <n v="1.9378299999999999"/>
    <n v="2.0380199999999999"/>
    <n v="1.9879249999999999"/>
    <n v="1001.9"/>
  </r>
  <r>
    <x v="0"/>
    <x v="16"/>
    <x v="0"/>
    <n v="2.0467200000000001"/>
    <n v="1.9378299999999999"/>
    <n v="2.0380199999999999"/>
    <n v="1.9879249999999999"/>
    <n v="1001.9"/>
  </r>
  <r>
    <x v="0"/>
    <x v="16"/>
    <x v="0"/>
    <n v="2.0467200000000001"/>
    <n v="1.9378299999999999"/>
    <n v="2.0380199999999999"/>
    <n v="1.9879249999999999"/>
    <n v="1001.9"/>
  </r>
  <r>
    <x v="0"/>
    <x v="16"/>
    <x v="0"/>
    <n v="2.0467200000000001"/>
    <n v="1.9378299999999999"/>
    <n v="2.0380199999999999"/>
    <n v="1.9879249999999999"/>
    <n v="1001.9"/>
  </r>
  <r>
    <x v="0"/>
    <x v="16"/>
    <x v="0"/>
    <n v="2.0467200000000001"/>
    <n v="1.9378299999999999"/>
    <n v="2.0380199999999999"/>
    <n v="1.9879249999999999"/>
    <n v="1001.9"/>
  </r>
  <r>
    <x v="0"/>
    <x v="16"/>
    <x v="0"/>
    <n v="2.0467200000000001"/>
    <n v="1.9378299999999999"/>
    <n v="2.0380199999999999"/>
    <n v="1.9879249999999999"/>
    <n v="1001.9"/>
  </r>
  <r>
    <x v="0"/>
    <x v="16"/>
    <x v="0"/>
    <n v="2.0467200000000001"/>
    <n v="1.9378299999999999"/>
    <n v="2.0380199999999999"/>
    <n v="1.9879249999999999"/>
    <n v="1001.9"/>
  </r>
  <r>
    <x v="0"/>
    <x v="16"/>
    <x v="0"/>
    <n v="2.0467200000000001"/>
    <n v="1.9378299999999999"/>
    <n v="2.0380199999999999"/>
    <n v="1.9879249999999999"/>
    <n v="1001.9"/>
  </r>
  <r>
    <x v="0"/>
    <x v="16"/>
    <x v="0"/>
    <n v="2.0467200000000001"/>
    <n v="1.9378299999999999"/>
    <n v="2.0380199999999999"/>
    <n v="1.9879249999999999"/>
    <n v="1001.9"/>
  </r>
  <r>
    <x v="0"/>
    <x v="16"/>
    <x v="0"/>
    <n v="2.0467200000000001"/>
    <n v="1.9378299999999999"/>
    <n v="2.0380199999999999"/>
    <n v="1.9879249999999999"/>
    <n v="1001.9"/>
  </r>
  <r>
    <x v="0"/>
    <x v="16"/>
    <x v="0"/>
    <n v="2.0467200000000001"/>
    <n v="1.9378299999999999"/>
    <n v="2.0380199999999999"/>
    <n v="1.9879249999999999"/>
    <n v="1001.9"/>
  </r>
  <r>
    <x v="0"/>
    <x v="16"/>
    <x v="0"/>
    <n v="2.0467200000000001"/>
    <n v="1.9378299999999999"/>
    <n v="2.0380199999999999"/>
    <n v="1.9879249999999999"/>
    <n v="1001.9"/>
  </r>
  <r>
    <x v="0"/>
    <x v="16"/>
    <x v="0"/>
    <n v="2.0467200000000001"/>
    <n v="1.9378299999999999"/>
    <n v="2.0380199999999999"/>
    <n v="1.9879249999999999"/>
    <n v="1001.9"/>
  </r>
  <r>
    <x v="0"/>
    <x v="16"/>
    <x v="0"/>
    <n v="2.0467200000000001"/>
    <n v="1.9378299999999999"/>
    <n v="2.0380199999999999"/>
    <n v="1.9879249999999999"/>
    <n v="1001.9"/>
  </r>
  <r>
    <x v="0"/>
    <x v="16"/>
    <x v="0"/>
    <n v="2.0467200000000001"/>
    <n v="1.9378299999999999"/>
    <n v="2.0380199999999999"/>
    <n v="1.9879249999999999"/>
    <n v="1001.9"/>
  </r>
  <r>
    <x v="0"/>
    <x v="16"/>
    <x v="0"/>
    <n v="2.0467200000000001"/>
    <n v="1.9378299999999999"/>
    <n v="2.0380199999999999"/>
    <n v="1.9879249999999999"/>
    <n v="1001.9"/>
  </r>
  <r>
    <x v="0"/>
    <x v="16"/>
    <x v="0"/>
    <n v="2.0467200000000001"/>
    <n v="1.9378299999999999"/>
    <n v="2.0380199999999999"/>
    <n v="1.9879249999999999"/>
    <n v="1001.9"/>
  </r>
  <r>
    <x v="0"/>
    <x v="16"/>
    <x v="0"/>
    <n v="2.0467200000000001"/>
    <n v="1.9378299999999999"/>
    <n v="2.0380199999999999"/>
    <n v="1.9879249999999999"/>
    <n v="1001.9"/>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6"/>
    <x v="3"/>
    <n v="1.2668600000000001"/>
    <n v="1.2649999999999999"/>
    <n v="1.3641000000000001"/>
    <n v="1.3145500000000001"/>
    <n v="99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2"/>
    <n v="112.30800000000001"/>
    <n v="101.199"/>
    <n v="108.2"/>
    <n v="104.6995"/>
    <n v="700.1"/>
  </r>
  <r>
    <x v="0"/>
    <x v="17"/>
    <x v="0"/>
    <n v="2.0505"/>
    <n v="1.9378299999999999"/>
    <n v="2.0380199999999999"/>
    <n v="1.9879249999999999"/>
    <n v="1001.9"/>
  </r>
  <r>
    <x v="0"/>
    <x v="17"/>
    <x v="0"/>
    <n v="2.0505"/>
    <n v="1.9378299999999999"/>
    <n v="2.0380199999999999"/>
    <n v="1.9879249999999999"/>
    <n v="1001.9"/>
  </r>
  <r>
    <x v="0"/>
    <x v="17"/>
    <x v="0"/>
    <n v="2.0505"/>
    <n v="1.9378299999999999"/>
    <n v="2.0380199999999999"/>
    <n v="1.9879249999999999"/>
    <n v="1001.9"/>
  </r>
  <r>
    <x v="0"/>
    <x v="17"/>
    <x v="0"/>
    <n v="2.0505"/>
    <n v="1.9378299999999999"/>
    <n v="2.0380199999999999"/>
    <n v="1.9879249999999999"/>
    <n v="1001.9"/>
  </r>
  <r>
    <x v="0"/>
    <x v="17"/>
    <x v="0"/>
    <n v="2.0505"/>
    <n v="1.9378299999999999"/>
    <n v="2.0380199999999999"/>
    <n v="1.9879249999999999"/>
    <n v="1001.9"/>
  </r>
  <r>
    <x v="0"/>
    <x v="17"/>
    <x v="0"/>
    <n v="2.0505"/>
    <n v="1.9378299999999999"/>
    <n v="2.0380199999999999"/>
    <n v="1.9879249999999999"/>
    <n v="1001.9"/>
  </r>
  <r>
    <x v="0"/>
    <x v="17"/>
    <x v="0"/>
    <n v="2.0505"/>
    <n v="1.9378299999999999"/>
    <n v="2.0380199999999999"/>
    <n v="1.9879249999999999"/>
    <n v="1001.9"/>
  </r>
  <r>
    <x v="0"/>
    <x v="17"/>
    <x v="0"/>
    <n v="2.0505"/>
    <n v="1.9378299999999999"/>
    <n v="2.0380199999999999"/>
    <n v="1.9879249999999999"/>
    <n v="1001.9"/>
  </r>
  <r>
    <x v="0"/>
    <x v="17"/>
    <x v="0"/>
    <n v="2.0505"/>
    <n v="1.9378299999999999"/>
    <n v="2.0380199999999999"/>
    <n v="1.9879249999999999"/>
    <n v="1001.9"/>
  </r>
  <r>
    <x v="0"/>
    <x v="17"/>
    <x v="0"/>
    <n v="2.0505"/>
    <n v="1.9378299999999999"/>
    <n v="2.0380199999999999"/>
    <n v="1.9879249999999999"/>
    <n v="1001.9"/>
  </r>
  <r>
    <x v="0"/>
    <x v="17"/>
    <x v="0"/>
    <n v="2.0505"/>
    <n v="1.9378299999999999"/>
    <n v="2.0380199999999999"/>
    <n v="1.9879249999999999"/>
    <n v="1001.9"/>
  </r>
  <r>
    <x v="0"/>
    <x v="17"/>
    <x v="0"/>
    <n v="2.0505"/>
    <n v="1.9378299999999999"/>
    <n v="2.0380199999999999"/>
    <n v="1.9879249999999999"/>
    <n v="1001.9"/>
  </r>
  <r>
    <x v="0"/>
    <x v="17"/>
    <x v="0"/>
    <n v="2.0505"/>
    <n v="1.9378299999999999"/>
    <n v="2.0380199999999999"/>
    <n v="1.9879249999999999"/>
    <n v="1001.9"/>
  </r>
  <r>
    <x v="0"/>
    <x v="17"/>
    <x v="0"/>
    <n v="2.0505"/>
    <n v="1.9378299999999999"/>
    <n v="2.0380199999999999"/>
    <n v="1.9879249999999999"/>
    <n v="1001.9"/>
  </r>
  <r>
    <x v="0"/>
    <x v="17"/>
    <x v="0"/>
    <n v="2.0505"/>
    <n v="1.9378299999999999"/>
    <n v="2.0380199999999999"/>
    <n v="1.9879249999999999"/>
    <n v="1001.9"/>
  </r>
  <r>
    <x v="0"/>
    <x v="17"/>
    <x v="0"/>
    <n v="2.0505"/>
    <n v="1.9378299999999999"/>
    <n v="2.0380199999999999"/>
    <n v="1.9879249999999999"/>
    <n v="1001.9"/>
  </r>
  <r>
    <x v="0"/>
    <x v="17"/>
    <x v="0"/>
    <n v="2.0505"/>
    <n v="1.9378299999999999"/>
    <n v="2.0380199999999999"/>
    <n v="1.9879249999999999"/>
    <n v="1001.9"/>
  </r>
  <r>
    <x v="0"/>
    <x v="17"/>
    <x v="0"/>
    <n v="2.0505"/>
    <n v="1.9378299999999999"/>
    <n v="2.0380199999999999"/>
    <n v="1.9879249999999999"/>
    <n v="1001.9"/>
  </r>
  <r>
    <x v="0"/>
    <x v="17"/>
    <x v="0"/>
    <n v="2.0505"/>
    <n v="1.9378299999999999"/>
    <n v="2.0380199999999999"/>
    <n v="1.9879249999999999"/>
    <n v="1001.9"/>
  </r>
  <r>
    <x v="0"/>
    <x v="17"/>
    <x v="0"/>
    <n v="2.0505"/>
    <n v="1.9378299999999999"/>
    <n v="2.0380199999999999"/>
    <n v="1.9879249999999999"/>
    <n v="1001.9"/>
  </r>
  <r>
    <x v="0"/>
    <x v="17"/>
    <x v="0"/>
    <n v="2.0505"/>
    <n v="1.9378299999999999"/>
    <n v="2.0380199999999999"/>
    <n v="1.9879249999999999"/>
    <n v="1001.9"/>
  </r>
  <r>
    <x v="0"/>
    <x v="17"/>
    <x v="0"/>
    <n v="2.0505"/>
    <n v="1.9378299999999999"/>
    <n v="2.0380199999999999"/>
    <n v="1.9879249999999999"/>
    <n v="1001.9"/>
  </r>
  <r>
    <x v="0"/>
    <x v="17"/>
    <x v="0"/>
    <n v="2.0505"/>
    <n v="1.9378299999999999"/>
    <n v="2.0380199999999999"/>
    <n v="1.9879249999999999"/>
    <n v="1001.9"/>
  </r>
  <r>
    <x v="0"/>
    <x v="17"/>
    <x v="0"/>
    <n v="2.0505"/>
    <n v="1.9378299999999999"/>
    <n v="2.0380199999999999"/>
    <n v="1.9879249999999999"/>
    <n v="1001.9"/>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3"/>
    <n v="1.25221"/>
    <n v="1.2649999999999999"/>
    <n v="1.3641000000000001"/>
    <n v="1.3145500000000001"/>
    <n v="991"/>
  </r>
  <r>
    <x v="0"/>
    <x v="17"/>
    <x v="1"/>
    <n v="0.99031999999999998"/>
    <n v="0.98094999999999999"/>
    <n v="1.02441"/>
    <n v="1.00268"/>
    <n v="434.6"/>
  </r>
  <r>
    <x v="0"/>
    <x v="17"/>
    <x v="1"/>
    <n v="0.99031999999999998"/>
    <n v="0.98094999999999999"/>
    <n v="1.02441"/>
    <n v="1.00268"/>
    <n v="434.6"/>
  </r>
  <r>
    <x v="0"/>
    <x v="17"/>
    <x v="1"/>
    <n v="0.99031999999999998"/>
    <n v="0.98094999999999999"/>
    <n v="1.02441"/>
    <n v="1.00268"/>
    <n v="434.6"/>
  </r>
  <r>
    <x v="0"/>
    <x v="17"/>
    <x v="1"/>
    <n v="0.99031999999999998"/>
    <n v="0.98094999999999999"/>
    <n v="1.02441"/>
    <n v="1.00268"/>
    <n v="434.6"/>
  </r>
  <r>
    <x v="0"/>
    <x v="17"/>
    <x v="1"/>
    <n v="0.99031999999999998"/>
    <n v="0.98094999999999999"/>
    <n v="1.02441"/>
    <n v="1.00268"/>
    <n v="434.6"/>
  </r>
  <r>
    <x v="0"/>
    <x v="17"/>
    <x v="1"/>
    <n v="0.99031999999999998"/>
    <n v="0.98094999999999999"/>
    <n v="1.02441"/>
    <n v="1.00268"/>
    <n v="434.6"/>
  </r>
  <r>
    <x v="0"/>
    <x v="17"/>
    <x v="1"/>
    <n v="0.99031999999999998"/>
    <n v="0.98094999999999999"/>
    <n v="1.02441"/>
    <n v="1.00268"/>
    <n v="434.6"/>
  </r>
  <r>
    <x v="0"/>
    <x v="17"/>
    <x v="1"/>
    <n v="0.99031999999999998"/>
    <n v="0.98094999999999999"/>
    <n v="1.02441"/>
    <n v="1.00268"/>
    <n v="434.6"/>
  </r>
  <r>
    <x v="0"/>
    <x v="17"/>
    <x v="1"/>
    <n v="0.99031999999999998"/>
    <n v="0.98094999999999999"/>
    <n v="1.02441"/>
    <n v="1.00268"/>
    <n v="434.6"/>
  </r>
  <r>
    <x v="0"/>
    <x v="17"/>
    <x v="1"/>
    <n v="0.99031999999999998"/>
    <n v="0.98094999999999999"/>
    <n v="1.02441"/>
    <n v="1.00268"/>
    <n v="434.6"/>
  </r>
  <r>
    <x v="0"/>
    <x v="17"/>
    <x v="1"/>
    <n v="0.99031999999999998"/>
    <n v="0.98094999999999999"/>
    <n v="1.02441"/>
    <n v="1.00268"/>
    <n v="434.6"/>
  </r>
  <r>
    <x v="0"/>
    <x v="17"/>
    <x v="1"/>
    <n v="0.99031999999999998"/>
    <n v="0.98094999999999999"/>
    <n v="1.02441"/>
    <n v="1.00268"/>
    <n v="434.6"/>
  </r>
  <r>
    <x v="0"/>
    <x v="17"/>
    <x v="1"/>
    <n v="0.99031999999999998"/>
    <n v="0.98094999999999999"/>
    <n v="1.02441"/>
    <n v="1.00268"/>
    <n v="434.6"/>
  </r>
  <r>
    <x v="0"/>
    <x v="17"/>
    <x v="1"/>
    <n v="0.99031999999999998"/>
    <n v="0.98094999999999999"/>
    <n v="1.02441"/>
    <n v="1.00268"/>
    <n v="434.6"/>
  </r>
  <r>
    <x v="0"/>
    <x v="17"/>
    <x v="1"/>
    <n v="0.99031999999999998"/>
    <n v="0.98094999999999999"/>
    <n v="1.02441"/>
    <n v="1.00268"/>
    <n v="434.6"/>
  </r>
  <r>
    <x v="0"/>
    <x v="17"/>
    <x v="1"/>
    <n v="0.99031999999999998"/>
    <n v="0.98094999999999999"/>
    <n v="1.02441"/>
    <n v="1.00268"/>
    <n v="434.6"/>
  </r>
  <r>
    <x v="0"/>
    <x v="17"/>
    <x v="1"/>
    <n v="0.99031999999999998"/>
    <n v="0.98094999999999999"/>
    <n v="1.02441"/>
    <n v="1.00268"/>
    <n v="434.6"/>
  </r>
  <r>
    <x v="0"/>
    <x v="17"/>
    <x v="1"/>
    <n v="0.99031999999999998"/>
    <n v="0.98094999999999999"/>
    <n v="1.02441"/>
    <n v="1.00268"/>
    <n v="434.6"/>
  </r>
  <r>
    <x v="0"/>
    <x v="17"/>
    <x v="1"/>
    <n v="0.99031999999999998"/>
    <n v="0.98094999999999999"/>
    <n v="1.02441"/>
    <n v="1.00268"/>
    <n v="434.6"/>
  </r>
  <r>
    <x v="0"/>
    <x v="17"/>
    <x v="1"/>
    <n v="0.99031999999999998"/>
    <n v="0.98094999999999999"/>
    <n v="1.02441"/>
    <n v="1.00268"/>
    <n v="434.6"/>
  </r>
  <r>
    <x v="0"/>
    <x v="17"/>
    <x v="1"/>
    <n v="0.99031999999999998"/>
    <n v="0.98094999999999999"/>
    <n v="1.02441"/>
    <n v="1.00268"/>
    <n v="434.6"/>
  </r>
  <r>
    <x v="0"/>
    <x v="17"/>
    <x v="1"/>
    <n v="0.99031999999999998"/>
    <n v="0.98094999999999999"/>
    <n v="1.02441"/>
    <n v="1.00268"/>
    <n v="434.6"/>
  </r>
  <r>
    <x v="0"/>
    <x v="18"/>
    <x v="0"/>
    <n v="2.04481"/>
    <n v="1.9378299999999999"/>
    <n v="2.0380199999999999"/>
    <n v="1.9879249999999999"/>
    <n v="1001.9"/>
  </r>
  <r>
    <x v="0"/>
    <x v="18"/>
    <x v="0"/>
    <n v="2.04481"/>
    <n v="1.9378299999999999"/>
    <n v="2.0380199999999999"/>
    <n v="1.9879249999999999"/>
    <n v="1001.9"/>
  </r>
  <r>
    <x v="0"/>
    <x v="18"/>
    <x v="0"/>
    <n v="2.04481"/>
    <n v="1.9378299999999999"/>
    <n v="2.0380199999999999"/>
    <n v="1.9879249999999999"/>
    <n v="1001.9"/>
  </r>
  <r>
    <x v="0"/>
    <x v="18"/>
    <x v="0"/>
    <n v="2.04481"/>
    <n v="1.9378299999999999"/>
    <n v="2.0380199999999999"/>
    <n v="1.9879249999999999"/>
    <n v="1001.9"/>
  </r>
  <r>
    <x v="0"/>
    <x v="18"/>
    <x v="0"/>
    <n v="2.04481"/>
    <n v="1.9378299999999999"/>
    <n v="2.0380199999999999"/>
    <n v="1.9879249999999999"/>
    <n v="1001.9"/>
  </r>
  <r>
    <x v="0"/>
    <x v="18"/>
    <x v="0"/>
    <n v="2.04481"/>
    <n v="1.9378299999999999"/>
    <n v="2.0380199999999999"/>
    <n v="1.9879249999999999"/>
    <n v="1001.9"/>
  </r>
  <r>
    <x v="0"/>
    <x v="18"/>
    <x v="0"/>
    <n v="2.04481"/>
    <n v="1.9378299999999999"/>
    <n v="2.0380199999999999"/>
    <n v="1.9879249999999999"/>
    <n v="1001.9"/>
  </r>
  <r>
    <x v="0"/>
    <x v="18"/>
    <x v="0"/>
    <n v="2.04481"/>
    <n v="1.9378299999999999"/>
    <n v="2.0380199999999999"/>
    <n v="1.9879249999999999"/>
    <n v="1001.9"/>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2"/>
    <n v="114.58"/>
    <n v="101.199"/>
    <n v="108.2"/>
    <n v="104.6995"/>
    <n v="700.1"/>
  </r>
  <r>
    <x v="0"/>
    <x v="18"/>
    <x v="0"/>
    <n v="2.04481"/>
    <n v="1.9378299999999999"/>
    <n v="2.0380199999999999"/>
    <n v="1.9879249999999999"/>
    <n v="1001.9"/>
  </r>
  <r>
    <x v="0"/>
    <x v="18"/>
    <x v="0"/>
    <n v="2.04481"/>
    <n v="1.9378299999999999"/>
    <n v="2.0380199999999999"/>
    <n v="1.9879249999999999"/>
    <n v="1001.9"/>
  </r>
  <r>
    <x v="0"/>
    <x v="18"/>
    <x v="0"/>
    <n v="2.04481"/>
    <n v="1.9378299999999999"/>
    <n v="2.0380199999999999"/>
    <n v="1.9879249999999999"/>
    <n v="1001.9"/>
  </r>
  <r>
    <x v="0"/>
    <x v="18"/>
    <x v="1"/>
    <n v="0.97751999999999994"/>
    <n v="0.98094999999999999"/>
    <n v="1.02441"/>
    <n v="1.00268"/>
    <n v="434.6"/>
  </r>
  <r>
    <x v="0"/>
    <x v="18"/>
    <x v="1"/>
    <n v="0.97751999999999994"/>
    <n v="0.98094999999999999"/>
    <n v="1.02441"/>
    <n v="1.00268"/>
    <n v="434.6"/>
  </r>
  <r>
    <x v="0"/>
    <x v="18"/>
    <x v="1"/>
    <n v="0.97751999999999994"/>
    <n v="0.98094999999999999"/>
    <n v="1.02441"/>
    <n v="1.00268"/>
    <n v="434.6"/>
  </r>
  <r>
    <x v="0"/>
    <x v="18"/>
    <x v="1"/>
    <n v="0.97751999999999994"/>
    <n v="0.98094999999999999"/>
    <n v="1.02441"/>
    <n v="1.00268"/>
    <n v="434.6"/>
  </r>
  <r>
    <x v="0"/>
    <x v="18"/>
    <x v="3"/>
    <n v="1.2453700000000001"/>
    <n v="1.2649999999999999"/>
    <n v="1.3641000000000001"/>
    <n v="1.3145500000000001"/>
    <n v="991"/>
  </r>
  <r>
    <x v="0"/>
    <x v="18"/>
    <x v="3"/>
    <n v="1.2453700000000001"/>
    <n v="1.2649999999999999"/>
    <n v="1.3641000000000001"/>
    <n v="1.3145500000000001"/>
    <n v="991"/>
  </r>
  <r>
    <x v="0"/>
    <x v="18"/>
    <x v="3"/>
    <n v="1.2453700000000001"/>
    <n v="1.2649999999999999"/>
    <n v="1.3641000000000001"/>
    <n v="1.3145500000000001"/>
    <n v="991"/>
  </r>
  <r>
    <x v="0"/>
    <x v="18"/>
    <x v="3"/>
    <n v="1.2453700000000001"/>
    <n v="1.2649999999999999"/>
    <n v="1.3641000000000001"/>
    <n v="1.3145500000000001"/>
    <n v="991"/>
  </r>
  <r>
    <x v="0"/>
    <x v="18"/>
    <x v="3"/>
    <n v="1.2453700000000001"/>
    <n v="1.2649999999999999"/>
    <n v="1.3641000000000001"/>
    <n v="1.3145500000000001"/>
    <n v="991"/>
  </r>
  <r>
    <x v="0"/>
    <x v="18"/>
    <x v="3"/>
    <n v="1.2453700000000001"/>
    <n v="1.2649999999999999"/>
    <n v="1.3641000000000001"/>
    <n v="1.3145500000000001"/>
    <n v="991"/>
  </r>
  <r>
    <x v="0"/>
    <x v="18"/>
    <x v="3"/>
    <n v="1.2453700000000001"/>
    <n v="1.2649999999999999"/>
    <n v="1.3641000000000001"/>
    <n v="1.3145500000000001"/>
    <n v="991"/>
  </r>
  <r>
    <x v="0"/>
    <x v="18"/>
    <x v="3"/>
    <n v="1.2453700000000001"/>
    <n v="1.2649999999999999"/>
    <n v="1.3641000000000001"/>
    <n v="1.3145500000000001"/>
    <n v="991"/>
  </r>
  <r>
    <x v="0"/>
    <x v="18"/>
    <x v="3"/>
    <n v="1.2453700000000001"/>
    <n v="1.2649999999999999"/>
    <n v="1.3641000000000001"/>
    <n v="1.3145500000000001"/>
    <n v="991"/>
  </r>
  <r>
    <x v="0"/>
    <x v="18"/>
    <x v="3"/>
    <n v="1.2453700000000001"/>
    <n v="1.2649999999999999"/>
    <n v="1.3641000000000001"/>
    <n v="1.3145500000000001"/>
    <n v="991"/>
  </r>
  <r>
    <x v="0"/>
    <x v="18"/>
    <x v="3"/>
    <n v="1.2453700000000001"/>
    <n v="1.2649999999999999"/>
    <n v="1.3641000000000001"/>
    <n v="1.3145500000000001"/>
    <n v="991"/>
  </r>
  <r>
    <x v="0"/>
    <x v="18"/>
    <x v="3"/>
    <n v="1.2453700000000001"/>
    <n v="1.2649999999999999"/>
    <n v="1.3641000000000001"/>
    <n v="1.3145500000000001"/>
    <n v="991"/>
  </r>
  <r>
    <x v="0"/>
    <x v="18"/>
    <x v="3"/>
    <n v="1.2453700000000001"/>
    <n v="1.2649999999999999"/>
    <n v="1.3641000000000001"/>
    <n v="1.3145500000000001"/>
    <n v="991"/>
  </r>
  <r>
    <x v="0"/>
    <x v="18"/>
    <x v="3"/>
    <n v="1.2453700000000001"/>
    <n v="1.2649999999999999"/>
    <n v="1.3641000000000001"/>
    <n v="1.3145500000000001"/>
    <n v="991"/>
  </r>
  <r>
    <x v="0"/>
    <x v="18"/>
    <x v="1"/>
    <n v="0.97751999999999994"/>
    <n v="0.98094999999999999"/>
    <n v="1.02441"/>
    <n v="1.00268"/>
    <n v="434.6"/>
  </r>
  <r>
    <x v="0"/>
    <x v="18"/>
    <x v="1"/>
    <n v="0.97751999999999994"/>
    <n v="0.98094999999999999"/>
    <n v="1.02441"/>
    <n v="1.00268"/>
    <n v="434.6"/>
  </r>
  <r>
    <x v="0"/>
    <x v="18"/>
    <x v="1"/>
    <n v="0.97751999999999994"/>
    <n v="0.98094999999999999"/>
    <n v="1.02441"/>
    <n v="1.00268"/>
    <n v="434.6"/>
  </r>
  <r>
    <x v="0"/>
    <x v="18"/>
    <x v="1"/>
    <n v="0.97751999999999994"/>
    <n v="0.98094999999999999"/>
    <n v="1.02441"/>
    <n v="1.00268"/>
    <n v="434.6"/>
  </r>
  <r>
    <x v="0"/>
    <x v="18"/>
    <x v="1"/>
    <n v="0.97751999999999994"/>
    <n v="0.98094999999999999"/>
    <n v="1.02441"/>
    <n v="1.00268"/>
    <n v="434.6"/>
  </r>
  <r>
    <x v="0"/>
    <x v="18"/>
    <x v="1"/>
    <n v="0.97751999999999994"/>
    <n v="0.98094999999999999"/>
    <n v="1.02441"/>
    <n v="1.00268"/>
    <n v="434.6"/>
  </r>
  <r>
    <x v="0"/>
    <x v="18"/>
    <x v="1"/>
    <n v="0.97751999999999994"/>
    <n v="0.98094999999999999"/>
    <n v="1.02441"/>
    <n v="1.00268"/>
    <n v="434.6"/>
  </r>
  <r>
    <x v="0"/>
    <x v="18"/>
    <x v="1"/>
    <n v="0.97751999999999994"/>
    <n v="0.98094999999999999"/>
    <n v="1.02441"/>
    <n v="1.00268"/>
    <n v="434.6"/>
  </r>
  <r>
    <x v="0"/>
    <x v="18"/>
    <x v="1"/>
    <n v="0.97751999999999994"/>
    <n v="0.98094999999999999"/>
    <n v="1.02441"/>
    <n v="1.00268"/>
    <n v="434.6"/>
  </r>
  <r>
    <x v="0"/>
    <x v="18"/>
    <x v="1"/>
    <n v="0.97751999999999994"/>
    <n v="0.98094999999999999"/>
    <n v="1.02441"/>
    <n v="1.00268"/>
    <n v="434.6"/>
  </r>
  <r>
    <x v="0"/>
    <x v="18"/>
    <x v="1"/>
    <n v="0.97751999999999994"/>
    <n v="0.98094999999999999"/>
    <n v="1.02441"/>
    <n v="1.00268"/>
    <n v="434.6"/>
  </r>
  <r>
    <x v="0"/>
    <x v="18"/>
    <x v="1"/>
    <n v="0.97751999999999994"/>
    <n v="0.98094999999999999"/>
    <n v="1.02441"/>
    <n v="1.00268"/>
    <n v="434.6"/>
  </r>
  <r>
    <x v="0"/>
    <x v="18"/>
    <x v="1"/>
    <n v="0.97751999999999994"/>
    <n v="0.98094999999999999"/>
    <n v="1.02441"/>
    <n v="1.00268"/>
    <n v="434.6"/>
  </r>
  <r>
    <x v="0"/>
    <x v="18"/>
    <x v="1"/>
    <n v="0.97751999999999994"/>
    <n v="0.98094999999999999"/>
    <n v="1.02441"/>
    <n v="1.00268"/>
    <n v="434.6"/>
  </r>
  <r>
    <x v="0"/>
    <x v="18"/>
    <x v="1"/>
    <n v="0.97751999999999994"/>
    <n v="0.98094999999999999"/>
    <n v="1.02441"/>
    <n v="1.00268"/>
    <n v="434.6"/>
  </r>
  <r>
    <x v="0"/>
    <x v="18"/>
    <x v="1"/>
    <n v="0.97751999999999994"/>
    <n v="0.98094999999999999"/>
    <n v="1.02441"/>
    <n v="1.00268"/>
    <n v="434.6"/>
  </r>
  <r>
    <x v="0"/>
    <x v="18"/>
    <x v="3"/>
    <n v="1.2453700000000001"/>
    <n v="1.2649999999999999"/>
    <n v="1.3641000000000001"/>
    <n v="1.3145500000000001"/>
    <n v="991"/>
  </r>
  <r>
    <x v="0"/>
    <x v="18"/>
    <x v="3"/>
    <n v="1.2453700000000001"/>
    <n v="1.2649999999999999"/>
    <n v="1.3641000000000001"/>
    <n v="1.3145500000000001"/>
    <n v="991"/>
  </r>
  <r>
    <x v="0"/>
    <x v="18"/>
    <x v="3"/>
    <n v="1.2453700000000001"/>
    <n v="1.2649999999999999"/>
    <n v="1.3641000000000001"/>
    <n v="1.3145500000000001"/>
    <n v="991"/>
  </r>
  <r>
    <x v="0"/>
    <x v="18"/>
    <x v="3"/>
    <n v="1.2453700000000001"/>
    <n v="1.2649999999999999"/>
    <n v="1.3641000000000001"/>
    <n v="1.3145500000000001"/>
    <n v="991"/>
  </r>
  <r>
    <x v="0"/>
    <x v="18"/>
    <x v="3"/>
    <n v="1.2453700000000001"/>
    <n v="1.2649999999999999"/>
    <n v="1.3641000000000001"/>
    <n v="1.3145500000000001"/>
    <n v="991"/>
  </r>
  <r>
    <x v="0"/>
    <x v="18"/>
    <x v="3"/>
    <n v="1.2453700000000001"/>
    <n v="1.2649999999999999"/>
    <n v="1.3641000000000001"/>
    <n v="1.3145500000000001"/>
    <n v="991"/>
  </r>
  <r>
    <x v="0"/>
    <x v="18"/>
    <x v="3"/>
    <n v="1.2453700000000001"/>
    <n v="1.2649999999999999"/>
    <n v="1.3641000000000001"/>
    <n v="1.3145500000000001"/>
    <n v="991"/>
  </r>
  <r>
    <x v="0"/>
    <x v="18"/>
    <x v="3"/>
    <n v="1.2453700000000001"/>
    <n v="1.2649999999999999"/>
    <n v="1.3641000000000001"/>
    <n v="1.3145500000000001"/>
    <n v="991"/>
  </r>
  <r>
    <x v="0"/>
    <x v="18"/>
    <x v="3"/>
    <n v="1.2453700000000001"/>
    <n v="1.2649999999999999"/>
    <n v="1.3641000000000001"/>
    <n v="1.3145500000000001"/>
    <n v="991"/>
  </r>
  <r>
    <x v="0"/>
    <x v="18"/>
    <x v="3"/>
    <n v="1.2453700000000001"/>
    <n v="1.2649999999999999"/>
    <n v="1.3641000000000001"/>
    <n v="1.3145500000000001"/>
    <n v="991"/>
  </r>
  <r>
    <x v="0"/>
    <x v="18"/>
    <x v="3"/>
    <n v="1.2453700000000001"/>
    <n v="1.2649999999999999"/>
    <n v="1.3641000000000001"/>
    <n v="1.3145500000000001"/>
    <n v="991"/>
  </r>
  <r>
    <x v="0"/>
    <x v="18"/>
    <x v="3"/>
    <n v="1.2453700000000001"/>
    <n v="1.2649999999999999"/>
    <n v="1.3641000000000001"/>
    <n v="1.3145500000000001"/>
    <n v="991"/>
  </r>
  <r>
    <x v="0"/>
    <x v="18"/>
    <x v="3"/>
    <n v="1.2453700000000001"/>
    <n v="1.2649999999999999"/>
    <n v="1.3641000000000001"/>
    <n v="1.3145500000000001"/>
    <n v="991"/>
  </r>
  <r>
    <x v="0"/>
    <x v="18"/>
    <x v="3"/>
    <n v="1.2453700000000001"/>
    <n v="1.2649999999999999"/>
    <n v="1.3641000000000001"/>
    <n v="1.3145500000000001"/>
    <n v="991"/>
  </r>
  <r>
    <x v="0"/>
    <x v="18"/>
    <x v="3"/>
    <n v="1.2453700000000001"/>
    <n v="1.2649999999999999"/>
    <n v="1.3641000000000001"/>
    <n v="1.3145500000000001"/>
    <n v="991"/>
  </r>
  <r>
    <x v="0"/>
    <x v="18"/>
    <x v="3"/>
    <n v="1.2453700000000001"/>
    <n v="1.2649999999999999"/>
    <n v="1.3641000000000001"/>
    <n v="1.3145500000000001"/>
    <n v="991"/>
  </r>
  <r>
    <x v="0"/>
    <x v="18"/>
    <x v="3"/>
    <n v="1.2453700000000001"/>
    <n v="1.2649999999999999"/>
    <n v="1.3641000000000001"/>
    <n v="1.3145500000000001"/>
    <n v="991"/>
  </r>
  <r>
    <x v="0"/>
    <x v="18"/>
    <x v="0"/>
    <n v="2.04481"/>
    <n v="1.9378299999999999"/>
    <n v="2.0380199999999999"/>
    <n v="1.9879249999999999"/>
    <n v="1001.9"/>
  </r>
  <r>
    <x v="0"/>
    <x v="18"/>
    <x v="0"/>
    <n v="2.04481"/>
    <n v="1.9378299999999999"/>
    <n v="2.0380199999999999"/>
    <n v="1.9879249999999999"/>
    <n v="1001.9"/>
  </r>
  <r>
    <x v="0"/>
    <x v="18"/>
    <x v="0"/>
    <n v="2.04481"/>
    <n v="1.9378299999999999"/>
    <n v="2.0380199999999999"/>
    <n v="1.9879249999999999"/>
    <n v="1001.9"/>
  </r>
  <r>
    <x v="0"/>
    <x v="18"/>
    <x v="0"/>
    <n v="2.04481"/>
    <n v="1.9378299999999999"/>
    <n v="2.0380199999999999"/>
    <n v="1.9879249999999999"/>
    <n v="1001.9"/>
  </r>
  <r>
    <x v="0"/>
    <x v="18"/>
    <x v="0"/>
    <n v="2.04481"/>
    <n v="1.9378299999999999"/>
    <n v="2.0380199999999999"/>
    <n v="1.9879249999999999"/>
    <n v="1001.9"/>
  </r>
  <r>
    <x v="0"/>
    <x v="18"/>
    <x v="0"/>
    <n v="2.04481"/>
    <n v="1.9378299999999999"/>
    <n v="2.0380199999999999"/>
    <n v="1.9879249999999999"/>
    <n v="1001.9"/>
  </r>
  <r>
    <x v="0"/>
    <x v="18"/>
    <x v="0"/>
    <n v="2.04481"/>
    <n v="1.9378299999999999"/>
    <n v="2.0380199999999999"/>
    <n v="1.9879249999999999"/>
    <n v="1001.9"/>
  </r>
  <r>
    <x v="0"/>
    <x v="18"/>
    <x v="0"/>
    <n v="2.04481"/>
    <n v="1.9378299999999999"/>
    <n v="2.0380199999999999"/>
    <n v="1.9879249999999999"/>
    <n v="1001.9"/>
  </r>
  <r>
    <x v="0"/>
    <x v="18"/>
    <x v="0"/>
    <n v="2.04481"/>
    <n v="1.9378299999999999"/>
    <n v="2.0380199999999999"/>
    <n v="1.9879249999999999"/>
    <n v="1001.9"/>
  </r>
  <r>
    <x v="0"/>
    <x v="18"/>
    <x v="0"/>
    <n v="2.04481"/>
    <n v="1.9378299999999999"/>
    <n v="2.0380199999999999"/>
    <n v="1.9879249999999999"/>
    <n v="1001.9"/>
  </r>
  <r>
    <x v="0"/>
    <x v="18"/>
    <x v="0"/>
    <n v="2.04481"/>
    <n v="1.9378299999999999"/>
    <n v="2.0380199999999999"/>
    <n v="1.9879249999999999"/>
    <n v="1001.9"/>
  </r>
  <r>
    <x v="0"/>
    <x v="18"/>
    <x v="0"/>
    <n v="2.04481"/>
    <n v="1.9378299999999999"/>
    <n v="2.0380199999999999"/>
    <n v="1.9879249999999999"/>
    <n v="1001.9"/>
  </r>
  <r>
    <x v="0"/>
    <x v="18"/>
    <x v="0"/>
    <n v="2.04481"/>
    <n v="1.9378299999999999"/>
    <n v="2.0380199999999999"/>
    <n v="1.9879249999999999"/>
    <n v="1001.9"/>
  </r>
  <r>
    <x v="0"/>
    <x v="19"/>
    <x v="2"/>
    <n v="116.229"/>
    <n v="101.199"/>
    <n v="108.2"/>
    <n v="104.6995"/>
    <n v="700.1"/>
  </r>
  <r>
    <x v="0"/>
    <x v="19"/>
    <x v="2"/>
    <n v="116.229"/>
    <n v="101.199"/>
    <n v="108.2"/>
    <n v="104.6995"/>
    <n v="700.1"/>
  </r>
  <r>
    <x v="0"/>
    <x v="19"/>
    <x v="2"/>
    <n v="116.229"/>
    <n v="101.199"/>
    <n v="108.2"/>
    <n v="104.6995"/>
    <n v="700.1"/>
  </r>
  <r>
    <x v="0"/>
    <x v="19"/>
    <x v="2"/>
    <n v="116.229"/>
    <n v="101.199"/>
    <n v="108.2"/>
    <n v="104.6995"/>
    <n v="700.1"/>
  </r>
  <r>
    <x v="0"/>
    <x v="19"/>
    <x v="2"/>
    <n v="116.229"/>
    <n v="101.199"/>
    <n v="108.2"/>
    <n v="104.6995"/>
    <n v="700.1"/>
  </r>
  <r>
    <x v="0"/>
    <x v="19"/>
    <x v="2"/>
    <n v="116.229"/>
    <n v="101.199"/>
    <n v="108.2"/>
    <n v="104.6995"/>
    <n v="700.1"/>
  </r>
  <r>
    <x v="0"/>
    <x v="19"/>
    <x v="2"/>
    <n v="116.229"/>
    <n v="101.199"/>
    <n v="108.2"/>
    <n v="104.6995"/>
    <n v="700.1"/>
  </r>
  <r>
    <x v="0"/>
    <x v="19"/>
    <x v="2"/>
    <n v="116.229"/>
    <n v="101.199"/>
    <n v="108.2"/>
    <n v="104.6995"/>
    <n v="700.1"/>
  </r>
  <r>
    <x v="0"/>
    <x v="19"/>
    <x v="2"/>
    <n v="116.229"/>
    <n v="101.199"/>
    <n v="108.2"/>
    <n v="104.6995"/>
    <n v="700.1"/>
  </r>
  <r>
    <x v="0"/>
    <x v="19"/>
    <x v="2"/>
    <n v="116.229"/>
    <n v="101.199"/>
    <n v="108.2"/>
    <n v="104.6995"/>
    <n v="700.1"/>
  </r>
  <r>
    <x v="0"/>
    <x v="19"/>
    <x v="2"/>
    <n v="116.229"/>
    <n v="101.199"/>
    <n v="108.2"/>
    <n v="104.6995"/>
    <n v="700.1"/>
  </r>
  <r>
    <x v="0"/>
    <x v="19"/>
    <x v="2"/>
    <n v="116.229"/>
    <n v="101.199"/>
    <n v="108.2"/>
    <n v="104.6995"/>
    <n v="700.1"/>
  </r>
  <r>
    <x v="0"/>
    <x v="19"/>
    <x v="2"/>
    <n v="116.229"/>
    <n v="101.199"/>
    <n v="108.2"/>
    <n v="104.6995"/>
    <n v="700.1"/>
  </r>
  <r>
    <x v="0"/>
    <x v="19"/>
    <x v="2"/>
    <n v="116.229"/>
    <n v="101.199"/>
    <n v="108.2"/>
    <n v="104.6995"/>
    <n v="700.1"/>
  </r>
  <r>
    <x v="0"/>
    <x v="19"/>
    <x v="2"/>
    <n v="116.229"/>
    <n v="101.199"/>
    <n v="108.2"/>
    <n v="104.6995"/>
    <n v="700.1"/>
  </r>
  <r>
    <x v="0"/>
    <x v="19"/>
    <x v="2"/>
    <n v="116.229"/>
    <n v="101.199"/>
    <n v="108.2"/>
    <n v="104.6995"/>
    <n v="700.1"/>
  </r>
  <r>
    <x v="0"/>
    <x v="19"/>
    <x v="2"/>
    <n v="116.229"/>
    <n v="101.199"/>
    <n v="108.2"/>
    <n v="104.6995"/>
    <n v="700.1"/>
  </r>
  <r>
    <x v="0"/>
    <x v="19"/>
    <x v="2"/>
    <n v="116.229"/>
    <n v="101.199"/>
    <n v="108.2"/>
    <n v="104.6995"/>
    <n v="700.1"/>
  </r>
  <r>
    <x v="0"/>
    <x v="19"/>
    <x v="2"/>
    <n v="116.229"/>
    <n v="101.199"/>
    <n v="108.2"/>
    <n v="104.6995"/>
    <n v="700.1"/>
  </r>
  <r>
    <x v="0"/>
    <x v="19"/>
    <x v="1"/>
    <n v="0.98682000000000003"/>
    <n v="0.98094999999999999"/>
    <n v="1.02441"/>
    <n v="1.00268"/>
    <n v="434.6"/>
  </r>
  <r>
    <x v="0"/>
    <x v="19"/>
    <x v="1"/>
    <n v="0.98682000000000003"/>
    <n v="0.98094999999999999"/>
    <n v="1.02441"/>
    <n v="1.00268"/>
    <n v="434.6"/>
  </r>
  <r>
    <x v="0"/>
    <x v="19"/>
    <x v="1"/>
    <n v="0.98682000000000003"/>
    <n v="0.98094999999999999"/>
    <n v="1.02441"/>
    <n v="1.00268"/>
    <n v="434.6"/>
  </r>
  <r>
    <x v="0"/>
    <x v="19"/>
    <x v="1"/>
    <n v="0.98682000000000003"/>
    <n v="0.98094999999999999"/>
    <n v="1.02441"/>
    <n v="1.00268"/>
    <n v="434.6"/>
  </r>
  <r>
    <x v="0"/>
    <x v="19"/>
    <x v="1"/>
    <n v="0.98682000000000003"/>
    <n v="0.98094999999999999"/>
    <n v="1.02441"/>
    <n v="1.00268"/>
    <n v="434.6"/>
  </r>
  <r>
    <x v="0"/>
    <x v="19"/>
    <x v="1"/>
    <n v="0.98682000000000003"/>
    <n v="0.98094999999999999"/>
    <n v="1.02441"/>
    <n v="1.00268"/>
    <n v="434.6"/>
  </r>
  <r>
    <x v="0"/>
    <x v="19"/>
    <x v="1"/>
    <n v="0.98682000000000003"/>
    <n v="0.98094999999999999"/>
    <n v="1.02441"/>
    <n v="1.00268"/>
    <n v="434.6"/>
  </r>
  <r>
    <x v="0"/>
    <x v="19"/>
    <x v="3"/>
    <n v="1.25244"/>
    <n v="1.2649999999999999"/>
    <n v="1.3641000000000001"/>
    <n v="1.3145500000000001"/>
    <n v="991"/>
  </r>
  <r>
    <x v="0"/>
    <x v="19"/>
    <x v="3"/>
    <n v="1.25244"/>
    <n v="1.2649999999999999"/>
    <n v="1.3641000000000001"/>
    <n v="1.3145500000000001"/>
    <n v="991"/>
  </r>
  <r>
    <x v="0"/>
    <x v="19"/>
    <x v="3"/>
    <n v="1.25244"/>
    <n v="1.2649999999999999"/>
    <n v="1.3641000000000001"/>
    <n v="1.3145500000000001"/>
    <n v="991"/>
  </r>
  <r>
    <x v="0"/>
    <x v="19"/>
    <x v="3"/>
    <n v="1.25244"/>
    <n v="1.2649999999999999"/>
    <n v="1.3641000000000001"/>
    <n v="1.3145500000000001"/>
    <n v="991"/>
  </r>
  <r>
    <x v="0"/>
    <x v="19"/>
    <x v="3"/>
    <n v="1.25244"/>
    <n v="1.2649999999999999"/>
    <n v="1.3641000000000001"/>
    <n v="1.3145500000000001"/>
    <n v="991"/>
  </r>
  <r>
    <x v="0"/>
    <x v="19"/>
    <x v="3"/>
    <n v="1.25244"/>
    <n v="1.2649999999999999"/>
    <n v="1.3641000000000001"/>
    <n v="1.3145500000000001"/>
    <n v="991"/>
  </r>
  <r>
    <x v="0"/>
    <x v="19"/>
    <x v="3"/>
    <n v="1.25244"/>
    <n v="1.2649999999999999"/>
    <n v="1.3641000000000001"/>
    <n v="1.3145500000000001"/>
    <n v="991"/>
  </r>
  <r>
    <x v="0"/>
    <x v="19"/>
    <x v="3"/>
    <n v="1.25244"/>
    <n v="1.2649999999999999"/>
    <n v="1.3641000000000001"/>
    <n v="1.3145500000000001"/>
    <n v="991"/>
  </r>
  <r>
    <x v="0"/>
    <x v="19"/>
    <x v="3"/>
    <n v="1.25244"/>
    <n v="1.2649999999999999"/>
    <n v="1.3641000000000001"/>
    <n v="1.3145500000000001"/>
    <n v="991"/>
  </r>
  <r>
    <x v="0"/>
    <x v="19"/>
    <x v="3"/>
    <n v="1.25244"/>
    <n v="1.2649999999999999"/>
    <n v="1.3641000000000001"/>
    <n v="1.3145500000000001"/>
    <n v="991"/>
  </r>
  <r>
    <x v="0"/>
    <x v="19"/>
    <x v="3"/>
    <n v="1.25244"/>
    <n v="1.2649999999999999"/>
    <n v="1.3641000000000001"/>
    <n v="1.3145500000000001"/>
    <n v="991"/>
  </r>
  <r>
    <x v="0"/>
    <x v="19"/>
    <x v="3"/>
    <n v="1.25244"/>
    <n v="1.2649999999999999"/>
    <n v="1.3641000000000001"/>
    <n v="1.3145500000000001"/>
    <n v="991"/>
  </r>
  <r>
    <x v="0"/>
    <x v="19"/>
    <x v="3"/>
    <n v="1.25244"/>
    <n v="1.2649999999999999"/>
    <n v="1.3641000000000001"/>
    <n v="1.3145500000000001"/>
    <n v="991"/>
  </r>
  <r>
    <x v="0"/>
    <x v="19"/>
    <x v="3"/>
    <n v="1.25244"/>
    <n v="1.2649999999999999"/>
    <n v="1.3641000000000001"/>
    <n v="1.3145500000000001"/>
    <n v="991"/>
  </r>
  <r>
    <x v="0"/>
    <x v="19"/>
    <x v="3"/>
    <n v="1.25244"/>
    <n v="1.2649999999999999"/>
    <n v="1.3641000000000001"/>
    <n v="1.3145500000000001"/>
    <n v="991"/>
  </r>
  <r>
    <x v="0"/>
    <x v="19"/>
    <x v="3"/>
    <n v="1.25244"/>
    <n v="1.2649999999999999"/>
    <n v="1.3641000000000001"/>
    <n v="1.3145500000000001"/>
    <n v="991"/>
  </r>
  <r>
    <x v="0"/>
    <x v="19"/>
    <x v="3"/>
    <n v="1.25244"/>
    <n v="1.2649999999999999"/>
    <n v="1.3641000000000001"/>
    <n v="1.3145500000000001"/>
    <n v="991"/>
  </r>
  <r>
    <x v="0"/>
    <x v="19"/>
    <x v="3"/>
    <n v="1.25244"/>
    <n v="1.2649999999999999"/>
    <n v="1.3641000000000001"/>
    <n v="1.3145500000000001"/>
    <n v="991"/>
  </r>
  <r>
    <x v="0"/>
    <x v="19"/>
    <x v="3"/>
    <n v="1.25244"/>
    <n v="1.2649999999999999"/>
    <n v="1.3641000000000001"/>
    <n v="1.3145500000000001"/>
    <n v="991"/>
  </r>
  <r>
    <x v="0"/>
    <x v="19"/>
    <x v="3"/>
    <n v="1.25244"/>
    <n v="1.2649999999999999"/>
    <n v="1.3641000000000001"/>
    <n v="1.3145500000000001"/>
    <n v="991"/>
  </r>
  <r>
    <x v="0"/>
    <x v="19"/>
    <x v="3"/>
    <n v="1.25244"/>
    <n v="1.2649999999999999"/>
    <n v="1.3641000000000001"/>
    <n v="1.3145500000000001"/>
    <n v="991"/>
  </r>
  <r>
    <x v="0"/>
    <x v="19"/>
    <x v="1"/>
    <n v="0.98682000000000003"/>
    <n v="0.98094999999999999"/>
    <n v="1.02441"/>
    <n v="1.00268"/>
    <n v="434.6"/>
  </r>
  <r>
    <x v="0"/>
    <x v="19"/>
    <x v="1"/>
    <n v="0.98682000000000003"/>
    <n v="0.98094999999999999"/>
    <n v="1.02441"/>
    <n v="1.00268"/>
    <n v="434.6"/>
  </r>
  <r>
    <x v="0"/>
    <x v="19"/>
    <x v="1"/>
    <n v="0.98682000000000003"/>
    <n v="0.98094999999999999"/>
    <n v="1.02441"/>
    <n v="1.00268"/>
    <n v="434.6"/>
  </r>
  <r>
    <x v="0"/>
    <x v="19"/>
    <x v="1"/>
    <n v="0.98682000000000003"/>
    <n v="0.98094999999999999"/>
    <n v="1.02441"/>
    <n v="1.00268"/>
    <n v="434.6"/>
  </r>
  <r>
    <x v="0"/>
    <x v="19"/>
    <x v="1"/>
    <n v="0.98682000000000003"/>
    <n v="0.98094999999999999"/>
    <n v="1.02441"/>
    <n v="1.00268"/>
    <n v="434.6"/>
  </r>
  <r>
    <x v="0"/>
    <x v="19"/>
    <x v="1"/>
    <n v="0.98682000000000003"/>
    <n v="0.98094999999999999"/>
    <n v="1.02441"/>
    <n v="1.00268"/>
    <n v="434.6"/>
  </r>
  <r>
    <x v="0"/>
    <x v="19"/>
    <x v="1"/>
    <n v="0.98682000000000003"/>
    <n v="0.98094999999999999"/>
    <n v="1.02441"/>
    <n v="1.00268"/>
    <n v="434.6"/>
  </r>
  <r>
    <x v="0"/>
    <x v="19"/>
    <x v="1"/>
    <n v="0.98682000000000003"/>
    <n v="0.98094999999999999"/>
    <n v="1.02441"/>
    <n v="1.00268"/>
    <n v="434.6"/>
  </r>
  <r>
    <x v="0"/>
    <x v="19"/>
    <x v="1"/>
    <n v="0.98682000000000003"/>
    <n v="0.98094999999999999"/>
    <n v="1.02441"/>
    <n v="1.00268"/>
    <n v="434.6"/>
  </r>
  <r>
    <x v="0"/>
    <x v="19"/>
    <x v="1"/>
    <n v="0.98682000000000003"/>
    <n v="0.98094999999999999"/>
    <n v="1.02441"/>
    <n v="1.00268"/>
    <n v="434.6"/>
  </r>
  <r>
    <x v="0"/>
    <x v="19"/>
    <x v="1"/>
    <n v="0.98682000000000003"/>
    <n v="0.98094999999999999"/>
    <n v="1.02441"/>
    <n v="1.00268"/>
    <n v="434.6"/>
  </r>
  <r>
    <x v="0"/>
    <x v="19"/>
    <x v="1"/>
    <n v="0.98682000000000003"/>
    <n v="0.98094999999999999"/>
    <n v="1.02441"/>
    <n v="1.00268"/>
    <n v="434.6"/>
  </r>
  <r>
    <x v="0"/>
    <x v="19"/>
    <x v="1"/>
    <n v="0.98682000000000003"/>
    <n v="0.98094999999999999"/>
    <n v="1.02441"/>
    <n v="1.00268"/>
    <n v="434.6"/>
  </r>
  <r>
    <x v="0"/>
    <x v="19"/>
    <x v="3"/>
    <n v="1.25244"/>
    <n v="1.2649999999999999"/>
    <n v="1.3641000000000001"/>
    <n v="1.3145500000000001"/>
    <n v="991"/>
  </r>
  <r>
    <x v="0"/>
    <x v="19"/>
    <x v="3"/>
    <n v="1.25244"/>
    <n v="1.2649999999999999"/>
    <n v="1.3641000000000001"/>
    <n v="1.3145500000000001"/>
    <n v="991"/>
  </r>
  <r>
    <x v="0"/>
    <x v="19"/>
    <x v="3"/>
    <n v="1.25244"/>
    <n v="1.2649999999999999"/>
    <n v="1.3641000000000001"/>
    <n v="1.3145500000000001"/>
    <n v="991"/>
  </r>
  <r>
    <x v="0"/>
    <x v="19"/>
    <x v="3"/>
    <n v="1.25244"/>
    <n v="1.2649999999999999"/>
    <n v="1.3641000000000001"/>
    <n v="1.3145500000000001"/>
    <n v="991"/>
  </r>
  <r>
    <x v="0"/>
    <x v="19"/>
    <x v="3"/>
    <n v="1.25244"/>
    <n v="1.2649999999999999"/>
    <n v="1.3641000000000001"/>
    <n v="1.3145500000000001"/>
    <n v="991"/>
  </r>
  <r>
    <x v="0"/>
    <x v="19"/>
    <x v="3"/>
    <n v="1.25244"/>
    <n v="1.2649999999999999"/>
    <n v="1.3641000000000001"/>
    <n v="1.3145500000000001"/>
    <n v="991"/>
  </r>
  <r>
    <x v="0"/>
    <x v="19"/>
    <x v="3"/>
    <n v="1.25244"/>
    <n v="1.2649999999999999"/>
    <n v="1.3641000000000001"/>
    <n v="1.3145500000000001"/>
    <n v="991"/>
  </r>
  <r>
    <x v="0"/>
    <x v="19"/>
    <x v="3"/>
    <n v="1.25244"/>
    <n v="1.2649999999999999"/>
    <n v="1.3641000000000001"/>
    <n v="1.3145500000000001"/>
    <n v="991"/>
  </r>
  <r>
    <x v="0"/>
    <x v="19"/>
    <x v="3"/>
    <n v="1.25244"/>
    <n v="1.2649999999999999"/>
    <n v="1.3641000000000001"/>
    <n v="1.3145500000000001"/>
    <n v="991"/>
  </r>
  <r>
    <x v="0"/>
    <x v="19"/>
    <x v="3"/>
    <n v="1.25244"/>
    <n v="1.2649999999999999"/>
    <n v="1.3641000000000001"/>
    <n v="1.3145500000000001"/>
    <n v="991"/>
  </r>
  <r>
    <x v="0"/>
    <x v="19"/>
    <x v="2"/>
    <n v="116.229"/>
    <n v="101.199"/>
    <n v="108.2"/>
    <n v="104.6995"/>
    <n v="700.1"/>
  </r>
  <r>
    <x v="0"/>
    <x v="19"/>
    <x v="2"/>
    <n v="116.229"/>
    <n v="101.199"/>
    <n v="108.2"/>
    <n v="104.6995"/>
    <n v="700.1"/>
  </r>
  <r>
    <x v="0"/>
    <x v="19"/>
    <x v="2"/>
    <n v="116.229"/>
    <n v="101.199"/>
    <n v="108.2"/>
    <n v="104.6995"/>
    <n v="700.1"/>
  </r>
  <r>
    <x v="0"/>
    <x v="19"/>
    <x v="2"/>
    <n v="116.229"/>
    <n v="101.199"/>
    <n v="108.2"/>
    <n v="104.6995"/>
    <n v="700.1"/>
  </r>
  <r>
    <x v="0"/>
    <x v="19"/>
    <x v="2"/>
    <n v="116.229"/>
    <n v="101.199"/>
    <n v="108.2"/>
    <n v="104.6995"/>
    <n v="700.1"/>
  </r>
  <r>
    <x v="0"/>
    <x v="19"/>
    <x v="2"/>
    <n v="116.229"/>
    <n v="101.199"/>
    <n v="108.2"/>
    <n v="104.6995"/>
    <n v="700.1"/>
  </r>
  <r>
    <x v="0"/>
    <x v="19"/>
    <x v="2"/>
    <n v="116.229"/>
    <n v="101.199"/>
    <n v="108.2"/>
    <n v="104.6995"/>
    <n v="700.1"/>
  </r>
  <r>
    <x v="0"/>
    <x v="19"/>
    <x v="2"/>
    <n v="116.229"/>
    <n v="101.199"/>
    <n v="108.2"/>
    <n v="104.6995"/>
    <n v="700.1"/>
  </r>
  <r>
    <x v="0"/>
    <x v="19"/>
    <x v="2"/>
    <n v="116.229"/>
    <n v="101.199"/>
    <n v="108.2"/>
    <n v="104.6995"/>
    <n v="700.1"/>
  </r>
  <r>
    <x v="0"/>
    <x v="19"/>
    <x v="2"/>
    <n v="116.229"/>
    <n v="101.199"/>
    <n v="108.2"/>
    <n v="104.6995"/>
    <n v="700.1"/>
  </r>
  <r>
    <x v="0"/>
    <x v="19"/>
    <x v="2"/>
    <n v="116.229"/>
    <n v="101.199"/>
    <n v="108.2"/>
    <n v="104.6995"/>
    <n v="700.1"/>
  </r>
  <r>
    <x v="0"/>
    <x v="19"/>
    <x v="2"/>
    <n v="116.229"/>
    <n v="101.199"/>
    <n v="108.2"/>
    <n v="104.6995"/>
    <n v="700.1"/>
  </r>
  <r>
    <x v="0"/>
    <x v="19"/>
    <x v="2"/>
    <n v="116.229"/>
    <n v="101.199"/>
    <n v="108.2"/>
    <n v="104.6995"/>
    <n v="700.1"/>
  </r>
  <r>
    <x v="0"/>
    <x v="20"/>
    <x v="1"/>
    <n v="0.97336"/>
    <n v="0.98094999999999999"/>
    <n v="1.02441"/>
    <n v="1.00268"/>
    <n v="434.6"/>
  </r>
  <r>
    <x v="0"/>
    <x v="20"/>
    <x v="1"/>
    <n v="0.97336"/>
    <n v="0.98094999999999999"/>
    <n v="1.02441"/>
    <n v="1.00268"/>
    <n v="434.6"/>
  </r>
  <r>
    <x v="0"/>
    <x v="20"/>
    <x v="1"/>
    <n v="0.97336"/>
    <n v="0.98094999999999999"/>
    <n v="1.02441"/>
    <n v="1.00268"/>
    <n v="434.6"/>
  </r>
  <r>
    <x v="0"/>
    <x v="20"/>
    <x v="1"/>
    <n v="0.97336"/>
    <n v="0.98094999999999999"/>
    <n v="1.02441"/>
    <n v="1.00268"/>
    <n v="434.6"/>
  </r>
  <r>
    <x v="0"/>
    <x v="20"/>
    <x v="1"/>
    <n v="0.97336"/>
    <n v="0.98094999999999999"/>
    <n v="1.02441"/>
    <n v="1.00268"/>
    <n v="434.6"/>
  </r>
  <r>
    <x v="0"/>
    <x v="20"/>
    <x v="1"/>
    <n v="0.97336"/>
    <n v="0.98094999999999999"/>
    <n v="1.02441"/>
    <n v="1.00268"/>
    <n v="434.6"/>
  </r>
  <r>
    <x v="0"/>
    <x v="20"/>
    <x v="1"/>
    <n v="0.97336"/>
    <n v="0.98094999999999999"/>
    <n v="1.02441"/>
    <n v="1.00268"/>
    <n v="434.6"/>
  </r>
  <r>
    <x v="0"/>
    <x v="20"/>
    <x v="1"/>
    <n v="0.97336"/>
    <n v="0.98094999999999999"/>
    <n v="1.02441"/>
    <n v="1.00268"/>
    <n v="434.6"/>
  </r>
  <r>
    <x v="0"/>
    <x v="20"/>
    <x v="1"/>
    <n v="0.97336"/>
    <n v="0.98094999999999999"/>
    <n v="1.02441"/>
    <n v="1.00268"/>
    <n v="434.6"/>
  </r>
  <r>
    <x v="0"/>
    <x v="20"/>
    <x v="1"/>
    <n v="0.97336"/>
    <n v="0.98094999999999999"/>
    <n v="1.02441"/>
    <n v="1.00268"/>
    <n v="434.6"/>
  </r>
  <r>
    <x v="0"/>
    <x v="20"/>
    <x v="1"/>
    <n v="0.97336"/>
    <n v="0.98094999999999999"/>
    <n v="1.02441"/>
    <n v="1.00268"/>
    <n v="434.6"/>
  </r>
  <r>
    <x v="0"/>
    <x v="20"/>
    <x v="1"/>
    <n v="0.97336"/>
    <n v="0.98094999999999999"/>
    <n v="1.02441"/>
    <n v="1.00268"/>
    <n v="434.6"/>
  </r>
  <r>
    <x v="0"/>
    <x v="20"/>
    <x v="1"/>
    <n v="0.97336"/>
    <n v="0.98094999999999999"/>
    <n v="1.02441"/>
    <n v="1.00268"/>
    <n v="434.6"/>
  </r>
  <r>
    <x v="0"/>
    <x v="20"/>
    <x v="1"/>
    <n v="0.97336"/>
    <n v="0.98094999999999999"/>
    <n v="1.02441"/>
    <n v="1.00268"/>
    <n v="434.6"/>
  </r>
  <r>
    <x v="0"/>
    <x v="20"/>
    <x v="1"/>
    <n v="0.97336"/>
    <n v="0.98094999999999999"/>
    <n v="1.02441"/>
    <n v="1.00268"/>
    <n v="434.6"/>
  </r>
  <r>
    <x v="0"/>
    <x v="20"/>
    <x v="1"/>
    <n v="0.97336"/>
    <n v="0.98094999999999999"/>
    <n v="1.02441"/>
    <n v="1.00268"/>
    <n v="434.6"/>
  </r>
  <r>
    <x v="0"/>
    <x v="20"/>
    <x v="1"/>
    <n v="0.97336"/>
    <n v="0.98094999999999999"/>
    <n v="1.02441"/>
    <n v="1.00268"/>
    <n v="434.6"/>
  </r>
  <r>
    <x v="0"/>
    <x v="20"/>
    <x v="1"/>
    <n v="0.97336"/>
    <n v="0.98094999999999999"/>
    <n v="1.02441"/>
    <n v="1.00268"/>
    <n v="434.6"/>
  </r>
  <r>
    <x v="0"/>
    <x v="20"/>
    <x v="1"/>
    <n v="0.97336"/>
    <n v="0.98094999999999999"/>
    <n v="1.02441"/>
    <n v="1.00268"/>
    <n v="434.6"/>
  </r>
  <r>
    <x v="0"/>
    <x v="20"/>
    <x v="1"/>
    <n v="0.97336"/>
    <n v="0.98094999999999999"/>
    <n v="1.02441"/>
    <n v="1.00268"/>
    <n v="434.6"/>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3"/>
    <n v="1.2390099999999999"/>
    <n v="1.2649999999999999"/>
    <n v="1.3641000000000001"/>
    <n v="1.3145500000000001"/>
    <n v="99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0"/>
    <x v="2"/>
    <n v="117.765"/>
    <n v="101.199"/>
    <n v="108.2"/>
    <n v="104.6995"/>
    <n v="700.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3"/>
    <n v="1.24491"/>
    <n v="1.2649999999999999"/>
    <n v="1.3641000000000001"/>
    <n v="1.3145500000000001"/>
    <n v="991"/>
  </r>
  <r>
    <x v="0"/>
    <x v="21"/>
    <x v="2"/>
    <n v="118.542"/>
    <n v="101.199"/>
    <n v="108.2"/>
    <n v="104.6995"/>
    <n v="700.1"/>
  </r>
  <r>
    <x v="0"/>
    <x v="21"/>
    <x v="2"/>
    <n v="118.542"/>
    <n v="101.199"/>
    <n v="108.2"/>
    <n v="104.6995"/>
    <n v="700.1"/>
  </r>
  <r>
    <x v="0"/>
    <x v="21"/>
    <x v="2"/>
    <n v="118.542"/>
    <n v="101.199"/>
    <n v="108.2"/>
    <n v="104.6995"/>
    <n v="700.1"/>
  </r>
  <r>
    <x v="0"/>
    <x v="21"/>
    <x v="2"/>
    <n v="118.542"/>
    <n v="101.199"/>
    <n v="108.2"/>
    <n v="104.6995"/>
    <n v="700.1"/>
  </r>
  <r>
    <x v="0"/>
    <x v="21"/>
    <x v="2"/>
    <n v="118.542"/>
    <n v="101.199"/>
    <n v="108.2"/>
    <n v="104.6995"/>
    <n v="700.1"/>
  </r>
  <r>
    <x v="0"/>
    <x v="21"/>
    <x v="2"/>
    <n v="118.542"/>
    <n v="101.199"/>
    <n v="108.2"/>
    <n v="104.6995"/>
    <n v="700.1"/>
  </r>
  <r>
    <x v="0"/>
    <x v="21"/>
    <x v="2"/>
    <n v="118.542"/>
    <n v="101.199"/>
    <n v="108.2"/>
    <n v="104.6995"/>
    <n v="700.1"/>
  </r>
  <r>
    <x v="0"/>
    <x v="21"/>
    <x v="2"/>
    <n v="118.542"/>
    <n v="101.199"/>
    <n v="108.2"/>
    <n v="104.6995"/>
    <n v="700.1"/>
  </r>
  <r>
    <x v="0"/>
    <x v="21"/>
    <x v="2"/>
    <n v="118.542"/>
    <n v="101.199"/>
    <n v="108.2"/>
    <n v="104.6995"/>
    <n v="700.1"/>
  </r>
  <r>
    <x v="0"/>
    <x v="21"/>
    <x v="2"/>
    <n v="118.542"/>
    <n v="101.199"/>
    <n v="108.2"/>
    <n v="104.6995"/>
    <n v="700.1"/>
  </r>
  <r>
    <x v="0"/>
    <x v="21"/>
    <x v="2"/>
    <n v="118.542"/>
    <n v="101.199"/>
    <n v="108.2"/>
    <n v="104.6995"/>
    <n v="700.1"/>
  </r>
  <r>
    <x v="0"/>
    <x v="21"/>
    <x v="2"/>
    <n v="118.542"/>
    <n v="101.199"/>
    <n v="108.2"/>
    <n v="104.6995"/>
    <n v="700.1"/>
  </r>
  <r>
    <x v="0"/>
    <x v="21"/>
    <x v="2"/>
    <n v="118.542"/>
    <n v="101.199"/>
    <n v="108.2"/>
    <n v="104.6995"/>
    <n v="700.1"/>
  </r>
  <r>
    <x v="0"/>
    <x v="21"/>
    <x v="2"/>
    <n v="118.542"/>
    <n v="101.199"/>
    <n v="108.2"/>
    <n v="104.6995"/>
    <n v="700.1"/>
  </r>
  <r>
    <x v="0"/>
    <x v="21"/>
    <x v="2"/>
    <n v="118.542"/>
    <n v="101.199"/>
    <n v="108.2"/>
    <n v="104.6995"/>
    <n v="700.1"/>
  </r>
  <r>
    <x v="0"/>
    <x v="21"/>
    <x v="2"/>
    <n v="118.542"/>
    <n v="101.199"/>
    <n v="108.2"/>
    <n v="104.6995"/>
    <n v="700.1"/>
  </r>
  <r>
    <x v="0"/>
    <x v="21"/>
    <x v="2"/>
    <n v="118.542"/>
    <n v="101.199"/>
    <n v="108.2"/>
    <n v="104.6995"/>
    <n v="700.1"/>
  </r>
  <r>
    <x v="0"/>
    <x v="21"/>
    <x v="2"/>
    <n v="118.542"/>
    <n v="101.199"/>
    <n v="108.2"/>
    <n v="104.6995"/>
    <n v="700.1"/>
  </r>
  <r>
    <x v="0"/>
    <x v="21"/>
    <x v="2"/>
    <n v="118.542"/>
    <n v="101.199"/>
    <n v="108.2"/>
    <n v="104.6995"/>
    <n v="700.1"/>
  </r>
  <r>
    <x v="0"/>
    <x v="21"/>
    <x v="2"/>
    <n v="118.542"/>
    <n v="101.199"/>
    <n v="108.2"/>
    <n v="104.6995"/>
    <n v="700.1"/>
  </r>
  <r>
    <x v="0"/>
    <x v="21"/>
    <x v="2"/>
    <n v="118.542"/>
    <n v="101.199"/>
    <n v="108.2"/>
    <n v="104.6995"/>
    <n v="700.1"/>
  </r>
  <r>
    <x v="0"/>
    <x v="21"/>
    <x v="2"/>
    <n v="118.542"/>
    <n v="101.199"/>
    <n v="108.2"/>
    <n v="104.6995"/>
    <n v="700.1"/>
  </r>
  <r>
    <x v="0"/>
    <x v="21"/>
    <x v="2"/>
    <n v="118.542"/>
    <n v="101.199"/>
    <n v="108.2"/>
    <n v="104.6995"/>
    <n v="700.1"/>
  </r>
  <r>
    <x v="0"/>
    <x v="21"/>
    <x v="2"/>
    <n v="118.542"/>
    <n v="101.199"/>
    <n v="108.2"/>
    <n v="104.6995"/>
    <n v="700.1"/>
  </r>
  <r>
    <x v="0"/>
    <x v="21"/>
    <x v="2"/>
    <n v="118.542"/>
    <n v="101.199"/>
    <n v="108.2"/>
    <n v="104.6995"/>
    <n v="700.1"/>
  </r>
  <r>
    <x v="0"/>
    <x v="21"/>
    <x v="2"/>
    <n v="118.542"/>
    <n v="101.199"/>
    <n v="108.2"/>
    <n v="104.6995"/>
    <n v="700.1"/>
  </r>
  <r>
    <x v="0"/>
    <x v="21"/>
    <x v="2"/>
    <n v="118.542"/>
    <n v="101.199"/>
    <n v="108.2"/>
    <n v="104.6995"/>
    <n v="700.1"/>
  </r>
  <r>
    <x v="0"/>
    <x v="21"/>
    <x v="2"/>
    <n v="118.542"/>
    <n v="101.199"/>
    <n v="108.2"/>
    <n v="104.6995"/>
    <n v="700.1"/>
  </r>
  <r>
    <x v="0"/>
    <x v="21"/>
    <x v="2"/>
    <n v="118.542"/>
    <n v="101.199"/>
    <n v="108.2"/>
    <n v="104.6995"/>
    <n v="700.1"/>
  </r>
  <r>
    <x v="0"/>
    <x v="22"/>
    <x v="3"/>
    <n v="1.23058"/>
    <n v="1.2649999999999999"/>
    <n v="1.3641000000000001"/>
    <n v="1.3145500000000001"/>
    <n v="991"/>
  </r>
  <r>
    <x v="0"/>
    <x v="22"/>
    <x v="3"/>
    <n v="1.23058"/>
    <n v="1.2649999999999999"/>
    <n v="1.3641000000000001"/>
    <n v="1.3145500000000001"/>
    <n v="991"/>
  </r>
  <r>
    <x v="0"/>
    <x v="22"/>
    <x v="3"/>
    <n v="1.23058"/>
    <n v="1.2649999999999999"/>
    <n v="1.3641000000000001"/>
    <n v="1.3145500000000001"/>
    <n v="991"/>
  </r>
  <r>
    <x v="0"/>
    <x v="22"/>
    <x v="3"/>
    <n v="1.23058"/>
    <n v="1.2649999999999999"/>
    <n v="1.3641000000000001"/>
    <n v="1.3145500000000001"/>
    <n v="991"/>
  </r>
  <r>
    <x v="0"/>
    <x v="22"/>
    <x v="3"/>
    <n v="1.23058"/>
    <n v="1.2649999999999999"/>
    <n v="1.3641000000000001"/>
    <n v="1.3145500000000001"/>
    <n v="991"/>
  </r>
  <r>
    <x v="0"/>
    <x v="22"/>
    <x v="3"/>
    <n v="1.23058"/>
    <n v="1.2649999999999999"/>
    <n v="1.3641000000000001"/>
    <n v="1.3145500000000001"/>
    <n v="991"/>
  </r>
  <r>
    <x v="0"/>
    <x v="22"/>
    <x v="3"/>
    <n v="1.23058"/>
    <n v="1.2649999999999999"/>
    <n v="1.3641000000000001"/>
    <n v="1.3145500000000001"/>
    <n v="991"/>
  </r>
  <r>
    <x v="0"/>
    <x v="22"/>
    <x v="3"/>
    <n v="1.23058"/>
    <n v="1.2649999999999999"/>
    <n v="1.3641000000000001"/>
    <n v="1.3145500000000001"/>
    <n v="991"/>
  </r>
  <r>
    <x v="0"/>
    <x v="22"/>
    <x v="3"/>
    <n v="1.23058"/>
    <n v="1.2649999999999999"/>
    <n v="1.3641000000000001"/>
    <n v="1.3145500000000001"/>
    <n v="991"/>
  </r>
  <r>
    <x v="0"/>
    <x v="22"/>
    <x v="3"/>
    <n v="1.23058"/>
    <n v="1.2649999999999999"/>
    <n v="1.3641000000000001"/>
    <n v="1.3145500000000001"/>
    <n v="991"/>
  </r>
  <r>
    <x v="0"/>
    <x v="22"/>
    <x v="3"/>
    <n v="1.23058"/>
    <n v="1.2649999999999999"/>
    <n v="1.3641000000000001"/>
    <n v="1.3145500000000001"/>
    <n v="991"/>
  </r>
  <r>
    <x v="0"/>
    <x v="22"/>
    <x v="3"/>
    <n v="1.23058"/>
    <n v="1.2649999999999999"/>
    <n v="1.3641000000000001"/>
    <n v="1.3145500000000001"/>
    <n v="991"/>
  </r>
  <r>
    <x v="0"/>
    <x v="22"/>
    <x v="3"/>
    <n v="1.23058"/>
    <n v="1.2649999999999999"/>
    <n v="1.3641000000000001"/>
    <n v="1.3145500000000001"/>
    <n v="991"/>
  </r>
  <r>
    <x v="0"/>
    <x v="22"/>
    <x v="3"/>
    <n v="1.23058"/>
    <n v="1.2649999999999999"/>
    <n v="1.3641000000000001"/>
    <n v="1.3145500000000001"/>
    <n v="991"/>
  </r>
  <r>
    <x v="0"/>
    <x v="22"/>
    <x v="3"/>
    <n v="1.23058"/>
    <n v="1.2649999999999999"/>
    <n v="1.3641000000000001"/>
    <n v="1.3145500000000001"/>
    <n v="991"/>
  </r>
  <r>
    <x v="0"/>
    <x v="22"/>
    <x v="3"/>
    <n v="1.23058"/>
    <n v="1.2649999999999999"/>
    <n v="1.3641000000000001"/>
    <n v="1.3145500000000001"/>
    <n v="991"/>
  </r>
  <r>
    <x v="0"/>
    <x v="22"/>
    <x v="3"/>
    <n v="1.23058"/>
    <n v="1.2649999999999999"/>
    <n v="1.3641000000000001"/>
    <n v="1.3145500000000001"/>
    <n v="991"/>
  </r>
  <r>
    <x v="0"/>
    <x v="22"/>
    <x v="3"/>
    <n v="1.23058"/>
    <n v="1.2649999999999999"/>
    <n v="1.3641000000000001"/>
    <n v="1.3145500000000001"/>
    <n v="991"/>
  </r>
  <r>
    <x v="1"/>
    <x v="15"/>
    <x v="4"/>
    <n v="93.436999999999998"/>
    <n v="91.8"/>
    <n v="93.6"/>
    <n v="92.7"/>
    <n v="180"/>
  </r>
  <r>
    <x v="1"/>
    <x v="15"/>
    <x v="4"/>
    <n v="93.436999999999998"/>
    <n v="91.8"/>
    <n v="93.6"/>
    <n v="92.7"/>
    <n v="180"/>
  </r>
  <r>
    <x v="1"/>
    <x v="15"/>
    <x v="4"/>
    <n v="93.436999999999998"/>
    <n v="91.8"/>
    <n v="93.6"/>
    <n v="92.7"/>
    <n v="180"/>
  </r>
  <r>
    <x v="1"/>
    <x v="15"/>
    <x v="4"/>
    <n v="93.436999999999998"/>
    <n v="91.8"/>
    <n v="93.6"/>
    <n v="92.7"/>
    <n v="180"/>
  </r>
  <r>
    <x v="1"/>
    <x v="15"/>
    <x v="4"/>
    <n v="93.436999999999998"/>
    <n v="91.8"/>
    <n v="93.6"/>
    <n v="92.7"/>
    <n v="180"/>
  </r>
  <r>
    <x v="1"/>
    <x v="15"/>
    <x v="4"/>
    <n v="93.436999999999998"/>
    <n v="91.8"/>
    <n v="93.6"/>
    <n v="92.7"/>
    <n v="180"/>
  </r>
  <r>
    <x v="1"/>
    <x v="15"/>
    <x v="4"/>
    <n v="93.436999999999998"/>
    <n v="91.8"/>
    <n v="93.6"/>
    <n v="92.7"/>
    <n v="180"/>
  </r>
  <r>
    <x v="1"/>
    <x v="15"/>
    <x v="4"/>
    <n v="93.436999999999998"/>
    <n v="91.8"/>
    <n v="93.6"/>
    <n v="92.7"/>
    <n v="180"/>
  </r>
  <r>
    <x v="1"/>
    <x v="15"/>
    <x v="4"/>
    <n v="93.436999999999998"/>
    <n v="91.8"/>
    <n v="93.6"/>
    <n v="92.7"/>
    <n v="180"/>
  </r>
  <r>
    <x v="1"/>
    <x v="15"/>
    <x v="4"/>
    <n v="93.436999999999998"/>
    <n v="91.8"/>
    <n v="93.6"/>
    <n v="92.7"/>
    <n v="180"/>
  </r>
  <r>
    <x v="1"/>
    <x v="15"/>
    <x v="4"/>
    <n v="93.436999999999998"/>
    <n v="91.8"/>
    <n v="93.6"/>
    <n v="92.7"/>
    <n v="180"/>
  </r>
  <r>
    <x v="1"/>
    <x v="15"/>
    <x v="5"/>
    <n v="1.60911"/>
    <n v="1.5879700000000001"/>
    <n v="1.61205"/>
    <n v="1.6000099999999999"/>
    <n v="240.8"/>
  </r>
  <r>
    <x v="1"/>
    <x v="15"/>
    <x v="5"/>
    <n v="1.60911"/>
    <n v="1.5879700000000001"/>
    <n v="1.61205"/>
    <n v="1.6000099999999999"/>
    <n v="240.8"/>
  </r>
  <r>
    <x v="1"/>
    <x v="15"/>
    <x v="5"/>
    <n v="1.60911"/>
    <n v="1.5879700000000001"/>
    <n v="1.61205"/>
    <n v="1.6000099999999999"/>
    <n v="240.8"/>
  </r>
  <r>
    <x v="1"/>
    <x v="15"/>
    <x v="5"/>
    <n v="1.60911"/>
    <n v="1.5879700000000001"/>
    <n v="1.61205"/>
    <n v="1.6000099999999999"/>
    <n v="240.8"/>
  </r>
  <r>
    <x v="1"/>
    <x v="15"/>
    <x v="5"/>
    <n v="1.60911"/>
    <n v="1.5879700000000001"/>
    <n v="1.61205"/>
    <n v="1.6000099999999999"/>
    <n v="240.8"/>
  </r>
  <r>
    <x v="1"/>
    <x v="15"/>
    <x v="5"/>
    <n v="1.60911"/>
    <n v="1.5879700000000001"/>
    <n v="1.61205"/>
    <n v="1.6000099999999999"/>
    <n v="240.8"/>
  </r>
  <r>
    <x v="1"/>
    <x v="15"/>
    <x v="5"/>
    <n v="1.60911"/>
    <n v="1.5879700000000001"/>
    <n v="1.61205"/>
    <n v="1.6000099999999999"/>
    <n v="240.8"/>
  </r>
  <r>
    <x v="1"/>
    <x v="15"/>
    <x v="5"/>
    <n v="1.60911"/>
    <n v="1.5879700000000001"/>
    <n v="1.61205"/>
    <n v="1.6000099999999999"/>
    <n v="240.8"/>
  </r>
  <r>
    <x v="1"/>
    <x v="15"/>
    <x v="5"/>
    <n v="1.60911"/>
    <n v="1.5879700000000001"/>
    <n v="1.61205"/>
    <n v="1.6000099999999999"/>
    <n v="240.8"/>
  </r>
  <r>
    <x v="1"/>
    <x v="15"/>
    <x v="5"/>
    <n v="1.60911"/>
    <n v="1.5879700000000001"/>
    <n v="1.61205"/>
    <n v="1.6000099999999999"/>
    <n v="240.8"/>
  </r>
  <r>
    <x v="1"/>
    <x v="16"/>
    <x v="4"/>
    <n v="95.028999999999996"/>
    <n v="91.8"/>
    <n v="95.2"/>
    <n v="93.5"/>
    <n v="340"/>
  </r>
  <r>
    <x v="1"/>
    <x v="16"/>
    <x v="4"/>
    <n v="95.028999999999996"/>
    <n v="91.8"/>
    <n v="95.2"/>
    <n v="93.5"/>
    <n v="340"/>
  </r>
  <r>
    <x v="1"/>
    <x v="16"/>
    <x v="4"/>
    <n v="95.028999999999996"/>
    <n v="91.8"/>
    <n v="95.2"/>
    <n v="93.5"/>
    <n v="340"/>
  </r>
  <r>
    <x v="1"/>
    <x v="16"/>
    <x v="4"/>
    <n v="95.028999999999996"/>
    <n v="91.8"/>
    <n v="95.2"/>
    <n v="93.5"/>
    <n v="340"/>
  </r>
  <r>
    <x v="1"/>
    <x v="16"/>
    <x v="4"/>
    <n v="95.028999999999996"/>
    <n v="91.8"/>
    <n v="95.2"/>
    <n v="93.5"/>
    <n v="340"/>
  </r>
  <r>
    <x v="1"/>
    <x v="16"/>
    <x v="4"/>
    <n v="95.028999999999996"/>
    <n v="91.8"/>
    <n v="95.2"/>
    <n v="93.5"/>
    <n v="340"/>
  </r>
  <r>
    <x v="1"/>
    <x v="16"/>
    <x v="4"/>
    <n v="95.028999999999996"/>
    <n v="91.8"/>
    <n v="95.2"/>
    <n v="93.5"/>
    <n v="340"/>
  </r>
  <r>
    <x v="1"/>
    <x v="16"/>
    <x v="4"/>
    <n v="95.028999999999996"/>
    <n v="91.8"/>
    <n v="95.2"/>
    <n v="93.5"/>
    <n v="340"/>
  </r>
  <r>
    <x v="1"/>
    <x v="16"/>
    <x v="4"/>
    <n v="95.028999999999996"/>
    <n v="91.8"/>
    <n v="95.2"/>
    <n v="93.5"/>
    <n v="340"/>
  </r>
  <r>
    <x v="1"/>
    <x v="16"/>
    <x v="4"/>
    <n v="95.028999999999996"/>
    <n v="91.8"/>
    <n v="95.2"/>
    <n v="93.5"/>
    <n v="340"/>
  </r>
  <r>
    <x v="1"/>
    <x v="16"/>
    <x v="4"/>
    <n v="95.028999999999996"/>
    <n v="91.8"/>
    <n v="95.2"/>
    <n v="93.5"/>
    <n v="340"/>
  </r>
  <r>
    <x v="1"/>
    <x v="16"/>
    <x v="4"/>
    <n v="95.028999999999996"/>
    <n v="91.8"/>
    <n v="95.2"/>
    <n v="93.5"/>
    <n v="340"/>
  </r>
  <r>
    <x v="1"/>
    <x v="16"/>
    <x v="4"/>
    <n v="95.028999999999996"/>
    <n v="91.8"/>
    <n v="95.2"/>
    <n v="93.5"/>
    <n v="340"/>
  </r>
  <r>
    <x v="1"/>
    <x v="16"/>
    <x v="4"/>
    <n v="95.028999999999996"/>
    <n v="91.8"/>
    <n v="95.2"/>
    <n v="93.5"/>
    <n v="340"/>
  </r>
  <r>
    <x v="1"/>
    <x v="16"/>
    <x v="4"/>
    <n v="95.028999999999996"/>
    <n v="91.8"/>
    <n v="95.2"/>
    <n v="93.5"/>
    <n v="340"/>
  </r>
  <r>
    <x v="1"/>
    <x v="16"/>
    <x v="4"/>
    <n v="95.028999999999996"/>
    <n v="91.8"/>
    <n v="95.2"/>
    <n v="93.5"/>
    <n v="340"/>
  </r>
  <r>
    <x v="1"/>
    <x v="16"/>
    <x v="4"/>
    <n v="95.028999999999996"/>
    <n v="91.8"/>
    <n v="95.2"/>
    <n v="93.5"/>
    <n v="340"/>
  </r>
  <r>
    <x v="1"/>
    <x v="16"/>
    <x v="4"/>
    <n v="95.028999999999996"/>
    <n v="91.8"/>
    <n v="95.2"/>
    <n v="93.5"/>
    <n v="340"/>
  </r>
  <r>
    <x v="1"/>
    <x v="16"/>
    <x v="4"/>
    <n v="95.028999999999996"/>
    <n v="91.8"/>
    <n v="95.2"/>
    <n v="93.5"/>
    <n v="340"/>
  </r>
  <r>
    <x v="1"/>
    <x v="16"/>
    <x v="5"/>
    <n v="1.60877"/>
    <n v="1.5879700000000001"/>
    <n v="1.6180600000000001"/>
    <n v="1.6030150000000001"/>
    <n v="300.89999999999998"/>
  </r>
  <r>
    <x v="1"/>
    <x v="16"/>
    <x v="5"/>
    <n v="1.60877"/>
    <n v="1.5879700000000001"/>
    <n v="1.6180600000000001"/>
    <n v="1.6030150000000001"/>
    <n v="300.89999999999998"/>
  </r>
  <r>
    <x v="1"/>
    <x v="16"/>
    <x v="5"/>
    <n v="1.60877"/>
    <n v="1.5879700000000001"/>
    <n v="1.6180600000000001"/>
    <n v="1.6030150000000001"/>
    <n v="300.89999999999998"/>
  </r>
  <r>
    <x v="1"/>
    <x v="16"/>
    <x v="5"/>
    <n v="1.60877"/>
    <n v="1.5879700000000001"/>
    <n v="1.6180600000000001"/>
    <n v="1.6030150000000001"/>
    <n v="300.89999999999998"/>
  </r>
  <r>
    <x v="1"/>
    <x v="16"/>
    <x v="5"/>
    <n v="1.60877"/>
    <n v="1.5879700000000001"/>
    <n v="1.6180600000000001"/>
    <n v="1.6030150000000001"/>
    <n v="300.89999999999998"/>
  </r>
  <r>
    <x v="1"/>
    <x v="16"/>
    <x v="5"/>
    <n v="1.60877"/>
    <n v="1.5879700000000001"/>
    <n v="1.6180600000000001"/>
    <n v="1.6030150000000001"/>
    <n v="300.89999999999998"/>
  </r>
  <r>
    <x v="1"/>
    <x v="16"/>
    <x v="5"/>
    <n v="1.60877"/>
    <n v="1.5879700000000001"/>
    <n v="1.6180600000000001"/>
    <n v="1.6030150000000001"/>
    <n v="300.89999999999998"/>
  </r>
  <r>
    <x v="1"/>
    <x v="16"/>
    <x v="5"/>
    <n v="1.60877"/>
    <n v="1.5879700000000001"/>
    <n v="1.6180600000000001"/>
    <n v="1.6030150000000001"/>
    <n v="300.89999999999998"/>
  </r>
  <r>
    <x v="1"/>
    <x v="16"/>
    <x v="5"/>
    <n v="1.60877"/>
    <n v="1.5879700000000001"/>
    <n v="1.6180600000000001"/>
    <n v="1.6030150000000001"/>
    <n v="300.89999999999998"/>
  </r>
  <r>
    <x v="1"/>
    <x v="16"/>
    <x v="5"/>
    <n v="1.60877"/>
    <n v="1.5879700000000001"/>
    <n v="1.6180600000000001"/>
    <n v="1.6030150000000001"/>
    <n v="300.89999999999998"/>
  </r>
  <r>
    <x v="1"/>
    <x v="16"/>
    <x v="5"/>
    <n v="1.60877"/>
    <n v="1.5879700000000001"/>
    <n v="1.6180600000000001"/>
    <n v="1.6030150000000001"/>
    <n v="300.89999999999998"/>
  </r>
  <r>
    <x v="1"/>
    <x v="16"/>
    <x v="5"/>
    <n v="1.60877"/>
    <n v="1.5879700000000001"/>
    <n v="1.6180600000000001"/>
    <n v="1.6030150000000001"/>
    <n v="300.89999999999998"/>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4"/>
    <n v="98.766999999999996"/>
    <n v="91.8"/>
    <n v="98.804000000000002"/>
    <n v="95.302000000000007"/>
    <n v="700.4"/>
  </r>
  <r>
    <x v="1"/>
    <x v="17"/>
    <x v="5"/>
    <n v="1.5992599999999999"/>
    <n v="1.5879700000000001"/>
    <n v="1.6180600000000001"/>
    <n v="1.6030150000000001"/>
    <n v="300.89999999999998"/>
  </r>
  <r>
    <x v="1"/>
    <x v="17"/>
    <x v="5"/>
    <n v="1.5992599999999999"/>
    <n v="1.5879700000000001"/>
    <n v="1.6180600000000001"/>
    <n v="1.6030150000000001"/>
    <n v="300.89999999999998"/>
  </r>
  <r>
    <x v="1"/>
    <x v="17"/>
    <x v="5"/>
    <n v="1.5992599999999999"/>
    <n v="1.5879700000000001"/>
    <n v="1.6180600000000001"/>
    <n v="1.6030150000000001"/>
    <n v="300.89999999999998"/>
  </r>
  <r>
    <x v="1"/>
    <x v="17"/>
    <x v="5"/>
    <n v="1.5992599999999999"/>
    <n v="1.5879700000000001"/>
    <n v="1.6180600000000001"/>
    <n v="1.6030150000000001"/>
    <n v="300.89999999999998"/>
  </r>
  <r>
    <x v="1"/>
    <x v="17"/>
    <x v="5"/>
    <n v="1.5992599999999999"/>
    <n v="1.5879700000000001"/>
    <n v="1.6180600000000001"/>
    <n v="1.6030150000000001"/>
    <n v="300.89999999999998"/>
  </r>
  <r>
    <x v="1"/>
    <x v="17"/>
    <x v="5"/>
    <n v="1.5992599999999999"/>
    <n v="1.5879700000000001"/>
    <n v="1.6180600000000001"/>
    <n v="1.6030150000000001"/>
    <n v="300.89999999999998"/>
  </r>
  <r>
    <x v="1"/>
    <x v="17"/>
    <x v="5"/>
    <n v="1.5992599999999999"/>
    <n v="1.5879700000000001"/>
    <n v="1.6180600000000001"/>
    <n v="1.6030150000000001"/>
    <n v="300.89999999999998"/>
  </r>
  <r>
    <x v="1"/>
    <x v="17"/>
    <x v="5"/>
    <n v="1.5992599999999999"/>
    <n v="1.5879700000000001"/>
    <n v="1.6180600000000001"/>
    <n v="1.6030150000000001"/>
    <n v="300.89999999999998"/>
  </r>
  <r>
    <x v="1"/>
    <x v="17"/>
    <x v="5"/>
    <n v="1.5992599999999999"/>
    <n v="1.5879700000000001"/>
    <n v="1.6180600000000001"/>
    <n v="1.6030150000000001"/>
    <n v="300.89999999999998"/>
  </r>
  <r>
    <x v="1"/>
    <x v="17"/>
    <x v="5"/>
    <n v="1.5992599999999999"/>
    <n v="1.5879700000000001"/>
    <n v="1.6180600000000001"/>
    <n v="1.6030150000000001"/>
    <n v="300.89999999999998"/>
  </r>
  <r>
    <x v="1"/>
    <x v="17"/>
    <x v="5"/>
    <n v="1.5992599999999999"/>
    <n v="1.5879700000000001"/>
    <n v="1.6180600000000001"/>
    <n v="1.6030150000000001"/>
    <n v="300.89999999999998"/>
  </r>
  <r>
    <x v="1"/>
    <x v="17"/>
    <x v="5"/>
    <n v="1.5992599999999999"/>
    <n v="1.5879700000000001"/>
    <n v="1.6180600000000001"/>
    <n v="1.6030150000000001"/>
    <n v="300.89999999999998"/>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4"/>
    <n v="98.881"/>
    <n v="91.8"/>
    <n v="99.6"/>
    <n v="95.7"/>
    <n v="780"/>
  </r>
  <r>
    <x v="1"/>
    <x v="18"/>
    <x v="5"/>
    <n v="1.5866800000000001"/>
    <n v="1.57901"/>
    <n v="1.6180600000000001"/>
    <n v="1.598535"/>
    <n v="390.5"/>
  </r>
  <r>
    <x v="1"/>
    <x v="18"/>
    <x v="5"/>
    <n v="1.5866800000000001"/>
    <n v="1.57901"/>
    <n v="1.6180600000000001"/>
    <n v="1.598535"/>
    <n v="390.5"/>
  </r>
  <r>
    <x v="1"/>
    <x v="18"/>
    <x v="5"/>
    <n v="1.5866800000000001"/>
    <n v="1.57901"/>
    <n v="1.6180600000000001"/>
    <n v="1.598535"/>
    <n v="390.5"/>
  </r>
  <r>
    <x v="1"/>
    <x v="18"/>
    <x v="5"/>
    <n v="1.5866800000000001"/>
    <n v="1.57901"/>
    <n v="1.6180600000000001"/>
    <n v="1.598535"/>
    <n v="390.5"/>
  </r>
  <r>
    <x v="1"/>
    <x v="18"/>
    <x v="5"/>
    <n v="1.5866800000000001"/>
    <n v="1.57901"/>
    <n v="1.6180600000000001"/>
    <n v="1.598535"/>
    <n v="390.5"/>
  </r>
  <r>
    <x v="1"/>
    <x v="18"/>
    <x v="5"/>
    <n v="1.5866800000000001"/>
    <n v="1.57901"/>
    <n v="1.6180600000000001"/>
    <n v="1.598535"/>
    <n v="390.5"/>
  </r>
  <r>
    <x v="1"/>
    <x v="18"/>
    <x v="5"/>
    <n v="1.5866800000000001"/>
    <n v="1.57901"/>
    <n v="1.6180600000000001"/>
    <n v="1.598535"/>
    <n v="390.5"/>
  </r>
  <r>
    <x v="1"/>
    <x v="18"/>
    <x v="5"/>
    <n v="1.5866800000000001"/>
    <n v="1.57901"/>
    <n v="1.6180600000000001"/>
    <n v="1.598535"/>
    <n v="390.5"/>
  </r>
  <r>
    <x v="1"/>
    <x v="18"/>
    <x v="5"/>
    <n v="1.5866800000000001"/>
    <n v="1.57901"/>
    <n v="1.6180600000000001"/>
    <n v="1.598535"/>
    <n v="390.5"/>
  </r>
  <r>
    <x v="1"/>
    <x v="18"/>
    <x v="5"/>
    <n v="1.5866800000000001"/>
    <n v="1.57901"/>
    <n v="1.6180600000000001"/>
    <n v="1.598535"/>
    <n v="390.5"/>
  </r>
  <r>
    <x v="1"/>
    <x v="18"/>
    <x v="5"/>
    <n v="1.5866800000000001"/>
    <n v="1.57901"/>
    <n v="1.6180600000000001"/>
    <n v="1.598535"/>
    <n v="390.5"/>
  </r>
  <r>
    <x v="1"/>
    <x v="18"/>
    <x v="5"/>
    <n v="1.5866800000000001"/>
    <n v="1.57901"/>
    <n v="1.6180600000000001"/>
    <n v="1.598535"/>
    <n v="390.5"/>
  </r>
  <r>
    <x v="1"/>
    <x v="18"/>
    <x v="5"/>
    <n v="1.5866800000000001"/>
    <n v="1.57901"/>
    <n v="1.6180600000000001"/>
    <n v="1.598535"/>
    <n v="390.5"/>
  </r>
  <r>
    <x v="1"/>
    <x v="18"/>
    <x v="5"/>
    <n v="1.5866800000000001"/>
    <n v="1.57901"/>
    <n v="1.6180600000000001"/>
    <n v="1.598535"/>
    <n v="390.5"/>
  </r>
  <r>
    <x v="1"/>
    <x v="18"/>
    <x v="5"/>
    <n v="1.5866800000000001"/>
    <n v="1.57901"/>
    <n v="1.6180600000000001"/>
    <n v="1.598535"/>
    <n v="390.5"/>
  </r>
  <r>
    <x v="1"/>
    <x v="19"/>
    <x v="5"/>
    <n v="1.5666"/>
    <n v="1.5609999999999999"/>
    <n v="1.6180600000000001"/>
    <n v="1.5895300000000001"/>
    <n v="570.6"/>
  </r>
  <r>
    <x v="1"/>
    <x v="19"/>
    <x v="5"/>
    <n v="1.5666"/>
    <n v="1.5609999999999999"/>
    <n v="1.6180600000000001"/>
    <n v="1.5895300000000001"/>
    <n v="570.6"/>
  </r>
  <r>
    <x v="1"/>
    <x v="19"/>
    <x v="5"/>
    <n v="1.5666"/>
    <n v="1.5609999999999999"/>
    <n v="1.6180600000000001"/>
    <n v="1.5895300000000001"/>
    <n v="570.6"/>
  </r>
  <r>
    <x v="1"/>
    <x v="19"/>
    <x v="5"/>
    <n v="1.5666"/>
    <n v="1.5609999999999999"/>
    <n v="1.6180600000000001"/>
    <n v="1.5895300000000001"/>
    <n v="570.6"/>
  </r>
  <r>
    <x v="1"/>
    <x v="19"/>
    <x v="5"/>
    <n v="1.5666"/>
    <n v="1.5609999999999999"/>
    <n v="1.6180600000000001"/>
    <n v="1.5895300000000001"/>
    <n v="570.6"/>
  </r>
  <r>
    <x v="1"/>
    <x v="19"/>
    <x v="5"/>
    <n v="1.5666"/>
    <n v="1.5609999999999999"/>
    <n v="1.6180600000000001"/>
    <n v="1.5895300000000001"/>
    <n v="570.6"/>
  </r>
  <r>
    <x v="1"/>
    <x v="19"/>
    <x v="5"/>
    <n v="1.5666"/>
    <n v="1.5609999999999999"/>
    <n v="1.6180600000000001"/>
    <n v="1.5895300000000001"/>
    <n v="570.6"/>
  </r>
  <r>
    <x v="1"/>
    <x v="19"/>
    <x v="5"/>
    <n v="1.5666"/>
    <n v="1.5609999999999999"/>
    <n v="1.6180600000000001"/>
    <n v="1.5895300000000001"/>
    <n v="570.6"/>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4"/>
    <n v="101.705"/>
    <n v="91.8"/>
    <n v="101.801"/>
    <n v="96.8005"/>
    <n v="1000.1"/>
  </r>
  <r>
    <x v="1"/>
    <x v="19"/>
    <x v="5"/>
    <n v="1.5666"/>
    <n v="1.5609999999999999"/>
    <n v="1.6180600000000001"/>
    <n v="1.5895300000000001"/>
    <n v="570.6"/>
  </r>
  <r>
    <x v="1"/>
    <x v="19"/>
    <x v="5"/>
    <n v="1.5666"/>
    <n v="1.5609999999999999"/>
    <n v="1.6180600000000001"/>
    <n v="1.5895300000000001"/>
    <n v="570.6"/>
  </r>
  <r>
    <x v="1"/>
    <x v="19"/>
    <x v="5"/>
    <n v="1.5666"/>
    <n v="1.5609999999999999"/>
    <n v="1.6180600000000001"/>
    <n v="1.5895300000000001"/>
    <n v="570.6"/>
  </r>
  <r>
    <x v="1"/>
    <x v="19"/>
    <x v="5"/>
    <n v="1.5666"/>
    <n v="1.5609999999999999"/>
    <n v="1.6180600000000001"/>
    <n v="1.5895300000000001"/>
    <n v="570.6"/>
  </r>
  <r>
    <x v="1"/>
    <x v="19"/>
    <x v="5"/>
    <n v="1.5666"/>
    <n v="1.5609999999999999"/>
    <n v="1.6180600000000001"/>
    <n v="1.5895300000000001"/>
    <n v="570.6"/>
  </r>
  <r>
    <x v="1"/>
    <x v="19"/>
    <x v="5"/>
    <n v="1.5666"/>
    <n v="1.5609999999999999"/>
    <n v="1.6180600000000001"/>
    <n v="1.5895300000000001"/>
    <n v="570.6"/>
  </r>
  <r>
    <x v="1"/>
    <x v="19"/>
    <x v="5"/>
    <n v="1.5666"/>
    <n v="1.5609999999999999"/>
    <n v="1.6180600000000001"/>
    <n v="1.5895300000000001"/>
    <n v="570.6"/>
  </r>
  <r>
    <x v="1"/>
    <x v="19"/>
    <x v="5"/>
    <n v="1.5666"/>
    <n v="1.5609999999999999"/>
    <n v="1.6180600000000001"/>
    <n v="1.5895300000000001"/>
    <n v="570.6"/>
  </r>
  <r>
    <x v="1"/>
    <x v="19"/>
    <x v="5"/>
    <n v="1.5666"/>
    <n v="1.5609999999999999"/>
    <n v="1.6180600000000001"/>
    <n v="1.5895300000000001"/>
    <n v="570.6"/>
  </r>
  <r>
    <x v="1"/>
    <x v="19"/>
    <x v="5"/>
    <n v="1.5666"/>
    <n v="1.5609999999999999"/>
    <n v="1.6180600000000001"/>
    <n v="1.5895300000000001"/>
    <n v="570.6"/>
  </r>
  <r>
    <x v="1"/>
    <x v="19"/>
    <x v="5"/>
    <n v="1.5666"/>
    <n v="1.5609999999999999"/>
    <n v="1.6180600000000001"/>
    <n v="1.5895300000000001"/>
    <n v="570.6"/>
  </r>
  <r>
    <x v="1"/>
    <x v="19"/>
    <x v="5"/>
    <n v="1.5666"/>
    <n v="1.5609999999999999"/>
    <n v="1.6180600000000001"/>
    <n v="1.5895300000000001"/>
    <n v="570.6"/>
  </r>
  <r>
    <x v="1"/>
    <x v="19"/>
    <x v="5"/>
    <n v="1.5666"/>
    <n v="1.5609999999999999"/>
    <n v="1.6180600000000001"/>
    <n v="1.5895300000000001"/>
    <n v="570.6"/>
  </r>
  <r>
    <x v="1"/>
    <x v="20"/>
    <x v="5"/>
    <n v="1.56464"/>
    <n v="1.5609999999999999"/>
    <n v="1.6180600000000001"/>
    <n v="1.5895300000000001"/>
    <n v="570.6"/>
  </r>
  <r>
    <x v="1"/>
    <x v="20"/>
    <x v="5"/>
    <n v="1.56464"/>
    <n v="1.5609999999999999"/>
    <n v="1.6180600000000001"/>
    <n v="1.5895300000000001"/>
    <n v="570.6"/>
  </r>
  <r>
    <x v="1"/>
    <x v="20"/>
    <x v="5"/>
    <n v="1.56464"/>
    <n v="1.5609999999999999"/>
    <n v="1.6180600000000001"/>
    <n v="1.5895300000000001"/>
    <n v="570.6"/>
  </r>
  <r>
    <x v="1"/>
    <x v="20"/>
    <x v="5"/>
    <n v="1.56464"/>
    <n v="1.5609999999999999"/>
    <n v="1.6180600000000001"/>
    <n v="1.5895300000000001"/>
    <n v="570.6"/>
  </r>
  <r>
    <x v="1"/>
    <x v="20"/>
    <x v="5"/>
    <n v="1.56464"/>
    <n v="1.5609999999999999"/>
    <n v="1.6180600000000001"/>
    <n v="1.5895300000000001"/>
    <n v="570.6"/>
  </r>
  <r>
    <x v="1"/>
    <x v="20"/>
    <x v="5"/>
    <n v="1.56464"/>
    <n v="1.5609999999999999"/>
    <n v="1.6180600000000001"/>
    <n v="1.5895300000000001"/>
    <n v="570.6"/>
  </r>
  <r>
    <x v="1"/>
    <x v="20"/>
    <x v="5"/>
    <n v="1.56464"/>
    <n v="1.5609999999999999"/>
    <n v="1.6180600000000001"/>
    <n v="1.5895300000000001"/>
    <n v="570.6"/>
  </r>
  <r>
    <x v="1"/>
    <x v="20"/>
    <x v="5"/>
    <n v="1.56464"/>
    <n v="1.5609999999999999"/>
    <n v="1.6180600000000001"/>
    <n v="1.5895300000000001"/>
    <n v="570.6"/>
  </r>
  <r>
    <x v="1"/>
    <x v="20"/>
    <x v="5"/>
    <n v="1.56464"/>
    <n v="1.5609999999999999"/>
    <n v="1.6180600000000001"/>
    <n v="1.5895300000000001"/>
    <n v="570.6"/>
  </r>
  <r>
    <x v="1"/>
    <x v="20"/>
    <x v="5"/>
    <n v="1.56464"/>
    <n v="1.5609999999999999"/>
    <n v="1.6180600000000001"/>
    <n v="1.5895300000000001"/>
    <n v="570.6"/>
  </r>
  <r>
    <x v="1"/>
    <x v="20"/>
    <x v="5"/>
    <n v="1.56464"/>
    <n v="1.5609999999999999"/>
    <n v="1.6180600000000001"/>
    <n v="1.5895300000000001"/>
    <n v="570.6"/>
  </r>
  <r>
    <x v="1"/>
    <x v="20"/>
    <x v="5"/>
    <n v="1.56464"/>
    <n v="1.5609999999999999"/>
    <n v="1.6180600000000001"/>
    <n v="1.5895300000000001"/>
    <n v="570.6"/>
  </r>
  <r>
    <x v="1"/>
    <x v="20"/>
    <x v="5"/>
    <n v="1.56464"/>
    <n v="1.5609999999999999"/>
    <n v="1.6180600000000001"/>
    <n v="1.5895300000000001"/>
    <n v="570.6"/>
  </r>
  <r>
    <x v="1"/>
    <x v="20"/>
    <x v="5"/>
    <n v="1.56464"/>
    <n v="1.5609999999999999"/>
    <n v="1.6180600000000001"/>
    <n v="1.5895300000000001"/>
    <n v="570.6"/>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4"/>
    <n v="101.985"/>
    <n v="91.8"/>
    <n v="102.8"/>
    <n v="97.3"/>
    <n v="1100"/>
  </r>
  <r>
    <x v="1"/>
    <x v="20"/>
    <x v="5"/>
    <n v="1.56464"/>
    <n v="1.5609999999999999"/>
    <n v="1.6180600000000001"/>
    <n v="1.5895300000000001"/>
    <n v="570.6"/>
  </r>
  <r>
    <x v="1"/>
    <x v="20"/>
    <x v="5"/>
    <n v="1.56464"/>
    <n v="1.5609999999999999"/>
    <n v="1.6180600000000001"/>
    <n v="1.5895300000000001"/>
    <n v="570.6"/>
  </r>
  <r>
    <x v="1"/>
    <x v="20"/>
    <x v="5"/>
    <n v="1.56464"/>
    <n v="1.5609999999999999"/>
    <n v="1.6180600000000001"/>
    <n v="1.5895300000000001"/>
    <n v="570.6"/>
  </r>
  <r>
    <x v="1"/>
    <x v="20"/>
    <x v="5"/>
    <n v="1.56464"/>
    <n v="1.5609999999999999"/>
    <n v="1.6180600000000001"/>
    <n v="1.5895300000000001"/>
    <n v="570.6"/>
  </r>
  <r>
    <x v="1"/>
    <x v="20"/>
    <x v="5"/>
    <n v="1.56464"/>
    <n v="1.5609999999999999"/>
    <n v="1.6180600000000001"/>
    <n v="1.5895300000000001"/>
    <n v="570.6"/>
  </r>
  <r>
    <x v="1"/>
    <x v="20"/>
    <x v="5"/>
    <n v="1.56464"/>
    <n v="1.5609999999999999"/>
    <n v="1.6180600000000001"/>
    <n v="1.5895300000000001"/>
    <n v="570.6"/>
  </r>
  <r>
    <x v="1"/>
    <x v="20"/>
    <x v="5"/>
    <n v="1.56464"/>
    <n v="1.5609999999999999"/>
    <n v="1.6180600000000001"/>
    <n v="1.5895300000000001"/>
    <n v="570.6"/>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4"/>
    <n v="100.702"/>
    <n v="91.8"/>
    <n v="102.8"/>
    <n v="97.3"/>
    <n v="1100"/>
  </r>
  <r>
    <x v="1"/>
    <x v="21"/>
    <x v="5"/>
    <n v="1.56358"/>
    <n v="1.5609999999999999"/>
    <n v="1.6180600000000001"/>
    <n v="1.5895300000000001"/>
    <n v="570.6"/>
  </r>
  <r>
    <x v="1"/>
    <x v="21"/>
    <x v="5"/>
    <n v="1.56358"/>
    <n v="1.5609999999999999"/>
    <n v="1.6180600000000001"/>
    <n v="1.5895300000000001"/>
    <n v="570.6"/>
  </r>
  <r>
    <x v="1"/>
    <x v="21"/>
    <x v="5"/>
    <n v="1.56358"/>
    <n v="1.5609999999999999"/>
    <n v="1.6180600000000001"/>
    <n v="1.5895300000000001"/>
    <n v="570.6"/>
  </r>
  <r>
    <x v="1"/>
    <x v="21"/>
    <x v="5"/>
    <n v="1.56358"/>
    <n v="1.5609999999999999"/>
    <n v="1.6180600000000001"/>
    <n v="1.5895300000000001"/>
    <n v="570.6"/>
  </r>
  <r>
    <x v="1"/>
    <x v="21"/>
    <x v="5"/>
    <n v="1.56358"/>
    <n v="1.5609999999999999"/>
    <n v="1.6180600000000001"/>
    <n v="1.5895300000000001"/>
    <n v="570.6"/>
  </r>
  <r>
    <x v="1"/>
    <x v="21"/>
    <x v="5"/>
    <n v="1.56358"/>
    <n v="1.5609999999999999"/>
    <n v="1.6180600000000001"/>
    <n v="1.5895300000000001"/>
    <n v="570.6"/>
  </r>
  <r>
    <x v="1"/>
    <x v="21"/>
    <x v="5"/>
    <n v="1.56358"/>
    <n v="1.5609999999999999"/>
    <n v="1.6180600000000001"/>
    <n v="1.5895300000000001"/>
    <n v="570.6"/>
  </r>
  <r>
    <x v="1"/>
    <x v="21"/>
    <x v="5"/>
    <n v="1.56358"/>
    <n v="1.5609999999999999"/>
    <n v="1.6180600000000001"/>
    <n v="1.5895300000000001"/>
    <n v="570.6"/>
  </r>
  <r>
    <x v="1"/>
    <x v="21"/>
    <x v="5"/>
    <n v="1.56358"/>
    <n v="1.5609999999999999"/>
    <n v="1.6180600000000001"/>
    <n v="1.5895300000000001"/>
    <n v="570.6"/>
  </r>
  <r>
    <x v="1"/>
    <x v="21"/>
    <x v="5"/>
    <n v="1.56358"/>
    <n v="1.5609999999999999"/>
    <n v="1.6180600000000001"/>
    <n v="1.5895300000000001"/>
    <n v="570.6"/>
  </r>
  <r>
    <x v="1"/>
    <x v="21"/>
    <x v="5"/>
    <n v="1.56358"/>
    <n v="1.5609999999999999"/>
    <n v="1.6180600000000001"/>
    <n v="1.5895300000000001"/>
    <n v="570.6"/>
  </r>
  <r>
    <x v="1"/>
    <x v="21"/>
    <x v="5"/>
    <n v="1.56358"/>
    <n v="1.5609999999999999"/>
    <n v="1.6180600000000001"/>
    <n v="1.5895300000000001"/>
    <n v="570.6"/>
  </r>
  <r>
    <x v="1"/>
    <x v="21"/>
    <x v="5"/>
    <n v="1.56358"/>
    <n v="1.5609999999999999"/>
    <n v="1.6180600000000001"/>
    <n v="1.5895300000000001"/>
    <n v="570.6"/>
  </r>
  <r>
    <x v="1"/>
    <x v="21"/>
    <x v="5"/>
    <n v="1.56358"/>
    <n v="1.5609999999999999"/>
    <n v="1.6180600000000001"/>
    <n v="1.5895300000000001"/>
    <n v="570.6"/>
  </r>
  <r>
    <x v="1"/>
    <x v="21"/>
    <x v="5"/>
    <n v="1.56358"/>
    <n v="1.5609999999999999"/>
    <n v="1.6180600000000001"/>
    <n v="1.5895300000000001"/>
    <n v="570.6"/>
  </r>
  <r>
    <x v="1"/>
    <x v="21"/>
    <x v="5"/>
    <n v="1.56358"/>
    <n v="1.5609999999999999"/>
    <n v="1.6180600000000001"/>
    <n v="1.5895300000000001"/>
    <n v="570.6"/>
  </r>
  <r>
    <x v="1"/>
    <x v="21"/>
    <x v="5"/>
    <n v="1.56358"/>
    <n v="1.5609999999999999"/>
    <n v="1.6180600000000001"/>
    <n v="1.5895300000000001"/>
    <n v="570.6"/>
  </r>
  <r>
    <x v="1"/>
    <x v="21"/>
    <x v="5"/>
    <n v="1.56358"/>
    <n v="1.5609999999999999"/>
    <n v="1.6180600000000001"/>
    <n v="1.5895300000000001"/>
    <n v="570.6"/>
  </r>
  <r>
    <x v="1"/>
    <x v="21"/>
    <x v="5"/>
    <n v="1.56358"/>
    <n v="1.5609999999999999"/>
    <n v="1.6180600000000001"/>
    <n v="1.5895300000000001"/>
    <n v="570.6"/>
  </r>
  <r>
    <x v="1"/>
    <x v="21"/>
    <x v="5"/>
    <n v="1.56358"/>
    <n v="1.5609999999999999"/>
    <n v="1.6180600000000001"/>
    <n v="1.5895300000000001"/>
    <n v="570.6"/>
  </r>
  <r>
    <x v="1"/>
    <x v="21"/>
    <x v="5"/>
    <n v="1.56358"/>
    <n v="1.5609999999999999"/>
    <n v="1.6180600000000001"/>
    <n v="1.5895300000000001"/>
    <n v="570.6"/>
  </r>
  <r>
    <x v="1"/>
    <x v="22"/>
    <x v="5"/>
    <n v="1.55701"/>
    <n v="1.5575399999999999"/>
    <n v="1.6180600000000001"/>
    <n v="1.5878000000000001"/>
    <n v="605.20000000000005"/>
  </r>
  <r>
    <x v="1"/>
    <x v="22"/>
    <x v="5"/>
    <n v="1.55701"/>
    <n v="1.5575399999999999"/>
    <n v="1.6180600000000001"/>
    <n v="1.5878000000000001"/>
    <n v="605.20000000000005"/>
  </r>
  <r>
    <x v="1"/>
    <x v="22"/>
    <x v="5"/>
    <n v="1.55701"/>
    <n v="1.5575399999999999"/>
    <n v="1.6180600000000001"/>
    <n v="1.5878000000000001"/>
    <n v="605.20000000000005"/>
  </r>
  <r>
    <x v="1"/>
    <x v="22"/>
    <x v="5"/>
    <n v="1.55701"/>
    <n v="1.5575399999999999"/>
    <n v="1.6180600000000001"/>
    <n v="1.5878000000000001"/>
    <n v="605.20000000000005"/>
  </r>
  <r>
    <x v="1"/>
    <x v="22"/>
    <x v="5"/>
    <n v="1.55701"/>
    <n v="1.5575399999999999"/>
    <n v="1.6180600000000001"/>
    <n v="1.5878000000000001"/>
    <n v="605.20000000000005"/>
  </r>
  <r>
    <x v="1"/>
    <x v="22"/>
    <x v="5"/>
    <n v="1.55701"/>
    <n v="1.5575399999999999"/>
    <n v="1.6180600000000001"/>
    <n v="1.5878000000000001"/>
    <n v="605.20000000000005"/>
  </r>
  <r>
    <x v="1"/>
    <x v="22"/>
    <x v="5"/>
    <n v="1.55701"/>
    <n v="1.5575399999999999"/>
    <n v="1.6180600000000001"/>
    <n v="1.5878000000000001"/>
    <n v="605.20000000000005"/>
  </r>
  <r>
    <x v="1"/>
    <x v="22"/>
    <x v="5"/>
    <n v="1.55701"/>
    <n v="1.5575399999999999"/>
    <n v="1.6180600000000001"/>
    <n v="1.5878000000000001"/>
    <n v="605.20000000000005"/>
  </r>
  <r>
    <x v="1"/>
    <x v="22"/>
    <x v="5"/>
    <n v="1.55701"/>
    <n v="1.5575399999999999"/>
    <n v="1.6180600000000001"/>
    <n v="1.5878000000000001"/>
    <n v="605.20000000000005"/>
  </r>
  <r>
    <x v="1"/>
    <x v="22"/>
    <x v="5"/>
    <n v="1.55701"/>
    <n v="1.5575399999999999"/>
    <n v="1.6180600000000001"/>
    <n v="1.5878000000000001"/>
    <n v="605.20000000000005"/>
  </r>
  <r>
    <x v="1"/>
    <x v="22"/>
    <x v="5"/>
    <n v="1.55701"/>
    <n v="1.5575399999999999"/>
    <n v="1.6180600000000001"/>
    <n v="1.5878000000000001"/>
    <n v="605.20000000000005"/>
  </r>
  <r>
    <x v="1"/>
    <x v="22"/>
    <x v="5"/>
    <n v="1.55701"/>
    <n v="1.5575399999999999"/>
    <n v="1.6180600000000001"/>
    <n v="1.5878000000000001"/>
    <n v="605.20000000000005"/>
  </r>
  <r>
    <x v="1"/>
    <x v="22"/>
    <x v="5"/>
    <n v="1.55701"/>
    <n v="1.5575399999999999"/>
    <n v="1.6180600000000001"/>
    <n v="1.5878000000000001"/>
    <n v="605.20000000000005"/>
  </r>
  <r>
    <x v="1"/>
    <x v="22"/>
    <x v="5"/>
    <n v="1.55701"/>
    <n v="1.5575399999999999"/>
    <n v="1.6180600000000001"/>
    <n v="1.5878000000000001"/>
    <n v="605.20000000000005"/>
  </r>
  <r>
    <x v="1"/>
    <x v="22"/>
    <x v="5"/>
    <n v="1.55701"/>
    <n v="1.5575399999999999"/>
    <n v="1.6180600000000001"/>
    <n v="1.5878000000000001"/>
    <n v="605.20000000000005"/>
  </r>
  <r>
    <x v="1"/>
    <x v="22"/>
    <x v="5"/>
    <n v="1.55701"/>
    <n v="1.5575399999999999"/>
    <n v="1.6180600000000001"/>
    <n v="1.5878000000000001"/>
    <n v="605.20000000000005"/>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4"/>
    <n v="100.92100000000001"/>
    <n v="91.8"/>
    <n v="102.8"/>
    <n v="97.3"/>
    <n v="1100"/>
  </r>
  <r>
    <x v="1"/>
    <x v="22"/>
    <x v="5"/>
    <n v="1.55701"/>
    <n v="1.5575399999999999"/>
    <n v="1.6180600000000001"/>
    <n v="1.5878000000000001"/>
    <n v="605.20000000000005"/>
  </r>
  <r>
    <x v="1"/>
    <x v="22"/>
    <x v="5"/>
    <n v="1.55701"/>
    <n v="1.5575399999999999"/>
    <n v="1.6180600000000001"/>
    <n v="1.5878000000000001"/>
    <n v="605.20000000000005"/>
  </r>
  <r>
    <x v="1"/>
    <x v="22"/>
    <x v="5"/>
    <n v="1.55701"/>
    <n v="1.5575399999999999"/>
    <n v="1.6180600000000001"/>
    <n v="1.5878000000000001"/>
    <n v="605.20000000000005"/>
  </r>
  <r>
    <x v="1"/>
    <x v="22"/>
    <x v="5"/>
    <n v="1.55701"/>
    <n v="1.5575399999999999"/>
    <n v="1.6180600000000001"/>
    <n v="1.5878000000000001"/>
    <n v="605.20000000000005"/>
  </r>
  <r>
    <x v="1"/>
    <x v="22"/>
    <x v="5"/>
    <n v="1.55701"/>
    <n v="1.5575399999999999"/>
    <n v="1.6180600000000001"/>
    <n v="1.5878000000000001"/>
    <n v="605.20000000000005"/>
  </r>
  <r>
    <x v="1"/>
    <x v="22"/>
    <x v="5"/>
    <n v="1.55701"/>
    <n v="1.5575399999999999"/>
    <n v="1.6180600000000001"/>
    <n v="1.5878000000000001"/>
    <n v="605.20000000000005"/>
  </r>
  <r>
    <x v="1"/>
    <x v="22"/>
    <x v="5"/>
    <n v="1.55701"/>
    <n v="1.5575399999999999"/>
    <n v="1.6180600000000001"/>
    <n v="1.5878000000000001"/>
    <n v="605.20000000000005"/>
  </r>
  <r>
    <x v="1"/>
    <x v="22"/>
    <x v="5"/>
    <n v="1.55701"/>
    <n v="1.5575399999999999"/>
    <n v="1.6180600000000001"/>
    <n v="1.5878000000000001"/>
    <n v="605.20000000000005"/>
  </r>
  <r>
    <x v="1"/>
    <x v="23"/>
    <x v="5"/>
    <n v="1.5704800000000001"/>
    <n v="1.5549999999999999"/>
    <n v="1.6180600000000001"/>
    <n v="1.58653"/>
    <n v="630.6"/>
  </r>
  <r>
    <x v="1"/>
    <x v="23"/>
    <x v="5"/>
    <n v="1.5704800000000001"/>
    <n v="1.5549999999999999"/>
    <n v="1.6180600000000001"/>
    <n v="1.58653"/>
    <n v="630.6"/>
  </r>
  <r>
    <x v="1"/>
    <x v="23"/>
    <x v="5"/>
    <n v="1.5704800000000001"/>
    <n v="1.5549999999999999"/>
    <n v="1.6180600000000001"/>
    <n v="1.58653"/>
    <n v="630.6"/>
  </r>
  <r>
    <x v="1"/>
    <x v="23"/>
    <x v="5"/>
    <n v="1.5704800000000001"/>
    <n v="1.5549999999999999"/>
    <n v="1.6180600000000001"/>
    <n v="1.58653"/>
    <n v="630.6"/>
  </r>
  <r>
    <x v="1"/>
    <x v="23"/>
    <x v="5"/>
    <n v="1.5704800000000001"/>
    <n v="1.5549999999999999"/>
    <n v="1.6180600000000001"/>
    <n v="1.58653"/>
    <n v="630.6"/>
  </r>
  <r>
    <x v="1"/>
    <x v="23"/>
    <x v="5"/>
    <n v="1.5704800000000001"/>
    <n v="1.5549999999999999"/>
    <n v="1.6180600000000001"/>
    <n v="1.58653"/>
    <n v="630.6"/>
  </r>
  <r>
    <x v="1"/>
    <x v="23"/>
    <x v="5"/>
    <n v="1.5704800000000001"/>
    <n v="1.5549999999999999"/>
    <n v="1.6180600000000001"/>
    <n v="1.58653"/>
    <n v="630.6"/>
  </r>
  <r>
    <x v="1"/>
    <x v="23"/>
    <x v="5"/>
    <n v="1.5704800000000001"/>
    <n v="1.5549999999999999"/>
    <n v="1.6180600000000001"/>
    <n v="1.58653"/>
    <n v="630.6"/>
  </r>
  <r>
    <x v="1"/>
    <x v="23"/>
    <x v="5"/>
    <n v="1.5704800000000001"/>
    <n v="1.5549999999999999"/>
    <n v="1.6180600000000001"/>
    <n v="1.58653"/>
    <n v="630.6"/>
  </r>
  <r>
    <x v="1"/>
    <x v="23"/>
    <x v="5"/>
    <n v="1.5704800000000001"/>
    <n v="1.5549999999999999"/>
    <n v="1.6180600000000001"/>
    <n v="1.58653"/>
    <n v="630.6"/>
  </r>
  <r>
    <x v="1"/>
    <x v="23"/>
    <x v="5"/>
    <n v="1.5704800000000001"/>
    <n v="1.5549999999999999"/>
    <n v="1.6180600000000001"/>
    <n v="1.58653"/>
    <n v="630.6"/>
  </r>
  <r>
    <x v="1"/>
    <x v="23"/>
    <x v="5"/>
    <n v="1.5704800000000001"/>
    <n v="1.5549999999999999"/>
    <n v="1.6180600000000001"/>
    <n v="1.58653"/>
    <n v="630.6"/>
  </r>
  <r>
    <x v="1"/>
    <x v="23"/>
    <x v="5"/>
    <n v="1.5704800000000001"/>
    <n v="1.5549999999999999"/>
    <n v="1.6180600000000001"/>
    <n v="1.58653"/>
    <n v="630.6"/>
  </r>
  <r>
    <x v="1"/>
    <x v="23"/>
    <x v="5"/>
    <n v="1.5704800000000001"/>
    <n v="1.5549999999999999"/>
    <n v="1.6180600000000001"/>
    <n v="1.58653"/>
    <n v="630.6"/>
  </r>
  <r>
    <x v="1"/>
    <x v="23"/>
    <x v="5"/>
    <n v="1.5704800000000001"/>
    <n v="1.5549999999999999"/>
    <n v="1.6180600000000001"/>
    <n v="1.58653"/>
    <n v="630.6"/>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4"/>
    <n v="97.87"/>
    <n v="91.8"/>
    <n v="102.8"/>
    <n v="97.3"/>
    <n v="1100"/>
  </r>
  <r>
    <x v="1"/>
    <x v="23"/>
    <x v="5"/>
    <n v="1.5704800000000001"/>
    <n v="1.5549999999999999"/>
    <n v="1.6180600000000001"/>
    <n v="1.58653"/>
    <n v="630.6"/>
  </r>
  <r>
    <x v="1"/>
    <x v="23"/>
    <x v="5"/>
    <n v="1.5704800000000001"/>
    <n v="1.5549999999999999"/>
    <n v="1.6180600000000001"/>
    <n v="1.58653"/>
    <n v="630.6"/>
  </r>
  <r>
    <x v="1"/>
    <x v="23"/>
    <x v="5"/>
    <n v="1.5704800000000001"/>
    <n v="1.5549999999999999"/>
    <n v="1.6180600000000001"/>
    <n v="1.58653"/>
    <n v="630.6"/>
  </r>
  <r>
    <x v="1"/>
    <x v="23"/>
    <x v="5"/>
    <n v="1.5704800000000001"/>
    <n v="1.5549999999999999"/>
    <n v="1.6180600000000001"/>
    <n v="1.58653"/>
    <n v="630.6"/>
  </r>
  <r>
    <x v="1"/>
    <x v="23"/>
    <x v="5"/>
    <n v="1.5704800000000001"/>
    <n v="1.5549999999999999"/>
    <n v="1.6180600000000001"/>
    <n v="1.58653"/>
    <n v="630.6"/>
  </r>
  <r>
    <x v="1"/>
    <x v="23"/>
    <x v="5"/>
    <n v="1.5704800000000001"/>
    <n v="1.5549999999999999"/>
    <n v="1.6180600000000001"/>
    <n v="1.58653"/>
    <n v="630.6"/>
  </r>
  <r>
    <x v="1"/>
    <x v="23"/>
    <x v="5"/>
    <n v="1.5704800000000001"/>
    <n v="1.5549999999999999"/>
    <n v="1.6180600000000001"/>
    <n v="1.58653"/>
    <n v="630.6"/>
  </r>
  <r>
    <x v="1"/>
    <x v="23"/>
    <x v="5"/>
    <n v="1.5704800000000001"/>
    <n v="1.5549999999999999"/>
    <n v="1.6180600000000001"/>
    <n v="1.58653"/>
    <n v="630.6"/>
  </r>
  <r>
    <x v="1"/>
    <x v="24"/>
    <x v="4"/>
    <n v="96.194000000000003"/>
    <n v="91.8"/>
    <n v="102.8"/>
    <n v="97.3"/>
    <n v="1100"/>
  </r>
  <r>
    <x v="1"/>
    <x v="24"/>
    <x v="4"/>
    <n v="96.194000000000003"/>
    <n v="91.8"/>
    <n v="102.8"/>
    <n v="97.3"/>
    <n v="1100"/>
  </r>
  <r>
    <x v="1"/>
    <x v="24"/>
    <x v="4"/>
    <n v="96.194000000000003"/>
    <n v="91.8"/>
    <n v="102.8"/>
    <n v="97.3"/>
    <n v="1100"/>
  </r>
  <r>
    <x v="1"/>
    <x v="24"/>
    <x v="4"/>
    <n v="96.194000000000003"/>
    <n v="91.8"/>
    <n v="102.8"/>
    <n v="97.3"/>
    <n v="1100"/>
  </r>
  <r>
    <x v="1"/>
    <x v="24"/>
    <x v="4"/>
    <n v="96.194000000000003"/>
    <n v="91.8"/>
    <n v="102.8"/>
    <n v="97.3"/>
    <n v="1100"/>
  </r>
  <r>
    <x v="1"/>
    <x v="24"/>
    <x v="4"/>
    <n v="96.194000000000003"/>
    <n v="91.8"/>
    <n v="102.8"/>
    <n v="97.3"/>
    <n v="1100"/>
  </r>
  <r>
    <x v="1"/>
    <x v="24"/>
    <x v="4"/>
    <n v="96.194000000000003"/>
    <n v="91.8"/>
    <n v="102.8"/>
    <n v="97.3"/>
    <n v="1100"/>
  </r>
  <r>
    <x v="1"/>
    <x v="24"/>
    <x v="4"/>
    <n v="96.194000000000003"/>
    <n v="91.8"/>
    <n v="102.8"/>
    <n v="97.3"/>
    <n v="1100"/>
  </r>
  <r>
    <x v="1"/>
    <x v="24"/>
    <x v="4"/>
    <n v="96.194000000000003"/>
    <n v="91.8"/>
    <n v="102.8"/>
    <n v="97.3"/>
    <n v="1100"/>
  </r>
  <r>
    <x v="1"/>
    <x v="24"/>
    <x v="4"/>
    <n v="96.194000000000003"/>
    <n v="91.8"/>
    <n v="102.8"/>
    <n v="97.3"/>
    <n v="1100"/>
  </r>
  <r>
    <x v="1"/>
    <x v="24"/>
    <x v="4"/>
    <n v="96.194000000000003"/>
    <n v="91.8"/>
    <n v="102.8"/>
    <n v="97.3"/>
    <n v="1100"/>
  </r>
  <r>
    <x v="1"/>
    <x v="24"/>
    <x v="4"/>
    <n v="96.194000000000003"/>
    <n v="91.8"/>
    <n v="102.8"/>
    <n v="97.3"/>
    <n v="1100"/>
  </r>
  <r>
    <x v="1"/>
    <x v="24"/>
    <x v="4"/>
    <n v="96.194000000000003"/>
    <n v="91.8"/>
    <n v="102.8"/>
    <n v="97.3"/>
    <n v="1100"/>
  </r>
  <r>
    <x v="1"/>
    <x v="24"/>
    <x v="4"/>
    <n v="96.194000000000003"/>
    <n v="91.8"/>
    <n v="102.8"/>
    <n v="97.3"/>
    <n v="1100"/>
  </r>
  <r>
    <x v="1"/>
    <x v="24"/>
    <x v="4"/>
    <n v="96.194000000000003"/>
    <n v="91.8"/>
    <n v="102.8"/>
    <n v="97.3"/>
    <n v="1100"/>
  </r>
  <r>
    <x v="1"/>
    <x v="24"/>
    <x v="4"/>
    <n v="96.194000000000003"/>
    <n v="91.8"/>
    <n v="102.8"/>
    <n v="97.3"/>
    <n v="1100"/>
  </r>
  <r>
    <x v="1"/>
    <x v="24"/>
    <x v="4"/>
    <n v="96.194000000000003"/>
    <n v="91.8"/>
    <n v="102.8"/>
    <n v="97.3"/>
    <n v="1100"/>
  </r>
  <r>
    <x v="1"/>
    <x v="24"/>
    <x v="4"/>
    <n v="96.194000000000003"/>
    <n v="91.8"/>
    <n v="102.8"/>
    <n v="97.3"/>
    <n v="1100"/>
  </r>
  <r>
    <x v="1"/>
    <x v="24"/>
    <x v="4"/>
    <n v="96.194000000000003"/>
    <n v="91.8"/>
    <n v="102.8"/>
    <n v="97.3"/>
    <n v="1100"/>
  </r>
  <r>
    <x v="1"/>
    <x v="24"/>
    <x v="4"/>
    <n v="96.194000000000003"/>
    <n v="91.8"/>
    <n v="102.8"/>
    <n v="97.3"/>
    <n v="1100"/>
  </r>
  <r>
    <x v="2"/>
    <x v="25"/>
    <x v="6"/>
    <m/>
    <n v="0.85089000000000004"/>
    <n v="0.85089000000000004"/>
    <n v="0.85089000000000004"/>
    <n v="0"/>
  </r>
  <r>
    <x v="2"/>
    <x v="26"/>
    <x v="7"/>
    <n v="1.44556"/>
    <n v="1.4489700000000001"/>
    <n v="1.4489700000000001"/>
    <n v="1.4489700000000001"/>
    <n v="0"/>
  </r>
  <r>
    <x v="2"/>
    <x v="0"/>
    <x v="4"/>
    <n v="95.533000000000001"/>
    <n v="96.105000000000004"/>
    <n v="96.105000000000004"/>
    <n v="96.105000000000004"/>
    <n v="0"/>
  </r>
  <r>
    <x v="2"/>
    <x v="1"/>
    <x v="6"/>
    <n v="0.88136000000000003"/>
    <n v="0.85089000000000004"/>
    <n v="0.87760000000000005"/>
    <n v="0.86424500000000004"/>
    <n v="267.10000000000002"/>
  </r>
  <r>
    <x v="2"/>
    <x v="4"/>
    <x v="7"/>
    <n v="1.44095"/>
    <n v="1.43971"/>
    <n v="1.4489700000000001"/>
    <n v="1.44434"/>
    <n v="92.6"/>
  </r>
  <r>
    <x v="2"/>
    <x v="8"/>
    <x v="0"/>
    <n v="1.9832099999999999"/>
    <n v="1.9781"/>
    <n v="1.9901800000000001"/>
    <n v="1.98414"/>
    <n v="120.8"/>
  </r>
  <r>
    <x v="2"/>
    <x v="8"/>
    <x v="0"/>
    <n v="1.9832099999999999"/>
    <n v="1.9781"/>
    <n v="1.9901800000000001"/>
    <n v="1.98414"/>
    <n v="120.8"/>
  </r>
  <r>
    <x v="2"/>
    <x v="8"/>
    <x v="0"/>
    <n v="1.9832099999999999"/>
    <n v="1.9781"/>
    <n v="1.9901800000000001"/>
    <n v="1.98414"/>
    <n v="120.8"/>
  </r>
  <r>
    <x v="2"/>
    <x v="8"/>
    <x v="0"/>
    <n v="1.9832099999999999"/>
    <n v="1.9781"/>
    <n v="1.9901800000000001"/>
    <n v="1.98414"/>
    <n v="120.8"/>
  </r>
  <r>
    <x v="2"/>
    <x v="8"/>
    <x v="0"/>
    <n v="1.9832099999999999"/>
    <n v="1.9781"/>
    <n v="1.9901800000000001"/>
    <n v="1.98414"/>
    <n v="120.8"/>
  </r>
  <r>
    <x v="2"/>
    <x v="9"/>
    <x v="0"/>
    <n v="1.9601599999999999"/>
    <n v="1.95784"/>
    <n v="1.9901800000000001"/>
    <n v="1.97401"/>
    <n v="323.39999999999998"/>
  </r>
  <r>
    <x v="2"/>
    <x v="9"/>
    <x v="0"/>
    <n v="1.9601599999999999"/>
    <n v="1.95784"/>
    <n v="1.9901800000000001"/>
    <n v="1.97401"/>
    <n v="323.39999999999998"/>
  </r>
  <r>
    <x v="2"/>
    <x v="9"/>
    <x v="0"/>
    <n v="1.9601599999999999"/>
    <n v="1.95784"/>
    <n v="1.9901800000000001"/>
    <n v="1.97401"/>
    <n v="323.39999999999998"/>
  </r>
  <r>
    <x v="2"/>
    <x v="9"/>
    <x v="0"/>
    <n v="1.9601599999999999"/>
    <n v="1.95784"/>
    <n v="1.9901800000000001"/>
    <n v="1.97401"/>
    <n v="323.39999999999998"/>
  </r>
  <r>
    <x v="2"/>
    <x v="9"/>
    <x v="0"/>
    <n v="1.9601599999999999"/>
    <n v="1.95784"/>
    <n v="1.9901800000000001"/>
    <n v="1.97401"/>
    <n v="323.39999999999998"/>
  </r>
  <r>
    <x v="2"/>
    <x v="9"/>
    <x v="0"/>
    <n v="1.9601599999999999"/>
    <n v="1.95784"/>
    <n v="1.9901800000000001"/>
    <n v="1.97401"/>
    <n v="323.39999999999998"/>
  </r>
  <r>
    <x v="2"/>
    <x v="9"/>
    <x v="0"/>
    <n v="1.9601599999999999"/>
    <n v="1.95784"/>
    <n v="1.9901800000000001"/>
    <n v="1.97401"/>
    <n v="323.39999999999998"/>
  </r>
  <r>
    <x v="2"/>
    <x v="9"/>
    <x v="0"/>
    <n v="1.9601599999999999"/>
    <n v="1.95784"/>
    <n v="1.9901800000000001"/>
    <n v="1.97401"/>
    <n v="323.39999999999998"/>
  </r>
  <r>
    <x v="2"/>
    <x v="9"/>
    <x v="0"/>
    <n v="1.9601599999999999"/>
    <n v="1.95784"/>
    <n v="1.9901800000000001"/>
    <n v="1.97401"/>
    <n v="323.39999999999998"/>
  </r>
  <r>
    <x v="2"/>
    <x v="9"/>
    <x v="0"/>
    <n v="1.9601599999999999"/>
    <n v="1.95784"/>
    <n v="1.9901800000000001"/>
    <n v="1.97401"/>
    <n v="323.39999999999998"/>
  </r>
  <r>
    <x v="2"/>
    <x v="10"/>
    <x v="0"/>
    <n v="1.9964599999999999"/>
    <n v="1.9379900000000001"/>
    <n v="1.9943200000000001"/>
    <n v="1.9661550000000001"/>
    <n v="563.29999999999995"/>
  </r>
  <r>
    <x v="2"/>
    <x v="10"/>
    <x v="0"/>
    <n v="1.9964599999999999"/>
    <n v="1.9379900000000001"/>
    <n v="1.9943200000000001"/>
    <n v="1.9661550000000001"/>
    <n v="563.29999999999995"/>
  </r>
  <r>
    <x v="2"/>
    <x v="10"/>
    <x v="0"/>
    <n v="1.9964599999999999"/>
    <n v="1.9379900000000001"/>
    <n v="1.9943200000000001"/>
    <n v="1.9661550000000001"/>
    <n v="563.29999999999995"/>
  </r>
  <r>
    <x v="2"/>
    <x v="10"/>
    <x v="0"/>
    <n v="1.9964599999999999"/>
    <n v="1.9379900000000001"/>
    <n v="1.9943200000000001"/>
    <n v="1.9661550000000001"/>
    <n v="563.29999999999995"/>
  </r>
  <r>
    <x v="2"/>
    <x v="10"/>
    <x v="0"/>
    <n v="1.9964599999999999"/>
    <n v="1.9379900000000001"/>
    <n v="1.9943200000000001"/>
    <n v="1.9661550000000001"/>
    <n v="563.29999999999995"/>
  </r>
  <r>
    <x v="2"/>
    <x v="10"/>
    <x v="0"/>
    <n v="1.9964599999999999"/>
    <n v="1.9379900000000001"/>
    <n v="1.9943200000000001"/>
    <n v="1.9661550000000001"/>
    <n v="563.29999999999995"/>
  </r>
  <r>
    <x v="2"/>
    <x v="10"/>
    <x v="0"/>
    <n v="1.9964599999999999"/>
    <n v="1.9379900000000001"/>
    <n v="1.9943200000000001"/>
    <n v="1.9661550000000001"/>
    <n v="563.29999999999995"/>
  </r>
  <r>
    <x v="2"/>
    <x v="10"/>
    <x v="0"/>
    <n v="1.9964599999999999"/>
    <n v="1.9379900000000001"/>
    <n v="1.9943200000000001"/>
    <n v="1.9661550000000001"/>
    <n v="563.29999999999995"/>
  </r>
  <r>
    <x v="2"/>
    <x v="10"/>
    <x v="0"/>
    <n v="1.9964599999999999"/>
    <n v="1.9379900000000001"/>
    <n v="1.9943200000000001"/>
    <n v="1.9661550000000001"/>
    <n v="563.29999999999995"/>
  </r>
  <r>
    <x v="2"/>
    <x v="10"/>
    <x v="0"/>
    <n v="1.9964599999999999"/>
    <n v="1.9379900000000001"/>
    <n v="1.9943200000000001"/>
    <n v="1.9661550000000001"/>
    <n v="563.29999999999995"/>
  </r>
  <r>
    <x v="2"/>
    <x v="10"/>
    <x v="0"/>
    <n v="1.9964599999999999"/>
    <n v="1.9379900000000001"/>
    <n v="1.9943200000000001"/>
    <n v="1.9661550000000001"/>
    <n v="563.29999999999995"/>
  </r>
  <r>
    <x v="2"/>
    <x v="10"/>
    <x v="0"/>
    <n v="1.9964599999999999"/>
    <n v="1.9379900000000001"/>
    <n v="1.9943200000000001"/>
    <n v="1.9661550000000001"/>
    <n v="563.29999999999995"/>
  </r>
  <r>
    <x v="2"/>
    <x v="10"/>
    <x v="0"/>
    <n v="1.9964599999999999"/>
    <n v="1.9379900000000001"/>
    <n v="1.9943200000000001"/>
    <n v="1.9661550000000001"/>
    <n v="563.29999999999995"/>
  </r>
  <r>
    <x v="2"/>
    <x v="10"/>
    <x v="0"/>
    <n v="1.9964599999999999"/>
    <n v="1.9379900000000001"/>
    <n v="1.9943200000000001"/>
    <n v="1.9661550000000001"/>
    <n v="563.29999999999995"/>
  </r>
  <r>
    <x v="2"/>
    <x v="10"/>
    <x v="0"/>
    <n v="1.9964599999999999"/>
    <n v="1.9379900000000001"/>
    <n v="1.9943200000000001"/>
    <n v="1.9661550000000001"/>
    <n v="563.29999999999995"/>
  </r>
  <r>
    <x v="2"/>
    <x v="10"/>
    <x v="0"/>
    <n v="1.9964599999999999"/>
    <n v="1.9379900000000001"/>
    <n v="1.9943200000000001"/>
    <n v="1.9661550000000001"/>
    <n v="563.29999999999995"/>
  </r>
  <r>
    <x v="2"/>
    <x v="10"/>
    <x v="0"/>
    <n v="1.9964599999999999"/>
    <n v="1.9379900000000001"/>
    <n v="1.9943200000000001"/>
    <n v="1.9661550000000001"/>
    <n v="563.29999999999995"/>
  </r>
  <r>
    <x v="2"/>
    <x v="11"/>
    <x v="0"/>
    <n v="2.0033099999999999"/>
    <n v="1.9379900000000001"/>
    <n v="2.0340400000000001"/>
    <n v="1.9860150000000001"/>
    <n v="960.5"/>
  </r>
  <r>
    <x v="2"/>
    <x v="11"/>
    <x v="0"/>
    <n v="2.0033099999999999"/>
    <n v="1.9379900000000001"/>
    <n v="2.0340400000000001"/>
    <n v="1.9860150000000001"/>
    <n v="960.5"/>
  </r>
  <r>
    <x v="2"/>
    <x v="11"/>
    <x v="0"/>
    <n v="2.0033099999999999"/>
    <n v="1.9379900000000001"/>
    <n v="2.0340400000000001"/>
    <n v="1.9860150000000001"/>
    <n v="960.5"/>
  </r>
  <r>
    <x v="2"/>
    <x v="11"/>
    <x v="0"/>
    <n v="2.0033099999999999"/>
    <n v="1.9379900000000001"/>
    <n v="2.0340400000000001"/>
    <n v="1.9860150000000001"/>
    <n v="960.5"/>
  </r>
  <r>
    <x v="2"/>
    <x v="11"/>
    <x v="0"/>
    <n v="2.0033099999999999"/>
    <n v="1.9379900000000001"/>
    <n v="2.0340400000000001"/>
    <n v="1.9860150000000001"/>
    <n v="960.5"/>
  </r>
  <r>
    <x v="2"/>
    <x v="11"/>
    <x v="0"/>
    <n v="2.0033099999999999"/>
    <n v="1.9379900000000001"/>
    <n v="2.0340400000000001"/>
    <n v="1.9860150000000001"/>
    <n v="960.5"/>
  </r>
  <r>
    <x v="2"/>
    <x v="11"/>
    <x v="0"/>
    <n v="2.0033099999999999"/>
    <n v="1.9379900000000001"/>
    <n v="2.0340400000000001"/>
    <n v="1.9860150000000001"/>
    <n v="960.5"/>
  </r>
  <r>
    <x v="2"/>
    <x v="11"/>
    <x v="0"/>
    <n v="2.0033099999999999"/>
    <n v="1.9379900000000001"/>
    <n v="2.0340400000000001"/>
    <n v="1.9860150000000001"/>
    <n v="960.5"/>
  </r>
  <r>
    <x v="2"/>
    <x v="11"/>
    <x v="0"/>
    <n v="2.0033099999999999"/>
    <n v="1.9379900000000001"/>
    <n v="2.0340400000000001"/>
    <n v="1.9860150000000001"/>
    <n v="960.5"/>
  </r>
  <r>
    <x v="2"/>
    <x v="11"/>
    <x v="0"/>
    <n v="2.0033099999999999"/>
    <n v="1.9379900000000001"/>
    <n v="2.0340400000000001"/>
    <n v="1.9860150000000001"/>
    <n v="960.5"/>
  </r>
  <r>
    <x v="2"/>
    <x v="11"/>
    <x v="0"/>
    <n v="2.0033099999999999"/>
    <n v="1.9379900000000001"/>
    <n v="2.0340400000000001"/>
    <n v="1.9860150000000001"/>
    <n v="960.5"/>
  </r>
  <r>
    <x v="2"/>
    <x v="11"/>
    <x v="0"/>
    <n v="2.0033099999999999"/>
    <n v="1.9379900000000001"/>
    <n v="2.0340400000000001"/>
    <n v="1.9860150000000001"/>
    <n v="960.5"/>
  </r>
  <r>
    <x v="2"/>
    <x v="11"/>
    <x v="0"/>
    <n v="2.0033099999999999"/>
    <n v="1.9379900000000001"/>
    <n v="2.0340400000000001"/>
    <n v="1.9860150000000001"/>
    <n v="960.5"/>
  </r>
  <r>
    <x v="2"/>
    <x v="11"/>
    <x v="0"/>
    <n v="2.0033099999999999"/>
    <n v="1.9379900000000001"/>
    <n v="2.0340400000000001"/>
    <n v="1.9860150000000001"/>
    <n v="960.5"/>
  </r>
  <r>
    <x v="2"/>
    <x v="11"/>
    <x v="0"/>
    <n v="2.0033099999999999"/>
    <n v="1.9379900000000001"/>
    <n v="2.0340400000000001"/>
    <n v="1.9860150000000001"/>
    <n v="960.5"/>
  </r>
  <r>
    <x v="2"/>
    <x v="11"/>
    <x v="0"/>
    <n v="2.0033099999999999"/>
    <n v="1.9379900000000001"/>
    <n v="2.0340400000000001"/>
    <n v="1.9860150000000001"/>
    <n v="960.5"/>
  </r>
  <r>
    <x v="2"/>
    <x v="11"/>
    <x v="0"/>
    <n v="2.0033099999999999"/>
    <n v="1.9379900000000001"/>
    <n v="2.0340400000000001"/>
    <n v="1.9860150000000001"/>
    <n v="960.5"/>
  </r>
  <r>
    <x v="2"/>
    <x v="11"/>
    <x v="0"/>
    <n v="2.0033099999999999"/>
    <n v="1.9379900000000001"/>
    <n v="2.0340400000000001"/>
    <n v="1.9860150000000001"/>
    <n v="960.5"/>
  </r>
  <r>
    <x v="2"/>
    <x v="11"/>
    <x v="0"/>
    <n v="2.0033099999999999"/>
    <n v="1.9379900000000001"/>
    <n v="2.0340400000000001"/>
    <n v="1.9860150000000001"/>
    <n v="960.5"/>
  </r>
  <r>
    <x v="2"/>
    <x v="11"/>
    <x v="0"/>
    <n v="2.0033099999999999"/>
    <n v="1.9379900000000001"/>
    <n v="2.0340400000000001"/>
    <n v="1.9860150000000001"/>
    <n v="960.5"/>
  </r>
  <r>
    <x v="2"/>
    <x v="11"/>
    <x v="0"/>
    <n v="2.0033099999999999"/>
    <n v="1.9379900000000001"/>
    <n v="2.0340400000000001"/>
    <n v="1.9860150000000001"/>
    <n v="960.5"/>
  </r>
  <r>
    <x v="2"/>
    <x v="11"/>
    <x v="0"/>
    <n v="2.0033099999999999"/>
    <n v="1.9379900000000001"/>
    <n v="2.0340400000000001"/>
    <n v="1.9860150000000001"/>
    <n v="960.5"/>
  </r>
  <r>
    <x v="2"/>
    <x v="11"/>
    <x v="0"/>
    <n v="2.0033099999999999"/>
    <n v="1.9379900000000001"/>
    <n v="2.0340400000000001"/>
    <n v="1.9860150000000001"/>
    <n v="960.5"/>
  </r>
  <r>
    <x v="2"/>
    <x v="11"/>
    <x v="0"/>
    <n v="2.0033099999999999"/>
    <n v="1.9379900000000001"/>
    <n v="2.0340400000000001"/>
    <n v="1.9860150000000001"/>
    <n v="960.5"/>
  </r>
  <r>
    <x v="2"/>
    <x v="11"/>
    <x v="0"/>
    <n v="2.0033099999999999"/>
    <n v="1.9379900000000001"/>
    <n v="2.0340400000000001"/>
    <n v="1.9860150000000001"/>
    <n v="960.5"/>
  </r>
  <r>
    <x v="2"/>
    <x v="11"/>
    <x v="0"/>
    <n v="2.0033099999999999"/>
    <n v="1.9379900000000001"/>
    <n v="2.0340400000000001"/>
    <n v="1.9860150000000001"/>
    <n v="960.5"/>
  </r>
  <r>
    <x v="2"/>
    <x v="11"/>
    <x v="0"/>
    <n v="2.0033099999999999"/>
    <n v="1.9379900000000001"/>
    <n v="2.0340400000000001"/>
    <n v="1.9860150000000001"/>
    <n v="960.5"/>
  </r>
  <r>
    <x v="2"/>
    <x v="12"/>
    <x v="0"/>
    <n v="2.0645099999999998"/>
    <n v="1.9379900000000001"/>
    <n v="2.06609"/>
    <n v="2.00204"/>
    <n v="1281"/>
  </r>
  <r>
    <x v="2"/>
    <x v="12"/>
    <x v="0"/>
    <n v="2.0645099999999998"/>
    <n v="1.9379900000000001"/>
    <n v="2.06609"/>
    <n v="2.00204"/>
    <n v="1281"/>
  </r>
  <r>
    <x v="2"/>
    <x v="12"/>
    <x v="0"/>
    <n v="2.0645099999999998"/>
    <n v="1.9379900000000001"/>
    <n v="2.06609"/>
    <n v="2.00204"/>
    <n v="1281"/>
  </r>
  <r>
    <x v="2"/>
    <x v="12"/>
    <x v="0"/>
    <n v="2.0645099999999998"/>
    <n v="1.9379900000000001"/>
    <n v="2.06609"/>
    <n v="2.00204"/>
    <n v="1281"/>
  </r>
  <r>
    <x v="2"/>
    <x v="12"/>
    <x v="0"/>
    <n v="2.0645099999999998"/>
    <n v="1.9379900000000001"/>
    <n v="2.06609"/>
    <n v="2.00204"/>
    <n v="1281"/>
  </r>
  <r>
    <x v="2"/>
    <x v="12"/>
    <x v="0"/>
    <n v="2.0645099999999998"/>
    <n v="1.9379900000000001"/>
    <n v="2.06609"/>
    <n v="2.00204"/>
    <n v="1281"/>
  </r>
  <r>
    <x v="2"/>
    <x v="12"/>
    <x v="0"/>
    <n v="2.0645099999999998"/>
    <n v="1.9379900000000001"/>
    <n v="2.06609"/>
    <n v="2.00204"/>
    <n v="1281"/>
  </r>
  <r>
    <x v="2"/>
    <x v="12"/>
    <x v="0"/>
    <n v="2.0645099999999998"/>
    <n v="1.9379900000000001"/>
    <n v="2.06609"/>
    <n v="2.00204"/>
    <n v="1281"/>
  </r>
  <r>
    <x v="2"/>
    <x v="12"/>
    <x v="0"/>
    <n v="2.0645099999999998"/>
    <n v="1.9379900000000001"/>
    <n v="2.06609"/>
    <n v="2.00204"/>
    <n v="1281"/>
  </r>
  <r>
    <x v="2"/>
    <x v="12"/>
    <x v="0"/>
    <n v="2.0645099999999998"/>
    <n v="1.9379900000000001"/>
    <n v="2.06609"/>
    <n v="2.00204"/>
    <n v="1281"/>
  </r>
  <r>
    <x v="2"/>
    <x v="12"/>
    <x v="0"/>
    <n v="2.0645099999999998"/>
    <n v="1.9379900000000001"/>
    <n v="2.06609"/>
    <n v="2.00204"/>
    <n v="1281"/>
  </r>
  <r>
    <x v="2"/>
    <x v="13"/>
    <x v="0"/>
    <n v="2.0541200000000002"/>
    <n v="1.9379900000000001"/>
    <n v="2.06609"/>
    <n v="2.00204"/>
    <n v="1281"/>
  </r>
  <r>
    <x v="2"/>
    <x v="13"/>
    <x v="0"/>
    <n v="2.0541200000000002"/>
    <n v="1.9379900000000001"/>
    <n v="2.06609"/>
    <n v="2.00204"/>
    <n v="1281"/>
  </r>
  <r>
    <x v="2"/>
    <x v="14"/>
    <x v="0"/>
    <n v="2.0561799999999999"/>
    <n v="1.9379900000000001"/>
    <n v="2.06609"/>
    <n v="2.00204"/>
    <n v="1281"/>
  </r>
  <r>
    <x v="2"/>
    <x v="14"/>
    <x v="0"/>
    <n v="2.0561799999999999"/>
    <n v="1.9379900000000001"/>
    <n v="2.06609"/>
    <n v="2.00204"/>
    <n v="1281"/>
  </r>
  <r>
    <x v="2"/>
    <x v="14"/>
    <x v="0"/>
    <n v="2.0561799999999999"/>
    <n v="1.9379900000000001"/>
    <n v="2.06609"/>
    <n v="2.00204"/>
    <n v="1281"/>
  </r>
  <r>
    <x v="2"/>
    <x v="14"/>
    <x v="0"/>
    <n v="2.0561799999999999"/>
    <n v="1.9379900000000001"/>
    <n v="2.06609"/>
    <n v="2.00204"/>
    <n v="1281"/>
  </r>
  <r>
    <x v="2"/>
    <x v="14"/>
    <x v="0"/>
    <n v="2.0561799999999999"/>
    <n v="1.9379900000000001"/>
    <n v="2.06609"/>
    <n v="2.00204"/>
    <n v="1281"/>
  </r>
  <r>
    <x v="2"/>
    <x v="14"/>
    <x v="0"/>
    <n v="2.0561799999999999"/>
    <n v="1.9379900000000001"/>
    <n v="2.06609"/>
    <n v="2.00204"/>
    <n v="1281"/>
  </r>
  <r>
    <x v="2"/>
    <x v="14"/>
    <x v="0"/>
    <n v="2.0561799999999999"/>
    <n v="1.9379900000000001"/>
    <n v="2.06609"/>
    <n v="2.00204"/>
    <n v="1281"/>
  </r>
  <r>
    <x v="2"/>
    <x v="14"/>
    <x v="0"/>
    <n v="2.0561799999999999"/>
    <n v="1.9379900000000001"/>
    <n v="2.06609"/>
    <n v="2.00204"/>
    <n v="1281"/>
  </r>
  <r>
    <x v="2"/>
    <x v="14"/>
    <x v="0"/>
    <n v="2.0561799999999999"/>
    <n v="1.9379900000000001"/>
    <n v="2.06609"/>
    <n v="2.00204"/>
    <n v="1281"/>
  </r>
  <r>
    <x v="2"/>
    <x v="14"/>
    <x v="0"/>
    <n v="2.0561799999999999"/>
    <n v="1.9379900000000001"/>
    <n v="2.06609"/>
    <n v="2.00204"/>
    <n v="1281"/>
  </r>
  <r>
    <x v="2"/>
    <x v="15"/>
    <x v="0"/>
    <n v="2.0307300000000001"/>
    <n v="1.9379900000000001"/>
    <n v="2.06609"/>
    <n v="2.00204"/>
    <n v="1281"/>
  </r>
  <r>
    <x v="2"/>
    <x v="15"/>
    <x v="0"/>
    <n v="2.0307300000000001"/>
    <n v="1.9379900000000001"/>
    <n v="2.06609"/>
    <n v="2.00204"/>
    <n v="1281"/>
  </r>
  <r>
    <x v="2"/>
    <x v="15"/>
    <x v="0"/>
    <n v="2.0307300000000001"/>
    <n v="1.9379900000000001"/>
    <n v="2.06609"/>
    <n v="2.00204"/>
    <n v="1281"/>
  </r>
  <r>
    <x v="2"/>
    <x v="15"/>
    <x v="0"/>
    <n v="2.0307300000000001"/>
    <n v="1.9379900000000001"/>
    <n v="2.06609"/>
    <n v="2.00204"/>
    <n v="1281"/>
  </r>
  <r>
    <x v="2"/>
    <x v="15"/>
    <x v="0"/>
    <n v="2.0307300000000001"/>
    <n v="1.9379900000000001"/>
    <n v="2.06609"/>
    <n v="2.00204"/>
    <n v="1281"/>
  </r>
  <r>
    <x v="2"/>
    <x v="15"/>
    <x v="0"/>
    <n v="2.0307300000000001"/>
    <n v="1.9379900000000001"/>
    <n v="2.06609"/>
    <n v="2.00204"/>
    <n v="1281"/>
  </r>
  <r>
    <x v="2"/>
    <x v="15"/>
    <x v="0"/>
    <n v="2.0307300000000001"/>
    <n v="1.9379900000000001"/>
    <n v="2.06609"/>
    <n v="2.00204"/>
    <n v="1281"/>
  </r>
  <r>
    <x v="2"/>
    <x v="15"/>
    <x v="0"/>
    <n v="2.0307300000000001"/>
    <n v="1.9379900000000001"/>
    <n v="2.06609"/>
    <n v="2.00204"/>
    <n v="1281"/>
  </r>
  <r>
    <x v="2"/>
    <x v="15"/>
    <x v="0"/>
    <n v="2.0307300000000001"/>
    <n v="1.9379900000000001"/>
    <n v="2.06609"/>
    <n v="2.00204"/>
    <n v="1281"/>
  </r>
  <r>
    <x v="2"/>
    <x v="15"/>
    <x v="0"/>
    <n v="2.0307300000000001"/>
    <n v="1.9379900000000001"/>
    <n v="2.06609"/>
    <n v="2.00204"/>
    <n v="1281"/>
  </r>
  <r>
    <x v="2"/>
    <x v="15"/>
    <x v="0"/>
    <n v="2.0307300000000001"/>
    <n v="1.9379900000000001"/>
    <n v="2.06609"/>
    <n v="2.00204"/>
    <n v="1281"/>
  </r>
  <r>
    <x v="2"/>
    <x v="15"/>
    <x v="0"/>
    <n v="2.0307300000000001"/>
    <n v="1.9379900000000001"/>
    <n v="2.06609"/>
    <n v="2.00204"/>
    <n v="1281"/>
  </r>
  <r>
    <x v="2"/>
    <x v="15"/>
    <x v="0"/>
    <n v="2.0307300000000001"/>
    <n v="1.9379900000000001"/>
    <n v="2.06609"/>
    <n v="2.00204"/>
    <n v="1281"/>
  </r>
  <r>
    <x v="2"/>
    <x v="15"/>
    <x v="0"/>
    <n v="2.0307300000000001"/>
    <n v="1.9379900000000001"/>
    <n v="2.06609"/>
    <n v="2.00204"/>
    <n v="1281"/>
  </r>
  <r>
    <x v="2"/>
    <x v="15"/>
    <x v="0"/>
    <n v="2.0307300000000001"/>
    <n v="1.9379900000000001"/>
    <n v="2.06609"/>
    <n v="2.00204"/>
    <n v="1281"/>
  </r>
  <r>
    <x v="2"/>
    <x v="15"/>
    <x v="0"/>
    <n v="2.0307300000000001"/>
    <n v="1.9379900000000001"/>
    <n v="2.06609"/>
    <n v="2.00204"/>
    <n v="1281"/>
  </r>
  <r>
    <x v="2"/>
    <x v="15"/>
    <x v="0"/>
    <n v="2.0307300000000001"/>
    <n v="1.9379900000000001"/>
    <n v="2.06609"/>
    <n v="2.00204"/>
    <n v="1281"/>
  </r>
  <r>
    <x v="2"/>
    <x v="15"/>
    <x v="0"/>
    <n v="2.0307300000000001"/>
    <n v="1.9379900000000001"/>
    <n v="2.06609"/>
    <n v="2.00204"/>
    <n v="1281"/>
  </r>
  <r>
    <x v="2"/>
    <x v="15"/>
    <x v="0"/>
    <n v="2.0307300000000001"/>
    <n v="1.9379900000000001"/>
    <n v="2.06609"/>
    <n v="2.00204"/>
    <n v="1281"/>
  </r>
  <r>
    <x v="2"/>
    <x v="15"/>
    <x v="0"/>
    <n v="2.0307300000000001"/>
    <n v="1.9379900000000001"/>
    <n v="2.06609"/>
    <n v="2.00204"/>
    <n v="1281"/>
  </r>
  <r>
    <x v="2"/>
    <x v="15"/>
    <x v="0"/>
    <n v="2.0307300000000001"/>
    <n v="1.9379900000000001"/>
    <n v="2.06609"/>
    <n v="2.00204"/>
    <n v="1281"/>
  </r>
  <r>
    <x v="2"/>
    <x v="15"/>
    <x v="0"/>
    <n v="2.0307300000000001"/>
    <n v="1.9379900000000001"/>
    <n v="2.06609"/>
    <n v="2.00204"/>
    <n v="1281"/>
  </r>
  <r>
    <x v="2"/>
    <x v="15"/>
    <x v="0"/>
    <n v="2.0307300000000001"/>
    <n v="1.9379900000000001"/>
    <n v="2.06609"/>
    <n v="2.00204"/>
    <n v="1281"/>
  </r>
  <r>
    <x v="2"/>
    <x v="16"/>
    <x v="0"/>
    <n v="2.0472399999999999"/>
    <n v="1.9379900000000001"/>
    <n v="2.06609"/>
    <n v="2.00204"/>
    <n v="1281"/>
  </r>
  <r>
    <x v="2"/>
    <x v="16"/>
    <x v="0"/>
    <n v="2.0472399999999999"/>
    <n v="1.9379900000000001"/>
    <n v="2.06609"/>
    <n v="2.00204"/>
    <n v="1281"/>
  </r>
  <r>
    <x v="2"/>
    <x v="16"/>
    <x v="0"/>
    <n v="2.0472399999999999"/>
    <n v="1.9379900000000001"/>
    <n v="2.06609"/>
    <n v="2.00204"/>
    <n v="1281"/>
  </r>
  <r>
    <x v="2"/>
    <x v="16"/>
    <x v="0"/>
    <n v="2.0472399999999999"/>
    <n v="1.9379900000000001"/>
    <n v="2.06609"/>
    <n v="2.00204"/>
    <n v="1281"/>
  </r>
  <r>
    <x v="2"/>
    <x v="16"/>
    <x v="0"/>
    <n v="2.0472399999999999"/>
    <n v="1.9379900000000001"/>
    <n v="2.06609"/>
    <n v="2.00204"/>
    <n v="1281"/>
  </r>
  <r>
    <x v="2"/>
    <x v="16"/>
    <x v="0"/>
    <n v="2.0472399999999999"/>
    <n v="1.9379900000000001"/>
    <n v="2.06609"/>
    <n v="2.00204"/>
    <n v="1281"/>
  </r>
  <r>
    <x v="2"/>
    <x v="16"/>
    <x v="0"/>
    <n v="2.0472399999999999"/>
    <n v="1.9379900000000001"/>
    <n v="2.06609"/>
    <n v="2.00204"/>
    <n v="1281"/>
  </r>
  <r>
    <x v="2"/>
    <x v="16"/>
    <x v="0"/>
    <n v="2.0472399999999999"/>
    <n v="1.9379900000000001"/>
    <n v="2.06609"/>
    <n v="2.00204"/>
    <n v="1281"/>
  </r>
  <r>
    <x v="2"/>
    <x v="16"/>
    <x v="0"/>
    <n v="2.0472399999999999"/>
    <n v="1.9379900000000001"/>
    <n v="2.06609"/>
    <n v="2.00204"/>
    <n v="1281"/>
  </r>
  <r>
    <x v="2"/>
    <x v="16"/>
    <x v="0"/>
    <n v="2.0472399999999999"/>
    <n v="1.9379900000000001"/>
    <n v="2.06609"/>
    <n v="2.00204"/>
    <n v="1281"/>
  </r>
  <r>
    <x v="2"/>
    <x v="16"/>
    <x v="0"/>
    <n v="2.0472399999999999"/>
    <n v="1.9379900000000001"/>
    <n v="2.06609"/>
    <n v="2.00204"/>
    <n v="1281"/>
  </r>
  <r>
    <x v="2"/>
    <x v="16"/>
    <x v="0"/>
    <n v="2.0472399999999999"/>
    <n v="1.9379900000000001"/>
    <n v="2.06609"/>
    <n v="2.00204"/>
    <n v="1281"/>
  </r>
  <r>
    <x v="2"/>
    <x v="16"/>
    <x v="0"/>
    <n v="2.0472399999999999"/>
    <n v="1.9379900000000001"/>
    <n v="2.06609"/>
    <n v="2.00204"/>
    <n v="1281"/>
  </r>
  <r>
    <x v="2"/>
    <x v="16"/>
    <x v="0"/>
    <n v="2.0472399999999999"/>
    <n v="1.9379900000000001"/>
    <n v="2.06609"/>
    <n v="2.00204"/>
    <n v="1281"/>
  </r>
  <r>
    <x v="2"/>
    <x v="16"/>
    <x v="0"/>
    <n v="2.0472399999999999"/>
    <n v="1.9379900000000001"/>
    <n v="2.06609"/>
    <n v="2.00204"/>
    <n v="1281"/>
  </r>
  <r>
    <x v="2"/>
    <x v="16"/>
    <x v="0"/>
    <n v="2.0472399999999999"/>
    <n v="1.9379900000000001"/>
    <n v="2.06609"/>
    <n v="2.00204"/>
    <n v="1281"/>
  </r>
  <r>
    <x v="2"/>
    <x v="16"/>
    <x v="0"/>
    <n v="2.0472399999999999"/>
    <n v="1.9379900000000001"/>
    <n v="2.06609"/>
    <n v="2.00204"/>
    <n v="1281"/>
  </r>
  <r>
    <x v="2"/>
    <x v="16"/>
    <x v="0"/>
    <n v="2.0472399999999999"/>
    <n v="1.9379900000000001"/>
    <n v="2.06609"/>
    <n v="2.00204"/>
    <n v="1281"/>
  </r>
  <r>
    <x v="2"/>
    <x v="16"/>
    <x v="0"/>
    <n v="2.0472399999999999"/>
    <n v="1.9379900000000001"/>
    <n v="2.06609"/>
    <n v="2.00204"/>
    <n v="1281"/>
  </r>
  <r>
    <x v="2"/>
    <x v="16"/>
    <x v="0"/>
    <n v="2.0472399999999999"/>
    <n v="1.9379900000000001"/>
    <n v="2.06609"/>
    <n v="2.00204"/>
    <n v="1281"/>
  </r>
  <r>
    <x v="2"/>
    <x v="16"/>
    <x v="0"/>
    <n v="2.0472399999999999"/>
    <n v="1.9379900000000001"/>
    <n v="2.06609"/>
    <n v="2.00204"/>
    <n v="1281"/>
  </r>
  <r>
    <x v="2"/>
    <x v="16"/>
    <x v="0"/>
    <n v="2.0472399999999999"/>
    <n v="1.9379900000000001"/>
    <n v="2.06609"/>
    <n v="2.00204"/>
    <n v="1281"/>
  </r>
  <r>
    <x v="2"/>
    <x v="17"/>
    <x v="0"/>
    <n v="2.05166"/>
    <n v="1.9379900000000001"/>
    <n v="2.06609"/>
    <n v="2.00204"/>
    <n v="1281"/>
  </r>
  <r>
    <x v="2"/>
    <x v="17"/>
    <x v="0"/>
    <n v="2.05166"/>
    <n v="1.9379900000000001"/>
    <n v="2.06609"/>
    <n v="2.00204"/>
    <n v="1281"/>
  </r>
  <r>
    <x v="2"/>
    <x v="17"/>
    <x v="0"/>
    <n v="2.05166"/>
    <n v="1.9379900000000001"/>
    <n v="2.06609"/>
    <n v="2.00204"/>
    <n v="1281"/>
  </r>
  <r>
    <x v="2"/>
    <x v="17"/>
    <x v="0"/>
    <n v="2.05166"/>
    <n v="1.9379900000000001"/>
    <n v="2.06609"/>
    <n v="2.00204"/>
    <n v="1281"/>
  </r>
  <r>
    <x v="2"/>
    <x v="17"/>
    <x v="0"/>
    <n v="2.05166"/>
    <n v="1.9379900000000001"/>
    <n v="2.06609"/>
    <n v="2.00204"/>
    <n v="1281"/>
  </r>
  <r>
    <x v="2"/>
    <x v="17"/>
    <x v="0"/>
    <n v="2.05166"/>
    <n v="1.9379900000000001"/>
    <n v="2.06609"/>
    <n v="2.00204"/>
    <n v="1281"/>
  </r>
  <r>
    <x v="2"/>
    <x v="17"/>
    <x v="0"/>
    <n v="2.05166"/>
    <n v="1.9379900000000001"/>
    <n v="2.06609"/>
    <n v="2.00204"/>
    <n v="1281"/>
  </r>
  <r>
    <x v="2"/>
    <x v="17"/>
    <x v="0"/>
    <n v="2.05166"/>
    <n v="1.9379900000000001"/>
    <n v="2.06609"/>
    <n v="2.00204"/>
    <n v="1281"/>
  </r>
  <r>
    <x v="2"/>
    <x v="17"/>
    <x v="0"/>
    <n v="2.05166"/>
    <n v="1.9379900000000001"/>
    <n v="2.06609"/>
    <n v="2.00204"/>
    <n v="1281"/>
  </r>
  <r>
    <x v="2"/>
    <x v="17"/>
    <x v="0"/>
    <n v="2.05166"/>
    <n v="1.9379900000000001"/>
    <n v="2.06609"/>
    <n v="2.00204"/>
    <n v="1281"/>
  </r>
  <r>
    <x v="2"/>
    <x v="17"/>
    <x v="0"/>
    <n v="2.05166"/>
    <n v="1.9379900000000001"/>
    <n v="2.06609"/>
    <n v="2.00204"/>
    <n v="1281"/>
  </r>
  <r>
    <x v="2"/>
    <x v="17"/>
    <x v="0"/>
    <n v="2.05166"/>
    <n v="1.9379900000000001"/>
    <n v="2.06609"/>
    <n v="2.00204"/>
    <n v="1281"/>
  </r>
  <r>
    <x v="2"/>
    <x v="17"/>
    <x v="0"/>
    <n v="2.05166"/>
    <n v="1.9379900000000001"/>
    <n v="2.06609"/>
    <n v="2.00204"/>
    <n v="1281"/>
  </r>
  <r>
    <x v="2"/>
    <x v="17"/>
    <x v="0"/>
    <n v="2.05166"/>
    <n v="1.9379900000000001"/>
    <n v="2.06609"/>
    <n v="2.00204"/>
    <n v="1281"/>
  </r>
  <r>
    <x v="2"/>
    <x v="17"/>
    <x v="0"/>
    <n v="2.05166"/>
    <n v="1.9379900000000001"/>
    <n v="2.06609"/>
    <n v="2.00204"/>
    <n v="1281"/>
  </r>
  <r>
    <x v="2"/>
    <x v="17"/>
    <x v="0"/>
    <n v="2.05166"/>
    <n v="1.9379900000000001"/>
    <n v="2.06609"/>
    <n v="2.00204"/>
    <n v="1281"/>
  </r>
  <r>
    <x v="2"/>
    <x v="17"/>
    <x v="0"/>
    <n v="2.05166"/>
    <n v="1.9379900000000001"/>
    <n v="2.06609"/>
    <n v="2.00204"/>
    <n v="1281"/>
  </r>
  <r>
    <x v="2"/>
    <x v="18"/>
    <x v="0"/>
    <n v="2.04644"/>
    <n v="1.9379900000000001"/>
    <n v="2.0820599999999998"/>
    <n v="2.0100250000000002"/>
    <n v="1440.7"/>
  </r>
  <r>
    <x v="2"/>
    <x v="18"/>
    <x v="0"/>
    <n v="2.04644"/>
    <n v="1.9379900000000001"/>
    <n v="2.0820599999999998"/>
    <n v="2.0100250000000002"/>
    <n v="1440.7"/>
  </r>
  <r>
    <x v="2"/>
    <x v="18"/>
    <x v="0"/>
    <n v="2.04644"/>
    <n v="1.9379900000000001"/>
    <n v="2.0820599999999998"/>
    <n v="2.0100250000000002"/>
    <n v="1440.7"/>
  </r>
  <r>
    <x v="2"/>
    <x v="18"/>
    <x v="0"/>
    <n v="2.04644"/>
    <n v="1.9379900000000001"/>
    <n v="2.0820599999999998"/>
    <n v="2.0100250000000002"/>
    <n v="1440.7"/>
  </r>
  <r>
    <x v="2"/>
    <x v="18"/>
    <x v="0"/>
    <n v="2.04644"/>
    <n v="1.9379900000000001"/>
    <n v="2.0820599999999998"/>
    <n v="2.0100250000000002"/>
    <n v="1440.7"/>
  </r>
  <r>
    <x v="2"/>
    <x v="18"/>
    <x v="0"/>
    <n v="2.04644"/>
    <n v="1.9379900000000001"/>
    <n v="2.0820599999999998"/>
    <n v="2.0100250000000002"/>
    <n v="1440.7"/>
  </r>
  <r>
    <x v="2"/>
    <x v="18"/>
    <x v="0"/>
    <n v="2.04644"/>
    <n v="1.9379900000000001"/>
    <n v="2.0820599999999998"/>
    <n v="2.0100250000000002"/>
    <n v="1440.7"/>
  </r>
  <r>
    <x v="2"/>
    <x v="18"/>
    <x v="0"/>
    <n v="2.04644"/>
    <n v="1.9379900000000001"/>
    <n v="2.0820599999999998"/>
    <n v="2.0100250000000002"/>
    <n v="1440.7"/>
  </r>
  <r>
    <x v="2"/>
    <x v="18"/>
    <x v="0"/>
    <n v="2.04644"/>
    <n v="1.9379900000000001"/>
    <n v="2.0820599999999998"/>
    <n v="2.0100250000000002"/>
    <n v="1440.7"/>
  </r>
  <r>
    <x v="2"/>
    <x v="18"/>
    <x v="0"/>
    <n v="2.04644"/>
    <n v="1.9379900000000001"/>
    <n v="2.0820599999999998"/>
    <n v="2.0100250000000002"/>
    <n v="1440.7"/>
  </r>
  <r>
    <x v="2"/>
    <x v="18"/>
    <x v="0"/>
    <n v="2.04644"/>
    <n v="1.9379900000000001"/>
    <n v="2.0820599999999998"/>
    <n v="2.0100250000000002"/>
    <n v="1440.7"/>
  </r>
  <r>
    <x v="2"/>
    <x v="18"/>
    <x v="0"/>
    <n v="2.04644"/>
    <n v="1.9379900000000001"/>
    <n v="2.0820599999999998"/>
    <n v="2.0100250000000002"/>
    <n v="1440.7"/>
  </r>
  <r>
    <x v="2"/>
    <x v="18"/>
    <x v="0"/>
    <n v="2.04644"/>
    <n v="1.9379900000000001"/>
    <n v="2.0820599999999998"/>
    <n v="2.0100250000000002"/>
    <n v="1440.7"/>
  </r>
  <r>
    <x v="2"/>
    <x v="18"/>
    <x v="0"/>
    <n v="2.04644"/>
    <n v="1.9379900000000001"/>
    <n v="2.0820599999999998"/>
    <n v="2.0100250000000002"/>
    <n v="1440.7"/>
  </r>
  <r>
    <x v="2"/>
    <x v="18"/>
    <x v="0"/>
    <n v="2.04644"/>
    <n v="1.9379900000000001"/>
    <n v="2.0820599999999998"/>
    <n v="2.0100250000000002"/>
    <n v="1440.7"/>
  </r>
  <r>
    <x v="2"/>
    <x v="18"/>
    <x v="0"/>
    <n v="2.04644"/>
    <n v="1.9379900000000001"/>
    <n v="2.0820599999999998"/>
    <n v="2.0100250000000002"/>
    <n v="1440.7"/>
  </r>
  <r>
    <x v="2"/>
    <x v="18"/>
    <x v="0"/>
    <n v="2.04644"/>
    <n v="1.9379900000000001"/>
    <n v="2.0820599999999998"/>
    <n v="2.0100250000000002"/>
    <n v="1440.7"/>
  </r>
  <r>
    <x v="2"/>
    <x v="18"/>
    <x v="0"/>
    <n v="2.04644"/>
    <n v="1.9379900000000001"/>
    <n v="2.0820599999999998"/>
    <n v="2.0100250000000002"/>
    <n v="1440.7"/>
  </r>
  <r>
    <x v="2"/>
    <x v="18"/>
    <x v="0"/>
    <n v="2.04644"/>
    <n v="1.9379900000000001"/>
    <n v="2.0820599999999998"/>
    <n v="2.0100250000000002"/>
    <n v="1440.7"/>
  </r>
  <r>
    <x v="2"/>
    <x v="18"/>
    <x v="0"/>
    <n v="2.04644"/>
    <n v="1.9379900000000001"/>
    <n v="2.0820599999999998"/>
    <n v="2.0100250000000002"/>
    <n v="1440.7"/>
  </r>
  <r>
    <x v="2"/>
    <x v="18"/>
    <x v="0"/>
    <n v="2.04644"/>
    <n v="1.9379900000000001"/>
    <n v="2.0820599999999998"/>
    <n v="2.0100250000000002"/>
    <n v="1440.7"/>
  </r>
  <r>
    <x v="2"/>
    <x v="18"/>
    <x v="0"/>
    <n v="2.04644"/>
    <n v="1.9379900000000001"/>
    <n v="2.0820599999999998"/>
    <n v="2.0100250000000002"/>
    <n v="1440.7"/>
  </r>
  <r>
    <x v="2"/>
    <x v="18"/>
    <x v="0"/>
    <n v="2.04644"/>
    <n v="1.9379900000000001"/>
    <n v="2.0820599999999998"/>
    <n v="2.0100250000000002"/>
    <n v="1440.7"/>
  </r>
  <r>
    <x v="2"/>
    <x v="18"/>
    <x v="0"/>
    <n v="2.04644"/>
    <n v="1.9379900000000001"/>
    <n v="2.0820599999999998"/>
    <n v="2.0100250000000002"/>
    <n v="1440.7"/>
  </r>
  <r>
    <x v="2"/>
    <x v="18"/>
    <x v="0"/>
    <n v="2.04644"/>
    <n v="1.9379900000000001"/>
    <n v="2.0820599999999998"/>
    <n v="2.0100250000000002"/>
    <n v="1440.7"/>
  </r>
  <r>
    <x v="2"/>
    <x v="18"/>
    <x v="0"/>
    <n v="2.04644"/>
    <n v="1.9379900000000001"/>
    <n v="2.0820599999999998"/>
    <n v="2.0100250000000002"/>
    <n v="1440.7"/>
  </r>
  <r>
    <x v="2"/>
    <x v="19"/>
    <x v="0"/>
    <n v="1.98014"/>
    <n v="1.9379900000000001"/>
    <n v="2.0820599999999998"/>
    <n v="2.0100250000000002"/>
    <n v="1440.7"/>
  </r>
  <r>
    <x v="2"/>
    <x v="19"/>
    <x v="0"/>
    <n v="1.98014"/>
    <n v="1.9379900000000001"/>
    <n v="2.0820599999999998"/>
    <n v="2.0100250000000002"/>
    <n v="1440.7"/>
  </r>
  <r>
    <x v="2"/>
    <x v="19"/>
    <x v="0"/>
    <n v="1.98014"/>
    <n v="1.9379900000000001"/>
    <n v="2.0820599999999998"/>
    <n v="2.0100250000000002"/>
    <n v="1440.7"/>
  </r>
  <r>
    <x v="2"/>
    <x v="19"/>
    <x v="0"/>
    <n v="1.98014"/>
    <n v="1.9379900000000001"/>
    <n v="2.0820599999999998"/>
    <n v="2.0100250000000002"/>
    <n v="1440.7"/>
  </r>
  <r>
    <x v="2"/>
    <x v="19"/>
    <x v="0"/>
    <n v="1.98014"/>
    <n v="1.9379900000000001"/>
    <n v="2.0820599999999998"/>
    <n v="2.0100250000000002"/>
    <n v="1440.7"/>
  </r>
  <r>
    <x v="2"/>
    <x v="19"/>
    <x v="0"/>
    <n v="1.98014"/>
    <n v="1.9379900000000001"/>
    <n v="2.0820599999999998"/>
    <n v="2.0100250000000002"/>
    <n v="1440.7"/>
  </r>
  <r>
    <x v="2"/>
    <x v="19"/>
    <x v="0"/>
    <n v="1.98014"/>
    <n v="1.9379900000000001"/>
    <n v="2.0820599999999998"/>
    <n v="2.0100250000000002"/>
    <n v="1440.7"/>
  </r>
  <r>
    <x v="2"/>
    <x v="20"/>
    <x v="0"/>
    <n v="1.9856199999999999"/>
    <n v="1.9379900000000001"/>
    <n v="2.0820599999999998"/>
    <n v="2.0100250000000002"/>
    <n v="1440.7"/>
  </r>
  <r>
    <x v="2"/>
    <x v="20"/>
    <x v="0"/>
    <n v="1.9856199999999999"/>
    <n v="1.9379900000000001"/>
    <n v="2.0820599999999998"/>
    <n v="2.0100250000000002"/>
    <n v="1440.7"/>
  </r>
  <r>
    <x v="2"/>
    <x v="20"/>
    <x v="0"/>
    <n v="1.9856199999999999"/>
    <n v="1.9379900000000001"/>
    <n v="2.0820599999999998"/>
    <n v="2.0100250000000002"/>
    <n v="1440.7"/>
  </r>
  <r>
    <x v="2"/>
    <x v="21"/>
    <x v="0"/>
    <n v="1.9944999999999999"/>
    <n v="1.9379900000000001"/>
    <n v="2.0820599999999998"/>
    <n v="2.0100250000000002"/>
    <n v="1440.7"/>
  </r>
  <r>
    <x v="2"/>
    <x v="21"/>
    <x v="0"/>
    <n v="1.9944999999999999"/>
    <n v="1.9379900000000001"/>
    <n v="2.0820599999999998"/>
    <n v="2.0100250000000002"/>
    <n v="1440.7"/>
  </r>
  <r>
    <x v="2"/>
    <x v="21"/>
    <x v="0"/>
    <n v="1.9944999999999999"/>
    <n v="1.9379900000000001"/>
    <n v="2.0820599999999998"/>
    <n v="2.0100250000000002"/>
    <n v="1440.7"/>
  </r>
  <r>
    <x v="2"/>
    <x v="22"/>
    <x v="0"/>
    <n v="2.0110899999999998"/>
    <n v="1.9379900000000001"/>
    <n v="2.0820599999999998"/>
    <n v="2.0100250000000002"/>
    <n v="1440.7"/>
  </r>
  <r>
    <x v="2"/>
    <x v="22"/>
    <x v="0"/>
    <n v="2.0110899999999998"/>
    <n v="1.9379900000000001"/>
    <n v="2.0820599999999998"/>
    <n v="2.0100250000000002"/>
    <n v="1440.7"/>
  </r>
  <r>
    <x v="2"/>
    <x v="22"/>
    <x v="0"/>
    <n v="2.0110899999999998"/>
    <n v="1.9379900000000001"/>
    <n v="2.0820599999999998"/>
    <n v="2.0100250000000002"/>
    <n v="1440.7"/>
  </r>
  <r>
    <x v="2"/>
    <x v="22"/>
    <x v="0"/>
    <n v="2.0110899999999998"/>
    <n v="1.9379900000000001"/>
    <n v="2.0820599999999998"/>
    <n v="2.0100250000000002"/>
    <n v="1440.7"/>
  </r>
  <r>
    <x v="2"/>
    <x v="22"/>
    <x v="0"/>
    <n v="2.0110899999999998"/>
    <n v="1.9379900000000001"/>
    <n v="2.0820599999999998"/>
    <n v="2.0100250000000002"/>
    <n v="1440.7"/>
  </r>
  <r>
    <x v="2"/>
    <x v="22"/>
    <x v="0"/>
    <n v="2.0110899999999998"/>
    <n v="1.9379900000000001"/>
    <n v="2.0820599999999998"/>
    <n v="2.0100250000000002"/>
    <n v="1440.7"/>
  </r>
  <r>
    <x v="2"/>
    <x v="22"/>
    <x v="0"/>
    <n v="2.0110899999999998"/>
    <n v="1.9379900000000001"/>
    <n v="2.0820599999999998"/>
    <n v="2.0100250000000002"/>
    <n v="1440.7"/>
  </r>
  <r>
    <x v="2"/>
    <x v="22"/>
    <x v="0"/>
    <n v="2.0110899999999998"/>
    <n v="1.9379900000000001"/>
    <n v="2.0820599999999998"/>
    <n v="2.0100250000000002"/>
    <n v="1440.7"/>
  </r>
  <r>
    <x v="2"/>
    <x v="22"/>
    <x v="0"/>
    <n v="2.0110899999999998"/>
    <n v="1.9379900000000001"/>
    <n v="2.0820599999999998"/>
    <n v="2.0100250000000002"/>
    <n v="1440.7"/>
  </r>
  <r>
    <x v="3"/>
    <x v="27"/>
    <x v="8"/>
    <m/>
    <n v="0.76685000000000003"/>
    <n v="0.76685000000000003"/>
    <n v="0.76685000000000003"/>
    <n v="0"/>
  </r>
  <r>
    <x v="3"/>
    <x v="27"/>
    <x v="2"/>
    <m/>
    <n v="97.733000000000004"/>
    <n v="97.783000000000001"/>
    <n v="97.757999999999996"/>
    <n v="5"/>
  </r>
  <r>
    <x v="3"/>
    <x v="27"/>
    <x v="2"/>
    <m/>
    <n v="97.733000000000004"/>
    <n v="97.783000000000001"/>
    <n v="97.757999999999996"/>
    <n v="5"/>
  </r>
  <r>
    <x v="3"/>
    <x v="27"/>
    <x v="2"/>
    <m/>
    <n v="97.733000000000004"/>
    <n v="97.783000000000001"/>
    <n v="97.757999999999996"/>
    <n v="5"/>
  </r>
  <r>
    <x v="3"/>
    <x v="27"/>
    <x v="2"/>
    <m/>
    <n v="97.733000000000004"/>
    <n v="97.783000000000001"/>
    <n v="97.757999999999996"/>
    <n v="5"/>
  </r>
  <r>
    <x v="3"/>
    <x v="27"/>
    <x v="2"/>
    <m/>
    <n v="97.733000000000004"/>
    <n v="97.783000000000001"/>
    <n v="97.757999999999996"/>
    <n v="5"/>
  </r>
  <r>
    <x v="3"/>
    <x v="27"/>
    <x v="9"/>
    <m/>
    <n v="0.84633000000000003"/>
    <n v="0.84667999999999999"/>
    <n v="0.84650499999999995"/>
    <n v="3.5"/>
  </r>
  <r>
    <x v="3"/>
    <x v="27"/>
    <x v="2"/>
    <m/>
    <n v="97.733000000000004"/>
    <n v="97.783000000000001"/>
    <n v="97.757999999999996"/>
    <n v="5"/>
  </r>
  <r>
    <x v="3"/>
    <x v="27"/>
    <x v="2"/>
    <m/>
    <n v="97.733000000000004"/>
    <n v="97.783000000000001"/>
    <n v="97.757999999999996"/>
    <n v="5"/>
  </r>
  <r>
    <x v="3"/>
    <x v="27"/>
    <x v="2"/>
    <m/>
    <n v="97.733000000000004"/>
    <n v="97.783000000000001"/>
    <n v="97.757999999999996"/>
    <n v="5"/>
  </r>
  <r>
    <x v="3"/>
    <x v="27"/>
    <x v="9"/>
    <m/>
    <n v="0.84633000000000003"/>
    <n v="0.84667999999999999"/>
    <n v="0.84650499999999995"/>
    <n v="3.5"/>
  </r>
  <r>
    <x v="3"/>
    <x v="27"/>
    <x v="9"/>
    <m/>
    <n v="0.84633000000000003"/>
    <n v="0.84667999999999999"/>
    <n v="0.84650499999999995"/>
    <n v="3.5"/>
  </r>
  <r>
    <x v="3"/>
    <x v="27"/>
    <x v="2"/>
    <m/>
    <n v="97.733000000000004"/>
    <n v="97.783000000000001"/>
    <n v="97.757999999999996"/>
    <n v="5"/>
  </r>
  <r>
    <x v="3"/>
    <x v="28"/>
    <x v="8"/>
    <m/>
    <n v="0.73870999999999998"/>
    <n v="0.76685000000000003"/>
    <n v="0.75278"/>
    <n v="281.39999999999998"/>
  </r>
  <r>
    <x v="3"/>
    <x v="28"/>
    <x v="9"/>
    <m/>
    <n v="0.84633000000000003"/>
    <n v="0.85419999999999996"/>
    <n v="0.85026500000000005"/>
    <n v="78.7"/>
  </r>
  <r>
    <x v="3"/>
    <x v="28"/>
    <x v="2"/>
    <m/>
    <n v="97.394000000000005"/>
    <n v="97.783000000000001"/>
    <n v="97.588499999999996"/>
    <n v="38.9"/>
  </r>
  <r>
    <x v="3"/>
    <x v="28"/>
    <x v="2"/>
    <m/>
    <n v="97.394000000000005"/>
    <n v="97.783000000000001"/>
    <n v="97.588499999999996"/>
    <n v="38.9"/>
  </r>
  <r>
    <x v="3"/>
    <x v="28"/>
    <x v="2"/>
    <m/>
    <n v="97.394000000000005"/>
    <n v="97.783000000000001"/>
    <n v="97.588499999999996"/>
    <n v="38.9"/>
  </r>
  <r>
    <x v="3"/>
    <x v="28"/>
    <x v="2"/>
    <m/>
    <n v="97.394000000000005"/>
    <n v="97.783000000000001"/>
    <n v="97.588499999999996"/>
    <n v="38.9"/>
  </r>
  <r>
    <x v="3"/>
    <x v="28"/>
    <x v="2"/>
    <m/>
    <n v="97.394000000000005"/>
    <n v="97.783000000000001"/>
    <n v="97.588499999999996"/>
    <n v="38.9"/>
  </r>
  <r>
    <x v="3"/>
    <x v="28"/>
    <x v="2"/>
    <m/>
    <n v="97.394000000000005"/>
    <n v="97.783000000000001"/>
    <n v="97.588499999999996"/>
    <n v="38.9"/>
  </r>
  <r>
    <x v="3"/>
    <x v="28"/>
    <x v="2"/>
    <m/>
    <n v="97.394000000000005"/>
    <n v="97.783000000000001"/>
    <n v="97.588499999999996"/>
    <n v="38.9"/>
  </r>
  <r>
    <x v="3"/>
    <x v="28"/>
    <x v="2"/>
    <m/>
    <n v="97.394000000000005"/>
    <n v="97.783000000000001"/>
    <n v="97.588499999999996"/>
    <n v="38.9"/>
  </r>
  <r>
    <x v="3"/>
    <x v="28"/>
    <x v="2"/>
    <m/>
    <n v="97.394000000000005"/>
    <n v="97.783000000000001"/>
    <n v="97.588499999999996"/>
    <n v="38.9"/>
  </r>
  <r>
    <x v="3"/>
    <x v="28"/>
    <x v="2"/>
    <m/>
    <n v="97.394000000000005"/>
    <n v="97.783000000000001"/>
    <n v="97.588499999999996"/>
    <n v="38.9"/>
  </r>
  <r>
    <x v="3"/>
    <x v="28"/>
    <x v="2"/>
    <m/>
    <n v="97.394000000000005"/>
    <n v="97.783000000000001"/>
    <n v="97.588499999999996"/>
    <n v="38.9"/>
  </r>
  <r>
    <x v="3"/>
    <x v="28"/>
    <x v="9"/>
    <m/>
    <n v="0.84633000000000003"/>
    <n v="0.85419999999999996"/>
    <n v="0.85026500000000005"/>
    <n v="78.7"/>
  </r>
  <r>
    <x v="3"/>
    <x v="28"/>
    <x v="9"/>
    <m/>
    <n v="0.84633000000000003"/>
    <n v="0.85419999999999996"/>
    <n v="0.85026500000000005"/>
    <n v="78.7"/>
  </r>
  <r>
    <x v="3"/>
    <x v="28"/>
    <x v="9"/>
    <m/>
    <n v="0.84633000000000003"/>
    <n v="0.85419999999999996"/>
    <n v="0.85026500000000005"/>
    <n v="78.7"/>
  </r>
  <r>
    <x v="3"/>
    <x v="28"/>
    <x v="9"/>
    <m/>
    <n v="0.84633000000000003"/>
    <n v="0.85419999999999996"/>
    <n v="0.85026500000000005"/>
    <n v="78.7"/>
  </r>
  <r>
    <x v="3"/>
    <x v="28"/>
    <x v="9"/>
    <m/>
    <n v="0.84633000000000003"/>
    <n v="0.85419999999999996"/>
    <n v="0.85026500000000005"/>
    <n v="78.7"/>
  </r>
  <r>
    <x v="3"/>
    <x v="28"/>
    <x v="2"/>
    <m/>
    <n v="97.394000000000005"/>
    <n v="97.783000000000001"/>
    <n v="97.588499999999996"/>
    <n v="38.9"/>
  </r>
  <r>
    <x v="3"/>
    <x v="29"/>
    <x v="8"/>
    <m/>
    <n v="0.73870999999999998"/>
    <n v="0.76685000000000003"/>
    <n v="0.75278"/>
    <n v="281.39999999999998"/>
  </r>
  <r>
    <x v="3"/>
    <x v="29"/>
    <x v="9"/>
    <m/>
    <n v="0.84633000000000003"/>
    <n v="0.85419999999999996"/>
    <n v="0.85026500000000005"/>
    <n v="78.7"/>
  </r>
  <r>
    <x v="3"/>
    <x v="29"/>
    <x v="2"/>
    <m/>
    <n v="97.394000000000005"/>
    <n v="98.694000000000003"/>
    <n v="98.043999999999997"/>
    <n v="130"/>
  </r>
  <r>
    <x v="3"/>
    <x v="29"/>
    <x v="2"/>
    <m/>
    <n v="97.394000000000005"/>
    <n v="98.694000000000003"/>
    <n v="98.043999999999997"/>
    <n v="130"/>
  </r>
  <r>
    <x v="3"/>
    <x v="29"/>
    <x v="2"/>
    <m/>
    <n v="97.394000000000005"/>
    <n v="98.694000000000003"/>
    <n v="98.043999999999997"/>
    <n v="130"/>
  </r>
  <r>
    <x v="3"/>
    <x v="29"/>
    <x v="2"/>
    <m/>
    <n v="97.394000000000005"/>
    <n v="98.694000000000003"/>
    <n v="98.043999999999997"/>
    <n v="130"/>
  </r>
  <r>
    <x v="3"/>
    <x v="29"/>
    <x v="2"/>
    <m/>
    <n v="97.394000000000005"/>
    <n v="98.694000000000003"/>
    <n v="98.043999999999997"/>
    <n v="130"/>
  </r>
  <r>
    <x v="3"/>
    <x v="29"/>
    <x v="2"/>
    <m/>
    <n v="97.394000000000005"/>
    <n v="98.694000000000003"/>
    <n v="98.043999999999997"/>
    <n v="130"/>
  </r>
  <r>
    <x v="3"/>
    <x v="29"/>
    <x v="2"/>
    <m/>
    <n v="97.394000000000005"/>
    <n v="98.694000000000003"/>
    <n v="98.043999999999997"/>
    <n v="130"/>
  </r>
  <r>
    <x v="3"/>
    <x v="29"/>
    <x v="2"/>
    <m/>
    <n v="97.394000000000005"/>
    <n v="98.694000000000003"/>
    <n v="98.043999999999997"/>
    <n v="130"/>
  </r>
  <r>
    <x v="3"/>
    <x v="29"/>
    <x v="2"/>
    <m/>
    <n v="97.394000000000005"/>
    <n v="98.694000000000003"/>
    <n v="98.043999999999997"/>
    <n v="130"/>
  </r>
  <r>
    <x v="3"/>
    <x v="29"/>
    <x v="2"/>
    <m/>
    <n v="97.394000000000005"/>
    <n v="98.694000000000003"/>
    <n v="98.043999999999997"/>
    <n v="130"/>
  </r>
  <r>
    <x v="3"/>
    <x v="29"/>
    <x v="2"/>
    <m/>
    <n v="97.394000000000005"/>
    <n v="98.694000000000003"/>
    <n v="98.043999999999997"/>
    <n v="130"/>
  </r>
  <r>
    <x v="3"/>
    <x v="29"/>
    <x v="9"/>
    <m/>
    <n v="0.84633000000000003"/>
    <n v="0.85419999999999996"/>
    <n v="0.85026500000000005"/>
    <n v="78.7"/>
  </r>
  <r>
    <x v="3"/>
    <x v="29"/>
    <x v="9"/>
    <m/>
    <n v="0.84633000000000003"/>
    <n v="0.85419999999999996"/>
    <n v="0.85026500000000005"/>
    <n v="78.7"/>
  </r>
  <r>
    <x v="3"/>
    <x v="29"/>
    <x v="9"/>
    <m/>
    <n v="0.84633000000000003"/>
    <n v="0.85419999999999996"/>
    <n v="0.85026500000000005"/>
    <n v="78.7"/>
  </r>
  <r>
    <x v="3"/>
    <x v="29"/>
    <x v="9"/>
    <m/>
    <n v="0.84633000000000003"/>
    <n v="0.85419999999999996"/>
    <n v="0.85026500000000005"/>
    <n v="78.7"/>
  </r>
  <r>
    <x v="3"/>
    <x v="29"/>
    <x v="9"/>
    <m/>
    <n v="0.84633000000000003"/>
    <n v="0.85419999999999996"/>
    <n v="0.85026500000000005"/>
    <n v="78.7"/>
  </r>
  <r>
    <x v="3"/>
    <x v="29"/>
    <x v="9"/>
    <m/>
    <n v="0.84633000000000003"/>
    <n v="0.85419999999999996"/>
    <n v="0.85026500000000005"/>
    <n v="78.7"/>
  </r>
  <r>
    <x v="3"/>
    <x v="29"/>
    <x v="9"/>
    <m/>
    <n v="0.84633000000000003"/>
    <n v="0.85419999999999996"/>
    <n v="0.85026500000000005"/>
    <n v="78.7"/>
  </r>
  <r>
    <x v="3"/>
    <x v="29"/>
    <x v="2"/>
    <m/>
    <n v="97.394000000000005"/>
    <n v="98.694000000000003"/>
    <n v="98.043999999999997"/>
    <n v="130"/>
  </r>
  <r>
    <x v="3"/>
    <x v="30"/>
    <x v="2"/>
    <m/>
    <n v="97.394000000000005"/>
    <n v="99.152000000000001"/>
    <n v="98.272999999999996"/>
    <n v="175.8"/>
  </r>
  <r>
    <x v="3"/>
    <x v="30"/>
    <x v="9"/>
    <m/>
    <n v="0.83445000000000003"/>
    <n v="0.85419999999999996"/>
    <n v="0.84432499999999999"/>
    <n v="197.5"/>
  </r>
  <r>
    <x v="3"/>
    <x v="30"/>
    <x v="2"/>
    <m/>
    <n v="97.394000000000005"/>
    <n v="99.152000000000001"/>
    <n v="98.272999999999996"/>
    <n v="175.8"/>
  </r>
  <r>
    <x v="3"/>
    <x v="30"/>
    <x v="2"/>
    <m/>
    <n v="97.394000000000005"/>
    <n v="99.152000000000001"/>
    <n v="98.272999999999996"/>
    <n v="175.8"/>
  </r>
  <r>
    <x v="3"/>
    <x v="30"/>
    <x v="2"/>
    <m/>
    <n v="97.394000000000005"/>
    <n v="99.152000000000001"/>
    <n v="98.272999999999996"/>
    <n v="175.8"/>
  </r>
  <r>
    <x v="3"/>
    <x v="30"/>
    <x v="2"/>
    <m/>
    <n v="97.394000000000005"/>
    <n v="99.152000000000001"/>
    <n v="98.272999999999996"/>
    <n v="175.8"/>
  </r>
  <r>
    <x v="3"/>
    <x v="30"/>
    <x v="2"/>
    <m/>
    <n v="97.394000000000005"/>
    <n v="99.152000000000001"/>
    <n v="98.272999999999996"/>
    <n v="175.8"/>
  </r>
  <r>
    <x v="3"/>
    <x v="30"/>
    <x v="2"/>
    <m/>
    <n v="97.394000000000005"/>
    <n v="99.152000000000001"/>
    <n v="98.272999999999996"/>
    <n v="175.8"/>
  </r>
  <r>
    <x v="3"/>
    <x v="30"/>
    <x v="2"/>
    <m/>
    <n v="97.394000000000005"/>
    <n v="99.152000000000001"/>
    <n v="98.272999999999996"/>
    <n v="175.8"/>
  </r>
  <r>
    <x v="3"/>
    <x v="30"/>
    <x v="2"/>
    <m/>
    <n v="97.394000000000005"/>
    <n v="99.152000000000001"/>
    <n v="98.272999999999996"/>
    <n v="175.8"/>
  </r>
  <r>
    <x v="3"/>
    <x v="30"/>
    <x v="2"/>
    <m/>
    <n v="97.394000000000005"/>
    <n v="99.152000000000001"/>
    <n v="98.272999999999996"/>
    <n v="175.8"/>
  </r>
  <r>
    <x v="3"/>
    <x v="30"/>
    <x v="2"/>
    <m/>
    <n v="97.394000000000005"/>
    <n v="99.152000000000001"/>
    <n v="98.272999999999996"/>
    <n v="175.8"/>
  </r>
  <r>
    <x v="3"/>
    <x v="30"/>
    <x v="2"/>
    <m/>
    <n v="97.394000000000005"/>
    <n v="99.152000000000001"/>
    <n v="98.272999999999996"/>
    <n v="175.8"/>
  </r>
  <r>
    <x v="3"/>
    <x v="30"/>
    <x v="8"/>
    <m/>
    <n v="0.73870999999999998"/>
    <n v="0.76685000000000003"/>
    <n v="0.75278"/>
    <n v="281.39999999999998"/>
  </r>
  <r>
    <x v="3"/>
    <x v="30"/>
    <x v="2"/>
    <m/>
    <n v="97.394000000000005"/>
    <n v="99.152000000000001"/>
    <n v="98.272999999999996"/>
    <n v="175.8"/>
  </r>
  <r>
    <x v="3"/>
    <x v="30"/>
    <x v="9"/>
    <m/>
    <n v="0.83445000000000003"/>
    <n v="0.85419999999999996"/>
    <n v="0.84432499999999999"/>
    <n v="197.5"/>
  </r>
  <r>
    <x v="3"/>
    <x v="30"/>
    <x v="9"/>
    <m/>
    <n v="0.83445000000000003"/>
    <n v="0.85419999999999996"/>
    <n v="0.84432499999999999"/>
    <n v="197.5"/>
  </r>
  <r>
    <x v="3"/>
    <x v="30"/>
    <x v="9"/>
    <m/>
    <n v="0.83445000000000003"/>
    <n v="0.85419999999999996"/>
    <n v="0.84432499999999999"/>
    <n v="197.5"/>
  </r>
  <r>
    <x v="3"/>
    <x v="30"/>
    <x v="9"/>
    <m/>
    <n v="0.83445000000000003"/>
    <n v="0.85419999999999996"/>
    <n v="0.84432499999999999"/>
    <n v="197.5"/>
  </r>
  <r>
    <x v="3"/>
    <x v="30"/>
    <x v="9"/>
    <m/>
    <n v="0.83445000000000003"/>
    <n v="0.85419999999999996"/>
    <n v="0.84432499999999999"/>
    <n v="197.5"/>
  </r>
  <r>
    <x v="3"/>
    <x v="30"/>
    <x v="9"/>
    <m/>
    <n v="0.83445000000000003"/>
    <n v="0.85419999999999996"/>
    <n v="0.84432499999999999"/>
    <n v="197.5"/>
  </r>
  <r>
    <x v="3"/>
    <x v="30"/>
    <x v="9"/>
    <m/>
    <n v="0.83445000000000003"/>
    <n v="0.85419999999999996"/>
    <n v="0.84432499999999999"/>
    <n v="197.5"/>
  </r>
  <r>
    <x v="3"/>
    <x v="30"/>
    <x v="9"/>
    <m/>
    <n v="0.83445000000000003"/>
    <n v="0.85419999999999996"/>
    <n v="0.84432499999999999"/>
    <n v="197.5"/>
  </r>
  <r>
    <x v="3"/>
    <x v="30"/>
    <x v="9"/>
    <m/>
    <n v="0.83445000000000003"/>
    <n v="0.85419999999999996"/>
    <n v="0.84432499999999999"/>
    <n v="197.5"/>
  </r>
  <r>
    <x v="3"/>
    <x v="30"/>
    <x v="9"/>
    <m/>
    <n v="0.83445000000000003"/>
    <n v="0.85419999999999996"/>
    <n v="0.84432499999999999"/>
    <n v="197.5"/>
  </r>
  <r>
    <x v="3"/>
    <x v="30"/>
    <x v="9"/>
    <m/>
    <n v="0.83445000000000003"/>
    <n v="0.85419999999999996"/>
    <n v="0.84432499999999999"/>
    <n v="197.5"/>
  </r>
  <r>
    <x v="3"/>
    <x v="30"/>
    <x v="9"/>
    <m/>
    <n v="0.83445000000000003"/>
    <n v="0.85419999999999996"/>
    <n v="0.84432499999999999"/>
    <n v="197.5"/>
  </r>
  <r>
    <x v="3"/>
    <x v="30"/>
    <x v="9"/>
    <m/>
    <n v="0.83445000000000003"/>
    <n v="0.85419999999999996"/>
    <n v="0.84432499999999999"/>
    <n v="197.5"/>
  </r>
  <r>
    <x v="3"/>
    <x v="30"/>
    <x v="9"/>
    <m/>
    <n v="0.83445000000000003"/>
    <n v="0.85419999999999996"/>
    <n v="0.84432499999999999"/>
    <n v="197.5"/>
  </r>
  <r>
    <x v="3"/>
    <x v="30"/>
    <x v="9"/>
    <m/>
    <n v="0.83445000000000003"/>
    <n v="0.85419999999999996"/>
    <n v="0.84432499999999999"/>
    <n v="197.5"/>
  </r>
  <r>
    <x v="3"/>
    <x v="30"/>
    <x v="2"/>
    <m/>
    <n v="97.394000000000005"/>
    <n v="99.152000000000001"/>
    <n v="98.272999999999996"/>
    <n v="175.8"/>
  </r>
  <r>
    <x v="3"/>
    <x v="31"/>
    <x v="2"/>
    <m/>
    <n v="97.394000000000005"/>
    <n v="100.211"/>
    <n v="98.802499999999995"/>
    <n v="281.7"/>
  </r>
  <r>
    <x v="3"/>
    <x v="31"/>
    <x v="9"/>
    <m/>
    <n v="0.83445000000000003"/>
    <n v="0.85419999999999996"/>
    <n v="0.84432499999999999"/>
    <n v="197.5"/>
  </r>
  <r>
    <x v="3"/>
    <x v="31"/>
    <x v="2"/>
    <m/>
    <n v="97.394000000000005"/>
    <n v="100.211"/>
    <n v="98.802499999999995"/>
    <n v="281.7"/>
  </r>
  <r>
    <x v="3"/>
    <x v="31"/>
    <x v="2"/>
    <m/>
    <n v="97.394000000000005"/>
    <n v="100.211"/>
    <n v="98.802499999999995"/>
    <n v="281.7"/>
  </r>
  <r>
    <x v="3"/>
    <x v="31"/>
    <x v="2"/>
    <m/>
    <n v="97.394000000000005"/>
    <n v="100.211"/>
    <n v="98.802499999999995"/>
    <n v="281.7"/>
  </r>
  <r>
    <x v="3"/>
    <x v="31"/>
    <x v="2"/>
    <m/>
    <n v="97.394000000000005"/>
    <n v="100.211"/>
    <n v="98.802499999999995"/>
    <n v="281.7"/>
  </r>
  <r>
    <x v="3"/>
    <x v="31"/>
    <x v="2"/>
    <m/>
    <n v="97.394000000000005"/>
    <n v="100.211"/>
    <n v="98.802499999999995"/>
    <n v="281.7"/>
  </r>
  <r>
    <x v="3"/>
    <x v="31"/>
    <x v="2"/>
    <m/>
    <n v="97.394000000000005"/>
    <n v="100.211"/>
    <n v="98.802499999999995"/>
    <n v="281.7"/>
  </r>
  <r>
    <x v="3"/>
    <x v="31"/>
    <x v="2"/>
    <m/>
    <n v="97.394000000000005"/>
    <n v="100.211"/>
    <n v="98.802499999999995"/>
    <n v="281.7"/>
  </r>
  <r>
    <x v="3"/>
    <x v="31"/>
    <x v="2"/>
    <m/>
    <n v="97.394000000000005"/>
    <n v="100.211"/>
    <n v="98.802499999999995"/>
    <n v="281.7"/>
  </r>
  <r>
    <x v="3"/>
    <x v="31"/>
    <x v="2"/>
    <m/>
    <n v="97.394000000000005"/>
    <n v="100.211"/>
    <n v="98.802499999999995"/>
    <n v="281.7"/>
  </r>
  <r>
    <x v="3"/>
    <x v="31"/>
    <x v="2"/>
    <m/>
    <n v="97.394000000000005"/>
    <n v="100.211"/>
    <n v="98.802499999999995"/>
    <n v="281.7"/>
  </r>
  <r>
    <x v="3"/>
    <x v="31"/>
    <x v="2"/>
    <m/>
    <n v="97.394000000000005"/>
    <n v="100.211"/>
    <n v="98.802499999999995"/>
    <n v="281.7"/>
  </r>
  <r>
    <x v="3"/>
    <x v="31"/>
    <x v="2"/>
    <m/>
    <n v="97.394000000000005"/>
    <n v="100.211"/>
    <n v="98.802499999999995"/>
    <n v="281.7"/>
  </r>
  <r>
    <x v="3"/>
    <x v="31"/>
    <x v="2"/>
    <m/>
    <n v="97.394000000000005"/>
    <n v="100.211"/>
    <n v="98.802499999999995"/>
    <n v="281.7"/>
  </r>
  <r>
    <x v="3"/>
    <x v="31"/>
    <x v="2"/>
    <m/>
    <n v="97.394000000000005"/>
    <n v="100.211"/>
    <n v="98.802499999999995"/>
    <n v="281.7"/>
  </r>
  <r>
    <x v="3"/>
    <x v="31"/>
    <x v="2"/>
    <m/>
    <n v="97.394000000000005"/>
    <n v="100.211"/>
    <n v="98.802499999999995"/>
    <n v="281.7"/>
  </r>
  <r>
    <x v="3"/>
    <x v="31"/>
    <x v="2"/>
    <m/>
    <n v="97.394000000000005"/>
    <n v="100.211"/>
    <n v="98.802499999999995"/>
    <n v="281.7"/>
  </r>
  <r>
    <x v="3"/>
    <x v="31"/>
    <x v="2"/>
    <m/>
    <n v="97.394000000000005"/>
    <n v="100.211"/>
    <n v="98.802499999999995"/>
    <n v="281.7"/>
  </r>
  <r>
    <x v="3"/>
    <x v="31"/>
    <x v="8"/>
    <m/>
    <n v="0.73870999999999998"/>
    <n v="0.76685000000000003"/>
    <n v="0.75278"/>
    <n v="281.39999999999998"/>
  </r>
  <r>
    <x v="3"/>
    <x v="31"/>
    <x v="9"/>
    <m/>
    <n v="0.83445000000000003"/>
    <n v="0.85419999999999996"/>
    <n v="0.84432499999999999"/>
    <n v="197.5"/>
  </r>
  <r>
    <x v="3"/>
    <x v="31"/>
    <x v="9"/>
    <m/>
    <n v="0.83445000000000003"/>
    <n v="0.85419999999999996"/>
    <n v="0.84432499999999999"/>
    <n v="197.5"/>
  </r>
  <r>
    <x v="3"/>
    <x v="31"/>
    <x v="9"/>
    <m/>
    <n v="0.83445000000000003"/>
    <n v="0.85419999999999996"/>
    <n v="0.84432499999999999"/>
    <n v="197.5"/>
  </r>
  <r>
    <x v="3"/>
    <x v="31"/>
    <x v="9"/>
    <m/>
    <n v="0.83445000000000003"/>
    <n v="0.85419999999999996"/>
    <n v="0.84432499999999999"/>
    <n v="197.5"/>
  </r>
  <r>
    <x v="3"/>
    <x v="31"/>
    <x v="9"/>
    <m/>
    <n v="0.83445000000000003"/>
    <n v="0.85419999999999996"/>
    <n v="0.84432499999999999"/>
    <n v="197.5"/>
  </r>
  <r>
    <x v="3"/>
    <x v="31"/>
    <x v="9"/>
    <m/>
    <n v="0.83445000000000003"/>
    <n v="0.85419999999999996"/>
    <n v="0.84432499999999999"/>
    <n v="197.5"/>
  </r>
  <r>
    <x v="3"/>
    <x v="31"/>
    <x v="9"/>
    <m/>
    <n v="0.83445000000000003"/>
    <n v="0.85419999999999996"/>
    <n v="0.84432499999999999"/>
    <n v="197.5"/>
  </r>
  <r>
    <x v="3"/>
    <x v="31"/>
    <x v="9"/>
    <m/>
    <n v="0.83445000000000003"/>
    <n v="0.85419999999999996"/>
    <n v="0.84432499999999999"/>
    <n v="197.5"/>
  </r>
  <r>
    <x v="3"/>
    <x v="31"/>
    <x v="9"/>
    <m/>
    <n v="0.83445000000000003"/>
    <n v="0.85419999999999996"/>
    <n v="0.84432499999999999"/>
    <n v="197.5"/>
  </r>
  <r>
    <x v="3"/>
    <x v="31"/>
    <x v="9"/>
    <m/>
    <n v="0.83445000000000003"/>
    <n v="0.85419999999999996"/>
    <n v="0.84432499999999999"/>
    <n v="197.5"/>
  </r>
  <r>
    <x v="3"/>
    <x v="31"/>
    <x v="9"/>
    <m/>
    <n v="0.83445000000000003"/>
    <n v="0.85419999999999996"/>
    <n v="0.84432499999999999"/>
    <n v="197.5"/>
  </r>
  <r>
    <x v="3"/>
    <x v="31"/>
    <x v="9"/>
    <m/>
    <n v="0.83445000000000003"/>
    <n v="0.85419999999999996"/>
    <n v="0.84432499999999999"/>
    <n v="197.5"/>
  </r>
  <r>
    <x v="3"/>
    <x v="31"/>
    <x v="9"/>
    <m/>
    <n v="0.83445000000000003"/>
    <n v="0.85419999999999996"/>
    <n v="0.84432499999999999"/>
    <n v="197.5"/>
  </r>
  <r>
    <x v="3"/>
    <x v="31"/>
    <x v="9"/>
    <m/>
    <n v="0.83445000000000003"/>
    <n v="0.85419999999999996"/>
    <n v="0.84432499999999999"/>
    <n v="197.5"/>
  </r>
  <r>
    <x v="3"/>
    <x v="31"/>
    <x v="9"/>
    <m/>
    <n v="0.83445000000000003"/>
    <n v="0.85419999999999996"/>
    <n v="0.84432499999999999"/>
    <n v="197.5"/>
  </r>
  <r>
    <x v="3"/>
    <x v="31"/>
    <x v="2"/>
    <m/>
    <n v="97.394000000000005"/>
    <n v="100.211"/>
    <n v="98.802499999999995"/>
    <n v="281.7"/>
  </r>
  <r>
    <x v="3"/>
    <x v="32"/>
    <x v="2"/>
    <m/>
    <n v="97.394000000000005"/>
    <n v="101.292"/>
    <n v="99.343000000000004"/>
    <n v="389.8"/>
  </r>
  <r>
    <x v="3"/>
    <x v="32"/>
    <x v="9"/>
    <m/>
    <n v="0.83445000000000003"/>
    <n v="0.85419999999999996"/>
    <n v="0.84432499999999999"/>
    <n v="197.5"/>
  </r>
  <r>
    <x v="3"/>
    <x v="32"/>
    <x v="2"/>
    <m/>
    <n v="97.394000000000005"/>
    <n v="101.292"/>
    <n v="99.343000000000004"/>
    <n v="389.8"/>
  </r>
  <r>
    <x v="3"/>
    <x v="32"/>
    <x v="2"/>
    <m/>
    <n v="97.394000000000005"/>
    <n v="101.292"/>
    <n v="99.343000000000004"/>
    <n v="389.8"/>
  </r>
  <r>
    <x v="3"/>
    <x v="32"/>
    <x v="2"/>
    <m/>
    <n v="97.394000000000005"/>
    <n v="101.292"/>
    <n v="99.343000000000004"/>
    <n v="389.8"/>
  </r>
  <r>
    <x v="3"/>
    <x v="32"/>
    <x v="2"/>
    <m/>
    <n v="97.394000000000005"/>
    <n v="101.292"/>
    <n v="99.343000000000004"/>
    <n v="389.8"/>
  </r>
  <r>
    <x v="3"/>
    <x v="32"/>
    <x v="2"/>
    <m/>
    <n v="97.394000000000005"/>
    <n v="101.292"/>
    <n v="99.343000000000004"/>
    <n v="389.8"/>
  </r>
  <r>
    <x v="3"/>
    <x v="32"/>
    <x v="2"/>
    <m/>
    <n v="97.394000000000005"/>
    <n v="101.292"/>
    <n v="99.343000000000004"/>
    <n v="389.8"/>
  </r>
  <r>
    <x v="3"/>
    <x v="32"/>
    <x v="2"/>
    <m/>
    <n v="97.394000000000005"/>
    <n v="101.292"/>
    <n v="99.343000000000004"/>
    <n v="389.8"/>
  </r>
  <r>
    <x v="3"/>
    <x v="32"/>
    <x v="2"/>
    <m/>
    <n v="97.394000000000005"/>
    <n v="101.292"/>
    <n v="99.343000000000004"/>
    <n v="389.8"/>
  </r>
  <r>
    <x v="3"/>
    <x v="32"/>
    <x v="2"/>
    <m/>
    <n v="97.394000000000005"/>
    <n v="101.292"/>
    <n v="99.343000000000004"/>
    <n v="389.8"/>
  </r>
  <r>
    <x v="3"/>
    <x v="32"/>
    <x v="2"/>
    <m/>
    <n v="97.394000000000005"/>
    <n v="101.292"/>
    <n v="99.343000000000004"/>
    <n v="389.8"/>
  </r>
  <r>
    <x v="3"/>
    <x v="32"/>
    <x v="2"/>
    <m/>
    <n v="97.394000000000005"/>
    <n v="101.292"/>
    <n v="99.343000000000004"/>
    <n v="389.8"/>
  </r>
  <r>
    <x v="3"/>
    <x v="32"/>
    <x v="2"/>
    <m/>
    <n v="97.394000000000005"/>
    <n v="101.292"/>
    <n v="99.343000000000004"/>
    <n v="389.8"/>
  </r>
  <r>
    <x v="3"/>
    <x v="32"/>
    <x v="2"/>
    <m/>
    <n v="97.394000000000005"/>
    <n v="101.292"/>
    <n v="99.343000000000004"/>
    <n v="389.8"/>
  </r>
  <r>
    <x v="3"/>
    <x v="32"/>
    <x v="2"/>
    <m/>
    <n v="97.394000000000005"/>
    <n v="101.292"/>
    <n v="99.343000000000004"/>
    <n v="389.8"/>
  </r>
  <r>
    <x v="3"/>
    <x v="32"/>
    <x v="2"/>
    <m/>
    <n v="97.394000000000005"/>
    <n v="101.292"/>
    <n v="99.343000000000004"/>
    <n v="389.8"/>
  </r>
  <r>
    <x v="3"/>
    <x v="32"/>
    <x v="2"/>
    <m/>
    <n v="97.394000000000005"/>
    <n v="101.292"/>
    <n v="99.343000000000004"/>
    <n v="389.8"/>
  </r>
  <r>
    <x v="3"/>
    <x v="32"/>
    <x v="2"/>
    <m/>
    <n v="97.394000000000005"/>
    <n v="101.292"/>
    <n v="99.343000000000004"/>
    <n v="389.8"/>
  </r>
  <r>
    <x v="3"/>
    <x v="32"/>
    <x v="2"/>
    <m/>
    <n v="97.394000000000005"/>
    <n v="101.292"/>
    <n v="99.343000000000004"/>
    <n v="389.8"/>
  </r>
  <r>
    <x v="3"/>
    <x v="32"/>
    <x v="2"/>
    <m/>
    <n v="97.394000000000005"/>
    <n v="101.292"/>
    <n v="99.343000000000004"/>
    <n v="389.8"/>
  </r>
  <r>
    <x v="3"/>
    <x v="32"/>
    <x v="2"/>
    <m/>
    <n v="97.394000000000005"/>
    <n v="101.292"/>
    <n v="99.343000000000004"/>
    <n v="389.8"/>
  </r>
  <r>
    <x v="3"/>
    <x v="32"/>
    <x v="2"/>
    <m/>
    <n v="97.394000000000005"/>
    <n v="101.292"/>
    <n v="99.343000000000004"/>
    <n v="389.8"/>
  </r>
  <r>
    <x v="3"/>
    <x v="32"/>
    <x v="8"/>
    <m/>
    <n v="0.73870999999999998"/>
    <n v="0.76685000000000003"/>
    <n v="0.75278"/>
    <n v="281.39999999999998"/>
  </r>
  <r>
    <x v="3"/>
    <x v="32"/>
    <x v="9"/>
    <m/>
    <n v="0.83445000000000003"/>
    <n v="0.85419999999999996"/>
    <n v="0.84432499999999999"/>
    <n v="197.5"/>
  </r>
  <r>
    <x v="3"/>
    <x v="32"/>
    <x v="9"/>
    <m/>
    <n v="0.83445000000000003"/>
    <n v="0.85419999999999996"/>
    <n v="0.84432499999999999"/>
    <n v="197.5"/>
  </r>
  <r>
    <x v="3"/>
    <x v="32"/>
    <x v="9"/>
    <m/>
    <n v="0.83445000000000003"/>
    <n v="0.85419999999999996"/>
    <n v="0.84432499999999999"/>
    <n v="197.5"/>
  </r>
  <r>
    <x v="3"/>
    <x v="32"/>
    <x v="9"/>
    <m/>
    <n v="0.83445000000000003"/>
    <n v="0.85419999999999996"/>
    <n v="0.84432499999999999"/>
    <n v="197.5"/>
  </r>
  <r>
    <x v="3"/>
    <x v="32"/>
    <x v="9"/>
    <m/>
    <n v="0.83445000000000003"/>
    <n v="0.85419999999999996"/>
    <n v="0.84432499999999999"/>
    <n v="197.5"/>
  </r>
  <r>
    <x v="3"/>
    <x v="32"/>
    <x v="9"/>
    <m/>
    <n v="0.83445000000000003"/>
    <n v="0.85419999999999996"/>
    <n v="0.84432499999999999"/>
    <n v="197.5"/>
  </r>
  <r>
    <x v="3"/>
    <x v="32"/>
    <x v="9"/>
    <m/>
    <n v="0.83445000000000003"/>
    <n v="0.85419999999999996"/>
    <n v="0.84432499999999999"/>
    <n v="197.5"/>
  </r>
  <r>
    <x v="3"/>
    <x v="32"/>
    <x v="9"/>
    <m/>
    <n v="0.83445000000000003"/>
    <n v="0.85419999999999996"/>
    <n v="0.84432499999999999"/>
    <n v="197.5"/>
  </r>
  <r>
    <x v="3"/>
    <x v="32"/>
    <x v="9"/>
    <m/>
    <n v="0.83445000000000003"/>
    <n v="0.85419999999999996"/>
    <n v="0.84432499999999999"/>
    <n v="197.5"/>
  </r>
  <r>
    <x v="3"/>
    <x v="32"/>
    <x v="9"/>
    <m/>
    <n v="0.83445000000000003"/>
    <n v="0.85419999999999996"/>
    <n v="0.84432499999999999"/>
    <n v="197.5"/>
  </r>
  <r>
    <x v="3"/>
    <x v="32"/>
    <x v="9"/>
    <m/>
    <n v="0.83445000000000003"/>
    <n v="0.85419999999999996"/>
    <n v="0.84432499999999999"/>
    <n v="197.5"/>
  </r>
  <r>
    <x v="3"/>
    <x v="32"/>
    <x v="9"/>
    <m/>
    <n v="0.83445000000000003"/>
    <n v="0.85419999999999996"/>
    <n v="0.84432499999999999"/>
    <n v="197.5"/>
  </r>
  <r>
    <x v="3"/>
    <x v="32"/>
    <x v="9"/>
    <m/>
    <n v="0.83445000000000003"/>
    <n v="0.85419999999999996"/>
    <n v="0.84432499999999999"/>
    <n v="197.5"/>
  </r>
  <r>
    <x v="3"/>
    <x v="32"/>
    <x v="9"/>
    <m/>
    <n v="0.83445000000000003"/>
    <n v="0.85419999999999996"/>
    <n v="0.84432499999999999"/>
    <n v="197.5"/>
  </r>
  <r>
    <x v="3"/>
    <x v="32"/>
    <x v="9"/>
    <m/>
    <n v="0.83445000000000003"/>
    <n v="0.85419999999999996"/>
    <n v="0.84432499999999999"/>
    <n v="197.5"/>
  </r>
  <r>
    <x v="3"/>
    <x v="32"/>
    <x v="9"/>
    <m/>
    <n v="0.83445000000000003"/>
    <n v="0.85419999999999996"/>
    <n v="0.84432499999999999"/>
    <n v="197.5"/>
  </r>
  <r>
    <x v="3"/>
    <x v="32"/>
    <x v="2"/>
    <m/>
    <n v="97.394000000000005"/>
    <n v="101.292"/>
    <n v="99.343000000000004"/>
    <n v="389.8"/>
  </r>
  <r>
    <x v="3"/>
    <x v="33"/>
    <x v="2"/>
    <m/>
    <n v="97.394000000000005"/>
    <n v="102.465"/>
    <n v="99.929500000000004"/>
    <n v="507.1"/>
  </r>
  <r>
    <x v="3"/>
    <x v="33"/>
    <x v="2"/>
    <m/>
    <n v="97.394000000000005"/>
    <n v="102.465"/>
    <n v="99.929500000000004"/>
    <n v="507.1"/>
  </r>
  <r>
    <x v="3"/>
    <x v="33"/>
    <x v="2"/>
    <m/>
    <n v="97.394000000000005"/>
    <n v="102.465"/>
    <n v="99.929500000000004"/>
    <n v="507.1"/>
  </r>
  <r>
    <x v="3"/>
    <x v="33"/>
    <x v="2"/>
    <m/>
    <n v="97.394000000000005"/>
    <n v="102.465"/>
    <n v="99.929500000000004"/>
    <n v="507.1"/>
  </r>
  <r>
    <x v="3"/>
    <x v="33"/>
    <x v="2"/>
    <m/>
    <n v="97.394000000000005"/>
    <n v="102.465"/>
    <n v="99.929500000000004"/>
    <n v="507.1"/>
  </r>
  <r>
    <x v="3"/>
    <x v="33"/>
    <x v="2"/>
    <m/>
    <n v="97.394000000000005"/>
    <n v="102.465"/>
    <n v="99.929500000000004"/>
    <n v="507.1"/>
  </r>
  <r>
    <x v="3"/>
    <x v="33"/>
    <x v="2"/>
    <m/>
    <n v="97.394000000000005"/>
    <n v="102.465"/>
    <n v="99.929500000000004"/>
    <n v="507.1"/>
  </r>
  <r>
    <x v="3"/>
    <x v="33"/>
    <x v="2"/>
    <m/>
    <n v="97.394000000000005"/>
    <n v="102.465"/>
    <n v="99.929500000000004"/>
    <n v="507.1"/>
  </r>
  <r>
    <x v="3"/>
    <x v="33"/>
    <x v="2"/>
    <m/>
    <n v="97.394000000000005"/>
    <n v="102.465"/>
    <n v="99.929500000000004"/>
    <n v="507.1"/>
  </r>
  <r>
    <x v="3"/>
    <x v="33"/>
    <x v="2"/>
    <m/>
    <n v="97.394000000000005"/>
    <n v="102.465"/>
    <n v="99.929500000000004"/>
    <n v="507.1"/>
  </r>
  <r>
    <x v="3"/>
    <x v="33"/>
    <x v="2"/>
    <m/>
    <n v="97.394000000000005"/>
    <n v="102.465"/>
    <n v="99.929500000000004"/>
    <n v="507.1"/>
  </r>
  <r>
    <x v="3"/>
    <x v="33"/>
    <x v="2"/>
    <m/>
    <n v="97.394000000000005"/>
    <n v="102.465"/>
    <n v="99.929500000000004"/>
    <n v="507.1"/>
  </r>
  <r>
    <x v="3"/>
    <x v="33"/>
    <x v="2"/>
    <m/>
    <n v="97.394000000000005"/>
    <n v="102.465"/>
    <n v="99.929500000000004"/>
    <n v="507.1"/>
  </r>
  <r>
    <x v="3"/>
    <x v="33"/>
    <x v="2"/>
    <m/>
    <n v="97.394000000000005"/>
    <n v="102.465"/>
    <n v="99.929500000000004"/>
    <n v="507.1"/>
  </r>
  <r>
    <x v="3"/>
    <x v="33"/>
    <x v="2"/>
    <m/>
    <n v="97.394000000000005"/>
    <n v="102.465"/>
    <n v="99.929500000000004"/>
    <n v="507.1"/>
  </r>
  <r>
    <x v="3"/>
    <x v="33"/>
    <x v="2"/>
    <m/>
    <n v="97.394000000000005"/>
    <n v="102.465"/>
    <n v="99.929500000000004"/>
    <n v="507.1"/>
  </r>
  <r>
    <x v="3"/>
    <x v="33"/>
    <x v="2"/>
    <m/>
    <n v="97.394000000000005"/>
    <n v="102.465"/>
    <n v="99.929500000000004"/>
    <n v="507.1"/>
  </r>
  <r>
    <x v="3"/>
    <x v="33"/>
    <x v="2"/>
    <m/>
    <n v="97.394000000000005"/>
    <n v="102.465"/>
    <n v="99.929500000000004"/>
    <n v="507.1"/>
  </r>
  <r>
    <x v="3"/>
    <x v="33"/>
    <x v="2"/>
    <m/>
    <n v="97.394000000000005"/>
    <n v="102.465"/>
    <n v="99.929500000000004"/>
    <n v="507.1"/>
  </r>
  <r>
    <x v="3"/>
    <x v="33"/>
    <x v="2"/>
    <m/>
    <n v="97.394000000000005"/>
    <n v="102.465"/>
    <n v="99.929500000000004"/>
    <n v="507.1"/>
  </r>
  <r>
    <x v="3"/>
    <x v="33"/>
    <x v="2"/>
    <m/>
    <n v="97.394000000000005"/>
    <n v="102.465"/>
    <n v="99.929500000000004"/>
    <n v="507.1"/>
  </r>
  <r>
    <x v="3"/>
    <x v="33"/>
    <x v="2"/>
    <m/>
    <n v="97.394000000000005"/>
    <n v="102.465"/>
    <n v="99.929500000000004"/>
    <n v="507.1"/>
  </r>
  <r>
    <x v="3"/>
    <x v="33"/>
    <x v="2"/>
    <m/>
    <n v="97.394000000000005"/>
    <n v="102.465"/>
    <n v="99.929500000000004"/>
    <n v="507.1"/>
  </r>
  <r>
    <x v="3"/>
    <x v="33"/>
    <x v="2"/>
    <m/>
    <n v="97.394000000000005"/>
    <n v="102.465"/>
    <n v="99.929500000000004"/>
    <n v="507.1"/>
  </r>
  <r>
    <x v="3"/>
    <x v="33"/>
    <x v="2"/>
    <m/>
    <n v="97.394000000000005"/>
    <n v="102.465"/>
    <n v="99.929500000000004"/>
    <n v="507.1"/>
  </r>
  <r>
    <x v="3"/>
    <x v="33"/>
    <x v="2"/>
    <m/>
    <n v="97.394000000000005"/>
    <n v="102.465"/>
    <n v="99.929500000000004"/>
    <n v="507.1"/>
  </r>
  <r>
    <x v="3"/>
    <x v="33"/>
    <x v="2"/>
    <m/>
    <n v="97.394000000000005"/>
    <n v="102.465"/>
    <n v="99.929500000000004"/>
    <n v="507.1"/>
  </r>
  <r>
    <x v="3"/>
    <x v="33"/>
    <x v="2"/>
    <m/>
    <n v="97.394000000000005"/>
    <n v="102.465"/>
    <n v="99.929500000000004"/>
    <n v="507.1"/>
  </r>
  <r>
    <x v="3"/>
    <x v="33"/>
    <x v="2"/>
    <m/>
    <n v="97.394000000000005"/>
    <n v="102.465"/>
    <n v="99.929500000000004"/>
    <n v="507.1"/>
  </r>
  <r>
    <x v="3"/>
    <x v="33"/>
    <x v="2"/>
    <m/>
    <n v="97.394000000000005"/>
    <n v="102.465"/>
    <n v="99.929500000000004"/>
    <n v="507.1"/>
  </r>
  <r>
    <x v="3"/>
    <x v="33"/>
    <x v="8"/>
    <m/>
    <n v="0.73521000000000003"/>
    <n v="0.76685000000000003"/>
    <n v="0.75102999999999998"/>
    <n v="316.39999999999998"/>
  </r>
  <r>
    <x v="3"/>
    <x v="33"/>
    <x v="9"/>
    <m/>
    <n v="0.83001000000000003"/>
    <n v="0.85419999999999996"/>
    <n v="0.84210499999999999"/>
    <n v="241.9"/>
  </r>
  <r>
    <x v="3"/>
    <x v="33"/>
    <x v="9"/>
    <m/>
    <n v="0.83001000000000003"/>
    <n v="0.85419999999999996"/>
    <n v="0.84210499999999999"/>
    <n v="241.9"/>
  </r>
  <r>
    <x v="3"/>
    <x v="33"/>
    <x v="9"/>
    <m/>
    <n v="0.83001000000000003"/>
    <n v="0.85419999999999996"/>
    <n v="0.84210499999999999"/>
    <n v="241.9"/>
  </r>
  <r>
    <x v="3"/>
    <x v="33"/>
    <x v="9"/>
    <m/>
    <n v="0.83001000000000003"/>
    <n v="0.85419999999999996"/>
    <n v="0.84210499999999999"/>
    <n v="241.9"/>
  </r>
  <r>
    <x v="3"/>
    <x v="33"/>
    <x v="9"/>
    <m/>
    <n v="0.83001000000000003"/>
    <n v="0.85419999999999996"/>
    <n v="0.84210499999999999"/>
    <n v="241.9"/>
  </r>
  <r>
    <x v="3"/>
    <x v="33"/>
    <x v="9"/>
    <m/>
    <n v="0.83001000000000003"/>
    <n v="0.85419999999999996"/>
    <n v="0.84210499999999999"/>
    <n v="241.9"/>
  </r>
  <r>
    <x v="3"/>
    <x v="33"/>
    <x v="9"/>
    <m/>
    <n v="0.83001000000000003"/>
    <n v="0.85419999999999996"/>
    <n v="0.84210499999999999"/>
    <n v="241.9"/>
  </r>
  <r>
    <x v="3"/>
    <x v="33"/>
    <x v="9"/>
    <m/>
    <n v="0.83001000000000003"/>
    <n v="0.85419999999999996"/>
    <n v="0.84210499999999999"/>
    <n v="241.9"/>
  </r>
  <r>
    <x v="3"/>
    <x v="33"/>
    <x v="9"/>
    <m/>
    <n v="0.83001000000000003"/>
    <n v="0.85419999999999996"/>
    <n v="0.84210499999999999"/>
    <n v="241.9"/>
  </r>
  <r>
    <x v="3"/>
    <x v="33"/>
    <x v="9"/>
    <m/>
    <n v="0.83001000000000003"/>
    <n v="0.85419999999999996"/>
    <n v="0.84210499999999999"/>
    <n v="241.9"/>
  </r>
  <r>
    <x v="3"/>
    <x v="33"/>
    <x v="9"/>
    <m/>
    <n v="0.83001000000000003"/>
    <n v="0.85419999999999996"/>
    <n v="0.84210499999999999"/>
    <n v="241.9"/>
  </r>
  <r>
    <x v="3"/>
    <x v="33"/>
    <x v="9"/>
    <m/>
    <n v="0.83001000000000003"/>
    <n v="0.85419999999999996"/>
    <n v="0.84210499999999999"/>
    <n v="241.9"/>
  </r>
  <r>
    <x v="3"/>
    <x v="33"/>
    <x v="9"/>
    <m/>
    <n v="0.83001000000000003"/>
    <n v="0.85419999999999996"/>
    <n v="0.84210499999999999"/>
    <n v="241.9"/>
  </r>
  <r>
    <x v="3"/>
    <x v="33"/>
    <x v="9"/>
    <m/>
    <n v="0.83001000000000003"/>
    <n v="0.85419999999999996"/>
    <n v="0.84210499999999999"/>
    <n v="241.9"/>
  </r>
  <r>
    <x v="3"/>
    <x v="33"/>
    <x v="9"/>
    <m/>
    <n v="0.83001000000000003"/>
    <n v="0.85419999999999996"/>
    <n v="0.84210499999999999"/>
    <n v="241.9"/>
  </r>
  <r>
    <x v="3"/>
    <x v="33"/>
    <x v="9"/>
    <m/>
    <n v="0.83001000000000003"/>
    <n v="0.85419999999999996"/>
    <n v="0.84210499999999999"/>
    <n v="241.9"/>
  </r>
  <r>
    <x v="3"/>
    <x v="33"/>
    <x v="9"/>
    <m/>
    <n v="0.83001000000000003"/>
    <n v="0.85419999999999996"/>
    <n v="0.84210499999999999"/>
    <n v="241.9"/>
  </r>
  <r>
    <x v="3"/>
    <x v="34"/>
    <x v="2"/>
    <m/>
    <n v="97.394000000000005"/>
    <n v="102.92700000000001"/>
    <n v="100.1605"/>
    <n v="553.29999999999995"/>
  </r>
  <r>
    <x v="3"/>
    <x v="34"/>
    <x v="9"/>
    <m/>
    <n v="0.83001000000000003"/>
    <n v="0.85419999999999996"/>
    <n v="0.84210499999999999"/>
    <n v="241.9"/>
  </r>
  <r>
    <x v="3"/>
    <x v="34"/>
    <x v="2"/>
    <m/>
    <n v="97.394000000000005"/>
    <n v="102.92700000000001"/>
    <n v="100.1605"/>
    <n v="553.29999999999995"/>
  </r>
  <r>
    <x v="3"/>
    <x v="34"/>
    <x v="2"/>
    <m/>
    <n v="97.394000000000005"/>
    <n v="102.92700000000001"/>
    <n v="100.1605"/>
    <n v="553.29999999999995"/>
  </r>
  <r>
    <x v="3"/>
    <x v="34"/>
    <x v="2"/>
    <m/>
    <n v="97.394000000000005"/>
    <n v="102.92700000000001"/>
    <n v="100.1605"/>
    <n v="553.29999999999995"/>
  </r>
  <r>
    <x v="3"/>
    <x v="34"/>
    <x v="2"/>
    <m/>
    <n v="97.394000000000005"/>
    <n v="102.92700000000001"/>
    <n v="100.1605"/>
    <n v="553.29999999999995"/>
  </r>
  <r>
    <x v="3"/>
    <x v="34"/>
    <x v="2"/>
    <m/>
    <n v="97.394000000000005"/>
    <n v="102.92700000000001"/>
    <n v="100.1605"/>
    <n v="553.29999999999995"/>
  </r>
  <r>
    <x v="3"/>
    <x v="34"/>
    <x v="2"/>
    <m/>
    <n v="97.394000000000005"/>
    <n v="102.92700000000001"/>
    <n v="100.1605"/>
    <n v="553.29999999999995"/>
  </r>
  <r>
    <x v="3"/>
    <x v="34"/>
    <x v="2"/>
    <m/>
    <n v="97.394000000000005"/>
    <n v="102.92700000000001"/>
    <n v="100.1605"/>
    <n v="553.29999999999995"/>
  </r>
  <r>
    <x v="3"/>
    <x v="34"/>
    <x v="2"/>
    <m/>
    <n v="97.394000000000005"/>
    <n v="102.92700000000001"/>
    <n v="100.1605"/>
    <n v="553.29999999999995"/>
  </r>
  <r>
    <x v="3"/>
    <x v="34"/>
    <x v="2"/>
    <m/>
    <n v="97.394000000000005"/>
    <n v="102.92700000000001"/>
    <n v="100.1605"/>
    <n v="553.29999999999995"/>
  </r>
  <r>
    <x v="3"/>
    <x v="34"/>
    <x v="2"/>
    <m/>
    <n v="97.394000000000005"/>
    <n v="102.92700000000001"/>
    <n v="100.1605"/>
    <n v="553.29999999999995"/>
  </r>
  <r>
    <x v="3"/>
    <x v="34"/>
    <x v="2"/>
    <m/>
    <n v="97.394000000000005"/>
    <n v="102.92700000000001"/>
    <n v="100.1605"/>
    <n v="553.29999999999995"/>
  </r>
  <r>
    <x v="3"/>
    <x v="34"/>
    <x v="2"/>
    <m/>
    <n v="97.394000000000005"/>
    <n v="102.92700000000001"/>
    <n v="100.1605"/>
    <n v="553.29999999999995"/>
  </r>
  <r>
    <x v="3"/>
    <x v="34"/>
    <x v="2"/>
    <m/>
    <n v="97.394000000000005"/>
    <n v="102.92700000000001"/>
    <n v="100.1605"/>
    <n v="553.29999999999995"/>
  </r>
  <r>
    <x v="3"/>
    <x v="34"/>
    <x v="2"/>
    <m/>
    <n v="97.394000000000005"/>
    <n v="102.92700000000001"/>
    <n v="100.1605"/>
    <n v="553.29999999999995"/>
  </r>
  <r>
    <x v="3"/>
    <x v="34"/>
    <x v="2"/>
    <m/>
    <n v="97.394000000000005"/>
    <n v="102.92700000000001"/>
    <n v="100.1605"/>
    <n v="553.29999999999995"/>
  </r>
  <r>
    <x v="3"/>
    <x v="34"/>
    <x v="2"/>
    <m/>
    <n v="97.394000000000005"/>
    <n v="102.92700000000001"/>
    <n v="100.1605"/>
    <n v="553.29999999999995"/>
  </r>
  <r>
    <x v="3"/>
    <x v="34"/>
    <x v="2"/>
    <m/>
    <n v="97.394000000000005"/>
    <n v="102.92700000000001"/>
    <n v="100.1605"/>
    <n v="553.29999999999995"/>
  </r>
  <r>
    <x v="3"/>
    <x v="34"/>
    <x v="2"/>
    <m/>
    <n v="97.394000000000005"/>
    <n v="102.92700000000001"/>
    <n v="100.1605"/>
    <n v="553.29999999999995"/>
  </r>
  <r>
    <x v="3"/>
    <x v="34"/>
    <x v="2"/>
    <m/>
    <n v="97.394000000000005"/>
    <n v="102.92700000000001"/>
    <n v="100.1605"/>
    <n v="553.29999999999995"/>
  </r>
  <r>
    <x v="3"/>
    <x v="34"/>
    <x v="2"/>
    <m/>
    <n v="97.394000000000005"/>
    <n v="102.92700000000001"/>
    <n v="100.1605"/>
    <n v="553.29999999999995"/>
  </r>
  <r>
    <x v="3"/>
    <x v="34"/>
    <x v="2"/>
    <m/>
    <n v="97.394000000000005"/>
    <n v="102.92700000000001"/>
    <n v="100.1605"/>
    <n v="553.29999999999995"/>
  </r>
  <r>
    <x v="3"/>
    <x v="34"/>
    <x v="2"/>
    <m/>
    <n v="97.394000000000005"/>
    <n v="102.92700000000001"/>
    <n v="100.1605"/>
    <n v="553.29999999999995"/>
  </r>
  <r>
    <x v="3"/>
    <x v="34"/>
    <x v="2"/>
    <m/>
    <n v="97.394000000000005"/>
    <n v="102.92700000000001"/>
    <n v="100.1605"/>
    <n v="553.29999999999995"/>
  </r>
  <r>
    <x v="3"/>
    <x v="34"/>
    <x v="2"/>
    <m/>
    <n v="97.394000000000005"/>
    <n v="102.92700000000001"/>
    <n v="100.1605"/>
    <n v="553.29999999999995"/>
  </r>
  <r>
    <x v="3"/>
    <x v="34"/>
    <x v="2"/>
    <m/>
    <n v="97.394000000000005"/>
    <n v="102.92700000000001"/>
    <n v="100.1605"/>
    <n v="553.29999999999995"/>
  </r>
  <r>
    <x v="3"/>
    <x v="34"/>
    <x v="2"/>
    <m/>
    <n v="97.394000000000005"/>
    <n v="102.92700000000001"/>
    <n v="100.1605"/>
    <n v="553.29999999999995"/>
  </r>
  <r>
    <x v="3"/>
    <x v="34"/>
    <x v="8"/>
    <m/>
    <n v="0.73521000000000003"/>
    <n v="0.76685000000000003"/>
    <n v="0.75102999999999998"/>
    <n v="316.39999999999998"/>
  </r>
  <r>
    <x v="3"/>
    <x v="34"/>
    <x v="2"/>
    <m/>
    <n v="97.394000000000005"/>
    <n v="102.92700000000001"/>
    <n v="100.1605"/>
    <n v="553.29999999999995"/>
  </r>
  <r>
    <x v="3"/>
    <x v="34"/>
    <x v="2"/>
    <m/>
    <n v="97.394000000000005"/>
    <n v="102.92700000000001"/>
    <n v="100.1605"/>
    <n v="553.29999999999995"/>
  </r>
  <r>
    <x v="3"/>
    <x v="34"/>
    <x v="2"/>
    <m/>
    <n v="97.394000000000005"/>
    <n v="102.92700000000001"/>
    <n v="100.1605"/>
    <n v="553.29999999999995"/>
  </r>
  <r>
    <x v="3"/>
    <x v="34"/>
    <x v="2"/>
    <m/>
    <n v="97.394000000000005"/>
    <n v="102.92700000000001"/>
    <n v="100.1605"/>
    <n v="553.29999999999995"/>
  </r>
  <r>
    <x v="3"/>
    <x v="34"/>
    <x v="2"/>
    <m/>
    <n v="97.394000000000005"/>
    <n v="102.92700000000001"/>
    <n v="100.1605"/>
    <n v="553.29999999999995"/>
  </r>
  <r>
    <x v="3"/>
    <x v="34"/>
    <x v="9"/>
    <m/>
    <n v="0.83001000000000003"/>
    <n v="0.85419999999999996"/>
    <n v="0.84210499999999999"/>
    <n v="241.9"/>
  </r>
  <r>
    <x v="3"/>
    <x v="34"/>
    <x v="9"/>
    <m/>
    <n v="0.83001000000000003"/>
    <n v="0.85419999999999996"/>
    <n v="0.84210499999999999"/>
    <n v="241.9"/>
  </r>
  <r>
    <x v="3"/>
    <x v="34"/>
    <x v="9"/>
    <m/>
    <n v="0.83001000000000003"/>
    <n v="0.85419999999999996"/>
    <n v="0.84210499999999999"/>
    <n v="241.9"/>
  </r>
  <r>
    <x v="3"/>
    <x v="34"/>
    <x v="9"/>
    <m/>
    <n v="0.83001000000000003"/>
    <n v="0.85419999999999996"/>
    <n v="0.84210499999999999"/>
    <n v="241.9"/>
  </r>
  <r>
    <x v="3"/>
    <x v="34"/>
    <x v="9"/>
    <m/>
    <n v="0.83001000000000003"/>
    <n v="0.85419999999999996"/>
    <n v="0.84210499999999999"/>
    <n v="241.9"/>
  </r>
  <r>
    <x v="3"/>
    <x v="34"/>
    <x v="9"/>
    <m/>
    <n v="0.83001000000000003"/>
    <n v="0.85419999999999996"/>
    <n v="0.84210499999999999"/>
    <n v="241.9"/>
  </r>
  <r>
    <x v="3"/>
    <x v="34"/>
    <x v="9"/>
    <m/>
    <n v="0.83001000000000003"/>
    <n v="0.85419999999999996"/>
    <n v="0.84210499999999999"/>
    <n v="241.9"/>
  </r>
  <r>
    <x v="3"/>
    <x v="34"/>
    <x v="9"/>
    <m/>
    <n v="0.83001000000000003"/>
    <n v="0.85419999999999996"/>
    <n v="0.84210499999999999"/>
    <n v="241.9"/>
  </r>
  <r>
    <x v="3"/>
    <x v="34"/>
    <x v="9"/>
    <m/>
    <n v="0.83001000000000003"/>
    <n v="0.85419999999999996"/>
    <n v="0.84210499999999999"/>
    <n v="241.9"/>
  </r>
  <r>
    <x v="3"/>
    <x v="34"/>
    <x v="9"/>
    <m/>
    <n v="0.83001000000000003"/>
    <n v="0.85419999999999996"/>
    <n v="0.84210499999999999"/>
    <n v="241.9"/>
  </r>
  <r>
    <x v="3"/>
    <x v="34"/>
    <x v="9"/>
    <m/>
    <n v="0.83001000000000003"/>
    <n v="0.85419999999999996"/>
    <n v="0.84210499999999999"/>
    <n v="241.9"/>
  </r>
  <r>
    <x v="3"/>
    <x v="34"/>
    <x v="9"/>
    <m/>
    <n v="0.83001000000000003"/>
    <n v="0.85419999999999996"/>
    <n v="0.84210499999999999"/>
    <n v="241.9"/>
  </r>
  <r>
    <x v="3"/>
    <x v="34"/>
    <x v="9"/>
    <m/>
    <n v="0.83001000000000003"/>
    <n v="0.85419999999999996"/>
    <n v="0.84210499999999999"/>
    <n v="241.9"/>
  </r>
  <r>
    <x v="3"/>
    <x v="34"/>
    <x v="9"/>
    <m/>
    <n v="0.83001000000000003"/>
    <n v="0.85419999999999996"/>
    <n v="0.84210499999999999"/>
    <n v="241.9"/>
  </r>
  <r>
    <x v="3"/>
    <x v="34"/>
    <x v="9"/>
    <m/>
    <n v="0.83001000000000003"/>
    <n v="0.85419999999999996"/>
    <n v="0.84210499999999999"/>
    <n v="241.9"/>
  </r>
  <r>
    <x v="3"/>
    <x v="34"/>
    <x v="9"/>
    <m/>
    <n v="0.83001000000000003"/>
    <n v="0.85419999999999996"/>
    <n v="0.84210499999999999"/>
    <n v="241.9"/>
  </r>
  <r>
    <x v="3"/>
    <x v="34"/>
    <x v="9"/>
    <m/>
    <n v="0.83001000000000003"/>
    <n v="0.85419999999999996"/>
    <n v="0.84210499999999999"/>
    <n v="241.9"/>
  </r>
  <r>
    <x v="3"/>
    <x v="34"/>
    <x v="9"/>
    <m/>
    <n v="0.83001000000000003"/>
    <n v="0.85419999999999996"/>
    <n v="0.84210499999999999"/>
    <n v="241.9"/>
  </r>
  <r>
    <x v="3"/>
    <x v="34"/>
    <x v="2"/>
    <m/>
    <n v="97.394000000000005"/>
    <n v="102.92700000000001"/>
    <n v="100.1605"/>
    <n v="553.29999999999995"/>
  </r>
  <r>
    <x v="3"/>
    <x v="35"/>
    <x v="2"/>
    <m/>
    <n v="97.394000000000005"/>
    <n v="103.251"/>
    <n v="100.32250000000001"/>
    <n v="585.70000000000005"/>
  </r>
  <r>
    <x v="3"/>
    <x v="35"/>
    <x v="9"/>
    <m/>
    <n v="0.83001000000000003"/>
    <n v="0.85419999999999996"/>
    <n v="0.84210499999999999"/>
    <n v="241.9"/>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2"/>
    <m/>
    <n v="97.394000000000005"/>
    <n v="103.251"/>
    <n v="100.32250000000001"/>
    <n v="585.70000000000005"/>
  </r>
  <r>
    <x v="3"/>
    <x v="35"/>
    <x v="8"/>
    <m/>
    <n v="0.73468999999999995"/>
    <n v="0.76685000000000003"/>
    <n v="0.75077000000000005"/>
    <n v="321.60000000000002"/>
  </r>
  <r>
    <x v="3"/>
    <x v="35"/>
    <x v="9"/>
    <m/>
    <n v="0.83001000000000003"/>
    <n v="0.85419999999999996"/>
    <n v="0.84210499999999999"/>
    <n v="241.9"/>
  </r>
  <r>
    <x v="3"/>
    <x v="35"/>
    <x v="9"/>
    <m/>
    <n v="0.83001000000000003"/>
    <n v="0.85419999999999996"/>
    <n v="0.84210499999999999"/>
    <n v="241.9"/>
  </r>
  <r>
    <x v="3"/>
    <x v="35"/>
    <x v="9"/>
    <m/>
    <n v="0.83001000000000003"/>
    <n v="0.85419999999999996"/>
    <n v="0.84210499999999999"/>
    <n v="241.9"/>
  </r>
  <r>
    <x v="3"/>
    <x v="35"/>
    <x v="9"/>
    <m/>
    <n v="0.83001000000000003"/>
    <n v="0.85419999999999996"/>
    <n v="0.84210499999999999"/>
    <n v="241.9"/>
  </r>
  <r>
    <x v="3"/>
    <x v="35"/>
    <x v="9"/>
    <m/>
    <n v="0.83001000000000003"/>
    <n v="0.85419999999999996"/>
    <n v="0.84210499999999999"/>
    <n v="241.9"/>
  </r>
  <r>
    <x v="3"/>
    <x v="35"/>
    <x v="9"/>
    <m/>
    <n v="0.83001000000000003"/>
    <n v="0.85419999999999996"/>
    <n v="0.84210499999999999"/>
    <n v="241.9"/>
  </r>
  <r>
    <x v="3"/>
    <x v="35"/>
    <x v="9"/>
    <m/>
    <n v="0.83001000000000003"/>
    <n v="0.85419999999999996"/>
    <n v="0.84210499999999999"/>
    <n v="241.9"/>
  </r>
  <r>
    <x v="3"/>
    <x v="35"/>
    <x v="9"/>
    <m/>
    <n v="0.83001000000000003"/>
    <n v="0.85419999999999996"/>
    <n v="0.84210499999999999"/>
    <n v="241.9"/>
  </r>
  <r>
    <x v="3"/>
    <x v="35"/>
    <x v="9"/>
    <m/>
    <n v="0.83001000000000003"/>
    <n v="0.85419999999999996"/>
    <n v="0.84210499999999999"/>
    <n v="241.9"/>
  </r>
  <r>
    <x v="3"/>
    <x v="35"/>
    <x v="9"/>
    <m/>
    <n v="0.83001000000000003"/>
    <n v="0.85419999999999996"/>
    <n v="0.84210499999999999"/>
    <n v="241.9"/>
  </r>
  <r>
    <x v="3"/>
    <x v="35"/>
    <x v="9"/>
    <m/>
    <n v="0.83001000000000003"/>
    <n v="0.85419999999999996"/>
    <n v="0.84210499999999999"/>
    <n v="241.9"/>
  </r>
  <r>
    <x v="3"/>
    <x v="35"/>
    <x v="9"/>
    <m/>
    <n v="0.83001000000000003"/>
    <n v="0.85419999999999996"/>
    <n v="0.84210499999999999"/>
    <n v="241.9"/>
  </r>
  <r>
    <x v="3"/>
    <x v="35"/>
    <x v="9"/>
    <m/>
    <n v="0.83001000000000003"/>
    <n v="0.85419999999999996"/>
    <n v="0.84210499999999999"/>
    <n v="241.9"/>
  </r>
  <r>
    <x v="3"/>
    <x v="35"/>
    <x v="9"/>
    <m/>
    <n v="0.83001000000000003"/>
    <n v="0.85419999999999996"/>
    <n v="0.84210499999999999"/>
    <n v="241.9"/>
  </r>
  <r>
    <x v="3"/>
    <x v="35"/>
    <x v="9"/>
    <m/>
    <n v="0.83001000000000003"/>
    <n v="0.85419999999999996"/>
    <n v="0.84210499999999999"/>
    <n v="241.9"/>
  </r>
  <r>
    <x v="3"/>
    <x v="35"/>
    <x v="9"/>
    <m/>
    <n v="0.83001000000000003"/>
    <n v="0.85419999999999996"/>
    <n v="0.84210499999999999"/>
    <n v="241.9"/>
  </r>
  <r>
    <x v="3"/>
    <x v="35"/>
    <x v="9"/>
    <m/>
    <n v="0.83001000000000003"/>
    <n v="0.85419999999999996"/>
    <n v="0.84210499999999999"/>
    <n v="241.9"/>
  </r>
  <r>
    <x v="3"/>
    <x v="35"/>
    <x v="2"/>
    <m/>
    <n v="97.394000000000005"/>
    <n v="103.251"/>
    <n v="100.32250000000001"/>
    <n v="585.70000000000005"/>
  </r>
  <r>
    <x v="3"/>
    <x v="36"/>
    <x v="2"/>
    <m/>
    <n v="97.394000000000005"/>
    <n v="104.122"/>
    <n v="100.758"/>
    <n v="672.8"/>
  </r>
  <r>
    <x v="3"/>
    <x v="36"/>
    <x v="9"/>
    <m/>
    <n v="0.83001000000000003"/>
    <n v="0.85419999999999996"/>
    <n v="0.84210499999999999"/>
    <n v="241.9"/>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2"/>
    <m/>
    <n v="97.394000000000005"/>
    <n v="104.122"/>
    <n v="100.758"/>
    <n v="672.8"/>
  </r>
  <r>
    <x v="3"/>
    <x v="36"/>
    <x v="9"/>
    <m/>
    <n v="0.83001000000000003"/>
    <n v="0.85419999999999996"/>
    <n v="0.84210499999999999"/>
    <n v="241.9"/>
  </r>
  <r>
    <x v="3"/>
    <x v="36"/>
    <x v="9"/>
    <m/>
    <n v="0.83001000000000003"/>
    <n v="0.85419999999999996"/>
    <n v="0.84210499999999999"/>
    <n v="241.9"/>
  </r>
  <r>
    <x v="3"/>
    <x v="36"/>
    <x v="9"/>
    <m/>
    <n v="0.83001000000000003"/>
    <n v="0.85419999999999996"/>
    <n v="0.84210499999999999"/>
    <n v="241.9"/>
  </r>
  <r>
    <x v="3"/>
    <x v="36"/>
    <x v="9"/>
    <m/>
    <n v="0.83001000000000003"/>
    <n v="0.85419999999999996"/>
    <n v="0.84210499999999999"/>
    <n v="241.9"/>
  </r>
  <r>
    <x v="3"/>
    <x v="36"/>
    <x v="9"/>
    <m/>
    <n v="0.83001000000000003"/>
    <n v="0.85419999999999996"/>
    <n v="0.84210499999999999"/>
    <n v="241.9"/>
  </r>
  <r>
    <x v="3"/>
    <x v="36"/>
    <x v="9"/>
    <m/>
    <n v="0.83001000000000003"/>
    <n v="0.85419999999999996"/>
    <n v="0.84210499999999999"/>
    <n v="241.9"/>
  </r>
  <r>
    <x v="3"/>
    <x v="36"/>
    <x v="9"/>
    <m/>
    <n v="0.83001000000000003"/>
    <n v="0.85419999999999996"/>
    <n v="0.84210499999999999"/>
    <n v="241.9"/>
  </r>
  <r>
    <x v="3"/>
    <x v="36"/>
    <x v="9"/>
    <m/>
    <n v="0.83001000000000003"/>
    <n v="0.85419999999999996"/>
    <n v="0.84210499999999999"/>
    <n v="241.9"/>
  </r>
  <r>
    <x v="3"/>
    <x v="36"/>
    <x v="9"/>
    <m/>
    <n v="0.83001000000000003"/>
    <n v="0.85419999999999996"/>
    <n v="0.84210499999999999"/>
    <n v="241.9"/>
  </r>
  <r>
    <x v="3"/>
    <x v="36"/>
    <x v="9"/>
    <m/>
    <n v="0.83001000000000003"/>
    <n v="0.85419999999999996"/>
    <n v="0.84210499999999999"/>
    <n v="241.9"/>
  </r>
  <r>
    <x v="3"/>
    <x v="36"/>
    <x v="8"/>
    <m/>
    <n v="0.73404000000000003"/>
    <n v="0.76685000000000003"/>
    <n v="0.75044500000000003"/>
    <n v="328.1"/>
  </r>
  <r>
    <x v="3"/>
    <x v="36"/>
    <x v="9"/>
    <m/>
    <n v="0.83001000000000003"/>
    <n v="0.85419999999999996"/>
    <n v="0.84210499999999999"/>
    <n v="241.9"/>
  </r>
  <r>
    <x v="3"/>
    <x v="36"/>
    <x v="9"/>
    <m/>
    <n v="0.83001000000000003"/>
    <n v="0.85419999999999996"/>
    <n v="0.84210499999999999"/>
    <n v="241.9"/>
  </r>
  <r>
    <x v="3"/>
    <x v="36"/>
    <x v="9"/>
    <m/>
    <n v="0.83001000000000003"/>
    <n v="0.85419999999999996"/>
    <n v="0.84210499999999999"/>
    <n v="241.9"/>
  </r>
  <r>
    <x v="3"/>
    <x v="36"/>
    <x v="9"/>
    <m/>
    <n v="0.83001000000000003"/>
    <n v="0.85419999999999996"/>
    <n v="0.84210499999999999"/>
    <n v="241.9"/>
  </r>
  <r>
    <x v="3"/>
    <x v="36"/>
    <x v="9"/>
    <m/>
    <n v="0.83001000000000003"/>
    <n v="0.85419999999999996"/>
    <n v="0.84210499999999999"/>
    <n v="241.9"/>
  </r>
  <r>
    <x v="3"/>
    <x v="36"/>
    <x v="9"/>
    <m/>
    <n v="0.83001000000000003"/>
    <n v="0.85419999999999996"/>
    <n v="0.84210499999999999"/>
    <n v="241.9"/>
  </r>
  <r>
    <x v="3"/>
    <x v="36"/>
    <x v="9"/>
    <m/>
    <n v="0.83001000000000003"/>
    <n v="0.85419999999999996"/>
    <n v="0.84210499999999999"/>
    <n v="241.9"/>
  </r>
  <r>
    <x v="3"/>
    <x v="36"/>
    <x v="2"/>
    <m/>
    <n v="97.394000000000005"/>
    <n v="104.122"/>
    <n v="100.758"/>
    <n v="672.8"/>
  </r>
  <r>
    <x v="3"/>
    <x v="37"/>
    <x v="2"/>
    <m/>
    <n v="97.394000000000005"/>
    <n v="104.864"/>
    <n v="101.129"/>
    <n v="747"/>
  </r>
  <r>
    <x v="3"/>
    <x v="37"/>
    <x v="9"/>
    <m/>
    <n v="0.82735000000000003"/>
    <n v="0.85419999999999996"/>
    <n v="0.84077500000000005"/>
    <n v="268.5"/>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8"/>
    <m/>
    <n v="0.73404000000000003"/>
    <n v="0.76685000000000003"/>
    <n v="0.75044500000000003"/>
    <n v="328.1"/>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2"/>
    <m/>
    <n v="97.394000000000005"/>
    <n v="104.864"/>
    <n v="101.129"/>
    <n v="747"/>
  </r>
  <r>
    <x v="3"/>
    <x v="37"/>
    <x v="9"/>
    <m/>
    <n v="0.82735000000000003"/>
    <n v="0.85419999999999996"/>
    <n v="0.84077500000000005"/>
    <n v="268.5"/>
  </r>
  <r>
    <x v="3"/>
    <x v="37"/>
    <x v="9"/>
    <m/>
    <n v="0.82735000000000003"/>
    <n v="0.85419999999999996"/>
    <n v="0.84077500000000005"/>
    <n v="268.5"/>
  </r>
  <r>
    <x v="3"/>
    <x v="37"/>
    <x v="9"/>
    <m/>
    <n v="0.82735000000000003"/>
    <n v="0.85419999999999996"/>
    <n v="0.84077500000000005"/>
    <n v="268.5"/>
  </r>
  <r>
    <x v="3"/>
    <x v="37"/>
    <x v="9"/>
    <m/>
    <n v="0.82735000000000003"/>
    <n v="0.85419999999999996"/>
    <n v="0.84077500000000005"/>
    <n v="268.5"/>
  </r>
  <r>
    <x v="3"/>
    <x v="37"/>
    <x v="9"/>
    <m/>
    <n v="0.82735000000000003"/>
    <n v="0.85419999999999996"/>
    <n v="0.84077500000000005"/>
    <n v="268.5"/>
  </r>
  <r>
    <x v="3"/>
    <x v="37"/>
    <x v="9"/>
    <m/>
    <n v="0.82735000000000003"/>
    <n v="0.85419999999999996"/>
    <n v="0.84077500000000005"/>
    <n v="268.5"/>
  </r>
  <r>
    <x v="3"/>
    <x v="37"/>
    <x v="9"/>
    <m/>
    <n v="0.82735000000000003"/>
    <n v="0.85419999999999996"/>
    <n v="0.84077500000000005"/>
    <n v="268.5"/>
  </r>
  <r>
    <x v="3"/>
    <x v="37"/>
    <x v="9"/>
    <m/>
    <n v="0.82735000000000003"/>
    <n v="0.85419999999999996"/>
    <n v="0.84077500000000005"/>
    <n v="268.5"/>
  </r>
  <r>
    <x v="3"/>
    <x v="37"/>
    <x v="9"/>
    <m/>
    <n v="0.82735000000000003"/>
    <n v="0.85419999999999996"/>
    <n v="0.84077500000000005"/>
    <n v="268.5"/>
  </r>
  <r>
    <x v="3"/>
    <x v="37"/>
    <x v="9"/>
    <m/>
    <n v="0.82735000000000003"/>
    <n v="0.85419999999999996"/>
    <n v="0.84077500000000005"/>
    <n v="268.5"/>
  </r>
  <r>
    <x v="3"/>
    <x v="37"/>
    <x v="9"/>
    <m/>
    <n v="0.82735000000000003"/>
    <n v="0.85419999999999996"/>
    <n v="0.84077500000000005"/>
    <n v="268.5"/>
  </r>
  <r>
    <x v="3"/>
    <x v="37"/>
    <x v="9"/>
    <m/>
    <n v="0.82735000000000003"/>
    <n v="0.85419999999999996"/>
    <n v="0.84077500000000005"/>
    <n v="268.5"/>
  </r>
  <r>
    <x v="3"/>
    <x v="37"/>
    <x v="9"/>
    <m/>
    <n v="0.82735000000000003"/>
    <n v="0.85419999999999996"/>
    <n v="0.84077500000000005"/>
    <n v="268.5"/>
  </r>
  <r>
    <x v="3"/>
    <x v="37"/>
    <x v="9"/>
    <m/>
    <n v="0.82735000000000003"/>
    <n v="0.85419999999999996"/>
    <n v="0.84077500000000005"/>
    <n v="268.5"/>
  </r>
  <r>
    <x v="3"/>
    <x v="37"/>
    <x v="9"/>
    <m/>
    <n v="0.82735000000000003"/>
    <n v="0.85419999999999996"/>
    <n v="0.84077500000000005"/>
    <n v="268.5"/>
  </r>
  <r>
    <x v="3"/>
    <x v="37"/>
    <x v="9"/>
    <m/>
    <n v="0.82735000000000003"/>
    <n v="0.85419999999999996"/>
    <n v="0.84077500000000005"/>
    <n v="268.5"/>
  </r>
  <r>
    <x v="3"/>
    <x v="37"/>
    <x v="9"/>
    <m/>
    <n v="0.82735000000000003"/>
    <n v="0.85419999999999996"/>
    <n v="0.84077500000000005"/>
    <n v="268.5"/>
  </r>
  <r>
    <x v="3"/>
    <x v="37"/>
    <x v="2"/>
    <m/>
    <n v="97.394000000000005"/>
    <n v="104.864"/>
    <n v="101.129"/>
    <n v="747"/>
  </r>
  <r>
    <x v="3"/>
    <x v="38"/>
    <x v="2"/>
    <m/>
    <n v="97.394000000000005"/>
    <n v="104.864"/>
    <n v="101.129"/>
    <n v="747"/>
  </r>
  <r>
    <x v="3"/>
    <x v="38"/>
    <x v="9"/>
    <m/>
    <n v="0.82735000000000003"/>
    <n v="0.85419999999999996"/>
    <n v="0.84077500000000005"/>
    <n v="268.5"/>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2"/>
    <m/>
    <n v="97.394000000000005"/>
    <n v="104.864"/>
    <n v="101.129"/>
    <n v="747"/>
  </r>
  <r>
    <x v="3"/>
    <x v="38"/>
    <x v="8"/>
    <m/>
    <n v="0.73404000000000003"/>
    <n v="0.76685000000000003"/>
    <n v="0.75044500000000003"/>
    <n v="328.1"/>
  </r>
  <r>
    <x v="3"/>
    <x v="38"/>
    <x v="9"/>
    <m/>
    <n v="0.82735000000000003"/>
    <n v="0.85419999999999996"/>
    <n v="0.84077500000000005"/>
    <n v="268.5"/>
  </r>
  <r>
    <x v="3"/>
    <x v="38"/>
    <x v="9"/>
    <m/>
    <n v="0.82735000000000003"/>
    <n v="0.85419999999999996"/>
    <n v="0.84077500000000005"/>
    <n v="268.5"/>
  </r>
  <r>
    <x v="3"/>
    <x v="38"/>
    <x v="9"/>
    <m/>
    <n v="0.82735000000000003"/>
    <n v="0.85419999999999996"/>
    <n v="0.84077500000000005"/>
    <n v="268.5"/>
  </r>
  <r>
    <x v="3"/>
    <x v="38"/>
    <x v="9"/>
    <m/>
    <n v="0.82735000000000003"/>
    <n v="0.85419999999999996"/>
    <n v="0.84077500000000005"/>
    <n v="268.5"/>
  </r>
  <r>
    <x v="3"/>
    <x v="38"/>
    <x v="9"/>
    <m/>
    <n v="0.82735000000000003"/>
    <n v="0.85419999999999996"/>
    <n v="0.84077500000000005"/>
    <n v="268.5"/>
  </r>
  <r>
    <x v="3"/>
    <x v="38"/>
    <x v="9"/>
    <m/>
    <n v="0.82735000000000003"/>
    <n v="0.85419999999999996"/>
    <n v="0.84077500000000005"/>
    <n v="268.5"/>
  </r>
  <r>
    <x v="3"/>
    <x v="38"/>
    <x v="9"/>
    <m/>
    <n v="0.82735000000000003"/>
    <n v="0.85419999999999996"/>
    <n v="0.84077500000000005"/>
    <n v="268.5"/>
  </r>
  <r>
    <x v="3"/>
    <x v="38"/>
    <x v="9"/>
    <m/>
    <n v="0.82735000000000003"/>
    <n v="0.85419999999999996"/>
    <n v="0.84077500000000005"/>
    <n v="268.5"/>
  </r>
  <r>
    <x v="3"/>
    <x v="38"/>
    <x v="9"/>
    <m/>
    <n v="0.82735000000000003"/>
    <n v="0.85419999999999996"/>
    <n v="0.84077500000000005"/>
    <n v="268.5"/>
  </r>
  <r>
    <x v="3"/>
    <x v="38"/>
    <x v="9"/>
    <m/>
    <n v="0.82735000000000003"/>
    <n v="0.85419999999999996"/>
    <n v="0.84077500000000005"/>
    <n v="268.5"/>
  </r>
  <r>
    <x v="3"/>
    <x v="38"/>
    <x v="9"/>
    <m/>
    <n v="0.82735000000000003"/>
    <n v="0.85419999999999996"/>
    <n v="0.84077500000000005"/>
    <n v="268.5"/>
  </r>
  <r>
    <x v="3"/>
    <x v="38"/>
    <x v="9"/>
    <m/>
    <n v="0.82735000000000003"/>
    <n v="0.85419999999999996"/>
    <n v="0.84077500000000005"/>
    <n v="268.5"/>
  </r>
  <r>
    <x v="3"/>
    <x v="38"/>
    <x v="9"/>
    <m/>
    <n v="0.82735000000000003"/>
    <n v="0.85419999999999996"/>
    <n v="0.84077500000000005"/>
    <n v="268.5"/>
  </r>
  <r>
    <x v="3"/>
    <x v="38"/>
    <x v="9"/>
    <m/>
    <n v="0.82735000000000003"/>
    <n v="0.85419999999999996"/>
    <n v="0.84077500000000005"/>
    <n v="268.5"/>
  </r>
  <r>
    <x v="3"/>
    <x v="38"/>
    <x v="9"/>
    <m/>
    <n v="0.82735000000000003"/>
    <n v="0.85419999999999996"/>
    <n v="0.84077500000000005"/>
    <n v="268.5"/>
  </r>
  <r>
    <x v="3"/>
    <x v="38"/>
    <x v="2"/>
    <m/>
    <n v="97.394000000000005"/>
    <n v="104.864"/>
    <n v="101.129"/>
    <n v="747"/>
  </r>
  <r>
    <x v="3"/>
    <x v="39"/>
    <x v="2"/>
    <m/>
    <n v="97.394000000000005"/>
    <n v="104.864"/>
    <n v="101.129"/>
    <n v="747"/>
  </r>
  <r>
    <x v="3"/>
    <x v="39"/>
    <x v="9"/>
    <m/>
    <n v="0.82435000000000003"/>
    <n v="0.85419999999999996"/>
    <n v="0.83927499999999999"/>
    <n v="298.5"/>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8"/>
    <m/>
    <n v="0.73404000000000003"/>
    <n v="0.76685000000000003"/>
    <n v="0.75044500000000003"/>
    <n v="328.1"/>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2"/>
    <m/>
    <n v="97.394000000000005"/>
    <n v="104.864"/>
    <n v="101.129"/>
    <n v="747"/>
  </r>
  <r>
    <x v="3"/>
    <x v="39"/>
    <x v="9"/>
    <m/>
    <n v="0.82435000000000003"/>
    <n v="0.85419999999999996"/>
    <n v="0.83927499999999999"/>
    <n v="298.5"/>
  </r>
  <r>
    <x v="3"/>
    <x v="39"/>
    <x v="9"/>
    <m/>
    <n v="0.82435000000000003"/>
    <n v="0.85419999999999996"/>
    <n v="0.83927499999999999"/>
    <n v="298.5"/>
  </r>
  <r>
    <x v="3"/>
    <x v="39"/>
    <x v="9"/>
    <m/>
    <n v="0.82435000000000003"/>
    <n v="0.85419999999999996"/>
    <n v="0.83927499999999999"/>
    <n v="298.5"/>
  </r>
  <r>
    <x v="3"/>
    <x v="39"/>
    <x v="9"/>
    <m/>
    <n v="0.82435000000000003"/>
    <n v="0.85419999999999996"/>
    <n v="0.83927499999999999"/>
    <n v="298.5"/>
  </r>
  <r>
    <x v="3"/>
    <x v="39"/>
    <x v="9"/>
    <m/>
    <n v="0.82435000000000003"/>
    <n v="0.85419999999999996"/>
    <n v="0.83927499999999999"/>
    <n v="298.5"/>
  </r>
  <r>
    <x v="3"/>
    <x v="39"/>
    <x v="9"/>
    <m/>
    <n v="0.82435000000000003"/>
    <n v="0.85419999999999996"/>
    <n v="0.83927499999999999"/>
    <n v="298.5"/>
  </r>
  <r>
    <x v="3"/>
    <x v="39"/>
    <x v="9"/>
    <m/>
    <n v="0.82435000000000003"/>
    <n v="0.85419999999999996"/>
    <n v="0.83927499999999999"/>
    <n v="298.5"/>
  </r>
  <r>
    <x v="3"/>
    <x v="39"/>
    <x v="9"/>
    <m/>
    <n v="0.82435000000000003"/>
    <n v="0.85419999999999996"/>
    <n v="0.83927499999999999"/>
    <n v="298.5"/>
  </r>
  <r>
    <x v="3"/>
    <x v="39"/>
    <x v="9"/>
    <m/>
    <n v="0.82435000000000003"/>
    <n v="0.85419999999999996"/>
    <n v="0.83927499999999999"/>
    <n v="298.5"/>
  </r>
  <r>
    <x v="3"/>
    <x v="39"/>
    <x v="9"/>
    <m/>
    <n v="0.82435000000000003"/>
    <n v="0.85419999999999996"/>
    <n v="0.83927499999999999"/>
    <n v="298.5"/>
  </r>
  <r>
    <x v="3"/>
    <x v="39"/>
    <x v="9"/>
    <m/>
    <n v="0.82435000000000003"/>
    <n v="0.85419999999999996"/>
    <n v="0.83927499999999999"/>
    <n v="298.5"/>
  </r>
  <r>
    <x v="3"/>
    <x v="39"/>
    <x v="9"/>
    <m/>
    <n v="0.82435000000000003"/>
    <n v="0.85419999999999996"/>
    <n v="0.83927499999999999"/>
    <n v="298.5"/>
  </r>
  <r>
    <x v="3"/>
    <x v="39"/>
    <x v="9"/>
    <m/>
    <n v="0.82435000000000003"/>
    <n v="0.85419999999999996"/>
    <n v="0.83927499999999999"/>
    <n v="298.5"/>
  </r>
  <r>
    <x v="3"/>
    <x v="39"/>
    <x v="9"/>
    <m/>
    <n v="0.82435000000000003"/>
    <n v="0.85419999999999996"/>
    <n v="0.83927499999999999"/>
    <n v="298.5"/>
  </r>
  <r>
    <x v="3"/>
    <x v="39"/>
    <x v="9"/>
    <m/>
    <n v="0.82435000000000003"/>
    <n v="0.85419999999999996"/>
    <n v="0.83927499999999999"/>
    <n v="298.5"/>
  </r>
  <r>
    <x v="3"/>
    <x v="39"/>
    <x v="9"/>
    <m/>
    <n v="0.82435000000000003"/>
    <n v="0.85419999999999996"/>
    <n v="0.83927499999999999"/>
    <n v="298.5"/>
  </r>
  <r>
    <x v="3"/>
    <x v="39"/>
    <x v="9"/>
    <m/>
    <n v="0.82435000000000003"/>
    <n v="0.85419999999999996"/>
    <n v="0.83927499999999999"/>
    <n v="298.5"/>
  </r>
  <r>
    <x v="3"/>
    <x v="39"/>
    <x v="9"/>
    <m/>
    <n v="0.82435000000000003"/>
    <n v="0.85419999999999996"/>
    <n v="0.83927499999999999"/>
    <n v="298.5"/>
  </r>
  <r>
    <x v="3"/>
    <x v="39"/>
    <x v="2"/>
    <m/>
    <n v="97.394000000000005"/>
    <n v="104.864"/>
    <n v="101.129"/>
    <n v="747"/>
  </r>
  <r>
    <x v="3"/>
    <x v="40"/>
    <x v="9"/>
    <m/>
    <n v="0.82435000000000003"/>
    <n v="0.85419999999999996"/>
    <n v="0.83927499999999999"/>
    <n v="298.5"/>
  </r>
  <r>
    <x v="3"/>
    <x v="40"/>
    <x v="9"/>
    <m/>
    <n v="0.82435000000000003"/>
    <n v="0.85419999999999996"/>
    <n v="0.83927499999999999"/>
    <n v="298.5"/>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2"/>
    <m/>
    <n v="97.394000000000005"/>
    <n v="104.864"/>
    <n v="101.129"/>
    <n v="747"/>
  </r>
  <r>
    <x v="3"/>
    <x v="40"/>
    <x v="8"/>
    <m/>
    <n v="0.73377999999999999"/>
    <n v="0.76685000000000003"/>
    <n v="0.75031499999999995"/>
    <n v="330.7"/>
  </r>
  <r>
    <x v="3"/>
    <x v="40"/>
    <x v="2"/>
    <m/>
    <n v="97.394000000000005"/>
    <n v="104.864"/>
    <n v="101.129"/>
    <n v="747"/>
  </r>
  <r>
    <x v="3"/>
    <x v="40"/>
    <x v="2"/>
    <m/>
    <n v="97.394000000000005"/>
    <n v="104.864"/>
    <n v="101.129"/>
    <n v="747"/>
  </r>
  <r>
    <x v="3"/>
    <x v="40"/>
    <x v="9"/>
    <m/>
    <n v="0.82435000000000003"/>
    <n v="0.85419999999999996"/>
    <n v="0.83927499999999999"/>
    <n v="298.5"/>
  </r>
  <r>
    <x v="3"/>
    <x v="40"/>
    <x v="9"/>
    <m/>
    <n v="0.82435000000000003"/>
    <n v="0.85419999999999996"/>
    <n v="0.83927499999999999"/>
    <n v="298.5"/>
  </r>
  <r>
    <x v="3"/>
    <x v="40"/>
    <x v="9"/>
    <m/>
    <n v="0.82435000000000003"/>
    <n v="0.85419999999999996"/>
    <n v="0.83927499999999999"/>
    <n v="298.5"/>
  </r>
  <r>
    <x v="3"/>
    <x v="40"/>
    <x v="9"/>
    <m/>
    <n v="0.82435000000000003"/>
    <n v="0.85419999999999996"/>
    <n v="0.83927499999999999"/>
    <n v="298.5"/>
  </r>
  <r>
    <x v="3"/>
    <x v="40"/>
    <x v="9"/>
    <m/>
    <n v="0.82435000000000003"/>
    <n v="0.85419999999999996"/>
    <n v="0.83927499999999999"/>
    <n v="298.5"/>
  </r>
  <r>
    <x v="3"/>
    <x v="40"/>
    <x v="9"/>
    <m/>
    <n v="0.82435000000000003"/>
    <n v="0.85419999999999996"/>
    <n v="0.83927499999999999"/>
    <n v="298.5"/>
  </r>
  <r>
    <x v="3"/>
    <x v="40"/>
    <x v="9"/>
    <m/>
    <n v="0.82435000000000003"/>
    <n v="0.85419999999999996"/>
    <n v="0.83927499999999999"/>
    <n v="298.5"/>
  </r>
  <r>
    <x v="3"/>
    <x v="40"/>
    <x v="9"/>
    <m/>
    <n v="0.82435000000000003"/>
    <n v="0.85419999999999996"/>
    <n v="0.83927499999999999"/>
    <n v="298.5"/>
  </r>
  <r>
    <x v="3"/>
    <x v="40"/>
    <x v="9"/>
    <m/>
    <n v="0.82435000000000003"/>
    <n v="0.85419999999999996"/>
    <n v="0.83927499999999999"/>
    <n v="298.5"/>
  </r>
  <r>
    <x v="3"/>
    <x v="40"/>
    <x v="9"/>
    <m/>
    <n v="0.82435000000000003"/>
    <n v="0.85419999999999996"/>
    <n v="0.83927499999999999"/>
    <n v="298.5"/>
  </r>
  <r>
    <x v="3"/>
    <x v="40"/>
    <x v="9"/>
    <m/>
    <n v="0.82435000000000003"/>
    <n v="0.85419999999999996"/>
    <n v="0.83927499999999999"/>
    <n v="298.5"/>
  </r>
  <r>
    <x v="3"/>
    <x v="40"/>
    <x v="9"/>
    <m/>
    <n v="0.82435000000000003"/>
    <n v="0.85419999999999996"/>
    <n v="0.83927499999999999"/>
    <n v="298.5"/>
  </r>
  <r>
    <x v="3"/>
    <x v="40"/>
    <x v="9"/>
    <m/>
    <n v="0.82435000000000003"/>
    <n v="0.85419999999999996"/>
    <n v="0.83927499999999999"/>
    <n v="298.5"/>
  </r>
  <r>
    <x v="3"/>
    <x v="40"/>
    <x v="9"/>
    <m/>
    <n v="0.82435000000000003"/>
    <n v="0.85419999999999996"/>
    <n v="0.83927499999999999"/>
    <n v="298.5"/>
  </r>
  <r>
    <x v="3"/>
    <x v="40"/>
    <x v="9"/>
    <m/>
    <n v="0.82435000000000003"/>
    <n v="0.85419999999999996"/>
    <n v="0.83927499999999999"/>
    <n v="298.5"/>
  </r>
  <r>
    <x v="3"/>
    <x v="40"/>
    <x v="9"/>
    <m/>
    <n v="0.82435000000000003"/>
    <n v="0.85419999999999996"/>
    <n v="0.83927499999999999"/>
    <n v="298.5"/>
  </r>
  <r>
    <x v="3"/>
    <x v="40"/>
    <x v="9"/>
    <m/>
    <n v="0.82435000000000003"/>
    <n v="0.85419999999999996"/>
    <n v="0.83927499999999999"/>
    <n v="298.5"/>
  </r>
  <r>
    <x v="3"/>
    <x v="40"/>
    <x v="9"/>
    <m/>
    <n v="0.82435000000000003"/>
    <n v="0.85419999999999996"/>
    <n v="0.83927499999999999"/>
    <n v="298.5"/>
  </r>
  <r>
    <x v="3"/>
    <x v="40"/>
    <x v="9"/>
    <m/>
    <n v="0.82435000000000003"/>
    <n v="0.85419999999999996"/>
    <n v="0.83927499999999999"/>
    <n v="298.5"/>
  </r>
  <r>
    <x v="3"/>
    <x v="40"/>
    <x v="9"/>
    <m/>
    <n v="0.82435000000000003"/>
    <n v="0.85419999999999996"/>
    <n v="0.83927499999999999"/>
    <n v="298.5"/>
  </r>
  <r>
    <x v="3"/>
    <x v="41"/>
    <x v="9"/>
    <m/>
    <n v="0.82011999999999996"/>
    <n v="0.85419999999999996"/>
    <n v="0.83716000000000002"/>
    <n v="340.8"/>
  </r>
  <r>
    <x v="3"/>
    <x v="41"/>
    <x v="9"/>
    <m/>
    <n v="0.82011999999999996"/>
    <n v="0.85419999999999996"/>
    <n v="0.83716000000000002"/>
    <n v="340.8"/>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2"/>
    <m/>
    <n v="97.394000000000005"/>
    <n v="104.864"/>
    <n v="101.129"/>
    <n v="747"/>
  </r>
  <r>
    <x v="3"/>
    <x v="41"/>
    <x v="8"/>
    <m/>
    <n v="0.73201000000000005"/>
    <n v="0.76685000000000003"/>
    <n v="0.74943000000000004"/>
    <n v="348.4"/>
  </r>
  <r>
    <x v="3"/>
    <x v="41"/>
    <x v="9"/>
    <m/>
    <n v="0.82011999999999996"/>
    <n v="0.85419999999999996"/>
    <n v="0.83716000000000002"/>
    <n v="340.8"/>
  </r>
  <r>
    <x v="3"/>
    <x v="41"/>
    <x v="9"/>
    <m/>
    <n v="0.82011999999999996"/>
    <n v="0.85419999999999996"/>
    <n v="0.83716000000000002"/>
    <n v="340.8"/>
  </r>
  <r>
    <x v="3"/>
    <x v="41"/>
    <x v="9"/>
    <m/>
    <n v="0.82011999999999996"/>
    <n v="0.85419999999999996"/>
    <n v="0.83716000000000002"/>
    <n v="340.8"/>
  </r>
  <r>
    <x v="3"/>
    <x v="41"/>
    <x v="9"/>
    <m/>
    <n v="0.82011999999999996"/>
    <n v="0.85419999999999996"/>
    <n v="0.83716000000000002"/>
    <n v="340.8"/>
  </r>
  <r>
    <x v="3"/>
    <x v="41"/>
    <x v="9"/>
    <m/>
    <n v="0.82011999999999996"/>
    <n v="0.85419999999999996"/>
    <n v="0.83716000000000002"/>
    <n v="340.8"/>
  </r>
  <r>
    <x v="3"/>
    <x v="41"/>
    <x v="9"/>
    <m/>
    <n v="0.82011999999999996"/>
    <n v="0.85419999999999996"/>
    <n v="0.83716000000000002"/>
    <n v="340.8"/>
  </r>
  <r>
    <x v="3"/>
    <x v="41"/>
    <x v="9"/>
    <m/>
    <n v="0.82011999999999996"/>
    <n v="0.85419999999999996"/>
    <n v="0.83716000000000002"/>
    <n v="340.8"/>
  </r>
  <r>
    <x v="3"/>
    <x v="41"/>
    <x v="9"/>
    <m/>
    <n v="0.82011999999999996"/>
    <n v="0.85419999999999996"/>
    <n v="0.83716000000000002"/>
    <n v="340.8"/>
  </r>
  <r>
    <x v="3"/>
    <x v="41"/>
    <x v="9"/>
    <m/>
    <n v="0.82011999999999996"/>
    <n v="0.85419999999999996"/>
    <n v="0.83716000000000002"/>
    <n v="340.8"/>
  </r>
  <r>
    <x v="3"/>
    <x v="41"/>
    <x v="9"/>
    <m/>
    <n v="0.82011999999999996"/>
    <n v="0.85419999999999996"/>
    <n v="0.83716000000000002"/>
    <n v="340.8"/>
  </r>
  <r>
    <x v="3"/>
    <x v="41"/>
    <x v="9"/>
    <m/>
    <n v="0.82011999999999996"/>
    <n v="0.85419999999999996"/>
    <n v="0.83716000000000002"/>
    <n v="340.8"/>
  </r>
  <r>
    <x v="3"/>
    <x v="41"/>
    <x v="9"/>
    <m/>
    <n v="0.82011999999999996"/>
    <n v="0.85419999999999996"/>
    <n v="0.83716000000000002"/>
    <n v="340.8"/>
  </r>
  <r>
    <x v="3"/>
    <x v="41"/>
    <x v="9"/>
    <m/>
    <n v="0.82011999999999996"/>
    <n v="0.85419999999999996"/>
    <n v="0.83716000000000002"/>
    <n v="340.8"/>
  </r>
  <r>
    <x v="3"/>
    <x v="41"/>
    <x v="9"/>
    <m/>
    <n v="0.82011999999999996"/>
    <n v="0.85419999999999996"/>
    <n v="0.83716000000000002"/>
    <n v="340.8"/>
  </r>
  <r>
    <x v="3"/>
    <x v="41"/>
    <x v="9"/>
    <m/>
    <n v="0.82011999999999996"/>
    <n v="0.85419999999999996"/>
    <n v="0.83716000000000002"/>
    <n v="340.8"/>
  </r>
  <r>
    <x v="3"/>
    <x v="41"/>
    <x v="9"/>
    <m/>
    <n v="0.82011999999999996"/>
    <n v="0.85419999999999996"/>
    <n v="0.83716000000000002"/>
    <n v="340.8"/>
  </r>
  <r>
    <x v="3"/>
    <x v="41"/>
    <x v="9"/>
    <m/>
    <n v="0.82011999999999996"/>
    <n v="0.85419999999999996"/>
    <n v="0.83716000000000002"/>
    <n v="340.8"/>
  </r>
  <r>
    <x v="3"/>
    <x v="41"/>
    <x v="9"/>
    <m/>
    <n v="0.82011999999999996"/>
    <n v="0.85419999999999996"/>
    <n v="0.83716000000000002"/>
    <n v="340.8"/>
  </r>
  <r>
    <x v="3"/>
    <x v="41"/>
    <x v="9"/>
    <m/>
    <n v="0.82011999999999996"/>
    <n v="0.85419999999999996"/>
    <n v="0.83716000000000002"/>
    <n v="340.8"/>
  </r>
  <r>
    <x v="3"/>
    <x v="41"/>
    <x v="9"/>
    <m/>
    <n v="0.82011999999999996"/>
    <n v="0.85419999999999996"/>
    <n v="0.83716000000000002"/>
    <n v="340.8"/>
  </r>
  <r>
    <x v="3"/>
    <x v="42"/>
    <x v="9"/>
    <m/>
    <n v="0.82011999999999996"/>
    <n v="0.85419999999999996"/>
    <n v="0.83716000000000002"/>
    <n v="340.8"/>
  </r>
  <r>
    <x v="3"/>
    <x v="42"/>
    <x v="9"/>
    <m/>
    <n v="0.82011999999999996"/>
    <n v="0.85419999999999996"/>
    <n v="0.83716000000000002"/>
    <n v="340.8"/>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2"/>
    <m/>
    <n v="97.394000000000005"/>
    <n v="104.864"/>
    <n v="101.129"/>
    <n v="747"/>
  </r>
  <r>
    <x v="3"/>
    <x v="42"/>
    <x v="8"/>
    <m/>
    <n v="0.73201000000000005"/>
    <n v="0.76685000000000003"/>
    <n v="0.74943000000000004"/>
    <n v="348.4"/>
  </r>
  <r>
    <x v="3"/>
    <x v="42"/>
    <x v="9"/>
    <m/>
    <n v="0.82011999999999996"/>
    <n v="0.85419999999999996"/>
    <n v="0.83716000000000002"/>
    <n v="340.8"/>
  </r>
  <r>
    <x v="3"/>
    <x v="42"/>
    <x v="9"/>
    <m/>
    <n v="0.82011999999999996"/>
    <n v="0.85419999999999996"/>
    <n v="0.83716000000000002"/>
    <n v="340.8"/>
  </r>
  <r>
    <x v="3"/>
    <x v="42"/>
    <x v="9"/>
    <m/>
    <n v="0.82011999999999996"/>
    <n v="0.85419999999999996"/>
    <n v="0.83716000000000002"/>
    <n v="340.8"/>
  </r>
  <r>
    <x v="3"/>
    <x v="42"/>
    <x v="9"/>
    <m/>
    <n v="0.82011999999999996"/>
    <n v="0.85419999999999996"/>
    <n v="0.83716000000000002"/>
    <n v="340.8"/>
  </r>
  <r>
    <x v="3"/>
    <x v="42"/>
    <x v="9"/>
    <m/>
    <n v="0.82011999999999996"/>
    <n v="0.85419999999999996"/>
    <n v="0.83716000000000002"/>
    <n v="340.8"/>
  </r>
  <r>
    <x v="3"/>
    <x v="42"/>
    <x v="9"/>
    <m/>
    <n v="0.82011999999999996"/>
    <n v="0.85419999999999996"/>
    <n v="0.83716000000000002"/>
    <n v="340.8"/>
  </r>
  <r>
    <x v="3"/>
    <x v="42"/>
    <x v="9"/>
    <m/>
    <n v="0.82011999999999996"/>
    <n v="0.85419999999999996"/>
    <n v="0.83716000000000002"/>
    <n v="340.8"/>
  </r>
  <r>
    <x v="3"/>
    <x v="42"/>
    <x v="9"/>
    <m/>
    <n v="0.82011999999999996"/>
    <n v="0.85419999999999996"/>
    <n v="0.83716000000000002"/>
    <n v="340.8"/>
  </r>
  <r>
    <x v="3"/>
    <x v="42"/>
    <x v="9"/>
    <m/>
    <n v="0.82011999999999996"/>
    <n v="0.85419999999999996"/>
    <n v="0.83716000000000002"/>
    <n v="340.8"/>
  </r>
  <r>
    <x v="3"/>
    <x v="42"/>
    <x v="9"/>
    <m/>
    <n v="0.82011999999999996"/>
    <n v="0.85419999999999996"/>
    <n v="0.83716000000000002"/>
    <n v="340.8"/>
  </r>
  <r>
    <x v="3"/>
    <x v="42"/>
    <x v="9"/>
    <m/>
    <n v="0.82011999999999996"/>
    <n v="0.85419999999999996"/>
    <n v="0.83716000000000002"/>
    <n v="340.8"/>
  </r>
  <r>
    <x v="3"/>
    <x v="42"/>
    <x v="9"/>
    <m/>
    <n v="0.82011999999999996"/>
    <n v="0.85419999999999996"/>
    <n v="0.83716000000000002"/>
    <n v="340.8"/>
  </r>
  <r>
    <x v="3"/>
    <x v="42"/>
    <x v="9"/>
    <m/>
    <n v="0.82011999999999996"/>
    <n v="0.85419999999999996"/>
    <n v="0.83716000000000002"/>
    <n v="340.8"/>
  </r>
  <r>
    <x v="3"/>
    <x v="42"/>
    <x v="9"/>
    <m/>
    <n v="0.82011999999999996"/>
    <n v="0.85419999999999996"/>
    <n v="0.83716000000000002"/>
    <n v="340.8"/>
  </r>
  <r>
    <x v="3"/>
    <x v="42"/>
    <x v="9"/>
    <m/>
    <n v="0.82011999999999996"/>
    <n v="0.85419999999999996"/>
    <n v="0.83716000000000002"/>
    <n v="340.8"/>
  </r>
  <r>
    <x v="3"/>
    <x v="42"/>
    <x v="9"/>
    <m/>
    <n v="0.82011999999999996"/>
    <n v="0.85419999999999996"/>
    <n v="0.83716000000000002"/>
    <n v="340.8"/>
  </r>
  <r>
    <x v="3"/>
    <x v="42"/>
    <x v="9"/>
    <m/>
    <n v="0.82011999999999996"/>
    <n v="0.85419999999999996"/>
    <n v="0.83716000000000002"/>
    <n v="340.8"/>
  </r>
  <r>
    <x v="3"/>
    <x v="42"/>
    <x v="9"/>
    <m/>
    <n v="0.82011999999999996"/>
    <n v="0.85419999999999996"/>
    <n v="0.83716000000000002"/>
    <n v="340.8"/>
  </r>
  <r>
    <x v="3"/>
    <x v="42"/>
    <x v="9"/>
    <m/>
    <n v="0.82011999999999996"/>
    <n v="0.85419999999999996"/>
    <n v="0.83716000000000002"/>
    <n v="340.8"/>
  </r>
  <r>
    <x v="3"/>
    <x v="42"/>
    <x v="9"/>
    <m/>
    <n v="0.82011999999999996"/>
    <n v="0.85419999999999996"/>
    <n v="0.83716000000000002"/>
    <n v="340.8"/>
  </r>
  <r>
    <x v="3"/>
    <x v="43"/>
    <x v="9"/>
    <m/>
    <n v="0.81745000000000001"/>
    <n v="0.85419999999999996"/>
    <n v="0.83582500000000004"/>
    <n v="367.5"/>
  </r>
  <r>
    <x v="3"/>
    <x v="43"/>
    <x v="9"/>
    <m/>
    <n v="0.81745000000000001"/>
    <n v="0.85419999999999996"/>
    <n v="0.83582500000000004"/>
    <n v="367.5"/>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2"/>
    <m/>
    <n v="97.394000000000005"/>
    <n v="104.864"/>
    <n v="101.129"/>
    <n v="747"/>
  </r>
  <r>
    <x v="3"/>
    <x v="43"/>
    <x v="8"/>
    <m/>
    <n v="0.73201000000000005"/>
    <n v="0.76685000000000003"/>
    <n v="0.74943000000000004"/>
    <n v="348.4"/>
  </r>
  <r>
    <x v="3"/>
    <x v="43"/>
    <x v="9"/>
    <m/>
    <n v="0.81745000000000001"/>
    <n v="0.85419999999999996"/>
    <n v="0.83582500000000004"/>
    <n v="367.5"/>
  </r>
  <r>
    <x v="3"/>
    <x v="43"/>
    <x v="9"/>
    <m/>
    <n v="0.81745000000000001"/>
    <n v="0.85419999999999996"/>
    <n v="0.83582500000000004"/>
    <n v="367.5"/>
  </r>
  <r>
    <x v="3"/>
    <x v="43"/>
    <x v="9"/>
    <m/>
    <n v="0.81745000000000001"/>
    <n v="0.85419999999999996"/>
    <n v="0.83582500000000004"/>
    <n v="367.5"/>
  </r>
  <r>
    <x v="3"/>
    <x v="43"/>
    <x v="9"/>
    <m/>
    <n v="0.81745000000000001"/>
    <n v="0.85419999999999996"/>
    <n v="0.83582500000000004"/>
    <n v="367.5"/>
  </r>
  <r>
    <x v="3"/>
    <x v="43"/>
    <x v="9"/>
    <m/>
    <n v="0.81745000000000001"/>
    <n v="0.85419999999999996"/>
    <n v="0.83582500000000004"/>
    <n v="367.5"/>
  </r>
  <r>
    <x v="3"/>
    <x v="43"/>
    <x v="9"/>
    <m/>
    <n v="0.81745000000000001"/>
    <n v="0.85419999999999996"/>
    <n v="0.83582500000000004"/>
    <n v="367.5"/>
  </r>
  <r>
    <x v="3"/>
    <x v="43"/>
    <x v="9"/>
    <m/>
    <n v="0.81745000000000001"/>
    <n v="0.85419999999999996"/>
    <n v="0.83582500000000004"/>
    <n v="367.5"/>
  </r>
  <r>
    <x v="3"/>
    <x v="43"/>
    <x v="9"/>
    <m/>
    <n v="0.81745000000000001"/>
    <n v="0.85419999999999996"/>
    <n v="0.83582500000000004"/>
    <n v="367.5"/>
  </r>
  <r>
    <x v="3"/>
    <x v="43"/>
    <x v="9"/>
    <m/>
    <n v="0.81745000000000001"/>
    <n v="0.85419999999999996"/>
    <n v="0.83582500000000004"/>
    <n v="367.5"/>
  </r>
  <r>
    <x v="3"/>
    <x v="43"/>
    <x v="9"/>
    <m/>
    <n v="0.81745000000000001"/>
    <n v="0.85419999999999996"/>
    <n v="0.83582500000000004"/>
    <n v="367.5"/>
  </r>
  <r>
    <x v="3"/>
    <x v="43"/>
    <x v="9"/>
    <m/>
    <n v="0.81745000000000001"/>
    <n v="0.85419999999999996"/>
    <n v="0.83582500000000004"/>
    <n v="367.5"/>
  </r>
  <r>
    <x v="3"/>
    <x v="43"/>
    <x v="9"/>
    <m/>
    <n v="0.81745000000000001"/>
    <n v="0.85419999999999996"/>
    <n v="0.83582500000000004"/>
    <n v="367.5"/>
  </r>
  <r>
    <x v="3"/>
    <x v="43"/>
    <x v="9"/>
    <m/>
    <n v="0.81745000000000001"/>
    <n v="0.85419999999999996"/>
    <n v="0.83582500000000004"/>
    <n v="367.5"/>
  </r>
  <r>
    <x v="3"/>
    <x v="43"/>
    <x v="9"/>
    <m/>
    <n v="0.81745000000000001"/>
    <n v="0.85419999999999996"/>
    <n v="0.83582500000000004"/>
    <n v="367.5"/>
  </r>
  <r>
    <x v="3"/>
    <x v="43"/>
    <x v="9"/>
    <m/>
    <n v="0.81745000000000001"/>
    <n v="0.85419999999999996"/>
    <n v="0.83582500000000004"/>
    <n v="367.5"/>
  </r>
  <r>
    <x v="3"/>
    <x v="43"/>
    <x v="9"/>
    <m/>
    <n v="0.81745000000000001"/>
    <n v="0.85419999999999996"/>
    <n v="0.83582500000000004"/>
    <n v="367.5"/>
  </r>
  <r>
    <x v="3"/>
    <x v="43"/>
    <x v="9"/>
    <m/>
    <n v="0.81745000000000001"/>
    <n v="0.85419999999999996"/>
    <n v="0.83582500000000004"/>
    <n v="367.5"/>
  </r>
  <r>
    <x v="3"/>
    <x v="43"/>
    <x v="9"/>
    <m/>
    <n v="0.81745000000000001"/>
    <n v="0.85419999999999996"/>
    <n v="0.83582500000000004"/>
    <n v="367.5"/>
  </r>
  <r>
    <x v="3"/>
    <x v="43"/>
    <x v="9"/>
    <m/>
    <n v="0.81745000000000001"/>
    <n v="0.85419999999999996"/>
    <n v="0.83582500000000004"/>
    <n v="367.5"/>
  </r>
  <r>
    <x v="3"/>
    <x v="43"/>
    <x v="9"/>
    <m/>
    <n v="0.81745000000000001"/>
    <n v="0.85419999999999996"/>
    <n v="0.83582500000000004"/>
    <n v="367.5"/>
  </r>
  <r>
    <x v="3"/>
    <x v="44"/>
    <x v="9"/>
    <m/>
    <n v="0.81745000000000001"/>
    <n v="0.85419999999999996"/>
    <n v="0.83582500000000004"/>
    <n v="367.5"/>
  </r>
  <r>
    <x v="3"/>
    <x v="44"/>
    <x v="9"/>
    <m/>
    <n v="0.81745000000000001"/>
    <n v="0.85419999999999996"/>
    <n v="0.83582500000000004"/>
    <n v="367.5"/>
  </r>
  <r>
    <x v="3"/>
    <x v="44"/>
    <x v="9"/>
    <m/>
    <n v="0.81745000000000001"/>
    <n v="0.85419999999999996"/>
    <n v="0.83582500000000004"/>
    <n v="367.5"/>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2"/>
    <m/>
    <n v="97.394000000000005"/>
    <n v="104.864"/>
    <n v="101.129"/>
    <n v="747"/>
  </r>
  <r>
    <x v="3"/>
    <x v="44"/>
    <x v="8"/>
    <m/>
    <n v="0.73201000000000005"/>
    <n v="0.76685000000000003"/>
    <n v="0.74943000000000004"/>
    <n v="348.4"/>
  </r>
  <r>
    <x v="3"/>
    <x v="44"/>
    <x v="9"/>
    <m/>
    <n v="0.81745000000000001"/>
    <n v="0.85419999999999996"/>
    <n v="0.83582500000000004"/>
    <n v="367.5"/>
  </r>
  <r>
    <x v="3"/>
    <x v="44"/>
    <x v="9"/>
    <m/>
    <n v="0.81745000000000001"/>
    <n v="0.85419999999999996"/>
    <n v="0.83582500000000004"/>
    <n v="367.5"/>
  </r>
  <r>
    <x v="3"/>
    <x v="44"/>
    <x v="9"/>
    <m/>
    <n v="0.81745000000000001"/>
    <n v="0.85419999999999996"/>
    <n v="0.83582500000000004"/>
    <n v="367.5"/>
  </r>
  <r>
    <x v="3"/>
    <x v="44"/>
    <x v="9"/>
    <m/>
    <n v="0.81745000000000001"/>
    <n v="0.85419999999999996"/>
    <n v="0.83582500000000004"/>
    <n v="367.5"/>
  </r>
  <r>
    <x v="3"/>
    <x v="44"/>
    <x v="9"/>
    <m/>
    <n v="0.81745000000000001"/>
    <n v="0.85419999999999996"/>
    <n v="0.83582500000000004"/>
    <n v="367.5"/>
  </r>
  <r>
    <x v="3"/>
    <x v="44"/>
    <x v="9"/>
    <m/>
    <n v="0.81745000000000001"/>
    <n v="0.85419999999999996"/>
    <n v="0.83582500000000004"/>
    <n v="367.5"/>
  </r>
  <r>
    <x v="3"/>
    <x v="44"/>
    <x v="9"/>
    <m/>
    <n v="0.81745000000000001"/>
    <n v="0.85419999999999996"/>
    <n v="0.83582500000000004"/>
    <n v="367.5"/>
  </r>
  <r>
    <x v="3"/>
    <x v="44"/>
    <x v="9"/>
    <m/>
    <n v="0.81745000000000001"/>
    <n v="0.85419999999999996"/>
    <n v="0.83582500000000004"/>
    <n v="367.5"/>
  </r>
  <r>
    <x v="3"/>
    <x v="44"/>
    <x v="9"/>
    <m/>
    <n v="0.81745000000000001"/>
    <n v="0.85419999999999996"/>
    <n v="0.83582500000000004"/>
    <n v="367.5"/>
  </r>
  <r>
    <x v="3"/>
    <x v="44"/>
    <x v="9"/>
    <m/>
    <n v="0.81745000000000001"/>
    <n v="0.85419999999999996"/>
    <n v="0.83582500000000004"/>
    <n v="367.5"/>
  </r>
  <r>
    <x v="3"/>
    <x v="44"/>
    <x v="9"/>
    <m/>
    <n v="0.81745000000000001"/>
    <n v="0.85419999999999996"/>
    <n v="0.83582500000000004"/>
    <n v="367.5"/>
  </r>
  <r>
    <x v="3"/>
    <x v="44"/>
    <x v="9"/>
    <m/>
    <n v="0.81745000000000001"/>
    <n v="0.85419999999999996"/>
    <n v="0.83582500000000004"/>
    <n v="367.5"/>
  </r>
  <r>
    <x v="3"/>
    <x v="44"/>
    <x v="9"/>
    <m/>
    <n v="0.81745000000000001"/>
    <n v="0.85419999999999996"/>
    <n v="0.83582500000000004"/>
    <n v="367.5"/>
  </r>
  <r>
    <x v="3"/>
    <x v="44"/>
    <x v="9"/>
    <m/>
    <n v="0.81745000000000001"/>
    <n v="0.85419999999999996"/>
    <n v="0.83582500000000004"/>
    <n v="367.5"/>
  </r>
  <r>
    <x v="3"/>
    <x v="44"/>
    <x v="9"/>
    <m/>
    <n v="0.81745000000000001"/>
    <n v="0.85419999999999996"/>
    <n v="0.83582500000000004"/>
    <n v="367.5"/>
  </r>
  <r>
    <x v="3"/>
    <x v="44"/>
    <x v="9"/>
    <m/>
    <n v="0.81745000000000001"/>
    <n v="0.85419999999999996"/>
    <n v="0.83582500000000004"/>
    <n v="367.5"/>
  </r>
  <r>
    <x v="3"/>
    <x v="44"/>
    <x v="9"/>
    <m/>
    <n v="0.81745000000000001"/>
    <n v="0.85419999999999996"/>
    <n v="0.83582500000000004"/>
    <n v="367.5"/>
  </r>
  <r>
    <x v="3"/>
    <x v="44"/>
    <x v="9"/>
    <m/>
    <n v="0.81745000000000001"/>
    <n v="0.85419999999999996"/>
    <n v="0.83582500000000004"/>
    <n v="367.5"/>
  </r>
  <r>
    <x v="3"/>
    <x v="44"/>
    <x v="9"/>
    <m/>
    <n v="0.81745000000000001"/>
    <n v="0.85419999999999996"/>
    <n v="0.83582500000000004"/>
    <n v="367.5"/>
  </r>
  <r>
    <x v="3"/>
    <x v="44"/>
    <x v="9"/>
    <m/>
    <n v="0.81745000000000001"/>
    <n v="0.85419999999999996"/>
    <n v="0.83582500000000004"/>
    <n v="367.5"/>
  </r>
  <r>
    <x v="3"/>
    <x v="45"/>
    <x v="9"/>
    <m/>
    <n v="0.81745000000000001"/>
    <n v="0.85419999999999996"/>
    <n v="0.83582500000000004"/>
    <n v="367.5"/>
  </r>
  <r>
    <x v="3"/>
    <x v="45"/>
    <x v="9"/>
    <m/>
    <n v="0.81745000000000001"/>
    <n v="0.85419999999999996"/>
    <n v="0.83582500000000004"/>
    <n v="367.5"/>
  </r>
  <r>
    <x v="3"/>
    <x v="45"/>
    <x v="9"/>
    <m/>
    <n v="0.81745000000000001"/>
    <n v="0.85419999999999996"/>
    <n v="0.83582500000000004"/>
    <n v="367.5"/>
  </r>
  <r>
    <x v="3"/>
    <x v="45"/>
    <x v="9"/>
    <m/>
    <n v="0.81745000000000001"/>
    <n v="0.85419999999999996"/>
    <n v="0.83582500000000004"/>
    <n v="367.5"/>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2"/>
    <m/>
    <n v="97.394000000000005"/>
    <n v="104.864"/>
    <n v="101.129"/>
    <n v="747"/>
  </r>
  <r>
    <x v="3"/>
    <x v="45"/>
    <x v="8"/>
    <m/>
    <n v="0.73201000000000005"/>
    <n v="0.76685000000000003"/>
    <n v="0.74943000000000004"/>
    <n v="348.4"/>
  </r>
  <r>
    <x v="3"/>
    <x v="45"/>
    <x v="9"/>
    <m/>
    <n v="0.81745000000000001"/>
    <n v="0.85419999999999996"/>
    <n v="0.83582500000000004"/>
    <n v="367.5"/>
  </r>
  <r>
    <x v="3"/>
    <x v="45"/>
    <x v="9"/>
    <m/>
    <n v="0.81745000000000001"/>
    <n v="0.85419999999999996"/>
    <n v="0.83582500000000004"/>
    <n v="367.5"/>
  </r>
  <r>
    <x v="3"/>
    <x v="45"/>
    <x v="9"/>
    <m/>
    <n v="0.81745000000000001"/>
    <n v="0.85419999999999996"/>
    <n v="0.83582500000000004"/>
    <n v="367.5"/>
  </r>
  <r>
    <x v="3"/>
    <x v="45"/>
    <x v="9"/>
    <m/>
    <n v="0.81745000000000001"/>
    <n v="0.85419999999999996"/>
    <n v="0.83582500000000004"/>
    <n v="367.5"/>
  </r>
  <r>
    <x v="3"/>
    <x v="45"/>
    <x v="9"/>
    <m/>
    <n v="0.81745000000000001"/>
    <n v="0.85419999999999996"/>
    <n v="0.83582500000000004"/>
    <n v="367.5"/>
  </r>
  <r>
    <x v="3"/>
    <x v="45"/>
    <x v="9"/>
    <m/>
    <n v="0.81745000000000001"/>
    <n v="0.85419999999999996"/>
    <n v="0.83582500000000004"/>
    <n v="367.5"/>
  </r>
  <r>
    <x v="3"/>
    <x v="45"/>
    <x v="9"/>
    <m/>
    <n v="0.81745000000000001"/>
    <n v="0.85419999999999996"/>
    <n v="0.83582500000000004"/>
    <n v="367.5"/>
  </r>
  <r>
    <x v="3"/>
    <x v="45"/>
    <x v="9"/>
    <m/>
    <n v="0.81745000000000001"/>
    <n v="0.85419999999999996"/>
    <n v="0.83582500000000004"/>
    <n v="367.5"/>
  </r>
  <r>
    <x v="3"/>
    <x v="45"/>
    <x v="9"/>
    <m/>
    <n v="0.81745000000000001"/>
    <n v="0.85419999999999996"/>
    <n v="0.83582500000000004"/>
    <n v="367.5"/>
  </r>
  <r>
    <x v="3"/>
    <x v="45"/>
    <x v="9"/>
    <m/>
    <n v="0.81745000000000001"/>
    <n v="0.85419999999999996"/>
    <n v="0.83582500000000004"/>
    <n v="367.5"/>
  </r>
  <r>
    <x v="3"/>
    <x v="45"/>
    <x v="9"/>
    <m/>
    <n v="0.81745000000000001"/>
    <n v="0.85419999999999996"/>
    <n v="0.83582500000000004"/>
    <n v="367.5"/>
  </r>
  <r>
    <x v="3"/>
    <x v="45"/>
    <x v="9"/>
    <m/>
    <n v="0.81745000000000001"/>
    <n v="0.85419999999999996"/>
    <n v="0.83582500000000004"/>
    <n v="367.5"/>
  </r>
  <r>
    <x v="3"/>
    <x v="45"/>
    <x v="9"/>
    <m/>
    <n v="0.81745000000000001"/>
    <n v="0.85419999999999996"/>
    <n v="0.83582500000000004"/>
    <n v="367.5"/>
  </r>
  <r>
    <x v="3"/>
    <x v="45"/>
    <x v="9"/>
    <m/>
    <n v="0.81745000000000001"/>
    <n v="0.85419999999999996"/>
    <n v="0.83582500000000004"/>
    <n v="367.5"/>
  </r>
  <r>
    <x v="3"/>
    <x v="45"/>
    <x v="9"/>
    <m/>
    <n v="0.81745000000000001"/>
    <n v="0.85419999999999996"/>
    <n v="0.83582500000000004"/>
    <n v="367.5"/>
  </r>
  <r>
    <x v="3"/>
    <x v="45"/>
    <x v="9"/>
    <m/>
    <n v="0.81745000000000001"/>
    <n v="0.85419999999999996"/>
    <n v="0.83582500000000004"/>
    <n v="367.5"/>
  </r>
  <r>
    <x v="3"/>
    <x v="45"/>
    <x v="9"/>
    <m/>
    <n v="0.81745000000000001"/>
    <n v="0.85419999999999996"/>
    <n v="0.83582500000000004"/>
    <n v="367.5"/>
  </r>
  <r>
    <x v="3"/>
    <x v="45"/>
    <x v="9"/>
    <m/>
    <n v="0.81745000000000001"/>
    <n v="0.85419999999999996"/>
    <n v="0.83582500000000004"/>
    <n v="367.5"/>
  </r>
  <r>
    <x v="3"/>
    <x v="45"/>
    <x v="9"/>
    <m/>
    <n v="0.81745000000000001"/>
    <n v="0.85419999999999996"/>
    <n v="0.83582500000000004"/>
    <n v="367.5"/>
  </r>
  <r>
    <x v="3"/>
    <x v="45"/>
    <x v="9"/>
    <m/>
    <n v="0.81745000000000001"/>
    <n v="0.85419999999999996"/>
    <n v="0.83582500000000004"/>
    <n v="367.5"/>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2"/>
    <m/>
    <n v="97.394000000000005"/>
    <n v="104.864"/>
    <n v="101.129"/>
    <n v="747"/>
  </r>
  <r>
    <x v="3"/>
    <x v="46"/>
    <x v="8"/>
    <m/>
    <n v="0.73201000000000005"/>
    <n v="0.76685000000000003"/>
    <n v="0.74943000000000004"/>
    <n v="348.4"/>
  </r>
  <r>
    <x v="3"/>
    <x v="46"/>
    <x v="9"/>
    <m/>
    <n v="0.81745000000000001"/>
    <n v="0.85419999999999996"/>
    <n v="0.83582500000000004"/>
    <n v="367.5"/>
  </r>
  <r>
    <x v="3"/>
    <x v="46"/>
    <x v="9"/>
    <m/>
    <n v="0.81745000000000001"/>
    <n v="0.85419999999999996"/>
    <n v="0.83582500000000004"/>
    <n v="367.5"/>
  </r>
  <r>
    <x v="3"/>
    <x v="46"/>
    <x v="9"/>
    <m/>
    <n v="0.81745000000000001"/>
    <n v="0.85419999999999996"/>
    <n v="0.83582500000000004"/>
    <n v="367.5"/>
  </r>
  <r>
    <x v="3"/>
    <x v="46"/>
    <x v="9"/>
    <m/>
    <n v="0.81745000000000001"/>
    <n v="0.85419999999999996"/>
    <n v="0.83582500000000004"/>
    <n v="367.5"/>
  </r>
  <r>
    <x v="3"/>
    <x v="46"/>
    <x v="9"/>
    <m/>
    <n v="0.81745000000000001"/>
    <n v="0.85419999999999996"/>
    <n v="0.83582500000000004"/>
    <n v="367.5"/>
  </r>
  <r>
    <x v="3"/>
    <x v="46"/>
    <x v="9"/>
    <m/>
    <n v="0.81745000000000001"/>
    <n v="0.85419999999999996"/>
    <n v="0.83582500000000004"/>
    <n v="367.5"/>
  </r>
  <r>
    <x v="3"/>
    <x v="46"/>
    <x v="9"/>
    <m/>
    <n v="0.81745000000000001"/>
    <n v="0.85419999999999996"/>
    <n v="0.83582500000000004"/>
    <n v="367.5"/>
  </r>
  <r>
    <x v="3"/>
    <x v="46"/>
    <x v="9"/>
    <m/>
    <n v="0.81745000000000001"/>
    <n v="0.85419999999999996"/>
    <n v="0.83582500000000004"/>
    <n v="367.5"/>
  </r>
  <r>
    <x v="3"/>
    <x v="46"/>
    <x v="9"/>
    <m/>
    <n v="0.81745000000000001"/>
    <n v="0.85419999999999996"/>
    <n v="0.83582500000000004"/>
    <n v="367.5"/>
  </r>
  <r>
    <x v="3"/>
    <x v="46"/>
    <x v="9"/>
    <m/>
    <n v="0.81745000000000001"/>
    <n v="0.85419999999999996"/>
    <n v="0.83582500000000004"/>
    <n v="367.5"/>
  </r>
  <r>
    <x v="3"/>
    <x v="46"/>
    <x v="9"/>
    <m/>
    <n v="0.81745000000000001"/>
    <n v="0.85419999999999996"/>
    <n v="0.83582500000000004"/>
    <n v="367.5"/>
  </r>
  <r>
    <x v="3"/>
    <x v="46"/>
    <x v="9"/>
    <m/>
    <n v="0.81745000000000001"/>
    <n v="0.85419999999999996"/>
    <n v="0.83582500000000004"/>
    <n v="367.5"/>
  </r>
  <r>
    <x v="3"/>
    <x v="46"/>
    <x v="9"/>
    <m/>
    <n v="0.81745000000000001"/>
    <n v="0.85419999999999996"/>
    <n v="0.83582500000000004"/>
    <n v="367.5"/>
  </r>
  <r>
    <x v="3"/>
    <x v="46"/>
    <x v="9"/>
    <m/>
    <n v="0.81745000000000001"/>
    <n v="0.85419999999999996"/>
    <n v="0.83582500000000004"/>
    <n v="367.5"/>
  </r>
  <r>
    <x v="3"/>
    <x v="46"/>
    <x v="9"/>
    <m/>
    <n v="0.81745000000000001"/>
    <n v="0.85419999999999996"/>
    <n v="0.83582500000000004"/>
    <n v="367.5"/>
  </r>
  <r>
    <x v="3"/>
    <x v="46"/>
    <x v="9"/>
    <m/>
    <n v="0.81745000000000001"/>
    <n v="0.85419999999999996"/>
    <n v="0.83582500000000004"/>
    <n v="367.5"/>
  </r>
  <r>
    <x v="3"/>
    <x v="46"/>
    <x v="9"/>
    <m/>
    <n v="0.81745000000000001"/>
    <n v="0.85419999999999996"/>
    <n v="0.83582500000000004"/>
    <n v="367.5"/>
  </r>
  <r>
    <x v="3"/>
    <x v="46"/>
    <x v="9"/>
    <m/>
    <n v="0.81745000000000001"/>
    <n v="0.85419999999999996"/>
    <n v="0.83582500000000004"/>
    <n v="367.5"/>
  </r>
  <r>
    <x v="3"/>
    <x v="46"/>
    <x v="9"/>
    <m/>
    <n v="0.81745000000000001"/>
    <n v="0.85419999999999996"/>
    <n v="0.83582500000000004"/>
    <n v="367.5"/>
  </r>
  <r>
    <x v="3"/>
    <x v="46"/>
    <x v="9"/>
    <m/>
    <n v="0.81745000000000001"/>
    <n v="0.85419999999999996"/>
    <n v="0.83582500000000004"/>
    <n v="367.5"/>
  </r>
  <r>
    <x v="3"/>
    <x v="46"/>
    <x v="9"/>
    <m/>
    <n v="0.81745000000000001"/>
    <n v="0.85419999999999996"/>
    <n v="0.83582500000000004"/>
    <n v="367.5"/>
  </r>
  <r>
    <x v="3"/>
    <x v="46"/>
    <x v="9"/>
    <m/>
    <n v="0.81745000000000001"/>
    <n v="0.85419999999999996"/>
    <n v="0.83582500000000004"/>
    <n v="367.5"/>
  </r>
  <r>
    <x v="3"/>
    <x v="46"/>
    <x v="9"/>
    <m/>
    <n v="0.81745000000000001"/>
    <n v="0.85419999999999996"/>
    <n v="0.83582500000000004"/>
    <n v="367.5"/>
  </r>
  <r>
    <x v="3"/>
    <x v="46"/>
    <x v="9"/>
    <m/>
    <n v="0.81745000000000001"/>
    <n v="0.85419999999999996"/>
    <n v="0.83582500000000004"/>
    <n v="367.5"/>
  </r>
  <r>
    <x v="3"/>
    <x v="46"/>
    <x v="9"/>
    <m/>
    <n v="0.81745000000000001"/>
    <n v="0.85419999999999996"/>
    <n v="0.83582500000000004"/>
    <n v="367.5"/>
  </r>
  <r>
    <x v="3"/>
    <x v="47"/>
    <x v="9"/>
    <m/>
    <n v="0.81745000000000001"/>
    <n v="0.85419999999999996"/>
    <n v="0.83582500000000004"/>
    <n v="367.5"/>
  </r>
  <r>
    <x v="3"/>
    <x v="47"/>
    <x v="9"/>
    <m/>
    <n v="0.81745000000000001"/>
    <n v="0.85419999999999996"/>
    <n v="0.83582500000000004"/>
    <n v="367.5"/>
  </r>
  <r>
    <x v="3"/>
    <x v="47"/>
    <x v="9"/>
    <m/>
    <n v="0.81745000000000001"/>
    <n v="0.85419999999999996"/>
    <n v="0.83582500000000004"/>
    <n v="367.5"/>
  </r>
  <r>
    <x v="3"/>
    <x v="47"/>
    <x v="9"/>
    <m/>
    <n v="0.81745000000000001"/>
    <n v="0.85419999999999996"/>
    <n v="0.83582500000000004"/>
    <n v="367.5"/>
  </r>
  <r>
    <x v="3"/>
    <x v="47"/>
    <x v="9"/>
    <m/>
    <n v="0.81745000000000001"/>
    <n v="0.85419999999999996"/>
    <n v="0.83582500000000004"/>
    <n v="367.5"/>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2"/>
    <m/>
    <n v="97.394000000000005"/>
    <n v="104.864"/>
    <n v="101.129"/>
    <n v="747"/>
  </r>
  <r>
    <x v="3"/>
    <x v="47"/>
    <x v="8"/>
    <m/>
    <n v="0.73201000000000005"/>
    <n v="0.76685000000000003"/>
    <n v="0.74943000000000004"/>
    <n v="348.4"/>
  </r>
  <r>
    <x v="3"/>
    <x v="47"/>
    <x v="9"/>
    <m/>
    <n v="0.81745000000000001"/>
    <n v="0.85419999999999996"/>
    <n v="0.83582500000000004"/>
    <n v="367.5"/>
  </r>
  <r>
    <x v="3"/>
    <x v="47"/>
    <x v="9"/>
    <m/>
    <n v="0.81745000000000001"/>
    <n v="0.85419999999999996"/>
    <n v="0.83582500000000004"/>
    <n v="367.5"/>
  </r>
  <r>
    <x v="3"/>
    <x v="47"/>
    <x v="9"/>
    <m/>
    <n v="0.81745000000000001"/>
    <n v="0.85419999999999996"/>
    <n v="0.83582500000000004"/>
    <n v="367.5"/>
  </r>
  <r>
    <x v="3"/>
    <x v="47"/>
    <x v="9"/>
    <m/>
    <n v="0.81745000000000001"/>
    <n v="0.85419999999999996"/>
    <n v="0.83582500000000004"/>
    <n v="367.5"/>
  </r>
  <r>
    <x v="3"/>
    <x v="47"/>
    <x v="9"/>
    <m/>
    <n v="0.81745000000000001"/>
    <n v="0.85419999999999996"/>
    <n v="0.83582500000000004"/>
    <n v="367.5"/>
  </r>
  <r>
    <x v="3"/>
    <x v="47"/>
    <x v="9"/>
    <m/>
    <n v="0.81745000000000001"/>
    <n v="0.85419999999999996"/>
    <n v="0.83582500000000004"/>
    <n v="367.5"/>
  </r>
  <r>
    <x v="3"/>
    <x v="47"/>
    <x v="9"/>
    <m/>
    <n v="0.81745000000000001"/>
    <n v="0.85419999999999996"/>
    <n v="0.83582500000000004"/>
    <n v="367.5"/>
  </r>
  <r>
    <x v="3"/>
    <x v="47"/>
    <x v="9"/>
    <m/>
    <n v="0.81745000000000001"/>
    <n v="0.85419999999999996"/>
    <n v="0.83582500000000004"/>
    <n v="367.5"/>
  </r>
  <r>
    <x v="3"/>
    <x v="47"/>
    <x v="9"/>
    <m/>
    <n v="0.81745000000000001"/>
    <n v="0.85419999999999996"/>
    <n v="0.83582500000000004"/>
    <n v="367.5"/>
  </r>
  <r>
    <x v="3"/>
    <x v="47"/>
    <x v="9"/>
    <m/>
    <n v="0.81745000000000001"/>
    <n v="0.85419999999999996"/>
    <n v="0.83582500000000004"/>
    <n v="367.5"/>
  </r>
  <r>
    <x v="3"/>
    <x v="47"/>
    <x v="9"/>
    <m/>
    <n v="0.81745000000000001"/>
    <n v="0.85419999999999996"/>
    <n v="0.83582500000000004"/>
    <n v="367.5"/>
  </r>
  <r>
    <x v="3"/>
    <x v="47"/>
    <x v="9"/>
    <m/>
    <n v="0.81745000000000001"/>
    <n v="0.85419999999999996"/>
    <n v="0.83582500000000004"/>
    <n v="367.5"/>
  </r>
  <r>
    <x v="3"/>
    <x v="47"/>
    <x v="9"/>
    <m/>
    <n v="0.81745000000000001"/>
    <n v="0.85419999999999996"/>
    <n v="0.83582500000000004"/>
    <n v="367.5"/>
  </r>
  <r>
    <x v="3"/>
    <x v="47"/>
    <x v="9"/>
    <m/>
    <n v="0.81745000000000001"/>
    <n v="0.85419999999999996"/>
    <n v="0.83582500000000004"/>
    <n v="367.5"/>
  </r>
  <r>
    <x v="3"/>
    <x v="47"/>
    <x v="9"/>
    <m/>
    <n v="0.81745000000000001"/>
    <n v="0.85419999999999996"/>
    <n v="0.83582500000000004"/>
    <n v="367.5"/>
  </r>
  <r>
    <x v="3"/>
    <x v="47"/>
    <x v="9"/>
    <m/>
    <n v="0.81745000000000001"/>
    <n v="0.85419999999999996"/>
    <n v="0.83582500000000004"/>
    <n v="367.5"/>
  </r>
  <r>
    <x v="3"/>
    <x v="47"/>
    <x v="9"/>
    <m/>
    <n v="0.81745000000000001"/>
    <n v="0.85419999999999996"/>
    <n v="0.83582500000000004"/>
    <n v="367.5"/>
  </r>
  <r>
    <x v="3"/>
    <x v="47"/>
    <x v="9"/>
    <m/>
    <n v="0.81745000000000001"/>
    <n v="0.85419999999999996"/>
    <n v="0.83582500000000004"/>
    <n v="367.5"/>
  </r>
  <r>
    <x v="3"/>
    <x v="47"/>
    <x v="9"/>
    <m/>
    <n v="0.81745000000000001"/>
    <n v="0.85419999999999996"/>
    <n v="0.83582500000000004"/>
    <n v="367.5"/>
  </r>
  <r>
    <x v="3"/>
    <x v="47"/>
    <x v="9"/>
    <m/>
    <n v="0.81745000000000001"/>
    <n v="0.85419999999999996"/>
    <n v="0.83582500000000004"/>
    <n v="367.5"/>
  </r>
  <r>
    <x v="3"/>
    <x v="48"/>
    <x v="9"/>
    <m/>
    <n v="0.81745000000000001"/>
    <n v="0.85419999999999996"/>
    <n v="0.83582500000000004"/>
    <n v="367.5"/>
  </r>
  <r>
    <x v="3"/>
    <x v="48"/>
    <x v="9"/>
    <m/>
    <n v="0.81745000000000001"/>
    <n v="0.85419999999999996"/>
    <n v="0.83582500000000004"/>
    <n v="367.5"/>
  </r>
  <r>
    <x v="3"/>
    <x v="48"/>
    <x v="9"/>
    <m/>
    <n v="0.81745000000000001"/>
    <n v="0.85419999999999996"/>
    <n v="0.83582500000000004"/>
    <n v="367.5"/>
  </r>
  <r>
    <x v="3"/>
    <x v="48"/>
    <x v="9"/>
    <m/>
    <n v="0.81745000000000001"/>
    <n v="0.85419999999999996"/>
    <n v="0.83582500000000004"/>
    <n v="367.5"/>
  </r>
  <r>
    <x v="3"/>
    <x v="48"/>
    <x v="9"/>
    <m/>
    <n v="0.81745000000000001"/>
    <n v="0.85419999999999996"/>
    <n v="0.83582500000000004"/>
    <n v="367.5"/>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2"/>
    <m/>
    <n v="97.394000000000005"/>
    <n v="104.864"/>
    <n v="101.129"/>
    <n v="747"/>
  </r>
  <r>
    <x v="3"/>
    <x v="48"/>
    <x v="8"/>
    <m/>
    <n v="0.73201000000000005"/>
    <n v="0.76685000000000003"/>
    <n v="0.74943000000000004"/>
    <n v="348.4"/>
  </r>
  <r>
    <x v="3"/>
    <x v="48"/>
    <x v="9"/>
    <m/>
    <n v="0.81745000000000001"/>
    <n v="0.85419999999999996"/>
    <n v="0.83582500000000004"/>
    <n v="367.5"/>
  </r>
  <r>
    <x v="3"/>
    <x v="48"/>
    <x v="9"/>
    <m/>
    <n v="0.81745000000000001"/>
    <n v="0.85419999999999996"/>
    <n v="0.83582500000000004"/>
    <n v="367.5"/>
  </r>
  <r>
    <x v="3"/>
    <x v="48"/>
    <x v="9"/>
    <m/>
    <n v="0.81745000000000001"/>
    <n v="0.85419999999999996"/>
    <n v="0.83582500000000004"/>
    <n v="367.5"/>
  </r>
  <r>
    <x v="3"/>
    <x v="48"/>
    <x v="9"/>
    <m/>
    <n v="0.81745000000000001"/>
    <n v="0.85419999999999996"/>
    <n v="0.83582500000000004"/>
    <n v="367.5"/>
  </r>
  <r>
    <x v="3"/>
    <x v="48"/>
    <x v="9"/>
    <m/>
    <n v="0.81745000000000001"/>
    <n v="0.85419999999999996"/>
    <n v="0.83582500000000004"/>
    <n v="367.5"/>
  </r>
  <r>
    <x v="3"/>
    <x v="48"/>
    <x v="9"/>
    <m/>
    <n v="0.81745000000000001"/>
    <n v="0.85419999999999996"/>
    <n v="0.83582500000000004"/>
    <n v="367.5"/>
  </r>
  <r>
    <x v="3"/>
    <x v="48"/>
    <x v="9"/>
    <m/>
    <n v="0.81745000000000001"/>
    <n v="0.85419999999999996"/>
    <n v="0.83582500000000004"/>
    <n v="367.5"/>
  </r>
  <r>
    <x v="3"/>
    <x v="48"/>
    <x v="9"/>
    <m/>
    <n v="0.81745000000000001"/>
    <n v="0.85419999999999996"/>
    <n v="0.83582500000000004"/>
    <n v="367.5"/>
  </r>
  <r>
    <x v="3"/>
    <x v="48"/>
    <x v="9"/>
    <m/>
    <n v="0.81745000000000001"/>
    <n v="0.85419999999999996"/>
    <n v="0.83582500000000004"/>
    <n v="367.5"/>
  </r>
  <r>
    <x v="3"/>
    <x v="48"/>
    <x v="9"/>
    <m/>
    <n v="0.81745000000000001"/>
    <n v="0.85419999999999996"/>
    <n v="0.83582500000000004"/>
    <n v="367.5"/>
  </r>
  <r>
    <x v="3"/>
    <x v="48"/>
    <x v="9"/>
    <m/>
    <n v="0.81745000000000001"/>
    <n v="0.85419999999999996"/>
    <n v="0.83582500000000004"/>
    <n v="367.5"/>
  </r>
  <r>
    <x v="3"/>
    <x v="48"/>
    <x v="9"/>
    <m/>
    <n v="0.81745000000000001"/>
    <n v="0.85419999999999996"/>
    <n v="0.83582500000000004"/>
    <n v="367.5"/>
  </r>
  <r>
    <x v="3"/>
    <x v="48"/>
    <x v="9"/>
    <m/>
    <n v="0.81745000000000001"/>
    <n v="0.85419999999999996"/>
    <n v="0.83582500000000004"/>
    <n v="367.5"/>
  </r>
  <r>
    <x v="3"/>
    <x v="48"/>
    <x v="9"/>
    <m/>
    <n v="0.81745000000000001"/>
    <n v="0.85419999999999996"/>
    <n v="0.83582500000000004"/>
    <n v="367.5"/>
  </r>
  <r>
    <x v="3"/>
    <x v="48"/>
    <x v="9"/>
    <m/>
    <n v="0.81745000000000001"/>
    <n v="0.85419999999999996"/>
    <n v="0.83582500000000004"/>
    <n v="367.5"/>
  </r>
  <r>
    <x v="3"/>
    <x v="48"/>
    <x v="9"/>
    <m/>
    <n v="0.81745000000000001"/>
    <n v="0.85419999999999996"/>
    <n v="0.83582500000000004"/>
    <n v="367.5"/>
  </r>
  <r>
    <x v="3"/>
    <x v="48"/>
    <x v="9"/>
    <m/>
    <n v="0.81745000000000001"/>
    <n v="0.85419999999999996"/>
    <n v="0.83582500000000004"/>
    <n v="367.5"/>
  </r>
  <r>
    <x v="3"/>
    <x v="48"/>
    <x v="9"/>
    <m/>
    <n v="0.81745000000000001"/>
    <n v="0.85419999999999996"/>
    <n v="0.83582500000000004"/>
    <n v="367.5"/>
  </r>
  <r>
    <x v="3"/>
    <x v="48"/>
    <x v="9"/>
    <m/>
    <n v="0.81745000000000001"/>
    <n v="0.85419999999999996"/>
    <n v="0.83582500000000004"/>
    <n v="367.5"/>
  </r>
  <r>
    <x v="3"/>
    <x v="48"/>
    <x v="9"/>
    <m/>
    <n v="0.81745000000000001"/>
    <n v="0.85419999999999996"/>
    <n v="0.83582500000000004"/>
    <n v="367.5"/>
  </r>
  <r>
    <x v="3"/>
    <x v="49"/>
    <x v="9"/>
    <m/>
    <n v="0.81745000000000001"/>
    <n v="0.85419999999999996"/>
    <n v="0.83582500000000004"/>
    <n v="367.5"/>
  </r>
  <r>
    <x v="3"/>
    <x v="49"/>
    <x v="9"/>
    <m/>
    <n v="0.81745000000000001"/>
    <n v="0.85419999999999996"/>
    <n v="0.83582500000000004"/>
    <n v="367.5"/>
  </r>
  <r>
    <x v="3"/>
    <x v="49"/>
    <x v="9"/>
    <m/>
    <n v="0.81745000000000001"/>
    <n v="0.85419999999999996"/>
    <n v="0.83582500000000004"/>
    <n v="367.5"/>
  </r>
  <r>
    <x v="3"/>
    <x v="49"/>
    <x v="9"/>
    <m/>
    <n v="0.81745000000000001"/>
    <n v="0.85419999999999996"/>
    <n v="0.83582500000000004"/>
    <n v="367.5"/>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2"/>
    <m/>
    <n v="97.394000000000005"/>
    <n v="104.864"/>
    <n v="101.129"/>
    <n v="747"/>
  </r>
  <r>
    <x v="3"/>
    <x v="49"/>
    <x v="9"/>
    <m/>
    <n v="0.81745000000000001"/>
    <n v="0.85419999999999996"/>
    <n v="0.83582500000000004"/>
    <n v="367.5"/>
  </r>
  <r>
    <x v="3"/>
    <x v="49"/>
    <x v="9"/>
    <m/>
    <n v="0.81745000000000001"/>
    <n v="0.85419999999999996"/>
    <n v="0.83582500000000004"/>
    <n v="367.5"/>
  </r>
  <r>
    <x v="3"/>
    <x v="49"/>
    <x v="9"/>
    <m/>
    <n v="0.81745000000000001"/>
    <n v="0.85419999999999996"/>
    <n v="0.83582500000000004"/>
    <n v="367.5"/>
  </r>
  <r>
    <x v="3"/>
    <x v="49"/>
    <x v="9"/>
    <m/>
    <n v="0.81745000000000001"/>
    <n v="0.85419999999999996"/>
    <n v="0.83582500000000004"/>
    <n v="367.5"/>
  </r>
  <r>
    <x v="3"/>
    <x v="49"/>
    <x v="9"/>
    <m/>
    <n v="0.81745000000000001"/>
    <n v="0.85419999999999996"/>
    <n v="0.83582500000000004"/>
    <n v="367.5"/>
  </r>
  <r>
    <x v="3"/>
    <x v="49"/>
    <x v="9"/>
    <m/>
    <n v="0.81745000000000001"/>
    <n v="0.85419999999999996"/>
    <n v="0.83582500000000004"/>
    <n v="367.5"/>
  </r>
  <r>
    <x v="3"/>
    <x v="49"/>
    <x v="9"/>
    <m/>
    <n v="0.81745000000000001"/>
    <n v="0.85419999999999996"/>
    <n v="0.83582500000000004"/>
    <n v="367.5"/>
  </r>
  <r>
    <x v="3"/>
    <x v="49"/>
    <x v="9"/>
    <m/>
    <n v="0.81745000000000001"/>
    <n v="0.85419999999999996"/>
    <n v="0.83582500000000004"/>
    <n v="367.5"/>
  </r>
  <r>
    <x v="3"/>
    <x v="49"/>
    <x v="9"/>
    <m/>
    <n v="0.81745000000000001"/>
    <n v="0.85419999999999996"/>
    <n v="0.83582500000000004"/>
    <n v="367.5"/>
  </r>
  <r>
    <x v="3"/>
    <x v="49"/>
    <x v="9"/>
    <m/>
    <n v="0.81745000000000001"/>
    <n v="0.85419999999999996"/>
    <n v="0.83582500000000004"/>
    <n v="367.5"/>
  </r>
  <r>
    <x v="3"/>
    <x v="49"/>
    <x v="9"/>
    <m/>
    <n v="0.81745000000000001"/>
    <n v="0.85419999999999996"/>
    <n v="0.83582500000000004"/>
    <n v="367.5"/>
  </r>
  <r>
    <x v="3"/>
    <x v="49"/>
    <x v="9"/>
    <m/>
    <n v="0.81745000000000001"/>
    <n v="0.85419999999999996"/>
    <n v="0.83582500000000004"/>
    <n v="367.5"/>
  </r>
  <r>
    <x v="3"/>
    <x v="49"/>
    <x v="9"/>
    <m/>
    <n v="0.81745000000000001"/>
    <n v="0.85419999999999996"/>
    <n v="0.83582500000000004"/>
    <n v="367.5"/>
  </r>
  <r>
    <x v="3"/>
    <x v="49"/>
    <x v="9"/>
    <m/>
    <n v="0.81745000000000001"/>
    <n v="0.85419999999999996"/>
    <n v="0.83582500000000004"/>
    <n v="367.5"/>
  </r>
  <r>
    <x v="3"/>
    <x v="49"/>
    <x v="9"/>
    <m/>
    <n v="0.81745000000000001"/>
    <n v="0.85419999999999996"/>
    <n v="0.83582500000000004"/>
    <n v="367.5"/>
  </r>
  <r>
    <x v="3"/>
    <x v="49"/>
    <x v="9"/>
    <m/>
    <n v="0.81745000000000001"/>
    <n v="0.85419999999999996"/>
    <n v="0.83582500000000004"/>
    <n v="367.5"/>
  </r>
  <r>
    <x v="3"/>
    <x v="49"/>
    <x v="9"/>
    <m/>
    <n v="0.81745000000000001"/>
    <n v="0.85419999999999996"/>
    <n v="0.83582500000000004"/>
    <n v="367.5"/>
  </r>
  <r>
    <x v="3"/>
    <x v="49"/>
    <x v="9"/>
    <m/>
    <n v="0.81745000000000001"/>
    <n v="0.85419999999999996"/>
    <n v="0.83582500000000004"/>
    <n v="367.5"/>
  </r>
  <r>
    <x v="3"/>
    <x v="49"/>
    <x v="9"/>
    <m/>
    <n v="0.81745000000000001"/>
    <n v="0.85419999999999996"/>
    <n v="0.83582500000000004"/>
    <n v="367.5"/>
  </r>
  <r>
    <x v="3"/>
    <x v="49"/>
    <x v="9"/>
    <m/>
    <n v="0.81745000000000001"/>
    <n v="0.85419999999999996"/>
    <n v="0.83582500000000004"/>
    <n v="367.5"/>
  </r>
  <r>
    <x v="3"/>
    <x v="49"/>
    <x v="9"/>
    <m/>
    <n v="0.81745000000000001"/>
    <n v="0.85419999999999996"/>
    <n v="0.83582500000000004"/>
    <n v="367.5"/>
  </r>
  <r>
    <x v="3"/>
    <x v="50"/>
    <x v="9"/>
    <m/>
    <n v="0.81745000000000001"/>
    <n v="0.85419999999999996"/>
    <n v="0.83582500000000004"/>
    <n v="367.5"/>
  </r>
  <r>
    <x v="3"/>
    <x v="50"/>
    <x v="9"/>
    <m/>
    <n v="0.81745000000000001"/>
    <n v="0.85419999999999996"/>
    <n v="0.83582500000000004"/>
    <n v="367.5"/>
  </r>
  <r>
    <x v="3"/>
    <x v="50"/>
    <x v="9"/>
    <m/>
    <n v="0.81745000000000001"/>
    <n v="0.85419999999999996"/>
    <n v="0.83582500000000004"/>
    <n v="367.5"/>
  </r>
  <r>
    <x v="3"/>
    <x v="50"/>
    <x v="9"/>
    <m/>
    <n v="0.81745000000000001"/>
    <n v="0.85419999999999996"/>
    <n v="0.83582500000000004"/>
    <n v="367.5"/>
  </r>
  <r>
    <x v="3"/>
    <x v="50"/>
    <x v="9"/>
    <m/>
    <n v="0.81745000000000001"/>
    <n v="0.85419999999999996"/>
    <n v="0.83582500000000004"/>
    <n v="367.5"/>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2"/>
    <m/>
    <n v="97.394000000000005"/>
    <n v="104.864"/>
    <n v="101.129"/>
    <n v="747"/>
  </r>
  <r>
    <x v="3"/>
    <x v="50"/>
    <x v="9"/>
    <m/>
    <n v="0.81745000000000001"/>
    <n v="0.85419999999999996"/>
    <n v="0.83582500000000004"/>
    <n v="367.5"/>
  </r>
  <r>
    <x v="3"/>
    <x v="50"/>
    <x v="9"/>
    <m/>
    <n v="0.81745000000000001"/>
    <n v="0.85419999999999996"/>
    <n v="0.83582500000000004"/>
    <n v="367.5"/>
  </r>
  <r>
    <x v="3"/>
    <x v="50"/>
    <x v="9"/>
    <m/>
    <n v="0.81745000000000001"/>
    <n v="0.85419999999999996"/>
    <n v="0.83582500000000004"/>
    <n v="367.5"/>
  </r>
  <r>
    <x v="3"/>
    <x v="50"/>
    <x v="9"/>
    <m/>
    <n v="0.81745000000000001"/>
    <n v="0.85419999999999996"/>
    <n v="0.83582500000000004"/>
    <n v="367.5"/>
  </r>
  <r>
    <x v="3"/>
    <x v="50"/>
    <x v="9"/>
    <m/>
    <n v="0.81745000000000001"/>
    <n v="0.85419999999999996"/>
    <n v="0.83582500000000004"/>
    <n v="367.5"/>
  </r>
  <r>
    <x v="3"/>
    <x v="50"/>
    <x v="9"/>
    <m/>
    <n v="0.81745000000000001"/>
    <n v="0.85419999999999996"/>
    <n v="0.83582500000000004"/>
    <n v="367.5"/>
  </r>
  <r>
    <x v="3"/>
    <x v="50"/>
    <x v="9"/>
    <m/>
    <n v="0.81745000000000001"/>
    <n v="0.85419999999999996"/>
    <n v="0.83582500000000004"/>
    <n v="367.5"/>
  </r>
  <r>
    <x v="3"/>
    <x v="50"/>
    <x v="9"/>
    <m/>
    <n v="0.81745000000000001"/>
    <n v="0.85419999999999996"/>
    <n v="0.83582500000000004"/>
    <n v="367.5"/>
  </r>
  <r>
    <x v="3"/>
    <x v="50"/>
    <x v="9"/>
    <m/>
    <n v="0.81745000000000001"/>
    <n v="0.85419999999999996"/>
    <n v="0.83582500000000004"/>
    <n v="367.5"/>
  </r>
  <r>
    <x v="3"/>
    <x v="50"/>
    <x v="9"/>
    <m/>
    <n v="0.81745000000000001"/>
    <n v="0.85419999999999996"/>
    <n v="0.83582500000000004"/>
    <n v="367.5"/>
  </r>
  <r>
    <x v="3"/>
    <x v="50"/>
    <x v="9"/>
    <m/>
    <n v="0.81745000000000001"/>
    <n v="0.85419999999999996"/>
    <n v="0.83582500000000004"/>
    <n v="367.5"/>
  </r>
  <r>
    <x v="3"/>
    <x v="50"/>
    <x v="9"/>
    <m/>
    <n v="0.81745000000000001"/>
    <n v="0.85419999999999996"/>
    <n v="0.83582500000000004"/>
    <n v="367.5"/>
  </r>
  <r>
    <x v="3"/>
    <x v="50"/>
    <x v="9"/>
    <m/>
    <n v="0.81745000000000001"/>
    <n v="0.85419999999999996"/>
    <n v="0.83582500000000004"/>
    <n v="367.5"/>
  </r>
  <r>
    <x v="3"/>
    <x v="50"/>
    <x v="9"/>
    <m/>
    <n v="0.81745000000000001"/>
    <n v="0.85419999999999996"/>
    <n v="0.83582500000000004"/>
    <n v="367.5"/>
  </r>
  <r>
    <x v="3"/>
    <x v="50"/>
    <x v="9"/>
    <m/>
    <n v="0.81745000000000001"/>
    <n v="0.85419999999999996"/>
    <n v="0.83582500000000004"/>
    <n v="367.5"/>
  </r>
  <r>
    <x v="3"/>
    <x v="50"/>
    <x v="9"/>
    <m/>
    <n v="0.81745000000000001"/>
    <n v="0.85419999999999996"/>
    <n v="0.83582500000000004"/>
    <n v="367.5"/>
  </r>
  <r>
    <x v="3"/>
    <x v="50"/>
    <x v="9"/>
    <m/>
    <n v="0.81745000000000001"/>
    <n v="0.85419999999999996"/>
    <n v="0.83582500000000004"/>
    <n v="367.5"/>
  </r>
  <r>
    <x v="3"/>
    <x v="50"/>
    <x v="9"/>
    <m/>
    <n v="0.81745000000000001"/>
    <n v="0.85419999999999996"/>
    <n v="0.83582500000000004"/>
    <n v="367.5"/>
  </r>
  <r>
    <x v="3"/>
    <x v="50"/>
    <x v="9"/>
    <m/>
    <n v="0.81745000000000001"/>
    <n v="0.85419999999999996"/>
    <n v="0.83582500000000004"/>
    <n v="367.5"/>
  </r>
  <r>
    <x v="3"/>
    <x v="50"/>
    <x v="9"/>
    <m/>
    <n v="0.81745000000000001"/>
    <n v="0.85419999999999996"/>
    <n v="0.83582500000000004"/>
    <n v="367.5"/>
  </r>
  <r>
    <x v="3"/>
    <x v="50"/>
    <x v="9"/>
    <m/>
    <n v="0.81745000000000001"/>
    <n v="0.85419999999999996"/>
    <n v="0.83582500000000004"/>
    <n v="367.5"/>
  </r>
  <r>
    <x v="3"/>
    <x v="51"/>
    <x v="9"/>
    <m/>
    <n v="0.81745000000000001"/>
    <n v="0.85419999999999996"/>
    <n v="0.83582500000000004"/>
    <n v="367.5"/>
  </r>
  <r>
    <x v="3"/>
    <x v="51"/>
    <x v="9"/>
    <m/>
    <n v="0.81745000000000001"/>
    <n v="0.85419999999999996"/>
    <n v="0.83582500000000004"/>
    <n v="367.5"/>
  </r>
  <r>
    <x v="3"/>
    <x v="51"/>
    <x v="9"/>
    <m/>
    <n v="0.81745000000000001"/>
    <n v="0.85419999999999996"/>
    <n v="0.83582500000000004"/>
    <n v="367.5"/>
  </r>
  <r>
    <x v="3"/>
    <x v="51"/>
    <x v="9"/>
    <m/>
    <n v="0.81745000000000001"/>
    <n v="0.85419999999999996"/>
    <n v="0.83582500000000004"/>
    <n v="367.5"/>
  </r>
  <r>
    <x v="3"/>
    <x v="51"/>
    <x v="9"/>
    <m/>
    <n v="0.81745000000000001"/>
    <n v="0.85419999999999996"/>
    <n v="0.83582500000000004"/>
    <n v="367.5"/>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2"/>
    <m/>
    <n v="97.394000000000005"/>
    <n v="104.864"/>
    <n v="101.129"/>
    <n v="747"/>
  </r>
  <r>
    <x v="3"/>
    <x v="51"/>
    <x v="9"/>
    <m/>
    <n v="0.81745000000000001"/>
    <n v="0.85419999999999996"/>
    <n v="0.83582500000000004"/>
    <n v="367.5"/>
  </r>
  <r>
    <x v="3"/>
    <x v="51"/>
    <x v="9"/>
    <m/>
    <n v="0.81745000000000001"/>
    <n v="0.85419999999999996"/>
    <n v="0.83582500000000004"/>
    <n v="367.5"/>
  </r>
  <r>
    <x v="3"/>
    <x v="51"/>
    <x v="9"/>
    <m/>
    <n v="0.81745000000000001"/>
    <n v="0.85419999999999996"/>
    <n v="0.83582500000000004"/>
    <n v="367.5"/>
  </r>
  <r>
    <x v="3"/>
    <x v="51"/>
    <x v="9"/>
    <m/>
    <n v="0.81745000000000001"/>
    <n v="0.85419999999999996"/>
    <n v="0.83582500000000004"/>
    <n v="367.5"/>
  </r>
  <r>
    <x v="3"/>
    <x v="51"/>
    <x v="9"/>
    <m/>
    <n v="0.81745000000000001"/>
    <n v="0.85419999999999996"/>
    <n v="0.83582500000000004"/>
    <n v="367.5"/>
  </r>
  <r>
    <x v="3"/>
    <x v="51"/>
    <x v="9"/>
    <m/>
    <n v="0.81745000000000001"/>
    <n v="0.85419999999999996"/>
    <n v="0.83582500000000004"/>
    <n v="367.5"/>
  </r>
  <r>
    <x v="3"/>
    <x v="51"/>
    <x v="9"/>
    <m/>
    <n v="0.81745000000000001"/>
    <n v="0.85419999999999996"/>
    <n v="0.83582500000000004"/>
    <n v="367.5"/>
  </r>
  <r>
    <x v="3"/>
    <x v="51"/>
    <x v="9"/>
    <m/>
    <n v="0.81745000000000001"/>
    <n v="0.85419999999999996"/>
    <n v="0.83582500000000004"/>
    <n v="367.5"/>
  </r>
  <r>
    <x v="3"/>
    <x v="51"/>
    <x v="9"/>
    <m/>
    <n v="0.81745000000000001"/>
    <n v="0.85419999999999996"/>
    <n v="0.83582500000000004"/>
    <n v="367.5"/>
  </r>
  <r>
    <x v="3"/>
    <x v="51"/>
    <x v="9"/>
    <m/>
    <n v="0.81745000000000001"/>
    <n v="0.85419999999999996"/>
    <n v="0.83582500000000004"/>
    <n v="367.5"/>
  </r>
  <r>
    <x v="3"/>
    <x v="51"/>
    <x v="9"/>
    <m/>
    <n v="0.81745000000000001"/>
    <n v="0.85419999999999996"/>
    <n v="0.83582500000000004"/>
    <n v="367.5"/>
  </r>
  <r>
    <x v="3"/>
    <x v="51"/>
    <x v="9"/>
    <m/>
    <n v="0.81745000000000001"/>
    <n v="0.85419999999999996"/>
    <n v="0.83582500000000004"/>
    <n v="367.5"/>
  </r>
  <r>
    <x v="3"/>
    <x v="51"/>
    <x v="9"/>
    <m/>
    <n v="0.81745000000000001"/>
    <n v="0.85419999999999996"/>
    <n v="0.83582500000000004"/>
    <n v="367.5"/>
  </r>
  <r>
    <x v="3"/>
    <x v="51"/>
    <x v="9"/>
    <m/>
    <n v="0.81745000000000001"/>
    <n v="0.85419999999999996"/>
    <n v="0.83582500000000004"/>
    <n v="367.5"/>
  </r>
  <r>
    <x v="3"/>
    <x v="51"/>
    <x v="9"/>
    <m/>
    <n v="0.81745000000000001"/>
    <n v="0.85419999999999996"/>
    <n v="0.83582500000000004"/>
    <n v="367.5"/>
  </r>
  <r>
    <x v="3"/>
    <x v="51"/>
    <x v="9"/>
    <m/>
    <n v="0.81745000000000001"/>
    <n v="0.85419999999999996"/>
    <n v="0.83582500000000004"/>
    <n v="367.5"/>
  </r>
  <r>
    <x v="3"/>
    <x v="51"/>
    <x v="9"/>
    <m/>
    <n v="0.81745000000000001"/>
    <n v="0.85419999999999996"/>
    <n v="0.83582500000000004"/>
    <n v="367.5"/>
  </r>
  <r>
    <x v="3"/>
    <x v="51"/>
    <x v="9"/>
    <m/>
    <n v="0.81745000000000001"/>
    <n v="0.85419999999999996"/>
    <n v="0.83582500000000004"/>
    <n v="367.5"/>
  </r>
  <r>
    <x v="3"/>
    <x v="51"/>
    <x v="9"/>
    <m/>
    <n v="0.81745000000000001"/>
    <n v="0.85419999999999996"/>
    <n v="0.83582500000000004"/>
    <n v="367.5"/>
  </r>
  <r>
    <x v="3"/>
    <x v="51"/>
    <x v="9"/>
    <m/>
    <n v="0.81745000000000001"/>
    <n v="0.85419999999999996"/>
    <n v="0.83582500000000004"/>
    <n v="367.5"/>
  </r>
  <r>
    <x v="3"/>
    <x v="51"/>
    <x v="9"/>
    <m/>
    <n v="0.81745000000000001"/>
    <n v="0.85419999999999996"/>
    <n v="0.83582500000000004"/>
    <n v="367.5"/>
  </r>
  <r>
    <x v="3"/>
    <x v="52"/>
    <x v="9"/>
    <m/>
    <n v="0.81745000000000001"/>
    <n v="0.85419999999999996"/>
    <n v="0.83582500000000004"/>
    <n v="367.5"/>
  </r>
  <r>
    <x v="3"/>
    <x v="52"/>
    <x v="9"/>
    <m/>
    <n v="0.81745000000000001"/>
    <n v="0.85419999999999996"/>
    <n v="0.83582500000000004"/>
    <n v="367.5"/>
  </r>
  <r>
    <x v="3"/>
    <x v="52"/>
    <x v="9"/>
    <m/>
    <n v="0.81745000000000001"/>
    <n v="0.85419999999999996"/>
    <n v="0.83582500000000004"/>
    <n v="367.5"/>
  </r>
  <r>
    <x v="3"/>
    <x v="52"/>
    <x v="9"/>
    <m/>
    <n v="0.81745000000000001"/>
    <n v="0.85419999999999996"/>
    <n v="0.83582500000000004"/>
    <n v="367.5"/>
  </r>
  <r>
    <x v="3"/>
    <x v="52"/>
    <x v="9"/>
    <m/>
    <n v="0.81745000000000001"/>
    <n v="0.85419999999999996"/>
    <n v="0.83582500000000004"/>
    <n v="367.5"/>
  </r>
  <r>
    <x v="3"/>
    <x v="52"/>
    <x v="9"/>
    <m/>
    <n v="0.81745000000000001"/>
    <n v="0.85419999999999996"/>
    <n v="0.83582500000000004"/>
    <n v="367.5"/>
  </r>
  <r>
    <x v="3"/>
    <x v="52"/>
    <x v="9"/>
    <m/>
    <n v="0.81745000000000001"/>
    <n v="0.85419999999999996"/>
    <n v="0.83582500000000004"/>
    <n v="367.5"/>
  </r>
  <r>
    <x v="3"/>
    <x v="52"/>
    <x v="9"/>
    <m/>
    <n v="0.81745000000000001"/>
    <n v="0.85419999999999996"/>
    <n v="0.83582500000000004"/>
    <n v="367.5"/>
  </r>
  <r>
    <x v="3"/>
    <x v="52"/>
    <x v="9"/>
    <m/>
    <n v="0.81745000000000001"/>
    <n v="0.85419999999999996"/>
    <n v="0.83582500000000004"/>
    <n v="367.5"/>
  </r>
  <r>
    <x v="3"/>
    <x v="52"/>
    <x v="9"/>
    <m/>
    <n v="0.81745000000000001"/>
    <n v="0.85419999999999996"/>
    <n v="0.83582500000000004"/>
    <n v="367.5"/>
  </r>
  <r>
    <x v="3"/>
    <x v="52"/>
    <x v="9"/>
    <m/>
    <n v="0.81745000000000001"/>
    <n v="0.85419999999999996"/>
    <n v="0.83582500000000004"/>
    <n v="367.5"/>
  </r>
  <r>
    <x v="3"/>
    <x v="52"/>
    <x v="9"/>
    <m/>
    <n v="0.81745000000000001"/>
    <n v="0.85419999999999996"/>
    <n v="0.83582500000000004"/>
    <n v="367.5"/>
  </r>
  <r>
    <x v="3"/>
    <x v="52"/>
    <x v="9"/>
    <m/>
    <n v="0.81745000000000001"/>
    <n v="0.85419999999999996"/>
    <n v="0.83582500000000004"/>
    <n v="367.5"/>
  </r>
  <r>
    <x v="3"/>
    <x v="52"/>
    <x v="9"/>
    <m/>
    <n v="0.81745000000000001"/>
    <n v="0.85419999999999996"/>
    <n v="0.83582500000000004"/>
    <n v="367.5"/>
  </r>
  <r>
    <x v="3"/>
    <x v="52"/>
    <x v="9"/>
    <m/>
    <n v="0.81745000000000001"/>
    <n v="0.85419999999999996"/>
    <n v="0.83582500000000004"/>
    <n v="367.5"/>
  </r>
  <r>
    <x v="3"/>
    <x v="52"/>
    <x v="9"/>
    <m/>
    <n v="0.81745000000000001"/>
    <n v="0.85419999999999996"/>
    <n v="0.83582500000000004"/>
    <n v="367.5"/>
  </r>
  <r>
    <x v="3"/>
    <x v="52"/>
    <x v="9"/>
    <m/>
    <n v="0.81745000000000001"/>
    <n v="0.85419999999999996"/>
    <n v="0.83582500000000004"/>
    <n v="367.5"/>
  </r>
  <r>
    <x v="3"/>
    <x v="52"/>
    <x v="9"/>
    <m/>
    <n v="0.81745000000000001"/>
    <n v="0.85419999999999996"/>
    <n v="0.83582500000000004"/>
    <n v="367.5"/>
  </r>
  <r>
    <x v="3"/>
    <x v="52"/>
    <x v="9"/>
    <m/>
    <n v="0.81745000000000001"/>
    <n v="0.85419999999999996"/>
    <n v="0.83582500000000004"/>
    <n v="367.5"/>
  </r>
  <r>
    <x v="3"/>
    <x v="52"/>
    <x v="9"/>
    <m/>
    <n v="0.81745000000000001"/>
    <n v="0.85419999999999996"/>
    <n v="0.83582500000000004"/>
    <n v="367.5"/>
  </r>
  <r>
    <x v="3"/>
    <x v="52"/>
    <x v="9"/>
    <m/>
    <n v="0.81745000000000001"/>
    <n v="0.85419999999999996"/>
    <n v="0.83582500000000004"/>
    <n v="367.5"/>
  </r>
  <r>
    <x v="3"/>
    <x v="52"/>
    <x v="9"/>
    <m/>
    <n v="0.81745000000000001"/>
    <n v="0.85419999999999996"/>
    <n v="0.83582500000000004"/>
    <n v="367.5"/>
  </r>
  <r>
    <x v="3"/>
    <x v="52"/>
    <x v="9"/>
    <m/>
    <n v="0.81745000000000001"/>
    <n v="0.85419999999999996"/>
    <n v="0.83582500000000004"/>
    <n v="367.5"/>
  </r>
  <r>
    <x v="3"/>
    <x v="52"/>
    <x v="9"/>
    <m/>
    <n v="0.81745000000000001"/>
    <n v="0.85419999999999996"/>
    <n v="0.83582500000000004"/>
    <n v="367.5"/>
  </r>
  <r>
    <x v="3"/>
    <x v="52"/>
    <x v="9"/>
    <m/>
    <n v="0.81745000000000001"/>
    <n v="0.85419999999999996"/>
    <n v="0.83582500000000004"/>
    <n v="367.5"/>
  </r>
  <r>
    <x v="3"/>
    <x v="52"/>
    <x v="9"/>
    <m/>
    <n v="0.81745000000000001"/>
    <n v="0.85419999999999996"/>
    <n v="0.83582500000000004"/>
    <n v="367.5"/>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2"/>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9"/>
    <m/>
    <n v="0.81745000000000001"/>
    <n v="0.85419999999999996"/>
    <n v="0.83582500000000004"/>
    <n v="367.5"/>
  </r>
  <r>
    <x v="3"/>
    <x v="53"/>
    <x v="9"/>
    <m/>
    <n v="0.81745000000000001"/>
    <n v="0.85419999999999996"/>
    <n v="0.83582500000000004"/>
    <n v="367.5"/>
  </r>
  <r>
    <x v="3"/>
    <x v="53"/>
    <x v="9"/>
    <m/>
    <n v="0.81745000000000001"/>
    <n v="0.85419999999999996"/>
    <n v="0.83582500000000004"/>
    <n v="367.5"/>
  </r>
  <r>
    <x v="3"/>
    <x v="53"/>
    <x v="9"/>
    <m/>
    <n v="0.81745000000000001"/>
    <n v="0.85419999999999996"/>
    <n v="0.83582500000000004"/>
    <n v="367.5"/>
  </r>
  <r>
    <x v="3"/>
    <x v="53"/>
    <x v="9"/>
    <m/>
    <n v="0.81745000000000001"/>
    <n v="0.85419999999999996"/>
    <n v="0.83582500000000004"/>
    <n v="367.5"/>
  </r>
  <r>
    <x v="3"/>
    <x v="53"/>
    <x v="9"/>
    <m/>
    <n v="0.81745000000000001"/>
    <n v="0.85419999999999996"/>
    <n v="0.83582500000000004"/>
    <n v="367.5"/>
  </r>
  <r>
    <x v="3"/>
    <x v="53"/>
    <x v="9"/>
    <m/>
    <n v="0.81745000000000001"/>
    <n v="0.85419999999999996"/>
    <n v="0.83582500000000004"/>
    <n v="367.5"/>
  </r>
  <r>
    <x v="3"/>
    <x v="53"/>
    <x v="9"/>
    <m/>
    <n v="0.81745000000000001"/>
    <n v="0.85419999999999996"/>
    <n v="0.83582500000000004"/>
    <n v="367.5"/>
  </r>
  <r>
    <x v="3"/>
    <x v="53"/>
    <x v="9"/>
    <m/>
    <n v="0.81745000000000001"/>
    <n v="0.85419999999999996"/>
    <n v="0.83582500000000004"/>
    <n v="367.5"/>
  </r>
  <r>
    <x v="3"/>
    <x v="53"/>
    <x v="9"/>
    <m/>
    <n v="0.81745000000000001"/>
    <n v="0.85419999999999996"/>
    <n v="0.83582500000000004"/>
    <n v="367.5"/>
  </r>
  <r>
    <x v="3"/>
    <x v="53"/>
    <x v="9"/>
    <m/>
    <n v="0.81745000000000001"/>
    <n v="0.85419999999999996"/>
    <n v="0.83582500000000004"/>
    <n v="367.5"/>
  </r>
  <r>
    <x v="3"/>
    <x v="53"/>
    <x v="9"/>
    <m/>
    <n v="0.81745000000000001"/>
    <n v="0.85419999999999996"/>
    <n v="0.83582500000000004"/>
    <n v="367.5"/>
  </r>
  <r>
    <x v="3"/>
    <x v="53"/>
    <x v="9"/>
    <m/>
    <n v="0.81745000000000001"/>
    <n v="0.85419999999999996"/>
    <n v="0.83582500000000004"/>
    <n v="367.5"/>
  </r>
  <r>
    <x v="3"/>
    <x v="53"/>
    <x v="9"/>
    <m/>
    <n v="0.81745000000000001"/>
    <n v="0.85419999999999996"/>
    <n v="0.83582500000000004"/>
    <n v="367.5"/>
  </r>
  <r>
    <x v="3"/>
    <x v="53"/>
    <x v="9"/>
    <m/>
    <n v="0.81745000000000001"/>
    <n v="0.85419999999999996"/>
    <n v="0.83582500000000004"/>
    <n v="367.5"/>
  </r>
  <r>
    <x v="3"/>
    <x v="53"/>
    <x v="9"/>
    <m/>
    <n v="0.81745000000000001"/>
    <n v="0.85419999999999996"/>
    <n v="0.83582500000000004"/>
    <n v="367.5"/>
  </r>
  <r>
    <x v="3"/>
    <x v="53"/>
    <x v="9"/>
    <m/>
    <n v="0.81745000000000001"/>
    <n v="0.85419999999999996"/>
    <n v="0.83582500000000004"/>
    <n v="367.5"/>
  </r>
  <r>
    <x v="3"/>
    <x v="53"/>
    <x v="9"/>
    <m/>
    <n v="0.81745000000000001"/>
    <n v="0.85419999999999996"/>
    <n v="0.83582500000000004"/>
    <n v="367.5"/>
  </r>
  <r>
    <x v="3"/>
    <x v="53"/>
    <x v="9"/>
    <m/>
    <n v="0.81745000000000001"/>
    <n v="0.85419999999999996"/>
    <n v="0.83582500000000004"/>
    <n v="367.5"/>
  </r>
  <r>
    <x v="3"/>
    <x v="53"/>
    <x v="9"/>
    <m/>
    <n v="0.81745000000000001"/>
    <n v="0.85419999999999996"/>
    <n v="0.83582500000000004"/>
    <n v="367.5"/>
  </r>
  <r>
    <x v="3"/>
    <x v="53"/>
    <x v="9"/>
    <m/>
    <n v="0.81745000000000001"/>
    <n v="0.85419999999999996"/>
    <n v="0.83582500000000004"/>
    <n v="367.5"/>
  </r>
  <r>
    <x v="3"/>
    <x v="53"/>
    <x v="9"/>
    <m/>
    <n v="0.81745000000000001"/>
    <n v="0.85419999999999996"/>
    <n v="0.83582500000000004"/>
    <n v="367.5"/>
  </r>
  <r>
    <x v="3"/>
    <x v="53"/>
    <x v="9"/>
    <m/>
    <n v="0.81745000000000001"/>
    <n v="0.85419999999999996"/>
    <n v="0.83582500000000004"/>
    <n v="367.5"/>
  </r>
  <r>
    <x v="3"/>
    <x v="53"/>
    <x v="9"/>
    <m/>
    <n v="0.81745000000000001"/>
    <n v="0.85419999999999996"/>
    <n v="0.83582500000000004"/>
    <n v="367.5"/>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3"/>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9"/>
    <m/>
    <n v="0.81745000000000001"/>
    <n v="0.85419999999999996"/>
    <n v="0.83582500000000004"/>
    <n v="367.5"/>
  </r>
  <r>
    <x v="3"/>
    <x v="54"/>
    <x v="9"/>
    <m/>
    <n v="0.81745000000000001"/>
    <n v="0.85419999999999996"/>
    <n v="0.83582500000000004"/>
    <n v="367.5"/>
  </r>
  <r>
    <x v="3"/>
    <x v="54"/>
    <x v="9"/>
    <m/>
    <n v="0.81745000000000001"/>
    <n v="0.85419999999999996"/>
    <n v="0.83582500000000004"/>
    <n v="367.5"/>
  </r>
  <r>
    <x v="3"/>
    <x v="54"/>
    <x v="9"/>
    <m/>
    <n v="0.81745000000000001"/>
    <n v="0.85419999999999996"/>
    <n v="0.83582500000000004"/>
    <n v="367.5"/>
  </r>
  <r>
    <x v="3"/>
    <x v="54"/>
    <x v="9"/>
    <m/>
    <n v="0.81745000000000001"/>
    <n v="0.85419999999999996"/>
    <n v="0.83582500000000004"/>
    <n v="367.5"/>
  </r>
  <r>
    <x v="3"/>
    <x v="54"/>
    <x v="9"/>
    <m/>
    <n v="0.81745000000000001"/>
    <n v="0.85419999999999996"/>
    <n v="0.83582500000000004"/>
    <n v="367.5"/>
  </r>
  <r>
    <x v="3"/>
    <x v="54"/>
    <x v="9"/>
    <m/>
    <n v="0.81745000000000001"/>
    <n v="0.85419999999999996"/>
    <n v="0.83582500000000004"/>
    <n v="367.5"/>
  </r>
  <r>
    <x v="3"/>
    <x v="54"/>
    <x v="9"/>
    <m/>
    <n v="0.81745000000000001"/>
    <n v="0.85419999999999996"/>
    <n v="0.83582500000000004"/>
    <n v="367.5"/>
  </r>
  <r>
    <x v="3"/>
    <x v="54"/>
    <x v="9"/>
    <m/>
    <n v="0.81745000000000001"/>
    <n v="0.85419999999999996"/>
    <n v="0.83582500000000004"/>
    <n v="367.5"/>
  </r>
  <r>
    <x v="3"/>
    <x v="54"/>
    <x v="9"/>
    <m/>
    <n v="0.81745000000000001"/>
    <n v="0.85419999999999996"/>
    <n v="0.83582500000000004"/>
    <n v="367.5"/>
  </r>
  <r>
    <x v="3"/>
    <x v="54"/>
    <x v="9"/>
    <m/>
    <n v="0.81745000000000001"/>
    <n v="0.85419999999999996"/>
    <n v="0.83582500000000004"/>
    <n v="367.5"/>
  </r>
  <r>
    <x v="3"/>
    <x v="54"/>
    <x v="9"/>
    <m/>
    <n v="0.81745000000000001"/>
    <n v="0.85419999999999996"/>
    <n v="0.83582500000000004"/>
    <n v="367.5"/>
  </r>
  <r>
    <x v="3"/>
    <x v="54"/>
    <x v="9"/>
    <m/>
    <n v="0.81745000000000001"/>
    <n v="0.85419999999999996"/>
    <n v="0.83582500000000004"/>
    <n v="367.5"/>
  </r>
  <r>
    <x v="3"/>
    <x v="54"/>
    <x v="9"/>
    <m/>
    <n v="0.81745000000000001"/>
    <n v="0.85419999999999996"/>
    <n v="0.83582500000000004"/>
    <n v="367.5"/>
  </r>
  <r>
    <x v="3"/>
    <x v="54"/>
    <x v="9"/>
    <m/>
    <n v="0.81745000000000001"/>
    <n v="0.85419999999999996"/>
    <n v="0.83582500000000004"/>
    <n v="367.5"/>
  </r>
  <r>
    <x v="3"/>
    <x v="54"/>
    <x v="9"/>
    <m/>
    <n v="0.81745000000000001"/>
    <n v="0.85419999999999996"/>
    <n v="0.83582500000000004"/>
    <n v="367.5"/>
  </r>
  <r>
    <x v="3"/>
    <x v="54"/>
    <x v="9"/>
    <m/>
    <n v="0.81745000000000001"/>
    <n v="0.85419999999999996"/>
    <n v="0.83582500000000004"/>
    <n v="367.5"/>
  </r>
  <r>
    <x v="3"/>
    <x v="54"/>
    <x v="9"/>
    <m/>
    <n v="0.81745000000000001"/>
    <n v="0.85419999999999996"/>
    <n v="0.83582500000000004"/>
    <n v="367.5"/>
  </r>
  <r>
    <x v="3"/>
    <x v="54"/>
    <x v="9"/>
    <m/>
    <n v="0.81745000000000001"/>
    <n v="0.85419999999999996"/>
    <n v="0.83582500000000004"/>
    <n v="367.5"/>
  </r>
  <r>
    <x v="3"/>
    <x v="54"/>
    <x v="9"/>
    <m/>
    <n v="0.81745000000000001"/>
    <n v="0.85419999999999996"/>
    <n v="0.83582500000000004"/>
    <n v="367.5"/>
  </r>
  <r>
    <x v="3"/>
    <x v="54"/>
    <x v="9"/>
    <m/>
    <n v="0.81745000000000001"/>
    <n v="0.85419999999999996"/>
    <n v="0.83582500000000004"/>
    <n v="367.5"/>
  </r>
  <r>
    <x v="3"/>
    <x v="54"/>
    <x v="9"/>
    <m/>
    <n v="0.81745000000000001"/>
    <n v="0.85419999999999996"/>
    <n v="0.83582500000000004"/>
    <n v="367.5"/>
  </r>
  <r>
    <x v="3"/>
    <x v="54"/>
    <x v="9"/>
    <m/>
    <n v="0.81745000000000001"/>
    <n v="0.85419999999999996"/>
    <n v="0.83582500000000004"/>
    <n v="367.5"/>
  </r>
  <r>
    <x v="3"/>
    <x v="54"/>
    <x v="9"/>
    <m/>
    <n v="0.81745000000000001"/>
    <n v="0.85419999999999996"/>
    <n v="0.83582500000000004"/>
    <n v="367.5"/>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4"/>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9"/>
    <m/>
    <n v="0.81637000000000004"/>
    <n v="0.85419999999999996"/>
    <n v="0.83528500000000006"/>
    <n v="378.3"/>
  </r>
  <r>
    <x v="3"/>
    <x v="55"/>
    <x v="9"/>
    <m/>
    <n v="0.81637000000000004"/>
    <n v="0.85419999999999996"/>
    <n v="0.83528500000000006"/>
    <n v="378.3"/>
  </r>
  <r>
    <x v="3"/>
    <x v="55"/>
    <x v="9"/>
    <m/>
    <n v="0.81637000000000004"/>
    <n v="0.85419999999999996"/>
    <n v="0.83528500000000006"/>
    <n v="378.3"/>
  </r>
  <r>
    <x v="3"/>
    <x v="55"/>
    <x v="9"/>
    <m/>
    <n v="0.81637000000000004"/>
    <n v="0.85419999999999996"/>
    <n v="0.83528500000000006"/>
    <n v="378.3"/>
  </r>
  <r>
    <x v="3"/>
    <x v="55"/>
    <x v="9"/>
    <m/>
    <n v="0.81637000000000004"/>
    <n v="0.85419999999999996"/>
    <n v="0.83528500000000006"/>
    <n v="378.3"/>
  </r>
  <r>
    <x v="3"/>
    <x v="55"/>
    <x v="9"/>
    <m/>
    <n v="0.81637000000000004"/>
    <n v="0.85419999999999996"/>
    <n v="0.83528500000000006"/>
    <n v="378.3"/>
  </r>
  <r>
    <x v="3"/>
    <x v="55"/>
    <x v="9"/>
    <m/>
    <n v="0.81637000000000004"/>
    <n v="0.85419999999999996"/>
    <n v="0.83528500000000006"/>
    <n v="378.3"/>
  </r>
  <r>
    <x v="3"/>
    <x v="55"/>
    <x v="9"/>
    <m/>
    <n v="0.81637000000000004"/>
    <n v="0.85419999999999996"/>
    <n v="0.83528500000000006"/>
    <n v="378.3"/>
  </r>
  <r>
    <x v="3"/>
    <x v="55"/>
    <x v="9"/>
    <m/>
    <n v="0.81637000000000004"/>
    <n v="0.85419999999999996"/>
    <n v="0.83528500000000006"/>
    <n v="378.3"/>
  </r>
  <r>
    <x v="3"/>
    <x v="55"/>
    <x v="9"/>
    <m/>
    <n v="0.81637000000000004"/>
    <n v="0.85419999999999996"/>
    <n v="0.83528500000000006"/>
    <n v="378.3"/>
  </r>
  <r>
    <x v="3"/>
    <x v="55"/>
    <x v="9"/>
    <m/>
    <n v="0.81637000000000004"/>
    <n v="0.85419999999999996"/>
    <n v="0.83528500000000006"/>
    <n v="378.3"/>
  </r>
  <r>
    <x v="3"/>
    <x v="55"/>
    <x v="9"/>
    <m/>
    <n v="0.81637000000000004"/>
    <n v="0.85419999999999996"/>
    <n v="0.83528500000000006"/>
    <n v="378.3"/>
  </r>
  <r>
    <x v="3"/>
    <x v="55"/>
    <x v="9"/>
    <m/>
    <n v="0.81637000000000004"/>
    <n v="0.85419999999999996"/>
    <n v="0.83528500000000006"/>
    <n v="378.3"/>
  </r>
  <r>
    <x v="3"/>
    <x v="55"/>
    <x v="9"/>
    <m/>
    <n v="0.81637000000000004"/>
    <n v="0.85419999999999996"/>
    <n v="0.83528500000000006"/>
    <n v="378.3"/>
  </r>
  <r>
    <x v="3"/>
    <x v="55"/>
    <x v="9"/>
    <m/>
    <n v="0.81637000000000004"/>
    <n v="0.85419999999999996"/>
    <n v="0.83528500000000006"/>
    <n v="378.3"/>
  </r>
  <r>
    <x v="3"/>
    <x v="55"/>
    <x v="9"/>
    <m/>
    <n v="0.81637000000000004"/>
    <n v="0.85419999999999996"/>
    <n v="0.83528500000000006"/>
    <n v="378.3"/>
  </r>
  <r>
    <x v="3"/>
    <x v="55"/>
    <x v="9"/>
    <m/>
    <n v="0.81637000000000004"/>
    <n v="0.85419999999999996"/>
    <n v="0.83528500000000006"/>
    <n v="378.3"/>
  </r>
  <r>
    <x v="3"/>
    <x v="55"/>
    <x v="9"/>
    <m/>
    <n v="0.81637000000000004"/>
    <n v="0.85419999999999996"/>
    <n v="0.83528500000000006"/>
    <n v="378.3"/>
  </r>
  <r>
    <x v="3"/>
    <x v="55"/>
    <x v="9"/>
    <m/>
    <n v="0.81637000000000004"/>
    <n v="0.85419999999999996"/>
    <n v="0.83528500000000006"/>
    <n v="378.3"/>
  </r>
  <r>
    <x v="3"/>
    <x v="55"/>
    <x v="9"/>
    <m/>
    <n v="0.81637000000000004"/>
    <n v="0.85419999999999996"/>
    <n v="0.83528500000000006"/>
    <n v="378.3"/>
  </r>
  <r>
    <x v="3"/>
    <x v="55"/>
    <x v="9"/>
    <m/>
    <n v="0.81637000000000004"/>
    <n v="0.85419999999999996"/>
    <n v="0.83528500000000006"/>
    <n v="378.3"/>
  </r>
  <r>
    <x v="3"/>
    <x v="55"/>
    <x v="9"/>
    <m/>
    <n v="0.81637000000000004"/>
    <n v="0.85419999999999996"/>
    <n v="0.83528500000000006"/>
    <n v="378.3"/>
  </r>
  <r>
    <x v="3"/>
    <x v="55"/>
    <x v="9"/>
    <m/>
    <n v="0.81637000000000004"/>
    <n v="0.85419999999999996"/>
    <n v="0.83528500000000006"/>
    <n v="378.3"/>
  </r>
  <r>
    <x v="3"/>
    <x v="55"/>
    <x v="9"/>
    <m/>
    <n v="0.81637000000000004"/>
    <n v="0.85419999999999996"/>
    <n v="0.83528500000000006"/>
    <n v="378.3"/>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5"/>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9"/>
    <m/>
    <n v="0.81416999999999995"/>
    <n v="0.85419999999999996"/>
    <n v="0.83418499999999995"/>
    <n v="400.3"/>
  </r>
  <r>
    <x v="3"/>
    <x v="56"/>
    <x v="9"/>
    <m/>
    <n v="0.81416999999999995"/>
    <n v="0.85419999999999996"/>
    <n v="0.83418499999999995"/>
    <n v="400.3"/>
  </r>
  <r>
    <x v="3"/>
    <x v="56"/>
    <x v="9"/>
    <m/>
    <n v="0.81416999999999995"/>
    <n v="0.85419999999999996"/>
    <n v="0.83418499999999995"/>
    <n v="400.3"/>
  </r>
  <r>
    <x v="3"/>
    <x v="56"/>
    <x v="9"/>
    <m/>
    <n v="0.81416999999999995"/>
    <n v="0.85419999999999996"/>
    <n v="0.83418499999999995"/>
    <n v="400.3"/>
  </r>
  <r>
    <x v="3"/>
    <x v="56"/>
    <x v="9"/>
    <m/>
    <n v="0.81416999999999995"/>
    <n v="0.85419999999999996"/>
    <n v="0.83418499999999995"/>
    <n v="400.3"/>
  </r>
  <r>
    <x v="3"/>
    <x v="56"/>
    <x v="9"/>
    <m/>
    <n v="0.81416999999999995"/>
    <n v="0.85419999999999996"/>
    <n v="0.83418499999999995"/>
    <n v="400.3"/>
  </r>
  <r>
    <x v="3"/>
    <x v="56"/>
    <x v="9"/>
    <m/>
    <n v="0.81416999999999995"/>
    <n v="0.85419999999999996"/>
    <n v="0.83418499999999995"/>
    <n v="400.3"/>
  </r>
  <r>
    <x v="3"/>
    <x v="56"/>
    <x v="9"/>
    <m/>
    <n v="0.81416999999999995"/>
    <n v="0.85419999999999996"/>
    <n v="0.83418499999999995"/>
    <n v="400.3"/>
  </r>
  <r>
    <x v="3"/>
    <x v="56"/>
    <x v="9"/>
    <m/>
    <n v="0.81416999999999995"/>
    <n v="0.85419999999999996"/>
    <n v="0.83418499999999995"/>
    <n v="400.3"/>
  </r>
  <r>
    <x v="3"/>
    <x v="56"/>
    <x v="9"/>
    <m/>
    <n v="0.81416999999999995"/>
    <n v="0.85419999999999996"/>
    <n v="0.83418499999999995"/>
    <n v="400.3"/>
  </r>
  <r>
    <x v="3"/>
    <x v="56"/>
    <x v="9"/>
    <m/>
    <n v="0.81416999999999995"/>
    <n v="0.85419999999999996"/>
    <n v="0.83418499999999995"/>
    <n v="400.3"/>
  </r>
  <r>
    <x v="3"/>
    <x v="56"/>
    <x v="9"/>
    <m/>
    <n v="0.81416999999999995"/>
    <n v="0.85419999999999996"/>
    <n v="0.83418499999999995"/>
    <n v="400.3"/>
  </r>
  <r>
    <x v="3"/>
    <x v="56"/>
    <x v="9"/>
    <m/>
    <n v="0.81416999999999995"/>
    <n v="0.85419999999999996"/>
    <n v="0.83418499999999995"/>
    <n v="400.3"/>
  </r>
  <r>
    <x v="3"/>
    <x v="56"/>
    <x v="9"/>
    <m/>
    <n v="0.81416999999999995"/>
    <n v="0.85419999999999996"/>
    <n v="0.83418499999999995"/>
    <n v="400.3"/>
  </r>
  <r>
    <x v="3"/>
    <x v="56"/>
    <x v="9"/>
    <m/>
    <n v="0.81416999999999995"/>
    <n v="0.85419999999999996"/>
    <n v="0.83418499999999995"/>
    <n v="400.3"/>
  </r>
  <r>
    <x v="3"/>
    <x v="56"/>
    <x v="9"/>
    <m/>
    <n v="0.81416999999999995"/>
    <n v="0.85419999999999996"/>
    <n v="0.83418499999999995"/>
    <n v="400.3"/>
  </r>
  <r>
    <x v="3"/>
    <x v="56"/>
    <x v="9"/>
    <m/>
    <n v="0.81416999999999995"/>
    <n v="0.85419999999999996"/>
    <n v="0.83418499999999995"/>
    <n v="400.3"/>
  </r>
  <r>
    <x v="3"/>
    <x v="56"/>
    <x v="9"/>
    <m/>
    <n v="0.81416999999999995"/>
    <n v="0.85419999999999996"/>
    <n v="0.83418499999999995"/>
    <n v="400.3"/>
  </r>
  <r>
    <x v="3"/>
    <x v="56"/>
    <x v="9"/>
    <m/>
    <n v="0.81416999999999995"/>
    <n v="0.85419999999999996"/>
    <n v="0.83418499999999995"/>
    <n v="400.3"/>
  </r>
  <r>
    <x v="3"/>
    <x v="56"/>
    <x v="9"/>
    <m/>
    <n v="0.81416999999999995"/>
    <n v="0.85419999999999996"/>
    <n v="0.83418499999999995"/>
    <n v="400.3"/>
  </r>
  <r>
    <x v="3"/>
    <x v="56"/>
    <x v="9"/>
    <m/>
    <n v="0.81416999999999995"/>
    <n v="0.85419999999999996"/>
    <n v="0.83418499999999995"/>
    <n v="400.3"/>
  </r>
  <r>
    <x v="3"/>
    <x v="56"/>
    <x v="9"/>
    <m/>
    <n v="0.81416999999999995"/>
    <n v="0.85419999999999996"/>
    <n v="0.83418499999999995"/>
    <n v="400.3"/>
  </r>
  <r>
    <x v="3"/>
    <x v="56"/>
    <x v="9"/>
    <m/>
    <n v="0.81416999999999995"/>
    <n v="0.85419999999999996"/>
    <n v="0.83418499999999995"/>
    <n v="400.3"/>
  </r>
  <r>
    <x v="3"/>
    <x v="56"/>
    <x v="9"/>
    <m/>
    <n v="0.81416999999999995"/>
    <n v="0.85419999999999996"/>
    <n v="0.83418499999999995"/>
    <n v="400.3"/>
  </r>
  <r>
    <x v="3"/>
    <x v="56"/>
    <x v="9"/>
    <m/>
    <n v="0.81416999999999995"/>
    <n v="0.85419999999999996"/>
    <n v="0.83418499999999995"/>
    <n v="400.3"/>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6"/>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9"/>
    <m/>
    <n v="0.80957000000000001"/>
    <n v="0.85419999999999996"/>
    <n v="0.83188499999999999"/>
    <n v="446.3"/>
  </r>
  <r>
    <x v="3"/>
    <x v="57"/>
    <x v="9"/>
    <m/>
    <n v="0.80957000000000001"/>
    <n v="0.85419999999999996"/>
    <n v="0.83188499999999999"/>
    <n v="446.3"/>
  </r>
  <r>
    <x v="3"/>
    <x v="57"/>
    <x v="9"/>
    <m/>
    <n v="0.80957000000000001"/>
    <n v="0.85419999999999996"/>
    <n v="0.83188499999999999"/>
    <n v="446.3"/>
  </r>
  <r>
    <x v="3"/>
    <x v="57"/>
    <x v="9"/>
    <m/>
    <n v="0.80957000000000001"/>
    <n v="0.85419999999999996"/>
    <n v="0.83188499999999999"/>
    <n v="446.3"/>
  </r>
  <r>
    <x v="3"/>
    <x v="57"/>
    <x v="9"/>
    <m/>
    <n v="0.80957000000000001"/>
    <n v="0.85419999999999996"/>
    <n v="0.83188499999999999"/>
    <n v="446.3"/>
  </r>
  <r>
    <x v="3"/>
    <x v="57"/>
    <x v="9"/>
    <m/>
    <n v="0.80957000000000001"/>
    <n v="0.85419999999999996"/>
    <n v="0.83188499999999999"/>
    <n v="446.3"/>
  </r>
  <r>
    <x v="3"/>
    <x v="57"/>
    <x v="9"/>
    <m/>
    <n v="0.80957000000000001"/>
    <n v="0.85419999999999996"/>
    <n v="0.83188499999999999"/>
    <n v="446.3"/>
  </r>
  <r>
    <x v="3"/>
    <x v="57"/>
    <x v="9"/>
    <m/>
    <n v="0.80957000000000001"/>
    <n v="0.85419999999999996"/>
    <n v="0.83188499999999999"/>
    <n v="446.3"/>
  </r>
  <r>
    <x v="3"/>
    <x v="57"/>
    <x v="9"/>
    <m/>
    <n v="0.80957000000000001"/>
    <n v="0.85419999999999996"/>
    <n v="0.83188499999999999"/>
    <n v="446.3"/>
  </r>
  <r>
    <x v="3"/>
    <x v="57"/>
    <x v="9"/>
    <m/>
    <n v="0.80957000000000001"/>
    <n v="0.85419999999999996"/>
    <n v="0.83188499999999999"/>
    <n v="446.3"/>
  </r>
  <r>
    <x v="3"/>
    <x v="57"/>
    <x v="9"/>
    <m/>
    <n v="0.80957000000000001"/>
    <n v="0.85419999999999996"/>
    <n v="0.83188499999999999"/>
    <n v="446.3"/>
  </r>
  <r>
    <x v="3"/>
    <x v="57"/>
    <x v="9"/>
    <m/>
    <n v="0.80957000000000001"/>
    <n v="0.85419999999999996"/>
    <n v="0.83188499999999999"/>
    <n v="446.3"/>
  </r>
  <r>
    <x v="3"/>
    <x v="57"/>
    <x v="9"/>
    <m/>
    <n v="0.80957000000000001"/>
    <n v="0.85419999999999996"/>
    <n v="0.83188499999999999"/>
    <n v="446.3"/>
  </r>
  <r>
    <x v="3"/>
    <x v="57"/>
    <x v="9"/>
    <m/>
    <n v="0.80957000000000001"/>
    <n v="0.85419999999999996"/>
    <n v="0.83188499999999999"/>
    <n v="446.3"/>
  </r>
  <r>
    <x v="3"/>
    <x v="57"/>
    <x v="9"/>
    <m/>
    <n v="0.80957000000000001"/>
    <n v="0.85419999999999996"/>
    <n v="0.83188499999999999"/>
    <n v="446.3"/>
  </r>
  <r>
    <x v="3"/>
    <x v="57"/>
    <x v="9"/>
    <m/>
    <n v="0.80957000000000001"/>
    <n v="0.85419999999999996"/>
    <n v="0.83188499999999999"/>
    <n v="446.3"/>
  </r>
  <r>
    <x v="3"/>
    <x v="57"/>
    <x v="9"/>
    <m/>
    <n v="0.80957000000000001"/>
    <n v="0.85419999999999996"/>
    <n v="0.83188499999999999"/>
    <n v="446.3"/>
  </r>
  <r>
    <x v="3"/>
    <x v="57"/>
    <x v="9"/>
    <m/>
    <n v="0.80957000000000001"/>
    <n v="0.85419999999999996"/>
    <n v="0.83188499999999999"/>
    <n v="446.3"/>
  </r>
  <r>
    <x v="3"/>
    <x v="57"/>
    <x v="9"/>
    <m/>
    <n v="0.80957000000000001"/>
    <n v="0.85419999999999996"/>
    <n v="0.83188499999999999"/>
    <n v="446.3"/>
  </r>
  <r>
    <x v="3"/>
    <x v="57"/>
    <x v="9"/>
    <m/>
    <n v="0.80957000000000001"/>
    <n v="0.85419999999999996"/>
    <n v="0.83188499999999999"/>
    <n v="446.3"/>
  </r>
  <r>
    <x v="3"/>
    <x v="57"/>
    <x v="9"/>
    <m/>
    <n v="0.80957000000000001"/>
    <n v="0.85419999999999996"/>
    <n v="0.83188499999999999"/>
    <n v="446.3"/>
  </r>
  <r>
    <x v="3"/>
    <x v="57"/>
    <x v="9"/>
    <m/>
    <n v="0.80957000000000001"/>
    <n v="0.85419999999999996"/>
    <n v="0.83188499999999999"/>
    <n v="446.3"/>
  </r>
  <r>
    <x v="3"/>
    <x v="57"/>
    <x v="9"/>
    <m/>
    <n v="0.80957000000000001"/>
    <n v="0.85419999999999996"/>
    <n v="0.83188499999999999"/>
    <n v="446.3"/>
  </r>
  <r>
    <x v="3"/>
    <x v="57"/>
    <x v="9"/>
    <m/>
    <n v="0.80957000000000001"/>
    <n v="0.85419999999999996"/>
    <n v="0.83188499999999999"/>
    <n v="446.3"/>
  </r>
  <r>
    <x v="3"/>
    <x v="57"/>
    <x v="9"/>
    <m/>
    <n v="0.80957000000000001"/>
    <n v="0.85419999999999996"/>
    <n v="0.83188499999999999"/>
    <n v="446.3"/>
  </r>
  <r>
    <x v="3"/>
    <x v="57"/>
    <x v="9"/>
    <m/>
    <n v="0.80957000000000001"/>
    <n v="0.85419999999999996"/>
    <n v="0.83188499999999999"/>
    <n v="446.3"/>
  </r>
  <r>
    <x v="3"/>
    <x v="57"/>
    <x v="9"/>
    <m/>
    <n v="0.80957000000000001"/>
    <n v="0.85419999999999996"/>
    <n v="0.83188499999999999"/>
    <n v="446.3"/>
  </r>
  <r>
    <x v="3"/>
    <x v="57"/>
    <x v="9"/>
    <m/>
    <n v="0.80957000000000001"/>
    <n v="0.85419999999999996"/>
    <n v="0.83188499999999999"/>
    <n v="446.3"/>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7"/>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9"/>
    <m/>
    <n v="0.80957000000000001"/>
    <n v="0.85419999999999996"/>
    <n v="0.83188499999999999"/>
    <n v="446.3"/>
  </r>
  <r>
    <x v="3"/>
    <x v="58"/>
    <x v="9"/>
    <m/>
    <n v="0.80957000000000001"/>
    <n v="0.85419999999999996"/>
    <n v="0.83188499999999999"/>
    <n v="446.3"/>
  </r>
  <r>
    <x v="3"/>
    <x v="58"/>
    <x v="9"/>
    <m/>
    <n v="0.80957000000000001"/>
    <n v="0.85419999999999996"/>
    <n v="0.83188499999999999"/>
    <n v="446.3"/>
  </r>
  <r>
    <x v="3"/>
    <x v="58"/>
    <x v="9"/>
    <m/>
    <n v="0.80957000000000001"/>
    <n v="0.85419999999999996"/>
    <n v="0.83188499999999999"/>
    <n v="446.3"/>
  </r>
  <r>
    <x v="3"/>
    <x v="58"/>
    <x v="9"/>
    <m/>
    <n v="0.80957000000000001"/>
    <n v="0.85419999999999996"/>
    <n v="0.83188499999999999"/>
    <n v="446.3"/>
  </r>
  <r>
    <x v="3"/>
    <x v="58"/>
    <x v="9"/>
    <m/>
    <n v="0.80957000000000001"/>
    <n v="0.85419999999999996"/>
    <n v="0.83188499999999999"/>
    <n v="446.3"/>
  </r>
  <r>
    <x v="3"/>
    <x v="58"/>
    <x v="9"/>
    <m/>
    <n v="0.80957000000000001"/>
    <n v="0.85419999999999996"/>
    <n v="0.83188499999999999"/>
    <n v="446.3"/>
  </r>
  <r>
    <x v="3"/>
    <x v="58"/>
    <x v="9"/>
    <m/>
    <n v="0.80957000000000001"/>
    <n v="0.85419999999999996"/>
    <n v="0.83188499999999999"/>
    <n v="446.3"/>
  </r>
  <r>
    <x v="3"/>
    <x v="58"/>
    <x v="9"/>
    <m/>
    <n v="0.80957000000000001"/>
    <n v="0.85419999999999996"/>
    <n v="0.83188499999999999"/>
    <n v="446.3"/>
  </r>
  <r>
    <x v="3"/>
    <x v="58"/>
    <x v="9"/>
    <m/>
    <n v="0.80957000000000001"/>
    <n v="0.85419999999999996"/>
    <n v="0.83188499999999999"/>
    <n v="446.3"/>
  </r>
  <r>
    <x v="3"/>
    <x v="58"/>
    <x v="9"/>
    <m/>
    <n v="0.80957000000000001"/>
    <n v="0.85419999999999996"/>
    <n v="0.83188499999999999"/>
    <n v="446.3"/>
  </r>
  <r>
    <x v="3"/>
    <x v="58"/>
    <x v="9"/>
    <m/>
    <n v="0.80957000000000001"/>
    <n v="0.85419999999999996"/>
    <n v="0.83188499999999999"/>
    <n v="446.3"/>
  </r>
  <r>
    <x v="3"/>
    <x v="58"/>
    <x v="9"/>
    <m/>
    <n v="0.80957000000000001"/>
    <n v="0.85419999999999996"/>
    <n v="0.83188499999999999"/>
    <n v="446.3"/>
  </r>
  <r>
    <x v="3"/>
    <x v="58"/>
    <x v="9"/>
    <m/>
    <n v="0.80957000000000001"/>
    <n v="0.85419999999999996"/>
    <n v="0.83188499999999999"/>
    <n v="446.3"/>
  </r>
  <r>
    <x v="3"/>
    <x v="58"/>
    <x v="9"/>
    <m/>
    <n v="0.80957000000000001"/>
    <n v="0.85419999999999996"/>
    <n v="0.83188499999999999"/>
    <n v="446.3"/>
  </r>
  <r>
    <x v="3"/>
    <x v="58"/>
    <x v="9"/>
    <m/>
    <n v="0.80957000000000001"/>
    <n v="0.85419999999999996"/>
    <n v="0.83188499999999999"/>
    <n v="446.3"/>
  </r>
  <r>
    <x v="3"/>
    <x v="58"/>
    <x v="9"/>
    <m/>
    <n v="0.80957000000000001"/>
    <n v="0.85419999999999996"/>
    <n v="0.83188499999999999"/>
    <n v="446.3"/>
  </r>
  <r>
    <x v="3"/>
    <x v="58"/>
    <x v="9"/>
    <m/>
    <n v="0.80957000000000001"/>
    <n v="0.85419999999999996"/>
    <n v="0.83188499999999999"/>
    <n v="446.3"/>
  </r>
  <r>
    <x v="3"/>
    <x v="58"/>
    <x v="9"/>
    <m/>
    <n v="0.80957000000000001"/>
    <n v="0.85419999999999996"/>
    <n v="0.83188499999999999"/>
    <n v="446.3"/>
  </r>
  <r>
    <x v="3"/>
    <x v="58"/>
    <x v="9"/>
    <m/>
    <n v="0.80957000000000001"/>
    <n v="0.85419999999999996"/>
    <n v="0.83188499999999999"/>
    <n v="446.3"/>
  </r>
  <r>
    <x v="3"/>
    <x v="58"/>
    <x v="9"/>
    <m/>
    <n v="0.80957000000000001"/>
    <n v="0.85419999999999996"/>
    <n v="0.83188499999999999"/>
    <n v="446.3"/>
  </r>
  <r>
    <x v="3"/>
    <x v="58"/>
    <x v="9"/>
    <m/>
    <n v="0.80957000000000001"/>
    <n v="0.85419999999999996"/>
    <n v="0.83188499999999999"/>
    <n v="446.3"/>
  </r>
  <r>
    <x v="3"/>
    <x v="58"/>
    <x v="9"/>
    <m/>
    <n v="0.80957000000000001"/>
    <n v="0.85419999999999996"/>
    <n v="0.83188499999999999"/>
    <n v="446.3"/>
  </r>
  <r>
    <x v="3"/>
    <x v="58"/>
    <x v="9"/>
    <m/>
    <n v="0.80957000000000001"/>
    <n v="0.85419999999999996"/>
    <n v="0.83188499999999999"/>
    <n v="446.3"/>
  </r>
  <r>
    <x v="3"/>
    <x v="58"/>
    <x v="9"/>
    <m/>
    <n v="0.80957000000000001"/>
    <n v="0.85419999999999996"/>
    <n v="0.83188499999999999"/>
    <n v="446.3"/>
  </r>
  <r>
    <x v="3"/>
    <x v="58"/>
    <x v="9"/>
    <m/>
    <n v="0.80957000000000001"/>
    <n v="0.85419999999999996"/>
    <n v="0.83188499999999999"/>
    <n v="446.3"/>
  </r>
  <r>
    <x v="3"/>
    <x v="58"/>
    <x v="9"/>
    <m/>
    <n v="0.80957000000000001"/>
    <n v="0.85419999999999996"/>
    <n v="0.83188499999999999"/>
    <n v="446.3"/>
  </r>
  <r>
    <x v="3"/>
    <x v="58"/>
    <x v="9"/>
    <m/>
    <n v="0.80957000000000001"/>
    <n v="0.85419999999999996"/>
    <n v="0.83188499999999999"/>
    <n v="446.3"/>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8"/>
    <x v="2"/>
    <m/>
    <n v="97.394000000000005"/>
    <n v="104.864"/>
    <n v="101.129"/>
    <n v="747"/>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9"/>
    <m/>
    <n v="0.80798999999999999"/>
    <n v="0.85799999999999998"/>
    <n v="0.83299500000000004"/>
    <n v="500.1"/>
  </r>
  <r>
    <x v="3"/>
    <x v="59"/>
    <x v="9"/>
    <m/>
    <n v="0.80798999999999999"/>
    <n v="0.85799999999999998"/>
    <n v="0.83299500000000004"/>
    <n v="500.1"/>
  </r>
  <r>
    <x v="3"/>
    <x v="59"/>
    <x v="9"/>
    <m/>
    <n v="0.80798999999999999"/>
    <n v="0.85799999999999998"/>
    <n v="0.83299500000000004"/>
    <n v="500.1"/>
  </r>
  <r>
    <x v="3"/>
    <x v="59"/>
    <x v="9"/>
    <m/>
    <n v="0.80798999999999999"/>
    <n v="0.85799999999999998"/>
    <n v="0.83299500000000004"/>
    <n v="500.1"/>
  </r>
  <r>
    <x v="3"/>
    <x v="59"/>
    <x v="9"/>
    <m/>
    <n v="0.80798999999999999"/>
    <n v="0.85799999999999998"/>
    <n v="0.83299500000000004"/>
    <n v="500.1"/>
  </r>
  <r>
    <x v="3"/>
    <x v="59"/>
    <x v="9"/>
    <m/>
    <n v="0.80798999999999999"/>
    <n v="0.85799999999999998"/>
    <n v="0.83299500000000004"/>
    <n v="500.1"/>
  </r>
  <r>
    <x v="3"/>
    <x v="59"/>
    <x v="9"/>
    <m/>
    <n v="0.80798999999999999"/>
    <n v="0.85799999999999998"/>
    <n v="0.83299500000000004"/>
    <n v="500.1"/>
  </r>
  <r>
    <x v="3"/>
    <x v="59"/>
    <x v="9"/>
    <m/>
    <n v="0.80798999999999999"/>
    <n v="0.85799999999999998"/>
    <n v="0.83299500000000004"/>
    <n v="500.1"/>
  </r>
  <r>
    <x v="3"/>
    <x v="59"/>
    <x v="9"/>
    <m/>
    <n v="0.80798999999999999"/>
    <n v="0.85799999999999998"/>
    <n v="0.83299500000000004"/>
    <n v="500.1"/>
  </r>
  <r>
    <x v="3"/>
    <x v="59"/>
    <x v="9"/>
    <m/>
    <n v="0.80798999999999999"/>
    <n v="0.85799999999999998"/>
    <n v="0.83299500000000004"/>
    <n v="500.1"/>
  </r>
  <r>
    <x v="3"/>
    <x v="59"/>
    <x v="9"/>
    <m/>
    <n v="0.80798999999999999"/>
    <n v="0.85799999999999998"/>
    <n v="0.83299500000000004"/>
    <n v="500.1"/>
  </r>
  <r>
    <x v="3"/>
    <x v="59"/>
    <x v="9"/>
    <m/>
    <n v="0.80798999999999999"/>
    <n v="0.85799999999999998"/>
    <n v="0.83299500000000004"/>
    <n v="500.1"/>
  </r>
  <r>
    <x v="3"/>
    <x v="59"/>
    <x v="9"/>
    <m/>
    <n v="0.80798999999999999"/>
    <n v="0.85799999999999998"/>
    <n v="0.83299500000000004"/>
    <n v="500.1"/>
  </r>
  <r>
    <x v="3"/>
    <x v="59"/>
    <x v="9"/>
    <m/>
    <n v="0.80798999999999999"/>
    <n v="0.85799999999999998"/>
    <n v="0.83299500000000004"/>
    <n v="500.1"/>
  </r>
  <r>
    <x v="3"/>
    <x v="59"/>
    <x v="9"/>
    <m/>
    <n v="0.80798999999999999"/>
    <n v="0.85799999999999998"/>
    <n v="0.83299500000000004"/>
    <n v="500.1"/>
  </r>
  <r>
    <x v="3"/>
    <x v="59"/>
    <x v="9"/>
    <m/>
    <n v="0.80798999999999999"/>
    <n v="0.85799999999999998"/>
    <n v="0.83299500000000004"/>
    <n v="500.1"/>
  </r>
  <r>
    <x v="3"/>
    <x v="59"/>
    <x v="9"/>
    <m/>
    <n v="0.80798999999999999"/>
    <n v="0.85799999999999998"/>
    <n v="0.83299500000000004"/>
    <n v="500.1"/>
  </r>
  <r>
    <x v="3"/>
    <x v="59"/>
    <x v="9"/>
    <m/>
    <n v="0.80798999999999999"/>
    <n v="0.85799999999999998"/>
    <n v="0.83299500000000004"/>
    <n v="500.1"/>
  </r>
  <r>
    <x v="3"/>
    <x v="59"/>
    <x v="9"/>
    <m/>
    <n v="0.80798999999999999"/>
    <n v="0.85799999999999998"/>
    <n v="0.83299500000000004"/>
    <n v="500.1"/>
  </r>
  <r>
    <x v="3"/>
    <x v="59"/>
    <x v="9"/>
    <m/>
    <n v="0.80798999999999999"/>
    <n v="0.85799999999999998"/>
    <n v="0.83299500000000004"/>
    <n v="500.1"/>
  </r>
  <r>
    <x v="3"/>
    <x v="59"/>
    <x v="9"/>
    <m/>
    <n v="0.80798999999999999"/>
    <n v="0.85799999999999998"/>
    <n v="0.83299500000000004"/>
    <n v="500.1"/>
  </r>
  <r>
    <x v="3"/>
    <x v="59"/>
    <x v="9"/>
    <m/>
    <n v="0.80798999999999999"/>
    <n v="0.85799999999999998"/>
    <n v="0.83299500000000004"/>
    <n v="500.1"/>
  </r>
  <r>
    <x v="3"/>
    <x v="59"/>
    <x v="9"/>
    <m/>
    <n v="0.80798999999999999"/>
    <n v="0.85799999999999998"/>
    <n v="0.83299500000000004"/>
    <n v="500.1"/>
  </r>
  <r>
    <x v="3"/>
    <x v="59"/>
    <x v="9"/>
    <m/>
    <n v="0.80798999999999999"/>
    <n v="0.85799999999999998"/>
    <n v="0.83299500000000004"/>
    <n v="500.1"/>
  </r>
  <r>
    <x v="3"/>
    <x v="59"/>
    <x v="9"/>
    <m/>
    <n v="0.80798999999999999"/>
    <n v="0.85799999999999998"/>
    <n v="0.83299500000000004"/>
    <n v="500.1"/>
  </r>
  <r>
    <x v="3"/>
    <x v="59"/>
    <x v="9"/>
    <m/>
    <n v="0.80798999999999999"/>
    <n v="0.85799999999999998"/>
    <n v="0.83299500000000004"/>
    <n v="500.1"/>
  </r>
  <r>
    <x v="3"/>
    <x v="59"/>
    <x v="9"/>
    <m/>
    <n v="0.80798999999999999"/>
    <n v="0.85799999999999998"/>
    <n v="0.83299500000000004"/>
    <n v="500.1"/>
  </r>
  <r>
    <x v="3"/>
    <x v="59"/>
    <x v="9"/>
    <m/>
    <n v="0.80798999999999999"/>
    <n v="0.85799999999999998"/>
    <n v="0.83299500000000004"/>
    <n v="500.1"/>
  </r>
  <r>
    <x v="3"/>
    <x v="59"/>
    <x v="9"/>
    <m/>
    <n v="0.80798999999999999"/>
    <n v="0.85799999999999998"/>
    <n v="0.83299500000000004"/>
    <n v="500.1"/>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59"/>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9"/>
    <m/>
    <n v="0.79800000000000004"/>
    <n v="0.85799999999999998"/>
    <n v="0.82799999999999996"/>
    <n v="600"/>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25"/>
    <x v="2"/>
    <m/>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9"/>
    <n v="0.79906999999999995"/>
    <n v="0.79600000000000004"/>
    <n v="0.85799999999999998"/>
    <n v="0.82699999999999996"/>
    <n v="620"/>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60"/>
    <x v="2"/>
    <n v="102.05"/>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9"/>
    <n v="0.80067999999999995"/>
    <n v="0.79600000000000004"/>
    <n v="0.85799999999999998"/>
    <n v="0.82699999999999996"/>
    <n v="620"/>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26"/>
    <x v="2"/>
    <n v="101.366"/>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9"/>
    <n v="0.79162999999999994"/>
    <n v="0.79200000000000004"/>
    <n v="0.85799999999999998"/>
    <n v="0.82499999999999996"/>
    <n v="660"/>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0"/>
    <x v="2"/>
    <n v="102.02200000000001"/>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9"/>
    <n v="0.79479999999999995"/>
    <n v="0.79200000000000004"/>
    <n v="0.85799999999999998"/>
    <n v="0.82499999999999996"/>
    <n v="660"/>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1"/>
    <x v="2"/>
    <n v="101.282"/>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9"/>
    <n v="0.79132999999999998"/>
    <n v="0.79"/>
    <n v="0.85799999999999998"/>
    <n v="0.82399999999999995"/>
    <n v="680"/>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2"/>
    <x v="2"/>
    <n v="101.331"/>
    <n v="96.997"/>
    <n v="105.40600000000001"/>
    <n v="101.2015"/>
    <n v="840.9"/>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3"/>
    <x v="9"/>
    <n v="0.79042000000000001"/>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4"/>
    <x v="9"/>
    <n v="0.79749999999999999"/>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5"/>
    <x v="9"/>
    <n v="0.79928999999999994"/>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6"/>
    <x v="9"/>
    <n v="0.80313000000000001"/>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7"/>
    <x v="9"/>
    <n v="0.79866999999999999"/>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8"/>
    <x v="9"/>
    <n v="0.79093999999999998"/>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9"/>
    <x v="9"/>
    <n v="0.79305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0"/>
    <x v="9"/>
    <n v="0.79666999999999999"/>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1"/>
    <x v="9"/>
    <n v="0.79637999999999998"/>
    <n v="0.78798999999999997"/>
    <n v="0.85799999999999998"/>
    <n v="0.82299500000000003"/>
    <n v="70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2"/>
    <x v="9"/>
    <n v="0.78058000000000005"/>
    <n v="0.77998999999999996"/>
    <n v="0.85799999999999998"/>
    <n v="0.81899500000000003"/>
    <n v="780.1"/>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3"/>
    <x v="9"/>
    <n v="0.78361999999999998"/>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4"/>
    <x v="9"/>
    <n v="0.78510999999999997"/>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5"/>
    <x v="9"/>
    <n v="0.79269999999999996"/>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6"/>
    <x v="9"/>
    <n v="0.78735999999999995"/>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7"/>
    <x v="9"/>
    <n v="0.78549000000000002"/>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8"/>
    <x v="9"/>
    <n v="0.78461000000000003"/>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19"/>
    <x v="9"/>
    <n v="0.79910999999999999"/>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0"/>
    <x v="9"/>
    <n v="0.79135"/>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1"/>
    <x v="9"/>
    <n v="0.79530999999999996"/>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2"/>
    <x v="9"/>
    <n v="0.78810000000000002"/>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3"/>
    <x v="9"/>
    <n v="0.79227000000000003"/>
    <n v="0.77800000000000002"/>
    <n v="0.85799999999999998"/>
    <n v="0.81799999999999995"/>
    <n v="800"/>
  </r>
  <r>
    <x v="3"/>
    <x v="24"/>
    <x v="9"/>
    <n v="0.79434000000000005"/>
    <n v="0.77800000000000002"/>
    <n v="0.85799999999999998"/>
    <n v="0.81799999999999995"/>
    <n v="800"/>
  </r>
  <r>
    <x v="3"/>
    <x v="24"/>
    <x v="9"/>
    <n v="0.79434000000000005"/>
    <n v="0.77800000000000002"/>
    <n v="0.85799999999999998"/>
    <n v="0.81799999999999995"/>
    <n v="800"/>
  </r>
  <r>
    <x v="3"/>
    <x v="24"/>
    <x v="9"/>
    <n v="0.79434000000000005"/>
    <n v="0.77800000000000002"/>
    <n v="0.85799999999999998"/>
    <n v="0.81799999999999995"/>
    <n v="800"/>
  </r>
  <r>
    <x v="3"/>
    <x v="24"/>
    <x v="9"/>
    <n v="0.79434000000000005"/>
    <n v="0.77800000000000002"/>
    <n v="0.85799999999999998"/>
    <n v="0.81799999999999995"/>
    <n v="800"/>
  </r>
  <r>
    <x v="3"/>
    <x v="24"/>
    <x v="9"/>
    <n v="0.79434000000000005"/>
    <n v="0.77800000000000002"/>
    <n v="0.85799999999999998"/>
    <n v="0.81799999999999995"/>
    <n v="800"/>
  </r>
  <r>
    <x v="3"/>
    <x v="24"/>
    <x v="9"/>
    <n v="0.79434000000000005"/>
    <n v="0.77800000000000002"/>
    <n v="0.85799999999999998"/>
    <n v="0.81799999999999995"/>
    <n v="800"/>
  </r>
  <r>
    <x v="3"/>
    <x v="24"/>
    <x v="9"/>
    <n v="0.79434000000000005"/>
    <n v="0.77800000000000002"/>
    <n v="0.85799999999999998"/>
    <n v="0.81799999999999995"/>
    <n v="800"/>
  </r>
  <r>
    <x v="3"/>
    <x v="24"/>
    <x v="9"/>
    <n v="0.79434000000000005"/>
    <n v="0.77800000000000002"/>
    <n v="0.85799999999999998"/>
    <n v="0.81799999999999995"/>
    <n v="800"/>
  </r>
  <r>
    <x v="3"/>
    <x v="24"/>
    <x v="9"/>
    <n v="0.79434000000000005"/>
    <n v="0.77800000000000002"/>
    <n v="0.85799999999999998"/>
    <n v="0.81799999999999995"/>
    <n v="800"/>
  </r>
  <r>
    <x v="3"/>
    <x v="24"/>
    <x v="9"/>
    <n v="0.79434000000000005"/>
    <n v="0.77800000000000002"/>
    <n v="0.85799999999999998"/>
    <n v="0.81799999999999995"/>
    <n v="800"/>
  </r>
  <r>
    <x v="3"/>
    <x v="24"/>
    <x v="9"/>
    <n v="0.79434000000000005"/>
    <n v="0.77800000000000002"/>
    <n v="0.85799999999999998"/>
    <n v="0.81799999999999995"/>
    <n v="800"/>
  </r>
  <r>
    <x v="3"/>
    <x v="24"/>
    <x v="9"/>
    <n v="0.79434000000000005"/>
    <n v="0.77800000000000002"/>
    <n v="0.85799999999999998"/>
    <n v="0.81799999999999995"/>
    <n v="800"/>
  </r>
  <r>
    <x v="3"/>
    <x v="24"/>
    <x v="9"/>
    <n v="0.79434000000000005"/>
    <n v="0.77800000000000002"/>
    <n v="0.85799999999999998"/>
    <n v="0.81799999999999995"/>
    <n v="800"/>
  </r>
  <r>
    <x v="3"/>
    <x v="24"/>
    <x v="9"/>
    <n v="0.79434000000000005"/>
    <n v="0.77800000000000002"/>
    <n v="0.85799999999999998"/>
    <n v="0.81799999999999995"/>
    <n v="800"/>
  </r>
  <r>
    <x v="3"/>
    <x v="24"/>
    <x v="9"/>
    <n v="0.79434000000000005"/>
    <n v="0.77800000000000002"/>
    <n v="0.85799999999999998"/>
    <n v="0.81799999999999995"/>
    <n v="800"/>
  </r>
  <r>
    <x v="3"/>
    <x v="24"/>
    <x v="9"/>
    <n v="0.79434000000000005"/>
    <n v="0.77800000000000002"/>
    <n v="0.85799999999999998"/>
    <n v="0.81799999999999995"/>
    <n v="800"/>
  </r>
  <r>
    <x v="3"/>
    <x v="24"/>
    <x v="9"/>
    <n v="0.79434000000000005"/>
    <n v="0.77800000000000002"/>
    <n v="0.85799999999999998"/>
    <n v="0.81799999999999995"/>
    <n v="800"/>
  </r>
  <r>
    <x v="3"/>
    <x v="24"/>
    <x v="9"/>
    <n v="0.79434000000000005"/>
    <n v="0.77800000000000002"/>
    <n v="0.85799999999999998"/>
    <n v="0.81799999999999995"/>
    <n v="800"/>
  </r>
  <r>
    <x v="3"/>
    <x v="24"/>
    <x v="9"/>
    <n v="0.79434000000000005"/>
    <n v="0.77800000000000002"/>
    <n v="0.85799999999999998"/>
    <n v="0.81799999999999995"/>
    <n v="800"/>
  </r>
  <r>
    <x v="3"/>
    <x v="24"/>
    <x v="9"/>
    <n v="0.79434000000000005"/>
    <n v="0.77800000000000002"/>
    <n v="0.85799999999999998"/>
    <n v="0.81799999999999995"/>
    <n v="800"/>
  </r>
  <r>
    <x v="3"/>
    <x v="24"/>
    <x v="9"/>
    <n v="0.79434000000000005"/>
    <n v="0.77800000000000002"/>
    <n v="0.85799999999999998"/>
    <n v="0.81799999999999995"/>
    <n v="800"/>
  </r>
  <r>
    <x v="3"/>
    <x v="24"/>
    <x v="9"/>
    <n v="0.79434000000000005"/>
    <n v="0.77800000000000002"/>
    <n v="0.85799999999999998"/>
    <n v="0.81799999999999995"/>
    <n v="800"/>
  </r>
  <r>
    <x v="3"/>
    <x v="24"/>
    <x v="9"/>
    <n v="0.79434000000000005"/>
    <n v="0.77800000000000002"/>
    <n v="0.85799999999999998"/>
    <n v="0.81799999999999995"/>
    <n v="800"/>
  </r>
  <r>
    <x v="3"/>
    <x v="24"/>
    <x v="9"/>
    <n v="0.79434000000000005"/>
    <n v="0.77800000000000002"/>
    <n v="0.85799999999999998"/>
    <n v="0.81799999999999995"/>
    <n v="800"/>
  </r>
  <r>
    <x v="3"/>
    <x v="24"/>
    <x v="9"/>
    <n v="0.79434000000000005"/>
    <n v="0.77800000000000002"/>
    <n v="0.85799999999999998"/>
    <n v="0.81799999999999995"/>
    <n v="800"/>
  </r>
  <r>
    <x v="3"/>
    <x v="24"/>
    <x v="9"/>
    <n v="0.79434000000000005"/>
    <n v="0.77800000000000002"/>
    <n v="0.85799999999999998"/>
    <n v="0.81799999999999995"/>
    <n v="800"/>
  </r>
  <r>
    <x v="3"/>
    <x v="24"/>
    <x v="9"/>
    <n v="0.79434000000000005"/>
    <n v="0.77800000000000002"/>
    <n v="0.85799999999999998"/>
    <n v="0.81799999999999995"/>
    <n v="800"/>
  </r>
  <r>
    <x v="4"/>
    <x v="47"/>
    <x v="7"/>
    <m/>
    <n v="1.5405800000000001"/>
    <n v="1.5420799999999999"/>
    <n v="1.5413300000000001"/>
    <n v="15"/>
  </r>
  <r>
    <x v="4"/>
    <x v="47"/>
    <x v="7"/>
    <m/>
    <n v="1.5405800000000001"/>
    <n v="1.5420799999999999"/>
    <n v="1.5413300000000001"/>
    <n v="15"/>
  </r>
  <r>
    <x v="4"/>
    <x v="47"/>
    <x v="7"/>
    <m/>
    <n v="1.5405800000000001"/>
    <n v="1.5420799999999999"/>
    <n v="1.5413300000000001"/>
    <n v="15"/>
  </r>
  <r>
    <x v="4"/>
    <x v="47"/>
    <x v="7"/>
    <m/>
    <n v="1.5405800000000001"/>
    <n v="1.5420799999999999"/>
    <n v="1.5413300000000001"/>
    <n v="15"/>
  </r>
  <r>
    <x v="4"/>
    <x v="47"/>
    <x v="7"/>
    <m/>
    <n v="1.5405800000000001"/>
    <n v="1.5420799999999999"/>
    <n v="1.5413300000000001"/>
    <n v="15"/>
  </r>
  <r>
    <x v="4"/>
    <x v="47"/>
    <x v="7"/>
    <m/>
    <n v="1.5405800000000001"/>
    <n v="1.5420799999999999"/>
    <n v="1.5413300000000001"/>
    <n v="15"/>
  </r>
  <r>
    <x v="4"/>
    <x v="47"/>
    <x v="7"/>
    <m/>
    <n v="1.5405800000000001"/>
    <n v="1.5420799999999999"/>
    <n v="1.5413300000000001"/>
    <n v="15"/>
  </r>
  <r>
    <x v="4"/>
    <x v="47"/>
    <x v="7"/>
    <m/>
    <n v="1.5405800000000001"/>
    <n v="1.5420799999999999"/>
    <n v="1.5413300000000001"/>
    <n v="15"/>
  </r>
  <r>
    <x v="4"/>
    <x v="47"/>
    <x v="7"/>
    <m/>
    <n v="1.5405800000000001"/>
    <n v="1.5420799999999999"/>
    <n v="1.5413300000000001"/>
    <n v="15"/>
  </r>
  <r>
    <x v="4"/>
    <x v="47"/>
    <x v="7"/>
    <m/>
    <n v="1.5405800000000001"/>
    <n v="1.5420799999999999"/>
    <n v="1.5413300000000001"/>
    <n v="15"/>
  </r>
  <r>
    <x v="4"/>
    <x v="47"/>
    <x v="7"/>
    <m/>
    <n v="1.5405800000000001"/>
    <n v="1.5420799999999999"/>
    <n v="1.5413300000000001"/>
    <n v="15"/>
  </r>
  <r>
    <x v="4"/>
    <x v="47"/>
    <x v="7"/>
    <m/>
    <n v="1.5405800000000001"/>
    <n v="1.5420799999999999"/>
    <n v="1.5413300000000001"/>
    <n v="15"/>
  </r>
  <r>
    <x v="4"/>
    <x v="47"/>
    <x v="7"/>
    <m/>
    <n v="1.5405800000000001"/>
    <n v="1.5420799999999999"/>
    <n v="1.5413300000000001"/>
    <n v="15"/>
  </r>
  <r>
    <x v="4"/>
    <x v="47"/>
    <x v="0"/>
    <m/>
    <n v="1.9489000000000001"/>
    <n v="1.9516"/>
    <n v="1.95025"/>
    <n v="27"/>
  </r>
  <r>
    <x v="4"/>
    <x v="47"/>
    <x v="0"/>
    <m/>
    <n v="1.9489000000000001"/>
    <n v="1.9516"/>
    <n v="1.95025"/>
    <n v="27"/>
  </r>
  <r>
    <x v="4"/>
    <x v="47"/>
    <x v="0"/>
    <m/>
    <n v="1.9489000000000001"/>
    <n v="1.9516"/>
    <n v="1.95025"/>
    <n v="27"/>
  </r>
  <r>
    <x v="4"/>
    <x v="47"/>
    <x v="0"/>
    <m/>
    <n v="1.9489000000000001"/>
    <n v="1.9516"/>
    <n v="1.95025"/>
    <n v="27"/>
  </r>
  <r>
    <x v="4"/>
    <x v="47"/>
    <x v="0"/>
    <m/>
    <n v="1.9489000000000001"/>
    <n v="1.9516"/>
    <n v="1.95025"/>
    <n v="27"/>
  </r>
  <r>
    <x v="4"/>
    <x v="47"/>
    <x v="0"/>
    <m/>
    <n v="1.9489000000000001"/>
    <n v="1.9516"/>
    <n v="1.95025"/>
    <n v="27"/>
  </r>
  <r>
    <x v="4"/>
    <x v="47"/>
    <x v="0"/>
    <m/>
    <n v="1.9489000000000001"/>
    <n v="1.9516"/>
    <n v="1.95025"/>
    <n v="27"/>
  </r>
  <r>
    <x v="4"/>
    <x v="47"/>
    <x v="0"/>
    <m/>
    <n v="1.9489000000000001"/>
    <n v="1.9516"/>
    <n v="1.95025"/>
    <n v="27"/>
  </r>
  <r>
    <x v="4"/>
    <x v="47"/>
    <x v="0"/>
    <m/>
    <n v="1.9489000000000001"/>
    <n v="1.9516"/>
    <n v="1.95025"/>
    <n v="27"/>
  </r>
  <r>
    <x v="4"/>
    <x v="47"/>
    <x v="0"/>
    <m/>
    <n v="1.9489000000000001"/>
    <n v="1.9516"/>
    <n v="1.95025"/>
    <n v="27"/>
  </r>
  <r>
    <x v="4"/>
    <x v="47"/>
    <x v="0"/>
    <m/>
    <n v="1.9489000000000001"/>
    <n v="1.9516"/>
    <n v="1.95025"/>
    <n v="27"/>
  </r>
  <r>
    <x v="4"/>
    <x v="47"/>
    <x v="0"/>
    <m/>
    <n v="1.9489000000000001"/>
    <n v="1.9516"/>
    <n v="1.95025"/>
    <n v="27"/>
  </r>
  <r>
    <x v="4"/>
    <x v="47"/>
    <x v="2"/>
    <m/>
    <n v="101.333"/>
    <n v="101.383"/>
    <n v="101.358"/>
    <n v="5"/>
  </r>
  <r>
    <x v="4"/>
    <x v="47"/>
    <x v="2"/>
    <m/>
    <n v="101.333"/>
    <n v="101.383"/>
    <n v="101.358"/>
    <n v="5"/>
  </r>
  <r>
    <x v="4"/>
    <x v="47"/>
    <x v="2"/>
    <m/>
    <n v="101.333"/>
    <n v="101.383"/>
    <n v="101.358"/>
    <n v="5"/>
  </r>
  <r>
    <x v="4"/>
    <x v="47"/>
    <x v="2"/>
    <m/>
    <n v="101.333"/>
    <n v="101.383"/>
    <n v="101.358"/>
    <n v="5"/>
  </r>
  <r>
    <x v="4"/>
    <x v="47"/>
    <x v="2"/>
    <m/>
    <n v="101.333"/>
    <n v="101.383"/>
    <n v="101.358"/>
    <n v="5"/>
  </r>
  <r>
    <x v="4"/>
    <x v="47"/>
    <x v="2"/>
    <m/>
    <n v="101.333"/>
    <n v="101.383"/>
    <n v="101.358"/>
    <n v="5"/>
  </r>
  <r>
    <x v="4"/>
    <x v="47"/>
    <x v="2"/>
    <m/>
    <n v="101.333"/>
    <n v="101.383"/>
    <n v="101.358"/>
    <n v="5"/>
  </r>
  <r>
    <x v="4"/>
    <x v="47"/>
    <x v="2"/>
    <m/>
    <n v="101.333"/>
    <n v="101.383"/>
    <n v="101.358"/>
    <n v="5"/>
  </r>
  <r>
    <x v="4"/>
    <x v="47"/>
    <x v="2"/>
    <m/>
    <n v="101.333"/>
    <n v="101.383"/>
    <n v="101.358"/>
    <n v="5"/>
  </r>
  <r>
    <x v="4"/>
    <x v="47"/>
    <x v="2"/>
    <m/>
    <n v="101.333"/>
    <n v="101.383"/>
    <n v="101.358"/>
    <n v="5"/>
  </r>
  <r>
    <x v="4"/>
    <x v="47"/>
    <x v="2"/>
    <m/>
    <n v="101.333"/>
    <n v="101.383"/>
    <n v="101.358"/>
    <n v="5"/>
  </r>
  <r>
    <x v="4"/>
    <x v="47"/>
    <x v="2"/>
    <m/>
    <n v="101.333"/>
    <n v="101.383"/>
    <n v="101.358"/>
    <n v="5"/>
  </r>
  <r>
    <x v="4"/>
    <x v="47"/>
    <x v="2"/>
    <m/>
    <n v="101.333"/>
    <n v="101.383"/>
    <n v="101.358"/>
    <n v="5"/>
  </r>
  <r>
    <x v="4"/>
    <x v="48"/>
    <x v="7"/>
    <m/>
    <n v="1.5180199999999999"/>
    <n v="1.5420799999999999"/>
    <n v="1.5300499999999999"/>
    <n v="240.6"/>
  </r>
  <r>
    <x v="4"/>
    <x v="48"/>
    <x v="7"/>
    <m/>
    <n v="1.5180199999999999"/>
    <n v="1.5420799999999999"/>
    <n v="1.5300499999999999"/>
    <n v="240.6"/>
  </r>
  <r>
    <x v="4"/>
    <x v="48"/>
    <x v="7"/>
    <m/>
    <n v="1.5180199999999999"/>
    <n v="1.5420799999999999"/>
    <n v="1.5300499999999999"/>
    <n v="240.6"/>
  </r>
  <r>
    <x v="4"/>
    <x v="48"/>
    <x v="7"/>
    <m/>
    <n v="1.5180199999999999"/>
    <n v="1.5420799999999999"/>
    <n v="1.5300499999999999"/>
    <n v="240.6"/>
  </r>
  <r>
    <x v="4"/>
    <x v="48"/>
    <x v="7"/>
    <m/>
    <n v="1.5180199999999999"/>
    <n v="1.5420799999999999"/>
    <n v="1.5300499999999999"/>
    <n v="240.6"/>
  </r>
  <r>
    <x v="4"/>
    <x v="48"/>
    <x v="7"/>
    <m/>
    <n v="1.5180199999999999"/>
    <n v="1.5420799999999999"/>
    <n v="1.5300499999999999"/>
    <n v="240.6"/>
  </r>
  <r>
    <x v="4"/>
    <x v="48"/>
    <x v="7"/>
    <m/>
    <n v="1.5180199999999999"/>
    <n v="1.5420799999999999"/>
    <n v="1.5300499999999999"/>
    <n v="240.6"/>
  </r>
  <r>
    <x v="4"/>
    <x v="48"/>
    <x v="7"/>
    <m/>
    <n v="1.5180199999999999"/>
    <n v="1.5420799999999999"/>
    <n v="1.5300499999999999"/>
    <n v="240.6"/>
  </r>
  <r>
    <x v="4"/>
    <x v="48"/>
    <x v="7"/>
    <m/>
    <n v="1.5180199999999999"/>
    <n v="1.5420799999999999"/>
    <n v="1.5300499999999999"/>
    <n v="240.6"/>
  </r>
  <r>
    <x v="4"/>
    <x v="48"/>
    <x v="7"/>
    <m/>
    <n v="1.5180199999999999"/>
    <n v="1.5420799999999999"/>
    <n v="1.5300499999999999"/>
    <n v="240.6"/>
  </r>
  <r>
    <x v="4"/>
    <x v="48"/>
    <x v="7"/>
    <m/>
    <n v="1.5180199999999999"/>
    <n v="1.5420799999999999"/>
    <n v="1.5300499999999999"/>
    <n v="240.6"/>
  </r>
  <r>
    <x v="4"/>
    <x v="48"/>
    <x v="7"/>
    <m/>
    <n v="1.5180199999999999"/>
    <n v="1.5420799999999999"/>
    <n v="1.5300499999999999"/>
    <n v="240.6"/>
  </r>
  <r>
    <x v="4"/>
    <x v="48"/>
    <x v="7"/>
    <m/>
    <n v="1.5180199999999999"/>
    <n v="1.5420799999999999"/>
    <n v="1.5300499999999999"/>
    <n v="240.6"/>
  </r>
  <r>
    <x v="4"/>
    <x v="48"/>
    <x v="7"/>
    <m/>
    <n v="1.5180199999999999"/>
    <n v="1.5420799999999999"/>
    <n v="1.5300499999999999"/>
    <n v="240.6"/>
  </r>
  <r>
    <x v="4"/>
    <x v="48"/>
    <x v="7"/>
    <m/>
    <n v="1.5180199999999999"/>
    <n v="1.5420799999999999"/>
    <n v="1.5300499999999999"/>
    <n v="240.6"/>
  </r>
  <r>
    <x v="4"/>
    <x v="48"/>
    <x v="7"/>
    <m/>
    <n v="1.5180199999999999"/>
    <n v="1.5420799999999999"/>
    <n v="1.5300499999999999"/>
    <n v="240.6"/>
  </r>
  <r>
    <x v="4"/>
    <x v="48"/>
    <x v="7"/>
    <m/>
    <n v="1.5180199999999999"/>
    <n v="1.5420799999999999"/>
    <n v="1.5300499999999999"/>
    <n v="240.6"/>
  </r>
  <r>
    <x v="4"/>
    <x v="48"/>
    <x v="7"/>
    <m/>
    <n v="1.5180199999999999"/>
    <n v="1.5420799999999999"/>
    <n v="1.5300499999999999"/>
    <n v="240.6"/>
  </r>
  <r>
    <x v="4"/>
    <x v="48"/>
    <x v="7"/>
    <m/>
    <n v="1.5180199999999999"/>
    <n v="1.5420799999999999"/>
    <n v="1.5300499999999999"/>
    <n v="240.6"/>
  </r>
  <r>
    <x v="4"/>
    <x v="48"/>
    <x v="7"/>
    <m/>
    <n v="1.5180199999999999"/>
    <n v="1.5420799999999999"/>
    <n v="1.5300499999999999"/>
    <n v="240.6"/>
  </r>
  <r>
    <x v="4"/>
    <x v="48"/>
    <x v="7"/>
    <m/>
    <n v="1.5180199999999999"/>
    <n v="1.5420799999999999"/>
    <n v="1.5300499999999999"/>
    <n v="240.6"/>
  </r>
  <r>
    <x v="4"/>
    <x v="48"/>
    <x v="7"/>
    <m/>
    <n v="1.5180199999999999"/>
    <n v="1.5420799999999999"/>
    <n v="1.5300499999999999"/>
    <n v="240.6"/>
  </r>
  <r>
    <x v="4"/>
    <x v="48"/>
    <x v="0"/>
    <m/>
    <n v="1.9301299999999999"/>
    <n v="1.9516"/>
    <n v="1.9408650000000001"/>
    <n v="214.7"/>
  </r>
  <r>
    <x v="4"/>
    <x v="48"/>
    <x v="0"/>
    <m/>
    <n v="1.9301299999999999"/>
    <n v="1.9516"/>
    <n v="1.9408650000000001"/>
    <n v="214.7"/>
  </r>
  <r>
    <x v="4"/>
    <x v="48"/>
    <x v="0"/>
    <m/>
    <n v="1.9301299999999999"/>
    <n v="1.9516"/>
    <n v="1.9408650000000001"/>
    <n v="214.7"/>
  </r>
  <r>
    <x v="4"/>
    <x v="48"/>
    <x v="0"/>
    <m/>
    <n v="1.9301299999999999"/>
    <n v="1.9516"/>
    <n v="1.9408650000000001"/>
    <n v="214.7"/>
  </r>
  <r>
    <x v="4"/>
    <x v="48"/>
    <x v="0"/>
    <m/>
    <n v="1.9301299999999999"/>
    <n v="1.9516"/>
    <n v="1.9408650000000001"/>
    <n v="214.7"/>
  </r>
  <r>
    <x v="4"/>
    <x v="48"/>
    <x v="0"/>
    <m/>
    <n v="1.9301299999999999"/>
    <n v="1.9516"/>
    <n v="1.9408650000000001"/>
    <n v="214.7"/>
  </r>
  <r>
    <x v="4"/>
    <x v="48"/>
    <x v="0"/>
    <m/>
    <n v="1.9301299999999999"/>
    <n v="1.9516"/>
    <n v="1.9408650000000001"/>
    <n v="214.7"/>
  </r>
  <r>
    <x v="4"/>
    <x v="48"/>
    <x v="0"/>
    <m/>
    <n v="1.9301299999999999"/>
    <n v="1.9516"/>
    <n v="1.9408650000000001"/>
    <n v="214.7"/>
  </r>
  <r>
    <x v="4"/>
    <x v="48"/>
    <x v="0"/>
    <m/>
    <n v="1.9301299999999999"/>
    <n v="1.9516"/>
    <n v="1.9408650000000001"/>
    <n v="214.7"/>
  </r>
  <r>
    <x v="4"/>
    <x v="48"/>
    <x v="0"/>
    <m/>
    <n v="1.9301299999999999"/>
    <n v="1.9516"/>
    <n v="1.9408650000000001"/>
    <n v="214.7"/>
  </r>
  <r>
    <x v="4"/>
    <x v="48"/>
    <x v="2"/>
    <m/>
    <n v="101.333"/>
    <n v="102.28700000000001"/>
    <n v="101.81"/>
    <n v="95.4"/>
  </r>
  <r>
    <x v="4"/>
    <x v="48"/>
    <x v="2"/>
    <m/>
    <n v="101.333"/>
    <n v="102.28700000000001"/>
    <n v="101.81"/>
    <n v="95.4"/>
  </r>
  <r>
    <x v="4"/>
    <x v="48"/>
    <x v="2"/>
    <m/>
    <n v="101.333"/>
    <n v="102.28700000000001"/>
    <n v="101.81"/>
    <n v="95.4"/>
  </r>
  <r>
    <x v="4"/>
    <x v="48"/>
    <x v="2"/>
    <m/>
    <n v="101.333"/>
    <n v="102.28700000000001"/>
    <n v="101.81"/>
    <n v="95.4"/>
  </r>
  <r>
    <x v="4"/>
    <x v="48"/>
    <x v="0"/>
    <m/>
    <n v="1.9301299999999999"/>
    <n v="1.9516"/>
    <n v="1.9408650000000001"/>
    <n v="214.7"/>
  </r>
  <r>
    <x v="4"/>
    <x v="48"/>
    <x v="0"/>
    <m/>
    <n v="1.9301299999999999"/>
    <n v="1.9516"/>
    <n v="1.9408650000000001"/>
    <n v="214.7"/>
  </r>
  <r>
    <x v="4"/>
    <x v="48"/>
    <x v="0"/>
    <m/>
    <n v="1.9301299999999999"/>
    <n v="1.9516"/>
    <n v="1.9408650000000001"/>
    <n v="214.7"/>
  </r>
  <r>
    <x v="4"/>
    <x v="48"/>
    <x v="0"/>
    <m/>
    <n v="1.9301299999999999"/>
    <n v="1.9516"/>
    <n v="1.9408650000000001"/>
    <n v="214.7"/>
  </r>
  <r>
    <x v="4"/>
    <x v="48"/>
    <x v="0"/>
    <m/>
    <n v="1.9301299999999999"/>
    <n v="1.9516"/>
    <n v="1.9408650000000001"/>
    <n v="214.7"/>
  </r>
  <r>
    <x v="4"/>
    <x v="48"/>
    <x v="0"/>
    <m/>
    <n v="1.9301299999999999"/>
    <n v="1.9516"/>
    <n v="1.9408650000000001"/>
    <n v="214.7"/>
  </r>
  <r>
    <x v="4"/>
    <x v="48"/>
    <x v="2"/>
    <m/>
    <n v="101.333"/>
    <n v="102.28700000000001"/>
    <n v="101.81"/>
    <n v="95.4"/>
  </r>
  <r>
    <x v="4"/>
    <x v="48"/>
    <x v="2"/>
    <m/>
    <n v="101.333"/>
    <n v="102.28700000000001"/>
    <n v="101.81"/>
    <n v="95.4"/>
  </r>
  <r>
    <x v="4"/>
    <x v="48"/>
    <x v="2"/>
    <m/>
    <n v="101.333"/>
    <n v="102.28700000000001"/>
    <n v="101.81"/>
    <n v="95.4"/>
  </r>
  <r>
    <x v="4"/>
    <x v="48"/>
    <x v="2"/>
    <m/>
    <n v="101.333"/>
    <n v="102.28700000000001"/>
    <n v="101.81"/>
    <n v="95.4"/>
  </r>
  <r>
    <x v="4"/>
    <x v="48"/>
    <x v="2"/>
    <m/>
    <n v="101.333"/>
    <n v="102.28700000000001"/>
    <n v="101.81"/>
    <n v="95.4"/>
  </r>
  <r>
    <x v="4"/>
    <x v="48"/>
    <x v="2"/>
    <m/>
    <n v="101.333"/>
    <n v="102.28700000000001"/>
    <n v="101.81"/>
    <n v="95.4"/>
  </r>
  <r>
    <x v="4"/>
    <x v="48"/>
    <x v="2"/>
    <m/>
    <n v="101.333"/>
    <n v="102.28700000000001"/>
    <n v="101.81"/>
    <n v="95.4"/>
  </r>
  <r>
    <x v="4"/>
    <x v="48"/>
    <x v="2"/>
    <m/>
    <n v="101.333"/>
    <n v="102.28700000000001"/>
    <n v="101.81"/>
    <n v="95.4"/>
  </r>
  <r>
    <x v="4"/>
    <x v="48"/>
    <x v="2"/>
    <m/>
    <n v="101.333"/>
    <n v="102.28700000000001"/>
    <n v="101.81"/>
    <n v="95.4"/>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7"/>
    <m/>
    <n v="1.4865699999999999"/>
    <n v="1.5420799999999999"/>
    <n v="1.5143249999999999"/>
    <n v="555.1"/>
  </r>
  <r>
    <x v="4"/>
    <x v="49"/>
    <x v="0"/>
    <m/>
    <n v="1.91978"/>
    <n v="1.9516"/>
    <n v="1.9356899999999999"/>
    <n v="318.2"/>
  </r>
  <r>
    <x v="4"/>
    <x v="49"/>
    <x v="0"/>
    <m/>
    <n v="1.91978"/>
    <n v="1.9516"/>
    <n v="1.9356899999999999"/>
    <n v="318.2"/>
  </r>
  <r>
    <x v="4"/>
    <x v="49"/>
    <x v="0"/>
    <m/>
    <n v="1.91978"/>
    <n v="1.9516"/>
    <n v="1.9356899999999999"/>
    <n v="318.2"/>
  </r>
  <r>
    <x v="4"/>
    <x v="49"/>
    <x v="0"/>
    <m/>
    <n v="1.91978"/>
    <n v="1.9516"/>
    <n v="1.9356899999999999"/>
    <n v="318.2"/>
  </r>
  <r>
    <x v="4"/>
    <x v="49"/>
    <x v="0"/>
    <m/>
    <n v="1.91978"/>
    <n v="1.9516"/>
    <n v="1.9356899999999999"/>
    <n v="318.2"/>
  </r>
  <r>
    <x v="4"/>
    <x v="49"/>
    <x v="0"/>
    <m/>
    <n v="1.91978"/>
    <n v="1.9516"/>
    <n v="1.9356899999999999"/>
    <n v="318.2"/>
  </r>
  <r>
    <x v="4"/>
    <x v="49"/>
    <x v="0"/>
    <m/>
    <n v="1.91978"/>
    <n v="1.9516"/>
    <n v="1.9356899999999999"/>
    <n v="318.2"/>
  </r>
  <r>
    <x v="4"/>
    <x v="49"/>
    <x v="0"/>
    <m/>
    <n v="1.91978"/>
    <n v="1.9516"/>
    <n v="1.9356899999999999"/>
    <n v="318.2"/>
  </r>
  <r>
    <x v="4"/>
    <x v="49"/>
    <x v="0"/>
    <m/>
    <n v="1.91978"/>
    <n v="1.9516"/>
    <n v="1.9356899999999999"/>
    <n v="318.2"/>
  </r>
  <r>
    <x v="4"/>
    <x v="49"/>
    <x v="0"/>
    <m/>
    <n v="1.91978"/>
    <n v="1.9516"/>
    <n v="1.9356899999999999"/>
    <n v="318.2"/>
  </r>
  <r>
    <x v="4"/>
    <x v="49"/>
    <x v="0"/>
    <m/>
    <n v="1.91978"/>
    <n v="1.9516"/>
    <n v="1.9356899999999999"/>
    <n v="318.2"/>
  </r>
  <r>
    <x v="4"/>
    <x v="49"/>
    <x v="0"/>
    <m/>
    <n v="1.91978"/>
    <n v="1.9516"/>
    <n v="1.9356899999999999"/>
    <n v="318.2"/>
  </r>
  <r>
    <x v="4"/>
    <x v="49"/>
    <x v="0"/>
    <m/>
    <n v="1.91978"/>
    <n v="1.9516"/>
    <n v="1.9356899999999999"/>
    <n v="318.2"/>
  </r>
  <r>
    <x v="4"/>
    <x v="49"/>
    <x v="0"/>
    <m/>
    <n v="1.91978"/>
    <n v="1.9516"/>
    <n v="1.9356899999999999"/>
    <n v="318.2"/>
  </r>
  <r>
    <x v="4"/>
    <x v="49"/>
    <x v="0"/>
    <m/>
    <n v="1.91978"/>
    <n v="1.9516"/>
    <n v="1.9356899999999999"/>
    <n v="318.2"/>
  </r>
  <r>
    <x v="4"/>
    <x v="49"/>
    <x v="0"/>
    <m/>
    <n v="1.91978"/>
    <n v="1.9516"/>
    <n v="1.9356899999999999"/>
    <n v="318.2"/>
  </r>
  <r>
    <x v="4"/>
    <x v="49"/>
    <x v="0"/>
    <m/>
    <n v="1.91978"/>
    <n v="1.9516"/>
    <n v="1.9356899999999999"/>
    <n v="318.2"/>
  </r>
  <r>
    <x v="4"/>
    <x v="49"/>
    <x v="0"/>
    <m/>
    <n v="1.91978"/>
    <n v="1.9516"/>
    <n v="1.9356899999999999"/>
    <n v="318.2"/>
  </r>
  <r>
    <x v="4"/>
    <x v="49"/>
    <x v="2"/>
    <m/>
    <n v="101.333"/>
    <n v="102.842"/>
    <n v="102.08750000000001"/>
    <n v="150.9"/>
  </r>
  <r>
    <x v="4"/>
    <x v="49"/>
    <x v="2"/>
    <m/>
    <n v="101.333"/>
    <n v="102.842"/>
    <n v="102.08750000000001"/>
    <n v="150.9"/>
  </r>
  <r>
    <x v="4"/>
    <x v="49"/>
    <x v="2"/>
    <m/>
    <n v="101.333"/>
    <n v="102.842"/>
    <n v="102.08750000000001"/>
    <n v="150.9"/>
  </r>
  <r>
    <x v="4"/>
    <x v="49"/>
    <x v="2"/>
    <m/>
    <n v="101.333"/>
    <n v="102.842"/>
    <n v="102.08750000000001"/>
    <n v="150.9"/>
  </r>
  <r>
    <x v="4"/>
    <x v="49"/>
    <x v="2"/>
    <m/>
    <n v="101.333"/>
    <n v="102.842"/>
    <n v="102.08750000000001"/>
    <n v="150.9"/>
  </r>
  <r>
    <x v="4"/>
    <x v="49"/>
    <x v="2"/>
    <m/>
    <n v="101.333"/>
    <n v="102.842"/>
    <n v="102.08750000000001"/>
    <n v="150.9"/>
  </r>
  <r>
    <x v="4"/>
    <x v="49"/>
    <x v="2"/>
    <m/>
    <n v="101.333"/>
    <n v="102.842"/>
    <n v="102.08750000000001"/>
    <n v="150.9"/>
  </r>
  <r>
    <x v="4"/>
    <x v="49"/>
    <x v="2"/>
    <m/>
    <n v="101.333"/>
    <n v="102.842"/>
    <n v="102.08750000000001"/>
    <n v="150.9"/>
  </r>
  <r>
    <x v="4"/>
    <x v="49"/>
    <x v="2"/>
    <m/>
    <n v="101.333"/>
    <n v="102.842"/>
    <n v="102.08750000000001"/>
    <n v="150.9"/>
  </r>
  <r>
    <x v="4"/>
    <x v="49"/>
    <x v="2"/>
    <m/>
    <n v="101.333"/>
    <n v="102.842"/>
    <n v="102.08750000000001"/>
    <n v="150.9"/>
  </r>
  <r>
    <x v="4"/>
    <x v="49"/>
    <x v="2"/>
    <m/>
    <n v="101.333"/>
    <n v="102.842"/>
    <n v="102.08750000000001"/>
    <n v="150.9"/>
  </r>
  <r>
    <x v="4"/>
    <x v="49"/>
    <x v="2"/>
    <m/>
    <n v="101.333"/>
    <n v="102.842"/>
    <n v="102.08750000000001"/>
    <n v="150.9"/>
  </r>
  <r>
    <x v="4"/>
    <x v="49"/>
    <x v="2"/>
    <m/>
    <n v="101.333"/>
    <n v="102.842"/>
    <n v="102.08750000000001"/>
    <n v="150.9"/>
  </r>
  <r>
    <x v="4"/>
    <x v="50"/>
    <x v="0"/>
    <m/>
    <n v="1.91978"/>
    <n v="1.9516"/>
    <n v="1.9356899999999999"/>
    <n v="318.2"/>
  </r>
  <r>
    <x v="4"/>
    <x v="50"/>
    <x v="2"/>
    <m/>
    <n v="101.333"/>
    <n v="103.321"/>
    <n v="102.327"/>
    <n v="198.8"/>
  </r>
  <r>
    <x v="4"/>
    <x v="50"/>
    <x v="2"/>
    <m/>
    <n v="101.333"/>
    <n v="103.321"/>
    <n v="102.327"/>
    <n v="198.8"/>
  </r>
  <r>
    <x v="4"/>
    <x v="50"/>
    <x v="2"/>
    <m/>
    <n v="101.333"/>
    <n v="103.321"/>
    <n v="102.327"/>
    <n v="198.8"/>
  </r>
  <r>
    <x v="4"/>
    <x v="50"/>
    <x v="2"/>
    <m/>
    <n v="101.333"/>
    <n v="103.321"/>
    <n v="102.327"/>
    <n v="198.8"/>
  </r>
  <r>
    <x v="4"/>
    <x v="50"/>
    <x v="2"/>
    <m/>
    <n v="101.333"/>
    <n v="103.321"/>
    <n v="102.327"/>
    <n v="198.8"/>
  </r>
  <r>
    <x v="4"/>
    <x v="50"/>
    <x v="2"/>
    <m/>
    <n v="101.333"/>
    <n v="103.321"/>
    <n v="102.327"/>
    <n v="198.8"/>
  </r>
  <r>
    <x v="4"/>
    <x v="50"/>
    <x v="2"/>
    <m/>
    <n v="101.333"/>
    <n v="103.321"/>
    <n v="102.327"/>
    <n v="198.8"/>
  </r>
  <r>
    <x v="4"/>
    <x v="50"/>
    <x v="2"/>
    <m/>
    <n v="101.333"/>
    <n v="103.321"/>
    <n v="102.327"/>
    <n v="198.8"/>
  </r>
  <r>
    <x v="4"/>
    <x v="50"/>
    <x v="2"/>
    <m/>
    <n v="101.333"/>
    <n v="103.321"/>
    <n v="102.327"/>
    <n v="198.8"/>
  </r>
  <r>
    <x v="4"/>
    <x v="50"/>
    <x v="2"/>
    <m/>
    <n v="101.333"/>
    <n v="103.321"/>
    <n v="102.327"/>
    <n v="198.8"/>
  </r>
  <r>
    <x v="4"/>
    <x v="50"/>
    <x v="2"/>
    <m/>
    <n v="101.333"/>
    <n v="103.321"/>
    <n v="102.327"/>
    <n v="198.8"/>
  </r>
  <r>
    <x v="4"/>
    <x v="50"/>
    <x v="2"/>
    <m/>
    <n v="101.333"/>
    <n v="103.321"/>
    <n v="102.327"/>
    <n v="198.8"/>
  </r>
  <r>
    <x v="4"/>
    <x v="50"/>
    <x v="2"/>
    <m/>
    <n v="101.333"/>
    <n v="103.321"/>
    <n v="102.327"/>
    <n v="198.8"/>
  </r>
  <r>
    <x v="4"/>
    <x v="50"/>
    <x v="2"/>
    <m/>
    <n v="101.333"/>
    <n v="103.321"/>
    <n v="102.327"/>
    <n v="198.8"/>
  </r>
  <r>
    <x v="4"/>
    <x v="50"/>
    <x v="2"/>
    <m/>
    <n v="101.333"/>
    <n v="103.321"/>
    <n v="102.327"/>
    <n v="198.8"/>
  </r>
  <r>
    <x v="4"/>
    <x v="50"/>
    <x v="2"/>
    <m/>
    <n v="101.333"/>
    <n v="103.321"/>
    <n v="102.327"/>
    <n v="198.8"/>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7"/>
    <m/>
    <n v="1.47411"/>
    <n v="1.5420799999999999"/>
    <n v="1.508095"/>
    <n v="679.7"/>
  </r>
  <r>
    <x v="4"/>
    <x v="50"/>
    <x v="0"/>
    <m/>
    <n v="1.91978"/>
    <n v="1.9516"/>
    <n v="1.9356899999999999"/>
    <n v="318.2"/>
  </r>
  <r>
    <x v="4"/>
    <x v="50"/>
    <x v="0"/>
    <m/>
    <n v="1.91978"/>
    <n v="1.9516"/>
    <n v="1.9356899999999999"/>
    <n v="318.2"/>
  </r>
  <r>
    <x v="4"/>
    <x v="50"/>
    <x v="0"/>
    <m/>
    <n v="1.91978"/>
    <n v="1.9516"/>
    <n v="1.9356899999999999"/>
    <n v="318.2"/>
  </r>
  <r>
    <x v="4"/>
    <x v="50"/>
    <x v="0"/>
    <m/>
    <n v="1.91978"/>
    <n v="1.9516"/>
    <n v="1.9356899999999999"/>
    <n v="318.2"/>
  </r>
  <r>
    <x v="4"/>
    <x v="50"/>
    <x v="0"/>
    <m/>
    <n v="1.91978"/>
    <n v="1.9516"/>
    <n v="1.9356899999999999"/>
    <n v="318.2"/>
  </r>
  <r>
    <x v="4"/>
    <x v="50"/>
    <x v="0"/>
    <m/>
    <n v="1.91978"/>
    <n v="1.9516"/>
    <n v="1.9356899999999999"/>
    <n v="318.2"/>
  </r>
  <r>
    <x v="4"/>
    <x v="50"/>
    <x v="0"/>
    <m/>
    <n v="1.91978"/>
    <n v="1.9516"/>
    <n v="1.9356899999999999"/>
    <n v="318.2"/>
  </r>
  <r>
    <x v="4"/>
    <x v="50"/>
    <x v="0"/>
    <m/>
    <n v="1.91978"/>
    <n v="1.9516"/>
    <n v="1.9356899999999999"/>
    <n v="318.2"/>
  </r>
  <r>
    <x v="4"/>
    <x v="50"/>
    <x v="0"/>
    <m/>
    <n v="1.91978"/>
    <n v="1.9516"/>
    <n v="1.9356899999999999"/>
    <n v="318.2"/>
  </r>
  <r>
    <x v="4"/>
    <x v="50"/>
    <x v="0"/>
    <m/>
    <n v="1.91978"/>
    <n v="1.9516"/>
    <n v="1.9356899999999999"/>
    <n v="318.2"/>
  </r>
  <r>
    <x v="4"/>
    <x v="50"/>
    <x v="0"/>
    <m/>
    <n v="1.91978"/>
    <n v="1.9516"/>
    <n v="1.9356899999999999"/>
    <n v="318.2"/>
  </r>
  <r>
    <x v="4"/>
    <x v="50"/>
    <x v="0"/>
    <m/>
    <n v="1.91978"/>
    <n v="1.9516"/>
    <n v="1.9356899999999999"/>
    <n v="318.2"/>
  </r>
  <r>
    <x v="4"/>
    <x v="50"/>
    <x v="0"/>
    <m/>
    <n v="1.91978"/>
    <n v="1.9516"/>
    <n v="1.9356899999999999"/>
    <n v="318.2"/>
  </r>
  <r>
    <x v="4"/>
    <x v="50"/>
    <x v="0"/>
    <m/>
    <n v="1.91978"/>
    <n v="1.9516"/>
    <n v="1.9356899999999999"/>
    <n v="318.2"/>
  </r>
  <r>
    <x v="4"/>
    <x v="50"/>
    <x v="0"/>
    <m/>
    <n v="1.91978"/>
    <n v="1.9516"/>
    <n v="1.9356899999999999"/>
    <n v="318.2"/>
  </r>
  <r>
    <x v="4"/>
    <x v="50"/>
    <x v="0"/>
    <m/>
    <n v="1.91978"/>
    <n v="1.9516"/>
    <n v="1.9356899999999999"/>
    <n v="318.2"/>
  </r>
  <r>
    <x v="4"/>
    <x v="50"/>
    <x v="0"/>
    <m/>
    <n v="1.91978"/>
    <n v="1.9516"/>
    <n v="1.9356899999999999"/>
    <n v="318.2"/>
  </r>
  <r>
    <x v="4"/>
    <x v="51"/>
    <x v="0"/>
    <m/>
    <n v="1.91978"/>
    <n v="1.9516"/>
    <n v="1.9356899999999999"/>
    <n v="318.2"/>
  </r>
  <r>
    <x v="4"/>
    <x v="51"/>
    <x v="0"/>
    <m/>
    <n v="1.91978"/>
    <n v="1.9516"/>
    <n v="1.9356899999999999"/>
    <n v="318.2"/>
  </r>
  <r>
    <x v="4"/>
    <x v="51"/>
    <x v="2"/>
    <m/>
    <n v="101.333"/>
    <n v="103.321"/>
    <n v="102.327"/>
    <n v="198.8"/>
  </r>
  <r>
    <x v="4"/>
    <x v="51"/>
    <x v="2"/>
    <m/>
    <n v="101.333"/>
    <n v="103.321"/>
    <n v="102.327"/>
    <n v="198.8"/>
  </r>
  <r>
    <x v="4"/>
    <x v="51"/>
    <x v="2"/>
    <m/>
    <n v="101.333"/>
    <n v="103.321"/>
    <n v="102.327"/>
    <n v="198.8"/>
  </r>
  <r>
    <x v="4"/>
    <x v="51"/>
    <x v="2"/>
    <m/>
    <n v="101.333"/>
    <n v="103.321"/>
    <n v="102.327"/>
    <n v="198.8"/>
  </r>
  <r>
    <x v="4"/>
    <x v="51"/>
    <x v="2"/>
    <m/>
    <n v="101.333"/>
    <n v="103.321"/>
    <n v="102.327"/>
    <n v="198.8"/>
  </r>
  <r>
    <x v="4"/>
    <x v="51"/>
    <x v="2"/>
    <m/>
    <n v="101.333"/>
    <n v="103.321"/>
    <n v="102.327"/>
    <n v="198.8"/>
  </r>
  <r>
    <x v="4"/>
    <x v="51"/>
    <x v="2"/>
    <m/>
    <n v="101.333"/>
    <n v="103.321"/>
    <n v="102.327"/>
    <n v="198.8"/>
  </r>
  <r>
    <x v="4"/>
    <x v="51"/>
    <x v="2"/>
    <m/>
    <n v="101.333"/>
    <n v="103.321"/>
    <n v="102.327"/>
    <n v="198.8"/>
  </r>
  <r>
    <x v="4"/>
    <x v="51"/>
    <x v="2"/>
    <m/>
    <n v="101.333"/>
    <n v="103.321"/>
    <n v="102.327"/>
    <n v="198.8"/>
  </r>
  <r>
    <x v="4"/>
    <x v="51"/>
    <x v="2"/>
    <m/>
    <n v="101.333"/>
    <n v="103.321"/>
    <n v="102.327"/>
    <n v="198.8"/>
  </r>
  <r>
    <x v="4"/>
    <x v="51"/>
    <x v="2"/>
    <m/>
    <n v="101.333"/>
    <n v="103.321"/>
    <n v="102.327"/>
    <n v="198.8"/>
  </r>
  <r>
    <x v="4"/>
    <x v="51"/>
    <x v="2"/>
    <m/>
    <n v="101.333"/>
    <n v="103.321"/>
    <n v="102.327"/>
    <n v="198.8"/>
  </r>
  <r>
    <x v="4"/>
    <x v="51"/>
    <x v="2"/>
    <m/>
    <n v="101.333"/>
    <n v="103.321"/>
    <n v="102.327"/>
    <n v="198.8"/>
  </r>
  <r>
    <x v="4"/>
    <x v="51"/>
    <x v="2"/>
    <m/>
    <n v="101.333"/>
    <n v="103.321"/>
    <n v="102.327"/>
    <n v="198.8"/>
  </r>
  <r>
    <x v="4"/>
    <x v="51"/>
    <x v="2"/>
    <m/>
    <n v="101.333"/>
    <n v="103.321"/>
    <n v="102.327"/>
    <n v="198.8"/>
  </r>
  <r>
    <x v="4"/>
    <x v="51"/>
    <x v="2"/>
    <m/>
    <n v="101.333"/>
    <n v="103.321"/>
    <n v="102.327"/>
    <n v="198.8"/>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0"/>
    <m/>
    <n v="1.91978"/>
    <n v="1.9516"/>
    <n v="1.9356899999999999"/>
    <n v="318.2"/>
  </r>
  <r>
    <x v="4"/>
    <x v="51"/>
    <x v="0"/>
    <m/>
    <n v="1.91978"/>
    <n v="1.9516"/>
    <n v="1.9356899999999999"/>
    <n v="318.2"/>
  </r>
  <r>
    <x v="4"/>
    <x v="51"/>
    <x v="0"/>
    <m/>
    <n v="1.91978"/>
    <n v="1.9516"/>
    <n v="1.9356899999999999"/>
    <n v="318.2"/>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7"/>
    <m/>
    <n v="1.47411"/>
    <n v="1.5420799999999999"/>
    <n v="1.508095"/>
    <n v="679.7"/>
  </r>
  <r>
    <x v="4"/>
    <x v="51"/>
    <x v="0"/>
    <m/>
    <n v="1.91978"/>
    <n v="1.9516"/>
    <n v="1.9356899999999999"/>
    <n v="318.2"/>
  </r>
  <r>
    <x v="4"/>
    <x v="51"/>
    <x v="0"/>
    <m/>
    <n v="1.91978"/>
    <n v="1.9516"/>
    <n v="1.9356899999999999"/>
    <n v="318.2"/>
  </r>
  <r>
    <x v="4"/>
    <x v="51"/>
    <x v="0"/>
    <m/>
    <n v="1.91978"/>
    <n v="1.9516"/>
    <n v="1.9356899999999999"/>
    <n v="318.2"/>
  </r>
  <r>
    <x v="4"/>
    <x v="51"/>
    <x v="0"/>
    <m/>
    <n v="1.91978"/>
    <n v="1.9516"/>
    <n v="1.9356899999999999"/>
    <n v="318.2"/>
  </r>
  <r>
    <x v="4"/>
    <x v="51"/>
    <x v="0"/>
    <m/>
    <n v="1.91978"/>
    <n v="1.9516"/>
    <n v="1.9356899999999999"/>
    <n v="318.2"/>
  </r>
  <r>
    <x v="4"/>
    <x v="51"/>
    <x v="0"/>
    <m/>
    <n v="1.91978"/>
    <n v="1.9516"/>
    <n v="1.9356899999999999"/>
    <n v="318.2"/>
  </r>
  <r>
    <x v="4"/>
    <x v="51"/>
    <x v="0"/>
    <m/>
    <n v="1.91978"/>
    <n v="1.9516"/>
    <n v="1.9356899999999999"/>
    <n v="318.2"/>
  </r>
  <r>
    <x v="4"/>
    <x v="51"/>
    <x v="0"/>
    <m/>
    <n v="1.91978"/>
    <n v="1.9516"/>
    <n v="1.9356899999999999"/>
    <n v="318.2"/>
  </r>
  <r>
    <x v="4"/>
    <x v="51"/>
    <x v="0"/>
    <m/>
    <n v="1.91978"/>
    <n v="1.9516"/>
    <n v="1.9356899999999999"/>
    <n v="318.2"/>
  </r>
  <r>
    <x v="4"/>
    <x v="51"/>
    <x v="0"/>
    <m/>
    <n v="1.91978"/>
    <n v="1.9516"/>
    <n v="1.9356899999999999"/>
    <n v="318.2"/>
  </r>
  <r>
    <x v="4"/>
    <x v="51"/>
    <x v="0"/>
    <m/>
    <n v="1.91978"/>
    <n v="1.9516"/>
    <n v="1.9356899999999999"/>
    <n v="318.2"/>
  </r>
  <r>
    <x v="4"/>
    <x v="51"/>
    <x v="0"/>
    <m/>
    <n v="1.91978"/>
    <n v="1.9516"/>
    <n v="1.9356899999999999"/>
    <n v="318.2"/>
  </r>
  <r>
    <x v="4"/>
    <x v="51"/>
    <x v="0"/>
    <m/>
    <n v="1.91978"/>
    <n v="1.9516"/>
    <n v="1.9356899999999999"/>
    <n v="318.2"/>
  </r>
  <r>
    <x v="4"/>
    <x v="52"/>
    <x v="2"/>
    <m/>
    <n v="101.333"/>
    <n v="103.321"/>
    <n v="102.327"/>
    <n v="198.8"/>
  </r>
  <r>
    <x v="4"/>
    <x v="52"/>
    <x v="2"/>
    <m/>
    <n v="101.333"/>
    <n v="103.321"/>
    <n v="102.327"/>
    <n v="198.8"/>
  </r>
  <r>
    <x v="4"/>
    <x v="52"/>
    <x v="2"/>
    <m/>
    <n v="101.333"/>
    <n v="103.321"/>
    <n v="102.327"/>
    <n v="198.8"/>
  </r>
  <r>
    <x v="4"/>
    <x v="52"/>
    <x v="2"/>
    <m/>
    <n v="101.333"/>
    <n v="103.321"/>
    <n v="102.327"/>
    <n v="198.8"/>
  </r>
  <r>
    <x v="4"/>
    <x v="52"/>
    <x v="2"/>
    <m/>
    <n v="101.333"/>
    <n v="103.321"/>
    <n v="102.327"/>
    <n v="198.8"/>
  </r>
  <r>
    <x v="4"/>
    <x v="52"/>
    <x v="2"/>
    <m/>
    <n v="101.333"/>
    <n v="103.321"/>
    <n v="102.327"/>
    <n v="198.8"/>
  </r>
  <r>
    <x v="4"/>
    <x v="52"/>
    <x v="2"/>
    <m/>
    <n v="101.333"/>
    <n v="103.321"/>
    <n v="102.327"/>
    <n v="198.8"/>
  </r>
  <r>
    <x v="4"/>
    <x v="52"/>
    <x v="2"/>
    <m/>
    <n v="101.333"/>
    <n v="103.321"/>
    <n v="102.327"/>
    <n v="198.8"/>
  </r>
  <r>
    <x v="4"/>
    <x v="52"/>
    <x v="2"/>
    <m/>
    <n v="101.333"/>
    <n v="103.321"/>
    <n v="102.327"/>
    <n v="198.8"/>
  </r>
  <r>
    <x v="4"/>
    <x v="52"/>
    <x v="2"/>
    <m/>
    <n v="101.333"/>
    <n v="103.321"/>
    <n v="102.327"/>
    <n v="198.8"/>
  </r>
  <r>
    <x v="4"/>
    <x v="52"/>
    <x v="2"/>
    <m/>
    <n v="101.333"/>
    <n v="103.321"/>
    <n v="102.327"/>
    <n v="198.8"/>
  </r>
  <r>
    <x v="4"/>
    <x v="52"/>
    <x v="2"/>
    <m/>
    <n v="101.333"/>
    <n v="103.321"/>
    <n v="102.327"/>
    <n v="198.8"/>
  </r>
  <r>
    <x v="4"/>
    <x v="52"/>
    <x v="2"/>
    <m/>
    <n v="101.333"/>
    <n v="103.321"/>
    <n v="102.327"/>
    <n v="198.8"/>
  </r>
  <r>
    <x v="4"/>
    <x v="52"/>
    <x v="2"/>
    <m/>
    <n v="101.333"/>
    <n v="103.321"/>
    <n v="102.327"/>
    <n v="198.8"/>
  </r>
  <r>
    <x v="4"/>
    <x v="52"/>
    <x v="2"/>
    <m/>
    <n v="101.333"/>
    <n v="103.321"/>
    <n v="102.327"/>
    <n v="198.8"/>
  </r>
  <r>
    <x v="4"/>
    <x v="52"/>
    <x v="2"/>
    <m/>
    <n v="101.333"/>
    <n v="103.321"/>
    <n v="102.327"/>
    <n v="198.8"/>
  </r>
  <r>
    <x v="4"/>
    <x v="52"/>
    <x v="0"/>
    <m/>
    <n v="1.91978"/>
    <n v="1.9577100000000001"/>
    <n v="1.9387449999999999"/>
    <n v="379.3"/>
  </r>
  <r>
    <x v="4"/>
    <x v="52"/>
    <x v="0"/>
    <m/>
    <n v="1.91978"/>
    <n v="1.9577100000000001"/>
    <n v="1.9387449999999999"/>
    <n v="379.3"/>
  </r>
  <r>
    <x v="4"/>
    <x v="52"/>
    <x v="0"/>
    <m/>
    <n v="1.91978"/>
    <n v="1.9577100000000001"/>
    <n v="1.9387449999999999"/>
    <n v="379.3"/>
  </r>
  <r>
    <x v="4"/>
    <x v="52"/>
    <x v="0"/>
    <m/>
    <n v="1.91978"/>
    <n v="1.9577100000000001"/>
    <n v="1.9387449999999999"/>
    <n v="379.3"/>
  </r>
  <r>
    <x v="4"/>
    <x v="52"/>
    <x v="0"/>
    <m/>
    <n v="1.91978"/>
    <n v="1.9577100000000001"/>
    <n v="1.9387449999999999"/>
    <n v="379.3"/>
  </r>
  <r>
    <x v="4"/>
    <x v="52"/>
    <x v="0"/>
    <m/>
    <n v="1.91978"/>
    <n v="1.9577100000000001"/>
    <n v="1.9387449999999999"/>
    <n v="379.3"/>
  </r>
  <r>
    <x v="4"/>
    <x v="52"/>
    <x v="0"/>
    <m/>
    <n v="1.91978"/>
    <n v="1.9577100000000001"/>
    <n v="1.9387449999999999"/>
    <n v="379.3"/>
  </r>
  <r>
    <x v="4"/>
    <x v="52"/>
    <x v="0"/>
    <m/>
    <n v="1.91978"/>
    <n v="1.9577100000000001"/>
    <n v="1.9387449999999999"/>
    <n v="379.3"/>
  </r>
  <r>
    <x v="4"/>
    <x v="52"/>
    <x v="0"/>
    <m/>
    <n v="1.91978"/>
    <n v="1.9577100000000001"/>
    <n v="1.9387449999999999"/>
    <n v="379.3"/>
  </r>
  <r>
    <x v="4"/>
    <x v="52"/>
    <x v="0"/>
    <m/>
    <n v="1.91978"/>
    <n v="1.9577100000000001"/>
    <n v="1.9387449999999999"/>
    <n v="379.3"/>
  </r>
  <r>
    <x v="4"/>
    <x v="52"/>
    <x v="0"/>
    <m/>
    <n v="1.91978"/>
    <n v="1.9577100000000001"/>
    <n v="1.9387449999999999"/>
    <n v="379.3"/>
  </r>
  <r>
    <x v="4"/>
    <x v="52"/>
    <x v="0"/>
    <m/>
    <n v="1.91978"/>
    <n v="1.9577100000000001"/>
    <n v="1.9387449999999999"/>
    <n v="379.3"/>
  </r>
  <r>
    <x v="4"/>
    <x v="52"/>
    <x v="0"/>
    <m/>
    <n v="1.91978"/>
    <n v="1.9577100000000001"/>
    <n v="1.9387449999999999"/>
    <n v="379.3"/>
  </r>
  <r>
    <x v="4"/>
    <x v="52"/>
    <x v="0"/>
    <m/>
    <n v="1.91978"/>
    <n v="1.9577100000000001"/>
    <n v="1.9387449999999999"/>
    <n v="379.3"/>
  </r>
  <r>
    <x v="4"/>
    <x v="52"/>
    <x v="0"/>
    <m/>
    <n v="1.91978"/>
    <n v="1.9577100000000001"/>
    <n v="1.9387449999999999"/>
    <n v="379.3"/>
  </r>
  <r>
    <x v="4"/>
    <x v="52"/>
    <x v="0"/>
    <m/>
    <n v="1.91978"/>
    <n v="1.9577100000000001"/>
    <n v="1.9387449999999999"/>
    <n v="379.3"/>
  </r>
  <r>
    <x v="4"/>
    <x v="52"/>
    <x v="0"/>
    <m/>
    <n v="1.91978"/>
    <n v="1.9577100000000001"/>
    <n v="1.9387449999999999"/>
    <n v="379.3"/>
  </r>
  <r>
    <x v="4"/>
    <x v="52"/>
    <x v="0"/>
    <m/>
    <n v="1.91978"/>
    <n v="1.9577100000000001"/>
    <n v="1.9387449999999999"/>
    <n v="379.3"/>
  </r>
  <r>
    <x v="4"/>
    <x v="52"/>
    <x v="0"/>
    <m/>
    <n v="1.91978"/>
    <n v="1.9577100000000001"/>
    <n v="1.9387449999999999"/>
    <n v="379.3"/>
  </r>
  <r>
    <x v="4"/>
    <x v="52"/>
    <x v="0"/>
    <m/>
    <n v="1.91978"/>
    <n v="1.9577100000000001"/>
    <n v="1.9387449999999999"/>
    <n v="379.3"/>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2"/>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2"/>
    <m/>
    <n v="101.333"/>
    <n v="103.321"/>
    <n v="102.327"/>
    <n v="198.8"/>
  </r>
  <r>
    <x v="4"/>
    <x v="53"/>
    <x v="2"/>
    <m/>
    <n v="101.333"/>
    <n v="103.321"/>
    <n v="102.327"/>
    <n v="198.8"/>
  </r>
  <r>
    <x v="4"/>
    <x v="53"/>
    <x v="2"/>
    <m/>
    <n v="101.333"/>
    <n v="103.321"/>
    <n v="102.327"/>
    <n v="198.8"/>
  </r>
  <r>
    <x v="4"/>
    <x v="53"/>
    <x v="2"/>
    <m/>
    <n v="101.333"/>
    <n v="103.321"/>
    <n v="102.327"/>
    <n v="198.8"/>
  </r>
  <r>
    <x v="4"/>
    <x v="53"/>
    <x v="2"/>
    <m/>
    <n v="101.333"/>
    <n v="103.321"/>
    <n v="102.327"/>
    <n v="198.8"/>
  </r>
  <r>
    <x v="4"/>
    <x v="53"/>
    <x v="2"/>
    <m/>
    <n v="101.333"/>
    <n v="103.321"/>
    <n v="102.327"/>
    <n v="198.8"/>
  </r>
  <r>
    <x v="4"/>
    <x v="53"/>
    <x v="2"/>
    <m/>
    <n v="101.333"/>
    <n v="103.321"/>
    <n v="102.327"/>
    <n v="198.8"/>
  </r>
  <r>
    <x v="4"/>
    <x v="53"/>
    <x v="2"/>
    <m/>
    <n v="101.333"/>
    <n v="103.321"/>
    <n v="102.327"/>
    <n v="198.8"/>
  </r>
  <r>
    <x v="4"/>
    <x v="53"/>
    <x v="2"/>
    <m/>
    <n v="101.333"/>
    <n v="103.321"/>
    <n v="102.327"/>
    <n v="198.8"/>
  </r>
  <r>
    <x v="4"/>
    <x v="53"/>
    <x v="2"/>
    <m/>
    <n v="101.333"/>
    <n v="103.321"/>
    <n v="102.327"/>
    <n v="198.8"/>
  </r>
  <r>
    <x v="4"/>
    <x v="53"/>
    <x v="2"/>
    <m/>
    <n v="101.333"/>
    <n v="103.321"/>
    <n v="102.327"/>
    <n v="198.8"/>
  </r>
  <r>
    <x v="4"/>
    <x v="53"/>
    <x v="2"/>
    <m/>
    <n v="101.333"/>
    <n v="103.321"/>
    <n v="102.327"/>
    <n v="198.8"/>
  </r>
  <r>
    <x v="4"/>
    <x v="53"/>
    <x v="2"/>
    <m/>
    <n v="101.333"/>
    <n v="103.321"/>
    <n v="102.327"/>
    <n v="198.8"/>
  </r>
  <r>
    <x v="4"/>
    <x v="53"/>
    <x v="2"/>
    <m/>
    <n v="101.333"/>
    <n v="103.321"/>
    <n v="102.327"/>
    <n v="198.8"/>
  </r>
  <r>
    <x v="4"/>
    <x v="53"/>
    <x v="2"/>
    <m/>
    <n v="101.333"/>
    <n v="103.321"/>
    <n v="102.327"/>
    <n v="198.8"/>
  </r>
  <r>
    <x v="4"/>
    <x v="53"/>
    <x v="2"/>
    <m/>
    <n v="101.333"/>
    <n v="103.321"/>
    <n v="102.327"/>
    <n v="198.8"/>
  </r>
  <r>
    <x v="4"/>
    <x v="53"/>
    <x v="0"/>
    <m/>
    <n v="1.91978"/>
    <n v="1.9577100000000001"/>
    <n v="1.9387449999999999"/>
    <n v="379.3"/>
  </r>
  <r>
    <x v="4"/>
    <x v="53"/>
    <x v="0"/>
    <m/>
    <n v="1.91978"/>
    <n v="1.9577100000000001"/>
    <n v="1.9387449999999999"/>
    <n v="379.3"/>
  </r>
  <r>
    <x v="4"/>
    <x v="53"/>
    <x v="0"/>
    <m/>
    <n v="1.91978"/>
    <n v="1.9577100000000001"/>
    <n v="1.9387449999999999"/>
    <n v="379.3"/>
  </r>
  <r>
    <x v="4"/>
    <x v="53"/>
    <x v="0"/>
    <m/>
    <n v="1.91978"/>
    <n v="1.9577100000000001"/>
    <n v="1.9387449999999999"/>
    <n v="379.3"/>
  </r>
  <r>
    <x v="4"/>
    <x v="53"/>
    <x v="0"/>
    <m/>
    <n v="1.91978"/>
    <n v="1.9577100000000001"/>
    <n v="1.9387449999999999"/>
    <n v="379.3"/>
  </r>
  <r>
    <x v="4"/>
    <x v="53"/>
    <x v="0"/>
    <m/>
    <n v="1.91978"/>
    <n v="1.9577100000000001"/>
    <n v="1.9387449999999999"/>
    <n v="379.3"/>
  </r>
  <r>
    <x v="4"/>
    <x v="53"/>
    <x v="0"/>
    <m/>
    <n v="1.91978"/>
    <n v="1.9577100000000001"/>
    <n v="1.9387449999999999"/>
    <n v="379.3"/>
  </r>
  <r>
    <x v="4"/>
    <x v="53"/>
    <x v="0"/>
    <m/>
    <n v="1.91978"/>
    <n v="1.9577100000000001"/>
    <n v="1.9387449999999999"/>
    <n v="379.3"/>
  </r>
  <r>
    <x v="4"/>
    <x v="53"/>
    <x v="0"/>
    <m/>
    <n v="1.91978"/>
    <n v="1.9577100000000001"/>
    <n v="1.9387449999999999"/>
    <n v="379.3"/>
  </r>
  <r>
    <x v="4"/>
    <x v="53"/>
    <x v="0"/>
    <m/>
    <n v="1.91978"/>
    <n v="1.9577100000000001"/>
    <n v="1.9387449999999999"/>
    <n v="379.3"/>
  </r>
  <r>
    <x v="4"/>
    <x v="53"/>
    <x v="0"/>
    <m/>
    <n v="1.91978"/>
    <n v="1.9577100000000001"/>
    <n v="1.9387449999999999"/>
    <n v="379.3"/>
  </r>
  <r>
    <x v="4"/>
    <x v="53"/>
    <x v="0"/>
    <m/>
    <n v="1.91978"/>
    <n v="1.9577100000000001"/>
    <n v="1.9387449999999999"/>
    <n v="379.3"/>
  </r>
  <r>
    <x v="4"/>
    <x v="53"/>
    <x v="0"/>
    <m/>
    <n v="1.91978"/>
    <n v="1.9577100000000001"/>
    <n v="1.9387449999999999"/>
    <n v="379.3"/>
  </r>
  <r>
    <x v="4"/>
    <x v="53"/>
    <x v="0"/>
    <m/>
    <n v="1.91978"/>
    <n v="1.9577100000000001"/>
    <n v="1.9387449999999999"/>
    <n v="379.3"/>
  </r>
  <r>
    <x v="4"/>
    <x v="53"/>
    <x v="0"/>
    <m/>
    <n v="1.91978"/>
    <n v="1.9577100000000001"/>
    <n v="1.9387449999999999"/>
    <n v="379.3"/>
  </r>
  <r>
    <x v="4"/>
    <x v="53"/>
    <x v="0"/>
    <m/>
    <n v="1.91978"/>
    <n v="1.9577100000000001"/>
    <n v="1.9387449999999999"/>
    <n v="379.3"/>
  </r>
  <r>
    <x v="4"/>
    <x v="53"/>
    <x v="0"/>
    <m/>
    <n v="1.91978"/>
    <n v="1.9577100000000001"/>
    <n v="1.9387449999999999"/>
    <n v="379.3"/>
  </r>
  <r>
    <x v="4"/>
    <x v="53"/>
    <x v="0"/>
    <m/>
    <n v="1.91978"/>
    <n v="1.9577100000000001"/>
    <n v="1.9387449999999999"/>
    <n v="379.3"/>
  </r>
  <r>
    <x v="4"/>
    <x v="53"/>
    <x v="0"/>
    <m/>
    <n v="1.91978"/>
    <n v="1.9577100000000001"/>
    <n v="1.9387449999999999"/>
    <n v="379.3"/>
  </r>
  <r>
    <x v="4"/>
    <x v="53"/>
    <x v="0"/>
    <m/>
    <n v="1.91978"/>
    <n v="1.9577100000000001"/>
    <n v="1.9387449999999999"/>
    <n v="379.3"/>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3"/>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2"/>
    <m/>
    <n v="101.333"/>
    <n v="103.321"/>
    <n v="102.327"/>
    <n v="198.8"/>
  </r>
  <r>
    <x v="4"/>
    <x v="54"/>
    <x v="2"/>
    <m/>
    <n v="101.333"/>
    <n v="103.321"/>
    <n v="102.327"/>
    <n v="198.8"/>
  </r>
  <r>
    <x v="4"/>
    <x v="54"/>
    <x v="2"/>
    <m/>
    <n v="101.333"/>
    <n v="103.321"/>
    <n v="102.327"/>
    <n v="198.8"/>
  </r>
  <r>
    <x v="4"/>
    <x v="54"/>
    <x v="2"/>
    <m/>
    <n v="101.333"/>
    <n v="103.321"/>
    <n v="102.327"/>
    <n v="198.8"/>
  </r>
  <r>
    <x v="4"/>
    <x v="54"/>
    <x v="2"/>
    <m/>
    <n v="101.333"/>
    <n v="103.321"/>
    <n v="102.327"/>
    <n v="198.8"/>
  </r>
  <r>
    <x v="4"/>
    <x v="54"/>
    <x v="2"/>
    <m/>
    <n v="101.333"/>
    <n v="103.321"/>
    <n v="102.327"/>
    <n v="198.8"/>
  </r>
  <r>
    <x v="4"/>
    <x v="54"/>
    <x v="2"/>
    <m/>
    <n v="101.333"/>
    <n v="103.321"/>
    <n v="102.327"/>
    <n v="198.8"/>
  </r>
  <r>
    <x v="4"/>
    <x v="54"/>
    <x v="2"/>
    <m/>
    <n v="101.333"/>
    <n v="103.321"/>
    <n v="102.327"/>
    <n v="198.8"/>
  </r>
  <r>
    <x v="4"/>
    <x v="54"/>
    <x v="2"/>
    <m/>
    <n v="101.333"/>
    <n v="103.321"/>
    <n v="102.327"/>
    <n v="198.8"/>
  </r>
  <r>
    <x v="4"/>
    <x v="54"/>
    <x v="2"/>
    <m/>
    <n v="101.333"/>
    <n v="103.321"/>
    <n v="102.327"/>
    <n v="198.8"/>
  </r>
  <r>
    <x v="4"/>
    <x v="54"/>
    <x v="2"/>
    <m/>
    <n v="101.333"/>
    <n v="103.321"/>
    <n v="102.327"/>
    <n v="198.8"/>
  </r>
  <r>
    <x v="4"/>
    <x v="54"/>
    <x v="2"/>
    <m/>
    <n v="101.333"/>
    <n v="103.321"/>
    <n v="102.327"/>
    <n v="198.8"/>
  </r>
  <r>
    <x v="4"/>
    <x v="54"/>
    <x v="2"/>
    <m/>
    <n v="101.333"/>
    <n v="103.321"/>
    <n v="102.327"/>
    <n v="198.8"/>
  </r>
  <r>
    <x v="4"/>
    <x v="54"/>
    <x v="2"/>
    <m/>
    <n v="101.333"/>
    <n v="103.321"/>
    <n v="102.327"/>
    <n v="198.8"/>
  </r>
  <r>
    <x v="4"/>
    <x v="54"/>
    <x v="2"/>
    <m/>
    <n v="101.333"/>
    <n v="103.321"/>
    <n v="102.327"/>
    <n v="198.8"/>
  </r>
  <r>
    <x v="4"/>
    <x v="54"/>
    <x v="2"/>
    <m/>
    <n v="101.333"/>
    <n v="103.321"/>
    <n v="102.327"/>
    <n v="198.8"/>
  </r>
  <r>
    <x v="4"/>
    <x v="54"/>
    <x v="0"/>
    <m/>
    <n v="1.91978"/>
    <n v="1.9577100000000001"/>
    <n v="1.9387449999999999"/>
    <n v="379.3"/>
  </r>
  <r>
    <x v="4"/>
    <x v="54"/>
    <x v="0"/>
    <m/>
    <n v="1.91978"/>
    <n v="1.9577100000000001"/>
    <n v="1.9387449999999999"/>
    <n v="379.3"/>
  </r>
  <r>
    <x v="4"/>
    <x v="54"/>
    <x v="0"/>
    <m/>
    <n v="1.91978"/>
    <n v="1.9577100000000001"/>
    <n v="1.9387449999999999"/>
    <n v="379.3"/>
  </r>
  <r>
    <x v="4"/>
    <x v="54"/>
    <x v="0"/>
    <m/>
    <n v="1.91978"/>
    <n v="1.9577100000000001"/>
    <n v="1.9387449999999999"/>
    <n v="379.3"/>
  </r>
  <r>
    <x v="4"/>
    <x v="54"/>
    <x v="0"/>
    <m/>
    <n v="1.91978"/>
    <n v="1.9577100000000001"/>
    <n v="1.9387449999999999"/>
    <n v="379.3"/>
  </r>
  <r>
    <x v="4"/>
    <x v="54"/>
    <x v="0"/>
    <m/>
    <n v="1.91978"/>
    <n v="1.9577100000000001"/>
    <n v="1.9387449999999999"/>
    <n v="379.3"/>
  </r>
  <r>
    <x v="4"/>
    <x v="54"/>
    <x v="0"/>
    <m/>
    <n v="1.91978"/>
    <n v="1.9577100000000001"/>
    <n v="1.9387449999999999"/>
    <n v="379.3"/>
  </r>
  <r>
    <x v="4"/>
    <x v="54"/>
    <x v="0"/>
    <m/>
    <n v="1.91978"/>
    <n v="1.9577100000000001"/>
    <n v="1.9387449999999999"/>
    <n v="379.3"/>
  </r>
  <r>
    <x v="4"/>
    <x v="54"/>
    <x v="0"/>
    <m/>
    <n v="1.91978"/>
    <n v="1.9577100000000001"/>
    <n v="1.9387449999999999"/>
    <n v="379.3"/>
  </r>
  <r>
    <x v="4"/>
    <x v="54"/>
    <x v="0"/>
    <m/>
    <n v="1.91978"/>
    <n v="1.9577100000000001"/>
    <n v="1.9387449999999999"/>
    <n v="379.3"/>
  </r>
  <r>
    <x v="4"/>
    <x v="54"/>
    <x v="0"/>
    <m/>
    <n v="1.91978"/>
    <n v="1.9577100000000001"/>
    <n v="1.9387449999999999"/>
    <n v="379.3"/>
  </r>
  <r>
    <x v="4"/>
    <x v="54"/>
    <x v="0"/>
    <m/>
    <n v="1.91978"/>
    <n v="1.9577100000000001"/>
    <n v="1.9387449999999999"/>
    <n v="379.3"/>
  </r>
  <r>
    <x v="4"/>
    <x v="54"/>
    <x v="0"/>
    <m/>
    <n v="1.91978"/>
    <n v="1.9577100000000001"/>
    <n v="1.9387449999999999"/>
    <n v="379.3"/>
  </r>
  <r>
    <x v="4"/>
    <x v="54"/>
    <x v="0"/>
    <m/>
    <n v="1.91978"/>
    <n v="1.9577100000000001"/>
    <n v="1.9387449999999999"/>
    <n v="379.3"/>
  </r>
  <r>
    <x v="4"/>
    <x v="54"/>
    <x v="0"/>
    <m/>
    <n v="1.91978"/>
    <n v="1.9577100000000001"/>
    <n v="1.9387449999999999"/>
    <n v="379.3"/>
  </r>
  <r>
    <x v="4"/>
    <x v="54"/>
    <x v="0"/>
    <m/>
    <n v="1.91978"/>
    <n v="1.9577100000000001"/>
    <n v="1.9387449999999999"/>
    <n v="379.3"/>
  </r>
  <r>
    <x v="4"/>
    <x v="54"/>
    <x v="0"/>
    <m/>
    <n v="1.91978"/>
    <n v="1.9577100000000001"/>
    <n v="1.9387449999999999"/>
    <n v="379.3"/>
  </r>
  <r>
    <x v="4"/>
    <x v="54"/>
    <x v="0"/>
    <m/>
    <n v="1.91978"/>
    <n v="1.9577100000000001"/>
    <n v="1.9387449999999999"/>
    <n v="379.3"/>
  </r>
  <r>
    <x v="4"/>
    <x v="54"/>
    <x v="0"/>
    <m/>
    <n v="1.91978"/>
    <n v="1.9577100000000001"/>
    <n v="1.9387449999999999"/>
    <n v="379.3"/>
  </r>
  <r>
    <x v="4"/>
    <x v="54"/>
    <x v="0"/>
    <m/>
    <n v="1.91978"/>
    <n v="1.9577100000000001"/>
    <n v="1.9387449999999999"/>
    <n v="379.3"/>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4"/>
    <x v="7"/>
    <m/>
    <n v="1.47411"/>
    <n v="1.5420799999999999"/>
    <n v="1.508095"/>
    <n v="679.7"/>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2"/>
    <m/>
    <n v="101.333"/>
    <n v="103.321"/>
    <n v="102.327"/>
    <n v="198.8"/>
  </r>
  <r>
    <x v="4"/>
    <x v="55"/>
    <x v="2"/>
    <m/>
    <n v="101.333"/>
    <n v="103.321"/>
    <n v="102.327"/>
    <n v="198.8"/>
  </r>
  <r>
    <x v="4"/>
    <x v="55"/>
    <x v="2"/>
    <m/>
    <n v="101.333"/>
    <n v="103.321"/>
    <n v="102.327"/>
    <n v="198.8"/>
  </r>
  <r>
    <x v="4"/>
    <x v="55"/>
    <x v="2"/>
    <m/>
    <n v="101.333"/>
    <n v="103.321"/>
    <n v="102.327"/>
    <n v="198.8"/>
  </r>
  <r>
    <x v="4"/>
    <x v="55"/>
    <x v="2"/>
    <m/>
    <n v="101.333"/>
    <n v="103.321"/>
    <n v="102.327"/>
    <n v="198.8"/>
  </r>
  <r>
    <x v="4"/>
    <x v="55"/>
    <x v="2"/>
    <m/>
    <n v="101.333"/>
    <n v="103.321"/>
    <n v="102.327"/>
    <n v="198.8"/>
  </r>
  <r>
    <x v="4"/>
    <x v="55"/>
    <x v="2"/>
    <m/>
    <n v="101.333"/>
    <n v="103.321"/>
    <n v="102.327"/>
    <n v="198.8"/>
  </r>
  <r>
    <x v="4"/>
    <x v="55"/>
    <x v="2"/>
    <m/>
    <n v="101.333"/>
    <n v="103.321"/>
    <n v="102.327"/>
    <n v="198.8"/>
  </r>
  <r>
    <x v="4"/>
    <x v="55"/>
    <x v="2"/>
    <m/>
    <n v="101.333"/>
    <n v="103.321"/>
    <n v="102.327"/>
    <n v="198.8"/>
  </r>
  <r>
    <x v="4"/>
    <x v="55"/>
    <x v="2"/>
    <m/>
    <n v="101.333"/>
    <n v="103.321"/>
    <n v="102.327"/>
    <n v="198.8"/>
  </r>
  <r>
    <x v="4"/>
    <x v="55"/>
    <x v="2"/>
    <m/>
    <n v="101.333"/>
    <n v="103.321"/>
    <n v="102.327"/>
    <n v="198.8"/>
  </r>
  <r>
    <x v="4"/>
    <x v="55"/>
    <x v="2"/>
    <m/>
    <n v="101.333"/>
    <n v="103.321"/>
    <n v="102.327"/>
    <n v="198.8"/>
  </r>
  <r>
    <x v="4"/>
    <x v="55"/>
    <x v="2"/>
    <m/>
    <n v="101.333"/>
    <n v="103.321"/>
    <n v="102.327"/>
    <n v="198.8"/>
  </r>
  <r>
    <x v="4"/>
    <x v="55"/>
    <x v="2"/>
    <m/>
    <n v="101.333"/>
    <n v="103.321"/>
    <n v="102.327"/>
    <n v="198.8"/>
  </r>
  <r>
    <x v="4"/>
    <x v="55"/>
    <x v="2"/>
    <m/>
    <n v="101.333"/>
    <n v="103.321"/>
    <n v="102.327"/>
    <n v="198.8"/>
  </r>
  <r>
    <x v="4"/>
    <x v="55"/>
    <x v="2"/>
    <m/>
    <n v="101.333"/>
    <n v="103.321"/>
    <n v="102.327"/>
    <n v="198.8"/>
  </r>
  <r>
    <x v="4"/>
    <x v="55"/>
    <x v="0"/>
    <m/>
    <n v="1.91978"/>
    <n v="1.9577100000000001"/>
    <n v="1.9387449999999999"/>
    <n v="379.3"/>
  </r>
  <r>
    <x v="4"/>
    <x v="55"/>
    <x v="0"/>
    <m/>
    <n v="1.91978"/>
    <n v="1.9577100000000001"/>
    <n v="1.9387449999999999"/>
    <n v="379.3"/>
  </r>
  <r>
    <x v="4"/>
    <x v="55"/>
    <x v="0"/>
    <m/>
    <n v="1.91978"/>
    <n v="1.9577100000000001"/>
    <n v="1.9387449999999999"/>
    <n v="379.3"/>
  </r>
  <r>
    <x v="4"/>
    <x v="55"/>
    <x v="0"/>
    <m/>
    <n v="1.91978"/>
    <n v="1.9577100000000001"/>
    <n v="1.9387449999999999"/>
    <n v="379.3"/>
  </r>
  <r>
    <x v="4"/>
    <x v="55"/>
    <x v="0"/>
    <m/>
    <n v="1.91978"/>
    <n v="1.9577100000000001"/>
    <n v="1.9387449999999999"/>
    <n v="379.3"/>
  </r>
  <r>
    <x v="4"/>
    <x v="55"/>
    <x v="0"/>
    <m/>
    <n v="1.91978"/>
    <n v="1.9577100000000001"/>
    <n v="1.9387449999999999"/>
    <n v="379.3"/>
  </r>
  <r>
    <x v="4"/>
    <x v="55"/>
    <x v="0"/>
    <m/>
    <n v="1.91978"/>
    <n v="1.9577100000000001"/>
    <n v="1.9387449999999999"/>
    <n v="379.3"/>
  </r>
  <r>
    <x v="4"/>
    <x v="55"/>
    <x v="0"/>
    <m/>
    <n v="1.91978"/>
    <n v="1.9577100000000001"/>
    <n v="1.9387449999999999"/>
    <n v="379.3"/>
  </r>
  <r>
    <x v="4"/>
    <x v="55"/>
    <x v="0"/>
    <m/>
    <n v="1.91978"/>
    <n v="1.9577100000000001"/>
    <n v="1.9387449999999999"/>
    <n v="379.3"/>
  </r>
  <r>
    <x v="4"/>
    <x v="55"/>
    <x v="0"/>
    <m/>
    <n v="1.91978"/>
    <n v="1.9577100000000001"/>
    <n v="1.9387449999999999"/>
    <n v="379.3"/>
  </r>
  <r>
    <x v="4"/>
    <x v="55"/>
    <x v="0"/>
    <m/>
    <n v="1.91978"/>
    <n v="1.9577100000000001"/>
    <n v="1.9387449999999999"/>
    <n v="379.3"/>
  </r>
  <r>
    <x v="4"/>
    <x v="55"/>
    <x v="0"/>
    <m/>
    <n v="1.91978"/>
    <n v="1.9577100000000001"/>
    <n v="1.9387449999999999"/>
    <n v="379.3"/>
  </r>
  <r>
    <x v="4"/>
    <x v="55"/>
    <x v="0"/>
    <m/>
    <n v="1.91978"/>
    <n v="1.9577100000000001"/>
    <n v="1.9387449999999999"/>
    <n v="379.3"/>
  </r>
  <r>
    <x v="4"/>
    <x v="55"/>
    <x v="0"/>
    <m/>
    <n v="1.91978"/>
    <n v="1.9577100000000001"/>
    <n v="1.9387449999999999"/>
    <n v="379.3"/>
  </r>
  <r>
    <x v="4"/>
    <x v="55"/>
    <x v="0"/>
    <m/>
    <n v="1.91978"/>
    <n v="1.9577100000000001"/>
    <n v="1.9387449999999999"/>
    <n v="379.3"/>
  </r>
  <r>
    <x v="4"/>
    <x v="55"/>
    <x v="0"/>
    <m/>
    <n v="1.91978"/>
    <n v="1.9577100000000001"/>
    <n v="1.9387449999999999"/>
    <n v="379.3"/>
  </r>
  <r>
    <x v="4"/>
    <x v="55"/>
    <x v="0"/>
    <m/>
    <n v="1.91978"/>
    <n v="1.9577100000000001"/>
    <n v="1.9387449999999999"/>
    <n v="379.3"/>
  </r>
  <r>
    <x v="4"/>
    <x v="55"/>
    <x v="0"/>
    <m/>
    <n v="1.91978"/>
    <n v="1.9577100000000001"/>
    <n v="1.9387449999999999"/>
    <n v="379.3"/>
  </r>
  <r>
    <x v="4"/>
    <x v="55"/>
    <x v="0"/>
    <m/>
    <n v="1.91978"/>
    <n v="1.9577100000000001"/>
    <n v="1.9387449999999999"/>
    <n v="379.3"/>
  </r>
  <r>
    <x v="4"/>
    <x v="55"/>
    <x v="0"/>
    <m/>
    <n v="1.91978"/>
    <n v="1.9577100000000001"/>
    <n v="1.9387449999999999"/>
    <n v="379.3"/>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5"/>
    <x v="7"/>
    <m/>
    <n v="1.4691799999999999"/>
    <n v="1.5420799999999999"/>
    <n v="1.50563"/>
    <n v="729"/>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2"/>
    <m/>
    <n v="101.333"/>
    <n v="103.321"/>
    <n v="102.327"/>
    <n v="198.8"/>
  </r>
  <r>
    <x v="4"/>
    <x v="56"/>
    <x v="2"/>
    <m/>
    <n v="101.333"/>
    <n v="103.321"/>
    <n v="102.327"/>
    <n v="198.8"/>
  </r>
  <r>
    <x v="4"/>
    <x v="56"/>
    <x v="2"/>
    <m/>
    <n v="101.333"/>
    <n v="103.321"/>
    <n v="102.327"/>
    <n v="198.8"/>
  </r>
  <r>
    <x v="4"/>
    <x v="56"/>
    <x v="2"/>
    <m/>
    <n v="101.333"/>
    <n v="103.321"/>
    <n v="102.327"/>
    <n v="198.8"/>
  </r>
  <r>
    <x v="4"/>
    <x v="56"/>
    <x v="2"/>
    <m/>
    <n v="101.333"/>
    <n v="103.321"/>
    <n v="102.327"/>
    <n v="198.8"/>
  </r>
  <r>
    <x v="4"/>
    <x v="56"/>
    <x v="2"/>
    <m/>
    <n v="101.333"/>
    <n v="103.321"/>
    <n v="102.327"/>
    <n v="198.8"/>
  </r>
  <r>
    <x v="4"/>
    <x v="56"/>
    <x v="2"/>
    <m/>
    <n v="101.333"/>
    <n v="103.321"/>
    <n v="102.327"/>
    <n v="198.8"/>
  </r>
  <r>
    <x v="4"/>
    <x v="56"/>
    <x v="2"/>
    <m/>
    <n v="101.333"/>
    <n v="103.321"/>
    <n v="102.327"/>
    <n v="198.8"/>
  </r>
  <r>
    <x v="4"/>
    <x v="56"/>
    <x v="2"/>
    <m/>
    <n v="101.333"/>
    <n v="103.321"/>
    <n v="102.327"/>
    <n v="198.8"/>
  </r>
  <r>
    <x v="4"/>
    <x v="56"/>
    <x v="2"/>
    <m/>
    <n v="101.333"/>
    <n v="103.321"/>
    <n v="102.327"/>
    <n v="198.8"/>
  </r>
  <r>
    <x v="4"/>
    <x v="56"/>
    <x v="2"/>
    <m/>
    <n v="101.333"/>
    <n v="103.321"/>
    <n v="102.327"/>
    <n v="198.8"/>
  </r>
  <r>
    <x v="4"/>
    <x v="56"/>
    <x v="2"/>
    <m/>
    <n v="101.333"/>
    <n v="103.321"/>
    <n v="102.327"/>
    <n v="198.8"/>
  </r>
  <r>
    <x v="4"/>
    <x v="56"/>
    <x v="2"/>
    <m/>
    <n v="101.333"/>
    <n v="103.321"/>
    <n v="102.327"/>
    <n v="198.8"/>
  </r>
  <r>
    <x v="4"/>
    <x v="56"/>
    <x v="2"/>
    <m/>
    <n v="101.333"/>
    <n v="103.321"/>
    <n v="102.327"/>
    <n v="198.8"/>
  </r>
  <r>
    <x v="4"/>
    <x v="56"/>
    <x v="2"/>
    <m/>
    <n v="101.333"/>
    <n v="103.321"/>
    <n v="102.327"/>
    <n v="198.8"/>
  </r>
  <r>
    <x v="4"/>
    <x v="56"/>
    <x v="2"/>
    <m/>
    <n v="101.333"/>
    <n v="103.321"/>
    <n v="102.327"/>
    <n v="198.8"/>
  </r>
  <r>
    <x v="4"/>
    <x v="56"/>
    <x v="0"/>
    <m/>
    <n v="1.91978"/>
    <n v="1.9577100000000001"/>
    <n v="1.9387449999999999"/>
    <n v="379.3"/>
  </r>
  <r>
    <x v="4"/>
    <x v="56"/>
    <x v="0"/>
    <m/>
    <n v="1.91978"/>
    <n v="1.9577100000000001"/>
    <n v="1.9387449999999999"/>
    <n v="379.3"/>
  </r>
  <r>
    <x v="4"/>
    <x v="56"/>
    <x v="0"/>
    <m/>
    <n v="1.91978"/>
    <n v="1.9577100000000001"/>
    <n v="1.9387449999999999"/>
    <n v="379.3"/>
  </r>
  <r>
    <x v="4"/>
    <x v="56"/>
    <x v="0"/>
    <m/>
    <n v="1.91978"/>
    <n v="1.9577100000000001"/>
    <n v="1.9387449999999999"/>
    <n v="379.3"/>
  </r>
  <r>
    <x v="4"/>
    <x v="56"/>
    <x v="0"/>
    <m/>
    <n v="1.91978"/>
    <n v="1.9577100000000001"/>
    <n v="1.9387449999999999"/>
    <n v="379.3"/>
  </r>
  <r>
    <x v="4"/>
    <x v="56"/>
    <x v="0"/>
    <m/>
    <n v="1.91978"/>
    <n v="1.9577100000000001"/>
    <n v="1.9387449999999999"/>
    <n v="379.3"/>
  </r>
  <r>
    <x v="4"/>
    <x v="56"/>
    <x v="0"/>
    <m/>
    <n v="1.91978"/>
    <n v="1.9577100000000001"/>
    <n v="1.9387449999999999"/>
    <n v="379.3"/>
  </r>
  <r>
    <x v="4"/>
    <x v="56"/>
    <x v="0"/>
    <m/>
    <n v="1.91978"/>
    <n v="1.9577100000000001"/>
    <n v="1.9387449999999999"/>
    <n v="379.3"/>
  </r>
  <r>
    <x v="4"/>
    <x v="56"/>
    <x v="0"/>
    <m/>
    <n v="1.91978"/>
    <n v="1.9577100000000001"/>
    <n v="1.9387449999999999"/>
    <n v="379.3"/>
  </r>
  <r>
    <x v="4"/>
    <x v="56"/>
    <x v="0"/>
    <m/>
    <n v="1.91978"/>
    <n v="1.9577100000000001"/>
    <n v="1.9387449999999999"/>
    <n v="379.3"/>
  </r>
  <r>
    <x v="4"/>
    <x v="56"/>
    <x v="0"/>
    <m/>
    <n v="1.91978"/>
    <n v="1.9577100000000001"/>
    <n v="1.9387449999999999"/>
    <n v="379.3"/>
  </r>
  <r>
    <x v="4"/>
    <x v="56"/>
    <x v="0"/>
    <m/>
    <n v="1.91978"/>
    <n v="1.9577100000000001"/>
    <n v="1.9387449999999999"/>
    <n v="379.3"/>
  </r>
  <r>
    <x v="4"/>
    <x v="56"/>
    <x v="0"/>
    <m/>
    <n v="1.91978"/>
    <n v="1.9577100000000001"/>
    <n v="1.9387449999999999"/>
    <n v="379.3"/>
  </r>
  <r>
    <x v="4"/>
    <x v="56"/>
    <x v="0"/>
    <m/>
    <n v="1.91978"/>
    <n v="1.9577100000000001"/>
    <n v="1.9387449999999999"/>
    <n v="379.3"/>
  </r>
  <r>
    <x v="4"/>
    <x v="56"/>
    <x v="0"/>
    <m/>
    <n v="1.91978"/>
    <n v="1.9577100000000001"/>
    <n v="1.9387449999999999"/>
    <n v="379.3"/>
  </r>
  <r>
    <x v="4"/>
    <x v="56"/>
    <x v="0"/>
    <m/>
    <n v="1.91978"/>
    <n v="1.9577100000000001"/>
    <n v="1.9387449999999999"/>
    <n v="379.3"/>
  </r>
  <r>
    <x v="4"/>
    <x v="56"/>
    <x v="0"/>
    <m/>
    <n v="1.91978"/>
    <n v="1.9577100000000001"/>
    <n v="1.9387449999999999"/>
    <n v="379.3"/>
  </r>
  <r>
    <x v="4"/>
    <x v="56"/>
    <x v="0"/>
    <m/>
    <n v="1.91978"/>
    <n v="1.9577100000000001"/>
    <n v="1.9387449999999999"/>
    <n v="379.3"/>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6"/>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2"/>
    <m/>
    <n v="101.333"/>
    <n v="103.321"/>
    <n v="102.327"/>
    <n v="198.8"/>
  </r>
  <r>
    <x v="4"/>
    <x v="57"/>
    <x v="2"/>
    <m/>
    <n v="101.333"/>
    <n v="103.321"/>
    <n v="102.327"/>
    <n v="198.8"/>
  </r>
  <r>
    <x v="4"/>
    <x v="57"/>
    <x v="2"/>
    <m/>
    <n v="101.333"/>
    <n v="103.321"/>
    <n v="102.327"/>
    <n v="198.8"/>
  </r>
  <r>
    <x v="4"/>
    <x v="57"/>
    <x v="2"/>
    <m/>
    <n v="101.333"/>
    <n v="103.321"/>
    <n v="102.327"/>
    <n v="198.8"/>
  </r>
  <r>
    <x v="4"/>
    <x v="57"/>
    <x v="2"/>
    <m/>
    <n v="101.333"/>
    <n v="103.321"/>
    <n v="102.327"/>
    <n v="198.8"/>
  </r>
  <r>
    <x v="4"/>
    <x v="57"/>
    <x v="2"/>
    <m/>
    <n v="101.333"/>
    <n v="103.321"/>
    <n v="102.327"/>
    <n v="198.8"/>
  </r>
  <r>
    <x v="4"/>
    <x v="57"/>
    <x v="2"/>
    <m/>
    <n v="101.333"/>
    <n v="103.321"/>
    <n v="102.327"/>
    <n v="198.8"/>
  </r>
  <r>
    <x v="4"/>
    <x v="57"/>
    <x v="2"/>
    <m/>
    <n v="101.333"/>
    <n v="103.321"/>
    <n v="102.327"/>
    <n v="198.8"/>
  </r>
  <r>
    <x v="4"/>
    <x v="57"/>
    <x v="2"/>
    <m/>
    <n v="101.333"/>
    <n v="103.321"/>
    <n v="102.327"/>
    <n v="198.8"/>
  </r>
  <r>
    <x v="4"/>
    <x v="57"/>
    <x v="2"/>
    <m/>
    <n v="101.333"/>
    <n v="103.321"/>
    <n v="102.327"/>
    <n v="198.8"/>
  </r>
  <r>
    <x v="4"/>
    <x v="57"/>
    <x v="2"/>
    <m/>
    <n v="101.333"/>
    <n v="103.321"/>
    <n v="102.327"/>
    <n v="198.8"/>
  </r>
  <r>
    <x v="4"/>
    <x v="57"/>
    <x v="2"/>
    <m/>
    <n v="101.333"/>
    <n v="103.321"/>
    <n v="102.327"/>
    <n v="198.8"/>
  </r>
  <r>
    <x v="4"/>
    <x v="57"/>
    <x v="2"/>
    <m/>
    <n v="101.333"/>
    <n v="103.321"/>
    <n v="102.327"/>
    <n v="198.8"/>
  </r>
  <r>
    <x v="4"/>
    <x v="57"/>
    <x v="2"/>
    <m/>
    <n v="101.333"/>
    <n v="103.321"/>
    <n v="102.327"/>
    <n v="198.8"/>
  </r>
  <r>
    <x v="4"/>
    <x v="57"/>
    <x v="2"/>
    <m/>
    <n v="101.333"/>
    <n v="103.321"/>
    <n v="102.327"/>
    <n v="198.8"/>
  </r>
  <r>
    <x v="4"/>
    <x v="57"/>
    <x v="2"/>
    <m/>
    <n v="101.333"/>
    <n v="103.321"/>
    <n v="102.327"/>
    <n v="198.8"/>
  </r>
  <r>
    <x v="4"/>
    <x v="57"/>
    <x v="2"/>
    <m/>
    <n v="101.333"/>
    <n v="103.321"/>
    <n v="102.327"/>
    <n v="198.8"/>
  </r>
  <r>
    <x v="4"/>
    <x v="57"/>
    <x v="0"/>
    <m/>
    <n v="1.91978"/>
    <n v="1.9697800000000001"/>
    <n v="1.94478"/>
    <n v="500"/>
  </r>
  <r>
    <x v="4"/>
    <x v="57"/>
    <x v="0"/>
    <m/>
    <n v="1.91978"/>
    <n v="1.9697800000000001"/>
    <n v="1.94478"/>
    <n v="500"/>
  </r>
  <r>
    <x v="4"/>
    <x v="57"/>
    <x v="0"/>
    <m/>
    <n v="1.91978"/>
    <n v="1.9697800000000001"/>
    <n v="1.94478"/>
    <n v="500"/>
  </r>
  <r>
    <x v="4"/>
    <x v="57"/>
    <x v="0"/>
    <m/>
    <n v="1.91978"/>
    <n v="1.9697800000000001"/>
    <n v="1.94478"/>
    <n v="500"/>
  </r>
  <r>
    <x v="4"/>
    <x v="57"/>
    <x v="0"/>
    <m/>
    <n v="1.91978"/>
    <n v="1.9697800000000001"/>
    <n v="1.94478"/>
    <n v="500"/>
  </r>
  <r>
    <x v="4"/>
    <x v="57"/>
    <x v="0"/>
    <m/>
    <n v="1.91978"/>
    <n v="1.9697800000000001"/>
    <n v="1.94478"/>
    <n v="500"/>
  </r>
  <r>
    <x v="4"/>
    <x v="57"/>
    <x v="0"/>
    <m/>
    <n v="1.91978"/>
    <n v="1.9697800000000001"/>
    <n v="1.94478"/>
    <n v="500"/>
  </r>
  <r>
    <x v="4"/>
    <x v="57"/>
    <x v="0"/>
    <m/>
    <n v="1.91978"/>
    <n v="1.9697800000000001"/>
    <n v="1.94478"/>
    <n v="500"/>
  </r>
  <r>
    <x v="4"/>
    <x v="57"/>
    <x v="0"/>
    <m/>
    <n v="1.91978"/>
    <n v="1.9697800000000001"/>
    <n v="1.94478"/>
    <n v="500"/>
  </r>
  <r>
    <x v="4"/>
    <x v="57"/>
    <x v="0"/>
    <m/>
    <n v="1.91978"/>
    <n v="1.9697800000000001"/>
    <n v="1.94478"/>
    <n v="500"/>
  </r>
  <r>
    <x v="4"/>
    <x v="57"/>
    <x v="0"/>
    <m/>
    <n v="1.91978"/>
    <n v="1.9697800000000001"/>
    <n v="1.94478"/>
    <n v="500"/>
  </r>
  <r>
    <x v="4"/>
    <x v="57"/>
    <x v="0"/>
    <m/>
    <n v="1.91978"/>
    <n v="1.9697800000000001"/>
    <n v="1.94478"/>
    <n v="500"/>
  </r>
  <r>
    <x v="4"/>
    <x v="57"/>
    <x v="0"/>
    <m/>
    <n v="1.91978"/>
    <n v="1.9697800000000001"/>
    <n v="1.94478"/>
    <n v="500"/>
  </r>
  <r>
    <x v="4"/>
    <x v="57"/>
    <x v="0"/>
    <m/>
    <n v="1.91978"/>
    <n v="1.9697800000000001"/>
    <n v="1.94478"/>
    <n v="500"/>
  </r>
  <r>
    <x v="4"/>
    <x v="57"/>
    <x v="0"/>
    <m/>
    <n v="1.91978"/>
    <n v="1.9697800000000001"/>
    <n v="1.94478"/>
    <n v="500"/>
  </r>
  <r>
    <x v="4"/>
    <x v="57"/>
    <x v="0"/>
    <m/>
    <n v="1.91978"/>
    <n v="1.9697800000000001"/>
    <n v="1.94478"/>
    <n v="500"/>
  </r>
  <r>
    <x v="4"/>
    <x v="57"/>
    <x v="0"/>
    <m/>
    <n v="1.91978"/>
    <n v="1.9697800000000001"/>
    <n v="1.94478"/>
    <n v="500"/>
  </r>
  <r>
    <x v="4"/>
    <x v="57"/>
    <x v="0"/>
    <m/>
    <n v="1.91978"/>
    <n v="1.9697800000000001"/>
    <n v="1.94478"/>
    <n v="500"/>
  </r>
  <r>
    <x v="4"/>
    <x v="57"/>
    <x v="0"/>
    <m/>
    <n v="1.91978"/>
    <n v="1.9697800000000001"/>
    <n v="1.94478"/>
    <n v="500"/>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7"/>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2"/>
    <m/>
    <n v="101.333"/>
    <n v="103.321"/>
    <n v="102.327"/>
    <n v="198.8"/>
  </r>
  <r>
    <x v="4"/>
    <x v="58"/>
    <x v="2"/>
    <m/>
    <n v="101.333"/>
    <n v="103.321"/>
    <n v="102.327"/>
    <n v="198.8"/>
  </r>
  <r>
    <x v="4"/>
    <x v="58"/>
    <x v="2"/>
    <m/>
    <n v="101.333"/>
    <n v="103.321"/>
    <n v="102.327"/>
    <n v="198.8"/>
  </r>
  <r>
    <x v="4"/>
    <x v="58"/>
    <x v="2"/>
    <m/>
    <n v="101.333"/>
    <n v="103.321"/>
    <n v="102.327"/>
    <n v="198.8"/>
  </r>
  <r>
    <x v="4"/>
    <x v="58"/>
    <x v="2"/>
    <m/>
    <n v="101.333"/>
    <n v="103.321"/>
    <n v="102.327"/>
    <n v="198.8"/>
  </r>
  <r>
    <x v="4"/>
    <x v="58"/>
    <x v="2"/>
    <m/>
    <n v="101.333"/>
    <n v="103.321"/>
    <n v="102.327"/>
    <n v="198.8"/>
  </r>
  <r>
    <x v="4"/>
    <x v="58"/>
    <x v="2"/>
    <m/>
    <n v="101.333"/>
    <n v="103.321"/>
    <n v="102.327"/>
    <n v="198.8"/>
  </r>
  <r>
    <x v="4"/>
    <x v="58"/>
    <x v="2"/>
    <m/>
    <n v="101.333"/>
    <n v="103.321"/>
    <n v="102.327"/>
    <n v="198.8"/>
  </r>
  <r>
    <x v="4"/>
    <x v="58"/>
    <x v="2"/>
    <m/>
    <n v="101.333"/>
    <n v="103.321"/>
    <n v="102.327"/>
    <n v="198.8"/>
  </r>
  <r>
    <x v="4"/>
    <x v="58"/>
    <x v="2"/>
    <m/>
    <n v="101.333"/>
    <n v="103.321"/>
    <n v="102.327"/>
    <n v="198.8"/>
  </r>
  <r>
    <x v="4"/>
    <x v="58"/>
    <x v="2"/>
    <m/>
    <n v="101.333"/>
    <n v="103.321"/>
    <n v="102.327"/>
    <n v="198.8"/>
  </r>
  <r>
    <x v="4"/>
    <x v="58"/>
    <x v="2"/>
    <m/>
    <n v="101.333"/>
    <n v="103.321"/>
    <n v="102.327"/>
    <n v="198.8"/>
  </r>
  <r>
    <x v="4"/>
    <x v="58"/>
    <x v="2"/>
    <m/>
    <n v="101.333"/>
    <n v="103.321"/>
    <n v="102.327"/>
    <n v="198.8"/>
  </r>
  <r>
    <x v="4"/>
    <x v="58"/>
    <x v="2"/>
    <m/>
    <n v="101.333"/>
    <n v="103.321"/>
    <n v="102.327"/>
    <n v="198.8"/>
  </r>
  <r>
    <x v="4"/>
    <x v="58"/>
    <x v="2"/>
    <m/>
    <n v="101.333"/>
    <n v="103.321"/>
    <n v="102.327"/>
    <n v="198.8"/>
  </r>
  <r>
    <x v="4"/>
    <x v="58"/>
    <x v="2"/>
    <m/>
    <n v="101.333"/>
    <n v="103.321"/>
    <n v="102.327"/>
    <n v="198.8"/>
  </r>
  <r>
    <x v="4"/>
    <x v="58"/>
    <x v="2"/>
    <m/>
    <n v="101.333"/>
    <n v="103.321"/>
    <n v="102.327"/>
    <n v="198.8"/>
  </r>
  <r>
    <x v="4"/>
    <x v="58"/>
    <x v="0"/>
    <m/>
    <n v="1.91978"/>
    <n v="1.9724600000000001"/>
    <n v="1.9461200000000001"/>
    <n v="526.79999999999995"/>
  </r>
  <r>
    <x v="4"/>
    <x v="58"/>
    <x v="0"/>
    <m/>
    <n v="1.91978"/>
    <n v="1.9724600000000001"/>
    <n v="1.9461200000000001"/>
    <n v="526.79999999999995"/>
  </r>
  <r>
    <x v="4"/>
    <x v="58"/>
    <x v="0"/>
    <m/>
    <n v="1.91978"/>
    <n v="1.9724600000000001"/>
    <n v="1.9461200000000001"/>
    <n v="526.79999999999995"/>
  </r>
  <r>
    <x v="4"/>
    <x v="58"/>
    <x v="0"/>
    <m/>
    <n v="1.91978"/>
    <n v="1.9724600000000001"/>
    <n v="1.9461200000000001"/>
    <n v="526.79999999999995"/>
  </r>
  <r>
    <x v="4"/>
    <x v="58"/>
    <x v="0"/>
    <m/>
    <n v="1.91978"/>
    <n v="1.9724600000000001"/>
    <n v="1.9461200000000001"/>
    <n v="526.79999999999995"/>
  </r>
  <r>
    <x v="4"/>
    <x v="58"/>
    <x v="0"/>
    <m/>
    <n v="1.91978"/>
    <n v="1.9724600000000001"/>
    <n v="1.9461200000000001"/>
    <n v="526.79999999999995"/>
  </r>
  <r>
    <x v="4"/>
    <x v="58"/>
    <x v="0"/>
    <m/>
    <n v="1.91978"/>
    <n v="1.9724600000000001"/>
    <n v="1.9461200000000001"/>
    <n v="526.79999999999995"/>
  </r>
  <r>
    <x v="4"/>
    <x v="58"/>
    <x v="0"/>
    <m/>
    <n v="1.91978"/>
    <n v="1.9724600000000001"/>
    <n v="1.9461200000000001"/>
    <n v="526.79999999999995"/>
  </r>
  <r>
    <x v="4"/>
    <x v="58"/>
    <x v="0"/>
    <m/>
    <n v="1.91978"/>
    <n v="1.9724600000000001"/>
    <n v="1.9461200000000001"/>
    <n v="526.79999999999995"/>
  </r>
  <r>
    <x v="4"/>
    <x v="58"/>
    <x v="0"/>
    <m/>
    <n v="1.91978"/>
    <n v="1.9724600000000001"/>
    <n v="1.9461200000000001"/>
    <n v="526.79999999999995"/>
  </r>
  <r>
    <x v="4"/>
    <x v="58"/>
    <x v="0"/>
    <m/>
    <n v="1.91978"/>
    <n v="1.9724600000000001"/>
    <n v="1.9461200000000001"/>
    <n v="526.79999999999995"/>
  </r>
  <r>
    <x v="4"/>
    <x v="58"/>
    <x v="0"/>
    <m/>
    <n v="1.91978"/>
    <n v="1.9724600000000001"/>
    <n v="1.9461200000000001"/>
    <n v="526.79999999999995"/>
  </r>
  <r>
    <x v="4"/>
    <x v="58"/>
    <x v="0"/>
    <m/>
    <n v="1.91978"/>
    <n v="1.9724600000000001"/>
    <n v="1.9461200000000001"/>
    <n v="526.79999999999995"/>
  </r>
  <r>
    <x v="4"/>
    <x v="58"/>
    <x v="0"/>
    <m/>
    <n v="1.91978"/>
    <n v="1.9724600000000001"/>
    <n v="1.9461200000000001"/>
    <n v="526.79999999999995"/>
  </r>
  <r>
    <x v="4"/>
    <x v="58"/>
    <x v="0"/>
    <m/>
    <n v="1.91978"/>
    <n v="1.9724600000000001"/>
    <n v="1.9461200000000001"/>
    <n v="526.79999999999995"/>
  </r>
  <r>
    <x v="4"/>
    <x v="58"/>
    <x v="0"/>
    <m/>
    <n v="1.91978"/>
    <n v="1.9724600000000001"/>
    <n v="1.9461200000000001"/>
    <n v="526.79999999999995"/>
  </r>
  <r>
    <x v="4"/>
    <x v="58"/>
    <x v="0"/>
    <m/>
    <n v="1.91978"/>
    <n v="1.9724600000000001"/>
    <n v="1.9461200000000001"/>
    <n v="526.79999999999995"/>
  </r>
  <r>
    <x v="4"/>
    <x v="58"/>
    <x v="0"/>
    <m/>
    <n v="1.91978"/>
    <n v="1.9724600000000001"/>
    <n v="1.9461200000000001"/>
    <n v="526.79999999999995"/>
  </r>
  <r>
    <x v="4"/>
    <x v="58"/>
    <x v="0"/>
    <m/>
    <n v="1.91978"/>
    <n v="1.9724600000000001"/>
    <n v="1.9461200000000001"/>
    <n v="526.79999999999995"/>
  </r>
  <r>
    <x v="4"/>
    <x v="58"/>
    <x v="0"/>
    <m/>
    <n v="1.91978"/>
    <n v="1.9724600000000001"/>
    <n v="1.9461200000000001"/>
    <n v="526.79999999999995"/>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8"/>
    <x v="7"/>
    <m/>
    <n v="1.4624200000000001"/>
    <n v="1.5420799999999999"/>
    <n v="1.5022500000000001"/>
    <n v="796.6"/>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2"/>
    <m/>
    <n v="100.997"/>
    <n v="104.001"/>
    <n v="102.499"/>
    <n v="300.39999999999998"/>
  </r>
  <r>
    <x v="4"/>
    <x v="59"/>
    <x v="2"/>
    <m/>
    <n v="100.997"/>
    <n v="104.001"/>
    <n v="102.499"/>
    <n v="300.39999999999998"/>
  </r>
  <r>
    <x v="4"/>
    <x v="59"/>
    <x v="2"/>
    <m/>
    <n v="100.997"/>
    <n v="104.001"/>
    <n v="102.499"/>
    <n v="300.39999999999998"/>
  </r>
  <r>
    <x v="4"/>
    <x v="59"/>
    <x v="2"/>
    <m/>
    <n v="100.997"/>
    <n v="104.001"/>
    <n v="102.499"/>
    <n v="300.39999999999998"/>
  </r>
  <r>
    <x v="4"/>
    <x v="59"/>
    <x v="2"/>
    <m/>
    <n v="100.997"/>
    <n v="104.001"/>
    <n v="102.499"/>
    <n v="300.39999999999998"/>
  </r>
  <r>
    <x v="4"/>
    <x v="59"/>
    <x v="2"/>
    <m/>
    <n v="100.997"/>
    <n v="104.001"/>
    <n v="102.499"/>
    <n v="300.39999999999998"/>
  </r>
  <r>
    <x v="4"/>
    <x v="59"/>
    <x v="2"/>
    <m/>
    <n v="100.997"/>
    <n v="104.001"/>
    <n v="102.499"/>
    <n v="300.39999999999998"/>
  </r>
  <r>
    <x v="4"/>
    <x v="59"/>
    <x v="2"/>
    <m/>
    <n v="100.997"/>
    <n v="104.001"/>
    <n v="102.499"/>
    <n v="300.39999999999998"/>
  </r>
  <r>
    <x v="4"/>
    <x v="59"/>
    <x v="2"/>
    <m/>
    <n v="100.997"/>
    <n v="104.001"/>
    <n v="102.499"/>
    <n v="300.39999999999998"/>
  </r>
  <r>
    <x v="4"/>
    <x v="59"/>
    <x v="2"/>
    <m/>
    <n v="100.997"/>
    <n v="104.001"/>
    <n v="102.499"/>
    <n v="300.39999999999998"/>
  </r>
  <r>
    <x v="4"/>
    <x v="59"/>
    <x v="2"/>
    <m/>
    <n v="100.997"/>
    <n v="104.001"/>
    <n v="102.499"/>
    <n v="300.39999999999998"/>
  </r>
  <r>
    <x v="4"/>
    <x v="59"/>
    <x v="2"/>
    <m/>
    <n v="100.997"/>
    <n v="104.001"/>
    <n v="102.499"/>
    <n v="300.39999999999998"/>
  </r>
  <r>
    <x v="4"/>
    <x v="59"/>
    <x v="2"/>
    <m/>
    <n v="100.997"/>
    <n v="104.001"/>
    <n v="102.499"/>
    <n v="300.39999999999998"/>
  </r>
  <r>
    <x v="4"/>
    <x v="59"/>
    <x v="2"/>
    <m/>
    <n v="100.997"/>
    <n v="104.001"/>
    <n v="102.499"/>
    <n v="300.39999999999998"/>
  </r>
  <r>
    <x v="4"/>
    <x v="59"/>
    <x v="2"/>
    <m/>
    <n v="100.997"/>
    <n v="104.001"/>
    <n v="102.499"/>
    <n v="300.39999999999998"/>
  </r>
  <r>
    <x v="4"/>
    <x v="59"/>
    <x v="2"/>
    <m/>
    <n v="100.997"/>
    <n v="104.001"/>
    <n v="102.499"/>
    <n v="300.39999999999998"/>
  </r>
  <r>
    <x v="4"/>
    <x v="59"/>
    <x v="2"/>
    <m/>
    <n v="100.997"/>
    <n v="104.001"/>
    <n v="102.499"/>
    <n v="300.39999999999998"/>
  </r>
  <r>
    <x v="4"/>
    <x v="59"/>
    <x v="0"/>
    <m/>
    <n v="1.9099200000000001"/>
    <n v="1.99"/>
    <n v="1.9499599999999999"/>
    <n v="800.8"/>
  </r>
  <r>
    <x v="4"/>
    <x v="59"/>
    <x v="0"/>
    <m/>
    <n v="1.9099200000000001"/>
    <n v="1.99"/>
    <n v="1.9499599999999999"/>
    <n v="800.8"/>
  </r>
  <r>
    <x v="4"/>
    <x v="59"/>
    <x v="0"/>
    <m/>
    <n v="1.9099200000000001"/>
    <n v="1.99"/>
    <n v="1.9499599999999999"/>
    <n v="800.8"/>
  </r>
  <r>
    <x v="4"/>
    <x v="59"/>
    <x v="0"/>
    <m/>
    <n v="1.9099200000000001"/>
    <n v="1.99"/>
    <n v="1.9499599999999999"/>
    <n v="800.8"/>
  </r>
  <r>
    <x v="4"/>
    <x v="59"/>
    <x v="0"/>
    <m/>
    <n v="1.9099200000000001"/>
    <n v="1.99"/>
    <n v="1.9499599999999999"/>
    <n v="800.8"/>
  </r>
  <r>
    <x v="4"/>
    <x v="59"/>
    <x v="0"/>
    <m/>
    <n v="1.9099200000000001"/>
    <n v="1.99"/>
    <n v="1.9499599999999999"/>
    <n v="800.8"/>
  </r>
  <r>
    <x v="4"/>
    <x v="59"/>
    <x v="0"/>
    <m/>
    <n v="1.9099200000000001"/>
    <n v="1.99"/>
    <n v="1.9499599999999999"/>
    <n v="800.8"/>
  </r>
  <r>
    <x v="4"/>
    <x v="59"/>
    <x v="0"/>
    <m/>
    <n v="1.9099200000000001"/>
    <n v="1.99"/>
    <n v="1.9499599999999999"/>
    <n v="800.8"/>
  </r>
  <r>
    <x v="4"/>
    <x v="59"/>
    <x v="0"/>
    <m/>
    <n v="1.9099200000000001"/>
    <n v="1.99"/>
    <n v="1.9499599999999999"/>
    <n v="800.8"/>
  </r>
  <r>
    <x v="4"/>
    <x v="59"/>
    <x v="0"/>
    <m/>
    <n v="1.9099200000000001"/>
    <n v="1.99"/>
    <n v="1.9499599999999999"/>
    <n v="800.8"/>
  </r>
  <r>
    <x v="4"/>
    <x v="59"/>
    <x v="0"/>
    <m/>
    <n v="1.9099200000000001"/>
    <n v="1.99"/>
    <n v="1.9499599999999999"/>
    <n v="800.8"/>
  </r>
  <r>
    <x v="4"/>
    <x v="59"/>
    <x v="0"/>
    <m/>
    <n v="1.9099200000000001"/>
    <n v="1.99"/>
    <n v="1.9499599999999999"/>
    <n v="800.8"/>
  </r>
  <r>
    <x v="4"/>
    <x v="59"/>
    <x v="0"/>
    <m/>
    <n v="1.9099200000000001"/>
    <n v="1.99"/>
    <n v="1.9499599999999999"/>
    <n v="800.8"/>
  </r>
  <r>
    <x v="4"/>
    <x v="59"/>
    <x v="0"/>
    <m/>
    <n v="1.9099200000000001"/>
    <n v="1.99"/>
    <n v="1.9499599999999999"/>
    <n v="800.8"/>
  </r>
  <r>
    <x v="4"/>
    <x v="59"/>
    <x v="0"/>
    <m/>
    <n v="1.9099200000000001"/>
    <n v="1.99"/>
    <n v="1.9499599999999999"/>
    <n v="800.8"/>
  </r>
  <r>
    <x v="4"/>
    <x v="59"/>
    <x v="0"/>
    <m/>
    <n v="1.9099200000000001"/>
    <n v="1.99"/>
    <n v="1.9499599999999999"/>
    <n v="800.8"/>
  </r>
  <r>
    <x v="4"/>
    <x v="59"/>
    <x v="0"/>
    <m/>
    <n v="1.9099200000000001"/>
    <n v="1.99"/>
    <n v="1.9499599999999999"/>
    <n v="800.8"/>
  </r>
  <r>
    <x v="4"/>
    <x v="59"/>
    <x v="0"/>
    <m/>
    <n v="1.9099200000000001"/>
    <n v="1.99"/>
    <n v="1.9499599999999999"/>
    <n v="800.8"/>
  </r>
  <r>
    <x v="4"/>
    <x v="59"/>
    <x v="0"/>
    <m/>
    <n v="1.9099200000000001"/>
    <n v="1.99"/>
    <n v="1.9499599999999999"/>
    <n v="800.8"/>
  </r>
  <r>
    <x v="4"/>
    <x v="59"/>
    <x v="0"/>
    <m/>
    <n v="1.9099200000000001"/>
    <n v="1.99"/>
    <n v="1.9499599999999999"/>
    <n v="800.8"/>
  </r>
  <r>
    <x v="4"/>
    <x v="59"/>
    <x v="0"/>
    <m/>
    <n v="1.9099200000000001"/>
    <n v="1.99"/>
    <n v="1.9499599999999999"/>
    <n v="800.8"/>
  </r>
  <r>
    <x v="4"/>
    <x v="59"/>
    <x v="0"/>
    <m/>
    <n v="1.9099200000000001"/>
    <n v="1.99"/>
    <n v="1.9499599999999999"/>
    <n v="800.8"/>
  </r>
  <r>
    <x v="4"/>
    <x v="59"/>
    <x v="0"/>
    <m/>
    <n v="1.9099200000000001"/>
    <n v="1.99"/>
    <n v="1.9499599999999999"/>
    <n v="800.8"/>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59"/>
    <x v="7"/>
    <m/>
    <n v="1.4519899999999999"/>
    <n v="1.5540099999999999"/>
    <n v="1.5029999999999999"/>
    <n v="1020.2"/>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2"/>
    <m/>
    <n v="100.997"/>
    <n v="104.001"/>
    <n v="102.499"/>
    <n v="300.39999999999998"/>
  </r>
  <r>
    <x v="4"/>
    <x v="25"/>
    <x v="2"/>
    <m/>
    <n v="100.997"/>
    <n v="104.001"/>
    <n v="102.499"/>
    <n v="300.39999999999998"/>
  </r>
  <r>
    <x v="4"/>
    <x v="25"/>
    <x v="2"/>
    <m/>
    <n v="100.997"/>
    <n v="104.001"/>
    <n v="102.499"/>
    <n v="300.39999999999998"/>
  </r>
  <r>
    <x v="4"/>
    <x v="25"/>
    <x v="2"/>
    <m/>
    <n v="100.997"/>
    <n v="104.001"/>
    <n v="102.499"/>
    <n v="300.39999999999998"/>
  </r>
  <r>
    <x v="4"/>
    <x v="25"/>
    <x v="2"/>
    <m/>
    <n v="100.997"/>
    <n v="104.001"/>
    <n v="102.499"/>
    <n v="300.39999999999998"/>
  </r>
  <r>
    <x v="4"/>
    <x v="25"/>
    <x v="2"/>
    <m/>
    <n v="100.997"/>
    <n v="104.001"/>
    <n v="102.499"/>
    <n v="300.39999999999998"/>
  </r>
  <r>
    <x v="4"/>
    <x v="25"/>
    <x v="2"/>
    <m/>
    <n v="100.997"/>
    <n v="104.001"/>
    <n v="102.499"/>
    <n v="300.39999999999998"/>
  </r>
  <r>
    <x v="4"/>
    <x v="25"/>
    <x v="2"/>
    <m/>
    <n v="100.997"/>
    <n v="104.001"/>
    <n v="102.499"/>
    <n v="300.39999999999998"/>
  </r>
  <r>
    <x v="4"/>
    <x v="25"/>
    <x v="2"/>
    <m/>
    <n v="100.997"/>
    <n v="104.001"/>
    <n v="102.499"/>
    <n v="300.39999999999998"/>
  </r>
  <r>
    <x v="4"/>
    <x v="25"/>
    <x v="2"/>
    <m/>
    <n v="100.997"/>
    <n v="104.001"/>
    <n v="102.499"/>
    <n v="300.39999999999998"/>
  </r>
  <r>
    <x v="4"/>
    <x v="25"/>
    <x v="2"/>
    <m/>
    <n v="100.997"/>
    <n v="104.001"/>
    <n v="102.499"/>
    <n v="300.39999999999998"/>
  </r>
  <r>
    <x v="4"/>
    <x v="25"/>
    <x v="2"/>
    <m/>
    <n v="100.997"/>
    <n v="104.001"/>
    <n v="102.499"/>
    <n v="300.39999999999998"/>
  </r>
  <r>
    <x v="4"/>
    <x v="25"/>
    <x v="2"/>
    <m/>
    <n v="100.997"/>
    <n v="104.001"/>
    <n v="102.499"/>
    <n v="300.39999999999998"/>
  </r>
  <r>
    <x v="4"/>
    <x v="25"/>
    <x v="2"/>
    <m/>
    <n v="100.997"/>
    <n v="104.001"/>
    <n v="102.499"/>
    <n v="300.39999999999998"/>
  </r>
  <r>
    <x v="4"/>
    <x v="25"/>
    <x v="2"/>
    <m/>
    <n v="100.997"/>
    <n v="104.001"/>
    <n v="102.499"/>
    <n v="300.39999999999998"/>
  </r>
  <r>
    <x v="4"/>
    <x v="25"/>
    <x v="2"/>
    <m/>
    <n v="100.997"/>
    <n v="104.001"/>
    <n v="102.499"/>
    <n v="300.39999999999998"/>
  </r>
  <r>
    <x v="4"/>
    <x v="25"/>
    <x v="2"/>
    <m/>
    <n v="100.997"/>
    <n v="104.001"/>
    <n v="102.499"/>
    <n v="300.39999999999998"/>
  </r>
  <r>
    <x v="4"/>
    <x v="25"/>
    <x v="0"/>
    <m/>
    <n v="1.9099200000000001"/>
    <n v="1.99"/>
    <n v="1.9499599999999999"/>
    <n v="800.8"/>
  </r>
  <r>
    <x v="4"/>
    <x v="25"/>
    <x v="0"/>
    <m/>
    <n v="1.9099200000000001"/>
    <n v="1.99"/>
    <n v="1.9499599999999999"/>
    <n v="800.8"/>
  </r>
  <r>
    <x v="4"/>
    <x v="25"/>
    <x v="0"/>
    <m/>
    <n v="1.9099200000000001"/>
    <n v="1.99"/>
    <n v="1.9499599999999999"/>
    <n v="800.8"/>
  </r>
  <r>
    <x v="4"/>
    <x v="25"/>
    <x v="0"/>
    <m/>
    <n v="1.9099200000000001"/>
    <n v="1.99"/>
    <n v="1.9499599999999999"/>
    <n v="800.8"/>
  </r>
  <r>
    <x v="4"/>
    <x v="25"/>
    <x v="0"/>
    <m/>
    <n v="1.9099200000000001"/>
    <n v="1.99"/>
    <n v="1.9499599999999999"/>
    <n v="800.8"/>
  </r>
  <r>
    <x v="4"/>
    <x v="25"/>
    <x v="0"/>
    <m/>
    <n v="1.9099200000000001"/>
    <n v="1.99"/>
    <n v="1.9499599999999999"/>
    <n v="800.8"/>
  </r>
  <r>
    <x v="4"/>
    <x v="25"/>
    <x v="0"/>
    <m/>
    <n v="1.9099200000000001"/>
    <n v="1.99"/>
    <n v="1.9499599999999999"/>
    <n v="800.8"/>
  </r>
  <r>
    <x v="4"/>
    <x v="25"/>
    <x v="0"/>
    <m/>
    <n v="1.9099200000000001"/>
    <n v="1.99"/>
    <n v="1.9499599999999999"/>
    <n v="800.8"/>
  </r>
  <r>
    <x v="4"/>
    <x v="25"/>
    <x v="0"/>
    <m/>
    <n v="1.9099200000000001"/>
    <n v="1.99"/>
    <n v="1.9499599999999999"/>
    <n v="800.8"/>
  </r>
  <r>
    <x v="4"/>
    <x v="25"/>
    <x v="0"/>
    <m/>
    <n v="1.9099200000000001"/>
    <n v="1.99"/>
    <n v="1.9499599999999999"/>
    <n v="800.8"/>
  </r>
  <r>
    <x v="4"/>
    <x v="25"/>
    <x v="0"/>
    <m/>
    <n v="1.9099200000000001"/>
    <n v="1.99"/>
    <n v="1.9499599999999999"/>
    <n v="800.8"/>
  </r>
  <r>
    <x v="4"/>
    <x v="25"/>
    <x v="0"/>
    <m/>
    <n v="1.9099200000000001"/>
    <n v="1.99"/>
    <n v="1.9499599999999999"/>
    <n v="800.8"/>
  </r>
  <r>
    <x v="4"/>
    <x v="25"/>
    <x v="0"/>
    <m/>
    <n v="1.9099200000000001"/>
    <n v="1.99"/>
    <n v="1.9499599999999999"/>
    <n v="800.8"/>
  </r>
  <r>
    <x v="4"/>
    <x v="25"/>
    <x v="0"/>
    <m/>
    <n v="1.9099200000000001"/>
    <n v="1.99"/>
    <n v="1.9499599999999999"/>
    <n v="800.8"/>
  </r>
  <r>
    <x v="4"/>
    <x v="25"/>
    <x v="0"/>
    <m/>
    <n v="1.9099200000000001"/>
    <n v="1.99"/>
    <n v="1.9499599999999999"/>
    <n v="800.8"/>
  </r>
  <r>
    <x v="4"/>
    <x v="25"/>
    <x v="0"/>
    <m/>
    <n v="1.9099200000000001"/>
    <n v="1.99"/>
    <n v="1.9499599999999999"/>
    <n v="800.8"/>
  </r>
  <r>
    <x v="4"/>
    <x v="25"/>
    <x v="0"/>
    <m/>
    <n v="1.9099200000000001"/>
    <n v="1.99"/>
    <n v="1.9499599999999999"/>
    <n v="800.8"/>
  </r>
  <r>
    <x v="4"/>
    <x v="25"/>
    <x v="0"/>
    <m/>
    <n v="1.9099200000000001"/>
    <n v="1.99"/>
    <n v="1.9499599999999999"/>
    <n v="800.8"/>
  </r>
  <r>
    <x v="4"/>
    <x v="25"/>
    <x v="0"/>
    <m/>
    <n v="1.9099200000000001"/>
    <n v="1.99"/>
    <n v="1.9499599999999999"/>
    <n v="800.8"/>
  </r>
  <r>
    <x v="4"/>
    <x v="25"/>
    <x v="0"/>
    <m/>
    <n v="1.9099200000000001"/>
    <n v="1.99"/>
    <n v="1.9499599999999999"/>
    <n v="800.8"/>
  </r>
  <r>
    <x v="4"/>
    <x v="25"/>
    <x v="0"/>
    <m/>
    <n v="1.9099200000000001"/>
    <n v="1.99"/>
    <n v="1.9499599999999999"/>
    <n v="800.8"/>
  </r>
  <r>
    <x v="4"/>
    <x v="25"/>
    <x v="0"/>
    <m/>
    <n v="1.9099200000000001"/>
    <n v="1.99"/>
    <n v="1.9499599999999999"/>
    <n v="800.8"/>
  </r>
  <r>
    <x v="4"/>
    <x v="25"/>
    <x v="0"/>
    <m/>
    <n v="1.9099200000000001"/>
    <n v="1.99"/>
    <n v="1.9499599999999999"/>
    <n v="800.8"/>
  </r>
  <r>
    <x v="4"/>
    <x v="25"/>
    <x v="0"/>
    <m/>
    <n v="1.9099200000000001"/>
    <n v="1.99"/>
    <n v="1.9499599999999999"/>
    <n v="800.8"/>
  </r>
  <r>
    <x v="4"/>
    <x v="25"/>
    <x v="0"/>
    <m/>
    <n v="1.9099200000000001"/>
    <n v="1.99"/>
    <n v="1.9499599999999999"/>
    <n v="800.8"/>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25"/>
    <x v="7"/>
    <m/>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2"/>
    <n v="102.05"/>
    <n v="100.997"/>
    <n v="104.001"/>
    <n v="102.499"/>
    <n v="300.39999999999998"/>
  </r>
  <r>
    <x v="4"/>
    <x v="60"/>
    <x v="2"/>
    <n v="102.05"/>
    <n v="100.997"/>
    <n v="104.001"/>
    <n v="102.499"/>
    <n v="300.39999999999998"/>
  </r>
  <r>
    <x v="4"/>
    <x v="60"/>
    <x v="2"/>
    <n v="102.05"/>
    <n v="100.997"/>
    <n v="104.001"/>
    <n v="102.499"/>
    <n v="300.39999999999998"/>
  </r>
  <r>
    <x v="4"/>
    <x v="60"/>
    <x v="2"/>
    <n v="102.05"/>
    <n v="100.997"/>
    <n v="104.001"/>
    <n v="102.499"/>
    <n v="300.39999999999998"/>
  </r>
  <r>
    <x v="4"/>
    <x v="60"/>
    <x v="2"/>
    <n v="102.05"/>
    <n v="100.997"/>
    <n v="104.001"/>
    <n v="102.499"/>
    <n v="300.39999999999998"/>
  </r>
  <r>
    <x v="4"/>
    <x v="60"/>
    <x v="2"/>
    <n v="102.05"/>
    <n v="100.997"/>
    <n v="104.001"/>
    <n v="102.499"/>
    <n v="300.39999999999998"/>
  </r>
  <r>
    <x v="4"/>
    <x v="60"/>
    <x v="2"/>
    <n v="102.05"/>
    <n v="100.997"/>
    <n v="104.001"/>
    <n v="102.499"/>
    <n v="300.39999999999998"/>
  </r>
  <r>
    <x v="4"/>
    <x v="60"/>
    <x v="2"/>
    <n v="102.05"/>
    <n v="100.997"/>
    <n v="104.001"/>
    <n v="102.499"/>
    <n v="300.39999999999998"/>
  </r>
  <r>
    <x v="4"/>
    <x v="60"/>
    <x v="2"/>
    <n v="102.05"/>
    <n v="100.997"/>
    <n v="104.001"/>
    <n v="102.499"/>
    <n v="300.39999999999998"/>
  </r>
  <r>
    <x v="4"/>
    <x v="60"/>
    <x v="2"/>
    <n v="102.05"/>
    <n v="100.997"/>
    <n v="104.001"/>
    <n v="102.499"/>
    <n v="300.39999999999998"/>
  </r>
  <r>
    <x v="4"/>
    <x v="60"/>
    <x v="2"/>
    <n v="102.05"/>
    <n v="100.997"/>
    <n v="104.001"/>
    <n v="102.499"/>
    <n v="300.39999999999998"/>
  </r>
  <r>
    <x v="4"/>
    <x v="60"/>
    <x v="2"/>
    <n v="102.05"/>
    <n v="100.997"/>
    <n v="104.001"/>
    <n v="102.499"/>
    <n v="300.39999999999998"/>
  </r>
  <r>
    <x v="4"/>
    <x v="60"/>
    <x v="2"/>
    <n v="102.05"/>
    <n v="100.997"/>
    <n v="104.001"/>
    <n v="102.499"/>
    <n v="300.39999999999998"/>
  </r>
  <r>
    <x v="4"/>
    <x v="60"/>
    <x v="2"/>
    <n v="102.05"/>
    <n v="100.997"/>
    <n v="104.001"/>
    <n v="102.499"/>
    <n v="300.39999999999998"/>
  </r>
  <r>
    <x v="4"/>
    <x v="60"/>
    <x v="2"/>
    <n v="102.05"/>
    <n v="100.997"/>
    <n v="104.001"/>
    <n v="102.499"/>
    <n v="300.39999999999998"/>
  </r>
  <r>
    <x v="4"/>
    <x v="60"/>
    <x v="2"/>
    <n v="102.05"/>
    <n v="100.997"/>
    <n v="104.001"/>
    <n v="102.499"/>
    <n v="300.39999999999998"/>
  </r>
  <r>
    <x v="4"/>
    <x v="60"/>
    <x v="2"/>
    <n v="102.05"/>
    <n v="100.997"/>
    <n v="104.001"/>
    <n v="102.499"/>
    <n v="300.39999999999998"/>
  </r>
  <r>
    <x v="4"/>
    <x v="60"/>
    <x v="0"/>
    <n v="1.95533"/>
    <n v="1.9099200000000001"/>
    <n v="1.99"/>
    <n v="1.9499599999999999"/>
    <n v="800.8"/>
  </r>
  <r>
    <x v="4"/>
    <x v="60"/>
    <x v="0"/>
    <n v="1.95533"/>
    <n v="1.9099200000000001"/>
    <n v="1.99"/>
    <n v="1.9499599999999999"/>
    <n v="800.8"/>
  </r>
  <r>
    <x v="4"/>
    <x v="60"/>
    <x v="0"/>
    <n v="1.95533"/>
    <n v="1.9099200000000001"/>
    <n v="1.99"/>
    <n v="1.9499599999999999"/>
    <n v="800.8"/>
  </r>
  <r>
    <x v="4"/>
    <x v="60"/>
    <x v="0"/>
    <n v="1.95533"/>
    <n v="1.9099200000000001"/>
    <n v="1.99"/>
    <n v="1.9499599999999999"/>
    <n v="800.8"/>
  </r>
  <r>
    <x v="4"/>
    <x v="60"/>
    <x v="0"/>
    <n v="1.95533"/>
    <n v="1.9099200000000001"/>
    <n v="1.99"/>
    <n v="1.9499599999999999"/>
    <n v="800.8"/>
  </r>
  <r>
    <x v="4"/>
    <x v="60"/>
    <x v="0"/>
    <n v="1.95533"/>
    <n v="1.9099200000000001"/>
    <n v="1.99"/>
    <n v="1.9499599999999999"/>
    <n v="800.8"/>
  </r>
  <r>
    <x v="4"/>
    <x v="60"/>
    <x v="0"/>
    <n v="1.95533"/>
    <n v="1.9099200000000001"/>
    <n v="1.99"/>
    <n v="1.9499599999999999"/>
    <n v="800.8"/>
  </r>
  <r>
    <x v="4"/>
    <x v="60"/>
    <x v="0"/>
    <n v="1.95533"/>
    <n v="1.9099200000000001"/>
    <n v="1.99"/>
    <n v="1.9499599999999999"/>
    <n v="800.8"/>
  </r>
  <r>
    <x v="4"/>
    <x v="60"/>
    <x v="0"/>
    <n v="1.95533"/>
    <n v="1.9099200000000001"/>
    <n v="1.99"/>
    <n v="1.9499599999999999"/>
    <n v="800.8"/>
  </r>
  <r>
    <x v="4"/>
    <x v="60"/>
    <x v="0"/>
    <n v="1.95533"/>
    <n v="1.9099200000000001"/>
    <n v="1.99"/>
    <n v="1.9499599999999999"/>
    <n v="800.8"/>
  </r>
  <r>
    <x v="4"/>
    <x v="60"/>
    <x v="0"/>
    <n v="1.95533"/>
    <n v="1.9099200000000001"/>
    <n v="1.99"/>
    <n v="1.9499599999999999"/>
    <n v="800.8"/>
  </r>
  <r>
    <x v="4"/>
    <x v="60"/>
    <x v="0"/>
    <n v="1.95533"/>
    <n v="1.9099200000000001"/>
    <n v="1.99"/>
    <n v="1.9499599999999999"/>
    <n v="800.8"/>
  </r>
  <r>
    <x v="4"/>
    <x v="60"/>
    <x v="0"/>
    <n v="1.95533"/>
    <n v="1.9099200000000001"/>
    <n v="1.99"/>
    <n v="1.9499599999999999"/>
    <n v="800.8"/>
  </r>
  <r>
    <x v="4"/>
    <x v="60"/>
    <x v="0"/>
    <n v="1.95533"/>
    <n v="1.9099200000000001"/>
    <n v="1.99"/>
    <n v="1.9499599999999999"/>
    <n v="800.8"/>
  </r>
  <r>
    <x v="4"/>
    <x v="60"/>
    <x v="0"/>
    <n v="1.95533"/>
    <n v="1.9099200000000001"/>
    <n v="1.99"/>
    <n v="1.9499599999999999"/>
    <n v="800.8"/>
  </r>
  <r>
    <x v="4"/>
    <x v="60"/>
    <x v="0"/>
    <n v="1.95533"/>
    <n v="1.9099200000000001"/>
    <n v="1.99"/>
    <n v="1.9499599999999999"/>
    <n v="800.8"/>
  </r>
  <r>
    <x v="4"/>
    <x v="60"/>
    <x v="0"/>
    <n v="1.95533"/>
    <n v="1.9099200000000001"/>
    <n v="1.99"/>
    <n v="1.9499599999999999"/>
    <n v="800.8"/>
  </r>
  <r>
    <x v="4"/>
    <x v="60"/>
    <x v="0"/>
    <n v="1.95533"/>
    <n v="1.9099200000000001"/>
    <n v="1.99"/>
    <n v="1.9499599999999999"/>
    <n v="800.8"/>
  </r>
  <r>
    <x v="4"/>
    <x v="60"/>
    <x v="0"/>
    <n v="1.95533"/>
    <n v="1.9099200000000001"/>
    <n v="1.99"/>
    <n v="1.9499599999999999"/>
    <n v="800.8"/>
  </r>
  <r>
    <x v="4"/>
    <x v="60"/>
    <x v="0"/>
    <n v="1.95533"/>
    <n v="1.9099200000000001"/>
    <n v="1.99"/>
    <n v="1.9499599999999999"/>
    <n v="800.8"/>
  </r>
  <r>
    <x v="4"/>
    <x v="60"/>
    <x v="0"/>
    <n v="1.95533"/>
    <n v="1.9099200000000001"/>
    <n v="1.99"/>
    <n v="1.9499599999999999"/>
    <n v="800.8"/>
  </r>
  <r>
    <x v="4"/>
    <x v="60"/>
    <x v="0"/>
    <n v="1.95533"/>
    <n v="1.9099200000000001"/>
    <n v="1.99"/>
    <n v="1.9499599999999999"/>
    <n v="800.8"/>
  </r>
  <r>
    <x v="4"/>
    <x v="60"/>
    <x v="0"/>
    <n v="1.95533"/>
    <n v="1.9099200000000001"/>
    <n v="1.99"/>
    <n v="1.9499599999999999"/>
    <n v="800.8"/>
  </r>
  <r>
    <x v="4"/>
    <x v="60"/>
    <x v="0"/>
    <n v="1.95533"/>
    <n v="1.9099200000000001"/>
    <n v="1.99"/>
    <n v="1.9499599999999999"/>
    <n v="800.8"/>
  </r>
  <r>
    <x v="4"/>
    <x v="60"/>
    <x v="0"/>
    <n v="1.95533"/>
    <n v="1.9099200000000001"/>
    <n v="1.99"/>
    <n v="1.9499599999999999"/>
    <n v="800.8"/>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60"/>
    <x v="7"/>
    <n v="1.4478"/>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2"/>
    <n v="101.366"/>
    <n v="100.997"/>
    <n v="104.001"/>
    <n v="102.499"/>
    <n v="300.39999999999998"/>
  </r>
  <r>
    <x v="4"/>
    <x v="26"/>
    <x v="2"/>
    <n v="101.366"/>
    <n v="100.997"/>
    <n v="104.001"/>
    <n v="102.499"/>
    <n v="300.39999999999998"/>
  </r>
  <r>
    <x v="4"/>
    <x v="26"/>
    <x v="2"/>
    <n v="101.366"/>
    <n v="100.997"/>
    <n v="104.001"/>
    <n v="102.499"/>
    <n v="300.39999999999998"/>
  </r>
  <r>
    <x v="4"/>
    <x v="26"/>
    <x v="2"/>
    <n v="101.366"/>
    <n v="100.997"/>
    <n v="104.001"/>
    <n v="102.499"/>
    <n v="300.39999999999998"/>
  </r>
  <r>
    <x v="4"/>
    <x v="26"/>
    <x v="2"/>
    <n v="101.366"/>
    <n v="100.997"/>
    <n v="104.001"/>
    <n v="102.499"/>
    <n v="300.39999999999998"/>
  </r>
  <r>
    <x v="4"/>
    <x v="26"/>
    <x v="2"/>
    <n v="101.366"/>
    <n v="100.997"/>
    <n v="104.001"/>
    <n v="102.499"/>
    <n v="300.39999999999998"/>
  </r>
  <r>
    <x v="4"/>
    <x v="26"/>
    <x v="2"/>
    <n v="101.366"/>
    <n v="100.997"/>
    <n v="104.001"/>
    <n v="102.499"/>
    <n v="300.39999999999998"/>
  </r>
  <r>
    <x v="4"/>
    <x v="26"/>
    <x v="2"/>
    <n v="101.366"/>
    <n v="100.997"/>
    <n v="104.001"/>
    <n v="102.499"/>
    <n v="300.39999999999998"/>
  </r>
  <r>
    <x v="4"/>
    <x v="26"/>
    <x v="2"/>
    <n v="101.366"/>
    <n v="100.997"/>
    <n v="104.001"/>
    <n v="102.499"/>
    <n v="300.39999999999998"/>
  </r>
  <r>
    <x v="4"/>
    <x v="26"/>
    <x v="2"/>
    <n v="101.366"/>
    <n v="100.997"/>
    <n v="104.001"/>
    <n v="102.499"/>
    <n v="300.39999999999998"/>
  </r>
  <r>
    <x v="4"/>
    <x v="26"/>
    <x v="2"/>
    <n v="101.366"/>
    <n v="100.997"/>
    <n v="104.001"/>
    <n v="102.499"/>
    <n v="300.39999999999998"/>
  </r>
  <r>
    <x v="4"/>
    <x v="26"/>
    <x v="2"/>
    <n v="101.366"/>
    <n v="100.997"/>
    <n v="104.001"/>
    <n v="102.499"/>
    <n v="300.39999999999998"/>
  </r>
  <r>
    <x v="4"/>
    <x v="26"/>
    <x v="2"/>
    <n v="101.366"/>
    <n v="100.997"/>
    <n v="104.001"/>
    <n v="102.499"/>
    <n v="300.39999999999998"/>
  </r>
  <r>
    <x v="4"/>
    <x v="26"/>
    <x v="2"/>
    <n v="101.366"/>
    <n v="100.997"/>
    <n v="104.001"/>
    <n v="102.499"/>
    <n v="300.39999999999998"/>
  </r>
  <r>
    <x v="4"/>
    <x v="26"/>
    <x v="2"/>
    <n v="101.366"/>
    <n v="100.997"/>
    <n v="104.001"/>
    <n v="102.499"/>
    <n v="300.39999999999998"/>
  </r>
  <r>
    <x v="4"/>
    <x v="26"/>
    <x v="2"/>
    <n v="101.366"/>
    <n v="100.997"/>
    <n v="104.001"/>
    <n v="102.499"/>
    <n v="300.39999999999998"/>
  </r>
  <r>
    <x v="4"/>
    <x v="26"/>
    <x v="2"/>
    <n v="101.366"/>
    <n v="100.997"/>
    <n v="104.001"/>
    <n v="102.499"/>
    <n v="300.39999999999998"/>
  </r>
  <r>
    <x v="4"/>
    <x v="26"/>
    <x v="0"/>
    <n v="1.9394800000000001"/>
    <n v="1.9099200000000001"/>
    <n v="1.99"/>
    <n v="1.9499599999999999"/>
    <n v="800.8"/>
  </r>
  <r>
    <x v="4"/>
    <x v="26"/>
    <x v="0"/>
    <n v="1.9394800000000001"/>
    <n v="1.9099200000000001"/>
    <n v="1.99"/>
    <n v="1.9499599999999999"/>
    <n v="800.8"/>
  </r>
  <r>
    <x v="4"/>
    <x v="26"/>
    <x v="0"/>
    <n v="1.9394800000000001"/>
    <n v="1.9099200000000001"/>
    <n v="1.99"/>
    <n v="1.9499599999999999"/>
    <n v="800.8"/>
  </r>
  <r>
    <x v="4"/>
    <x v="26"/>
    <x v="0"/>
    <n v="1.9394800000000001"/>
    <n v="1.9099200000000001"/>
    <n v="1.99"/>
    <n v="1.9499599999999999"/>
    <n v="800.8"/>
  </r>
  <r>
    <x v="4"/>
    <x v="26"/>
    <x v="0"/>
    <n v="1.9394800000000001"/>
    <n v="1.9099200000000001"/>
    <n v="1.99"/>
    <n v="1.9499599999999999"/>
    <n v="800.8"/>
  </r>
  <r>
    <x v="4"/>
    <x v="26"/>
    <x v="0"/>
    <n v="1.9394800000000001"/>
    <n v="1.9099200000000001"/>
    <n v="1.99"/>
    <n v="1.9499599999999999"/>
    <n v="800.8"/>
  </r>
  <r>
    <x v="4"/>
    <x v="26"/>
    <x v="0"/>
    <n v="1.9394800000000001"/>
    <n v="1.9099200000000001"/>
    <n v="1.99"/>
    <n v="1.9499599999999999"/>
    <n v="800.8"/>
  </r>
  <r>
    <x v="4"/>
    <x v="26"/>
    <x v="0"/>
    <n v="1.9394800000000001"/>
    <n v="1.9099200000000001"/>
    <n v="1.99"/>
    <n v="1.9499599999999999"/>
    <n v="800.8"/>
  </r>
  <r>
    <x v="4"/>
    <x v="26"/>
    <x v="0"/>
    <n v="1.9394800000000001"/>
    <n v="1.9099200000000001"/>
    <n v="1.99"/>
    <n v="1.9499599999999999"/>
    <n v="800.8"/>
  </r>
  <r>
    <x v="4"/>
    <x v="26"/>
    <x v="0"/>
    <n v="1.9394800000000001"/>
    <n v="1.9099200000000001"/>
    <n v="1.99"/>
    <n v="1.9499599999999999"/>
    <n v="800.8"/>
  </r>
  <r>
    <x v="4"/>
    <x v="26"/>
    <x v="0"/>
    <n v="1.9394800000000001"/>
    <n v="1.9099200000000001"/>
    <n v="1.99"/>
    <n v="1.9499599999999999"/>
    <n v="800.8"/>
  </r>
  <r>
    <x v="4"/>
    <x v="26"/>
    <x v="0"/>
    <n v="1.9394800000000001"/>
    <n v="1.9099200000000001"/>
    <n v="1.99"/>
    <n v="1.9499599999999999"/>
    <n v="800.8"/>
  </r>
  <r>
    <x v="4"/>
    <x v="26"/>
    <x v="0"/>
    <n v="1.9394800000000001"/>
    <n v="1.9099200000000001"/>
    <n v="1.99"/>
    <n v="1.9499599999999999"/>
    <n v="800.8"/>
  </r>
  <r>
    <x v="4"/>
    <x v="26"/>
    <x v="0"/>
    <n v="1.9394800000000001"/>
    <n v="1.9099200000000001"/>
    <n v="1.99"/>
    <n v="1.9499599999999999"/>
    <n v="800.8"/>
  </r>
  <r>
    <x v="4"/>
    <x v="26"/>
    <x v="0"/>
    <n v="1.9394800000000001"/>
    <n v="1.9099200000000001"/>
    <n v="1.99"/>
    <n v="1.9499599999999999"/>
    <n v="800.8"/>
  </r>
  <r>
    <x v="4"/>
    <x v="26"/>
    <x v="0"/>
    <n v="1.9394800000000001"/>
    <n v="1.9099200000000001"/>
    <n v="1.99"/>
    <n v="1.9499599999999999"/>
    <n v="800.8"/>
  </r>
  <r>
    <x v="4"/>
    <x v="26"/>
    <x v="0"/>
    <n v="1.9394800000000001"/>
    <n v="1.9099200000000001"/>
    <n v="1.99"/>
    <n v="1.9499599999999999"/>
    <n v="800.8"/>
  </r>
  <r>
    <x v="4"/>
    <x v="26"/>
    <x v="0"/>
    <n v="1.9394800000000001"/>
    <n v="1.9099200000000001"/>
    <n v="1.99"/>
    <n v="1.9499599999999999"/>
    <n v="800.8"/>
  </r>
  <r>
    <x v="4"/>
    <x v="26"/>
    <x v="0"/>
    <n v="1.9394800000000001"/>
    <n v="1.9099200000000001"/>
    <n v="1.99"/>
    <n v="1.9499599999999999"/>
    <n v="800.8"/>
  </r>
  <r>
    <x v="4"/>
    <x v="26"/>
    <x v="0"/>
    <n v="1.9394800000000001"/>
    <n v="1.9099200000000001"/>
    <n v="1.99"/>
    <n v="1.9499599999999999"/>
    <n v="800.8"/>
  </r>
  <r>
    <x v="4"/>
    <x v="26"/>
    <x v="0"/>
    <n v="1.9394800000000001"/>
    <n v="1.9099200000000001"/>
    <n v="1.99"/>
    <n v="1.9499599999999999"/>
    <n v="800.8"/>
  </r>
  <r>
    <x v="4"/>
    <x v="26"/>
    <x v="0"/>
    <n v="1.9394800000000001"/>
    <n v="1.9099200000000001"/>
    <n v="1.99"/>
    <n v="1.9499599999999999"/>
    <n v="800.8"/>
  </r>
  <r>
    <x v="4"/>
    <x v="26"/>
    <x v="0"/>
    <n v="1.9394800000000001"/>
    <n v="1.9099200000000001"/>
    <n v="1.99"/>
    <n v="1.9499599999999999"/>
    <n v="800.8"/>
  </r>
  <r>
    <x v="4"/>
    <x v="26"/>
    <x v="0"/>
    <n v="1.9394800000000001"/>
    <n v="1.9099200000000001"/>
    <n v="1.99"/>
    <n v="1.9499599999999999"/>
    <n v="800.8"/>
  </r>
  <r>
    <x v="4"/>
    <x v="26"/>
    <x v="0"/>
    <n v="1.9394800000000001"/>
    <n v="1.9099200000000001"/>
    <n v="1.99"/>
    <n v="1.9499599999999999"/>
    <n v="800.8"/>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26"/>
    <x v="7"/>
    <n v="1.44604"/>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2"/>
    <n v="102.02200000000001"/>
    <n v="100.997"/>
    <n v="104.001"/>
    <n v="102.499"/>
    <n v="300.39999999999998"/>
  </r>
  <r>
    <x v="4"/>
    <x v="0"/>
    <x v="2"/>
    <n v="102.02200000000001"/>
    <n v="100.997"/>
    <n v="104.001"/>
    <n v="102.499"/>
    <n v="300.39999999999998"/>
  </r>
  <r>
    <x v="4"/>
    <x v="0"/>
    <x v="2"/>
    <n v="102.02200000000001"/>
    <n v="100.997"/>
    <n v="104.001"/>
    <n v="102.499"/>
    <n v="300.39999999999998"/>
  </r>
  <r>
    <x v="4"/>
    <x v="0"/>
    <x v="2"/>
    <n v="102.02200000000001"/>
    <n v="100.997"/>
    <n v="104.001"/>
    <n v="102.499"/>
    <n v="300.39999999999998"/>
  </r>
  <r>
    <x v="4"/>
    <x v="0"/>
    <x v="2"/>
    <n v="102.02200000000001"/>
    <n v="100.997"/>
    <n v="104.001"/>
    <n v="102.499"/>
    <n v="300.39999999999998"/>
  </r>
  <r>
    <x v="4"/>
    <x v="0"/>
    <x v="2"/>
    <n v="102.02200000000001"/>
    <n v="100.997"/>
    <n v="104.001"/>
    <n v="102.499"/>
    <n v="300.39999999999998"/>
  </r>
  <r>
    <x v="4"/>
    <x v="0"/>
    <x v="2"/>
    <n v="102.02200000000001"/>
    <n v="100.997"/>
    <n v="104.001"/>
    <n v="102.499"/>
    <n v="300.39999999999998"/>
  </r>
  <r>
    <x v="4"/>
    <x v="0"/>
    <x v="2"/>
    <n v="102.02200000000001"/>
    <n v="100.997"/>
    <n v="104.001"/>
    <n v="102.499"/>
    <n v="300.39999999999998"/>
  </r>
  <r>
    <x v="4"/>
    <x v="0"/>
    <x v="2"/>
    <n v="102.02200000000001"/>
    <n v="100.997"/>
    <n v="104.001"/>
    <n v="102.499"/>
    <n v="300.39999999999998"/>
  </r>
  <r>
    <x v="4"/>
    <x v="0"/>
    <x v="2"/>
    <n v="102.02200000000001"/>
    <n v="100.997"/>
    <n v="104.001"/>
    <n v="102.499"/>
    <n v="300.39999999999998"/>
  </r>
  <r>
    <x v="4"/>
    <x v="0"/>
    <x v="2"/>
    <n v="102.02200000000001"/>
    <n v="100.997"/>
    <n v="104.001"/>
    <n v="102.499"/>
    <n v="300.39999999999998"/>
  </r>
  <r>
    <x v="4"/>
    <x v="0"/>
    <x v="2"/>
    <n v="102.02200000000001"/>
    <n v="100.997"/>
    <n v="104.001"/>
    <n v="102.499"/>
    <n v="300.39999999999998"/>
  </r>
  <r>
    <x v="4"/>
    <x v="0"/>
    <x v="2"/>
    <n v="102.02200000000001"/>
    <n v="100.997"/>
    <n v="104.001"/>
    <n v="102.499"/>
    <n v="300.39999999999998"/>
  </r>
  <r>
    <x v="4"/>
    <x v="0"/>
    <x v="2"/>
    <n v="102.02200000000001"/>
    <n v="100.997"/>
    <n v="104.001"/>
    <n v="102.499"/>
    <n v="300.39999999999998"/>
  </r>
  <r>
    <x v="4"/>
    <x v="0"/>
    <x v="2"/>
    <n v="102.02200000000001"/>
    <n v="100.997"/>
    <n v="104.001"/>
    <n v="102.499"/>
    <n v="300.39999999999998"/>
  </r>
  <r>
    <x v="4"/>
    <x v="0"/>
    <x v="2"/>
    <n v="102.02200000000001"/>
    <n v="100.997"/>
    <n v="104.001"/>
    <n v="102.499"/>
    <n v="300.39999999999998"/>
  </r>
  <r>
    <x v="4"/>
    <x v="0"/>
    <x v="2"/>
    <n v="102.02200000000001"/>
    <n v="100.997"/>
    <n v="104.001"/>
    <n v="102.499"/>
    <n v="300.39999999999998"/>
  </r>
  <r>
    <x v="4"/>
    <x v="0"/>
    <x v="2"/>
    <n v="102.02200000000001"/>
    <n v="100.997"/>
    <n v="104.001"/>
    <n v="102.499"/>
    <n v="300.39999999999998"/>
  </r>
  <r>
    <x v="4"/>
    <x v="0"/>
    <x v="0"/>
    <n v="1.96208"/>
    <n v="1.9099200000000001"/>
    <n v="1.99"/>
    <n v="1.9499599999999999"/>
    <n v="800.8"/>
  </r>
  <r>
    <x v="4"/>
    <x v="0"/>
    <x v="0"/>
    <n v="1.96208"/>
    <n v="1.9099200000000001"/>
    <n v="1.99"/>
    <n v="1.9499599999999999"/>
    <n v="800.8"/>
  </r>
  <r>
    <x v="4"/>
    <x v="0"/>
    <x v="0"/>
    <n v="1.96208"/>
    <n v="1.9099200000000001"/>
    <n v="1.99"/>
    <n v="1.9499599999999999"/>
    <n v="800.8"/>
  </r>
  <r>
    <x v="4"/>
    <x v="0"/>
    <x v="0"/>
    <n v="1.96208"/>
    <n v="1.9099200000000001"/>
    <n v="1.99"/>
    <n v="1.9499599999999999"/>
    <n v="800.8"/>
  </r>
  <r>
    <x v="4"/>
    <x v="0"/>
    <x v="0"/>
    <n v="1.96208"/>
    <n v="1.9099200000000001"/>
    <n v="1.99"/>
    <n v="1.9499599999999999"/>
    <n v="800.8"/>
  </r>
  <r>
    <x v="4"/>
    <x v="0"/>
    <x v="0"/>
    <n v="1.96208"/>
    <n v="1.9099200000000001"/>
    <n v="1.99"/>
    <n v="1.9499599999999999"/>
    <n v="800.8"/>
  </r>
  <r>
    <x v="4"/>
    <x v="0"/>
    <x v="0"/>
    <n v="1.96208"/>
    <n v="1.9099200000000001"/>
    <n v="1.99"/>
    <n v="1.9499599999999999"/>
    <n v="800.8"/>
  </r>
  <r>
    <x v="4"/>
    <x v="0"/>
    <x v="0"/>
    <n v="1.96208"/>
    <n v="1.9099200000000001"/>
    <n v="1.99"/>
    <n v="1.9499599999999999"/>
    <n v="800.8"/>
  </r>
  <r>
    <x v="4"/>
    <x v="0"/>
    <x v="0"/>
    <n v="1.96208"/>
    <n v="1.9099200000000001"/>
    <n v="1.99"/>
    <n v="1.9499599999999999"/>
    <n v="800.8"/>
  </r>
  <r>
    <x v="4"/>
    <x v="0"/>
    <x v="0"/>
    <n v="1.96208"/>
    <n v="1.9099200000000001"/>
    <n v="1.99"/>
    <n v="1.9499599999999999"/>
    <n v="800.8"/>
  </r>
  <r>
    <x v="4"/>
    <x v="0"/>
    <x v="0"/>
    <n v="1.96208"/>
    <n v="1.9099200000000001"/>
    <n v="1.99"/>
    <n v="1.9499599999999999"/>
    <n v="800.8"/>
  </r>
  <r>
    <x v="4"/>
    <x v="0"/>
    <x v="0"/>
    <n v="1.96208"/>
    <n v="1.9099200000000001"/>
    <n v="1.99"/>
    <n v="1.9499599999999999"/>
    <n v="800.8"/>
  </r>
  <r>
    <x v="4"/>
    <x v="0"/>
    <x v="0"/>
    <n v="1.96208"/>
    <n v="1.9099200000000001"/>
    <n v="1.99"/>
    <n v="1.9499599999999999"/>
    <n v="800.8"/>
  </r>
  <r>
    <x v="4"/>
    <x v="0"/>
    <x v="0"/>
    <n v="1.96208"/>
    <n v="1.9099200000000001"/>
    <n v="1.99"/>
    <n v="1.9499599999999999"/>
    <n v="800.8"/>
  </r>
  <r>
    <x v="4"/>
    <x v="0"/>
    <x v="0"/>
    <n v="1.96208"/>
    <n v="1.9099200000000001"/>
    <n v="1.99"/>
    <n v="1.9499599999999999"/>
    <n v="800.8"/>
  </r>
  <r>
    <x v="4"/>
    <x v="0"/>
    <x v="0"/>
    <n v="1.96208"/>
    <n v="1.9099200000000001"/>
    <n v="1.99"/>
    <n v="1.9499599999999999"/>
    <n v="800.8"/>
  </r>
  <r>
    <x v="4"/>
    <x v="0"/>
    <x v="0"/>
    <n v="1.96208"/>
    <n v="1.9099200000000001"/>
    <n v="1.99"/>
    <n v="1.9499599999999999"/>
    <n v="800.8"/>
  </r>
  <r>
    <x v="4"/>
    <x v="0"/>
    <x v="0"/>
    <n v="1.96208"/>
    <n v="1.9099200000000001"/>
    <n v="1.99"/>
    <n v="1.9499599999999999"/>
    <n v="800.8"/>
  </r>
  <r>
    <x v="4"/>
    <x v="0"/>
    <x v="0"/>
    <n v="1.96208"/>
    <n v="1.9099200000000001"/>
    <n v="1.99"/>
    <n v="1.9499599999999999"/>
    <n v="800.8"/>
  </r>
  <r>
    <x v="4"/>
    <x v="0"/>
    <x v="0"/>
    <n v="1.96208"/>
    <n v="1.9099200000000001"/>
    <n v="1.99"/>
    <n v="1.9499599999999999"/>
    <n v="800.8"/>
  </r>
  <r>
    <x v="4"/>
    <x v="0"/>
    <x v="0"/>
    <n v="1.96208"/>
    <n v="1.9099200000000001"/>
    <n v="1.99"/>
    <n v="1.9499599999999999"/>
    <n v="800.8"/>
  </r>
  <r>
    <x v="4"/>
    <x v="0"/>
    <x v="0"/>
    <n v="1.96208"/>
    <n v="1.9099200000000001"/>
    <n v="1.99"/>
    <n v="1.9499599999999999"/>
    <n v="800.8"/>
  </r>
  <r>
    <x v="4"/>
    <x v="0"/>
    <x v="0"/>
    <n v="1.96208"/>
    <n v="1.9099200000000001"/>
    <n v="1.99"/>
    <n v="1.9499599999999999"/>
    <n v="800.8"/>
  </r>
  <r>
    <x v="4"/>
    <x v="0"/>
    <x v="0"/>
    <n v="1.96208"/>
    <n v="1.9099200000000001"/>
    <n v="1.99"/>
    <n v="1.9499599999999999"/>
    <n v="800.8"/>
  </r>
  <r>
    <x v="4"/>
    <x v="0"/>
    <x v="0"/>
    <n v="1.96208"/>
    <n v="1.9099200000000001"/>
    <n v="1.99"/>
    <n v="1.9499599999999999"/>
    <n v="800.8"/>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0"/>
    <x v="7"/>
    <n v="1.4506300000000001"/>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2"/>
    <n v="101.282"/>
    <n v="100.997"/>
    <n v="104.001"/>
    <n v="102.499"/>
    <n v="300.39999999999998"/>
  </r>
  <r>
    <x v="4"/>
    <x v="1"/>
    <x v="2"/>
    <n v="101.282"/>
    <n v="100.997"/>
    <n v="104.001"/>
    <n v="102.499"/>
    <n v="300.39999999999998"/>
  </r>
  <r>
    <x v="4"/>
    <x v="1"/>
    <x v="2"/>
    <n v="101.282"/>
    <n v="100.997"/>
    <n v="104.001"/>
    <n v="102.499"/>
    <n v="300.39999999999998"/>
  </r>
  <r>
    <x v="4"/>
    <x v="1"/>
    <x v="2"/>
    <n v="101.282"/>
    <n v="100.997"/>
    <n v="104.001"/>
    <n v="102.499"/>
    <n v="300.39999999999998"/>
  </r>
  <r>
    <x v="4"/>
    <x v="1"/>
    <x v="2"/>
    <n v="101.282"/>
    <n v="100.997"/>
    <n v="104.001"/>
    <n v="102.499"/>
    <n v="300.39999999999998"/>
  </r>
  <r>
    <x v="4"/>
    <x v="1"/>
    <x v="2"/>
    <n v="101.282"/>
    <n v="100.997"/>
    <n v="104.001"/>
    <n v="102.499"/>
    <n v="300.39999999999998"/>
  </r>
  <r>
    <x v="4"/>
    <x v="1"/>
    <x v="2"/>
    <n v="101.282"/>
    <n v="100.997"/>
    <n v="104.001"/>
    <n v="102.499"/>
    <n v="300.39999999999998"/>
  </r>
  <r>
    <x v="4"/>
    <x v="1"/>
    <x v="2"/>
    <n v="101.282"/>
    <n v="100.997"/>
    <n v="104.001"/>
    <n v="102.499"/>
    <n v="300.39999999999998"/>
  </r>
  <r>
    <x v="4"/>
    <x v="1"/>
    <x v="2"/>
    <n v="101.282"/>
    <n v="100.997"/>
    <n v="104.001"/>
    <n v="102.499"/>
    <n v="300.39999999999998"/>
  </r>
  <r>
    <x v="4"/>
    <x v="1"/>
    <x v="2"/>
    <n v="101.282"/>
    <n v="100.997"/>
    <n v="104.001"/>
    <n v="102.499"/>
    <n v="300.39999999999998"/>
  </r>
  <r>
    <x v="4"/>
    <x v="1"/>
    <x v="2"/>
    <n v="101.282"/>
    <n v="100.997"/>
    <n v="104.001"/>
    <n v="102.499"/>
    <n v="300.39999999999998"/>
  </r>
  <r>
    <x v="4"/>
    <x v="1"/>
    <x v="2"/>
    <n v="101.282"/>
    <n v="100.997"/>
    <n v="104.001"/>
    <n v="102.499"/>
    <n v="300.39999999999998"/>
  </r>
  <r>
    <x v="4"/>
    <x v="1"/>
    <x v="2"/>
    <n v="101.282"/>
    <n v="100.997"/>
    <n v="104.001"/>
    <n v="102.499"/>
    <n v="300.39999999999998"/>
  </r>
  <r>
    <x v="4"/>
    <x v="1"/>
    <x v="2"/>
    <n v="101.282"/>
    <n v="100.997"/>
    <n v="104.001"/>
    <n v="102.499"/>
    <n v="300.39999999999998"/>
  </r>
  <r>
    <x v="4"/>
    <x v="1"/>
    <x v="2"/>
    <n v="101.282"/>
    <n v="100.997"/>
    <n v="104.001"/>
    <n v="102.499"/>
    <n v="300.39999999999998"/>
  </r>
  <r>
    <x v="4"/>
    <x v="1"/>
    <x v="2"/>
    <n v="101.282"/>
    <n v="100.997"/>
    <n v="104.001"/>
    <n v="102.499"/>
    <n v="300.39999999999998"/>
  </r>
  <r>
    <x v="4"/>
    <x v="1"/>
    <x v="2"/>
    <n v="101.282"/>
    <n v="100.997"/>
    <n v="104.001"/>
    <n v="102.499"/>
    <n v="300.39999999999998"/>
  </r>
  <r>
    <x v="4"/>
    <x v="1"/>
    <x v="0"/>
    <n v="1.93923"/>
    <n v="1.9099200000000001"/>
    <n v="1.99"/>
    <n v="1.9499599999999999"/>
    <n v="800.8"/>
  </r>
  <r>
    <x v="4"/>
    <x v="1"/>
    <x v="0"/>
    <n v="1.93923"/>
    <n v="1.9099200000000001"/>
    <n v="1.99"/>
    <n v="1.9499599999999999"/>
    <n v="800.8"/>
  </r>
  <r>
    <x v="4"/>
    <x v="1"/>
    <x v="0"/>
    <n v="1.93923"/>
    <n v="1.9099200000000001"/>
    <n v="1.99"/>
    <n v="1.9499599999999999"/>
    <n v="800.8"/>
  </r>
  <r>
    <x v="4"/>
    <x v="1"/>
    <x v="0"/>
    <n v="1.93923"/>
    <n v="1.9099200000000001"/>
    <n v="1.99"/>
    <n v="1.9499599999999999"/>
    <n v="800.8"/>
  </r>
  <r>
    <x v="4"/>
    <x v="1"/>
    <x v="0"/>
    <n v="1.93923"/>
    <n v="1.9099200000000001"/>
    <n v="1.99"/>
    <n v="1.9499599999999999"/>
    <n v="800.8"/>
  </r>
  <r>
    <x v="4"/>
    <x v="1"/>
    <x v="0"/>
    <n v="1.93923"/>
    <n v="1.9099200000000001"/>
    <n v="1.99"/>
    <n v="1.9499599999999999"/>
    <n v="800.8"/>
  </r>
  <r>
    <x v="4"/>
    <x v="1"/>
    <x v="0"/>
    <n v="1.93923"/>
    <n v="1.9099200000000001"/>
    <n v="1.99"/>
    <n v="1.9499599999999999"/>
    <n v="800.8"/>
  </r>
  <r>
    <x v="4"/>
    <x v="1"/>
    <x v="0"/>
    <n v="1.93923"/>
    <n v="1.9099200000000001"/>
    <n v="1.99"/>
    <n v="1.9499599999999999"/>
    <n v="800.8"/>
  </r>
  <r>
    <x v="4"/>
    <x v="1"/>
    <x v="0"/>
    <n v="1.93923"/>
    <n v="1.9099200000000001"/>
    <n v="1.99"/>
    <n v="1.9499599999999999"/>
    <n v="800.8"/>
  </r>
  <r>
    <x v="4"/>
    <x v="1"/>
    <x v="0"/>
    <n v="1.93923"/>
    <n v="1.9099200000000001"/>
    <n v="1.99"/>
    <n v="1.9499599999999999"/>
    <n v="800.8"/>
  </r>
  <r>
    <x v="4"/>
    <x v="1"/>
    <x v="0"/>
    <n v="1.93923"/>
    <n v="1.9099200000000001"/>
    <n v="1.99"/>
    <n v="1.9499599999999999"/>
    <n v="800.8"/>
  </r>
  <r>
    <x v="4"/>
    <x v="1"/>
    <x v="0"/>
    <n v="1.93923"/>
    <n v="1.9099200000000001"/>
    <n v="1.99"/>
    <n v="1.9499599999999999"/>
    <n v="800.8"/>
  </r>
  <r>
    <x v="4"/>
    <x v="1"/>
    <x v="0"/>
    <n v="1.93923"/>
    <n v="1.9099200000000001"/>
    <n v="1.99"/>
    <n v="1.9499599999999999"/>
    <n v="800.8"/>
  </r>
  <r>
    <x v="4"/>
    <x v="1"/>
    <x v="0"/>
    <n v="1.93923"/>
    <n v="1.9099200000000001"/>
    <n v="1.99"/>
    <n v="1.9499599999999999"/>
    <n v="800.8"/>
  </r>
  <r>
    <x v="4"/>
    <x v="1"/>
    <x v="0"/>
    <n v="1.93923"/>
    <n v="1.9099200000000001"/>
    <n v="1.99"/>
    <n v="1.9499599999999999"/>
    <n v="800.8"/>
  </r>
  <r>
    <x v="4"/>
    <x v="1"/>
    <x v="0"/>
    <n v="1.93923"/>
    <n v="1.9099200000000001"/>
    <n v="1.99"/>
    <n v="1.9499599999999999"/>
    <n v="800.8"/>
  </r>
  <r>
    <x v="4"/>
    <x v="1"/>
    <x v="0"/>
    <n v="1.93923"/>
    <n v="1.9099200000000001"/>
    <n v="1.99"/>
    <n v="1.9499599999999999"/>
    <n v="800.8"/>
  </r>
  <r>
    <x v="4"/>
    <x v="1"/>
    <x v="0"/>
    <n v="1.93923"/>
    <n v="1.9099200000000001"/>
    <n v="1.99"/>
    <n v="1.9499599999999999"/>
    <n v="800.8"/>
  </r>
  <r>
    <x v="4"/>
    <x v="1"/>
    <x v="0"/>
    <n v="1.93923"/>
    <n v="1.9099200000000001"/>
    <n v="1.99"/>
    <n v="1.9499599999999999"/>
    <n v="800.8"/>
  </r>
  <r>
    <x v="4"/>
    <x v="1"/>
    <x v="0"/>
    <n v="1.93923"/>
    <n v="1.9099200000000001"/>
    <n v="1.99"/>
    <n v="1.9499599999999999"/>
    <n v="800.8"/>
  </r>
  <r>
    <x v="4"/>
    <x v="1"/>
    <x v="0"/>
    <n v="1.93923"/>
    <n v="1.9099200000000001"/>
    <n v="1.99"/>
    <n v="1.9499599999999999"/>
    <n v="800.8"/>
  </r>
  <r>
    <x v="4"/>
    <x v="1"/>
    <x v="0"/>
    <n v="1.93923"/>
    <n v="1.9099200000000001"/>
    <n v="1.99"/>
    <n v="1.9499599999999999"/>
    <n v="800.8"/>
  </r>
  <r>
    <x v="4"/>
    <x v="1"/>
    <x v="0"/>
    <n v="1.93923"/>
    <n v="1.9099200000000001"/>
    <n v="1.99"/>
    <n v="1.9499599999999999"/>
    <n v="800.8"/>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1"/>
    <x v="7"/>
    <n v="1.44778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2"/>
    <n v="101.331"/>
    <n v="100.997"/>
    <n v="104.001"/>
    <n v="102.499"/>
    <n v="300.39999999999998"/>
  </r>
  <r>
    <x v="4"/>
    <x v="2"/>
    <x v="2"/>
    <n v="101.331"/>
    <n v="100.997"/>
    <n v="104.001"/>
    <n v="102.499"/>
    <n v="300.39999999999998"/>
  </r>
  <r>
    <x v="4"/>
    <x v="2"/>
    <x v="2"/>
    <n v="101.331"/>
    <n v="100.997"/>
    <n v="104.001"/>
    <n v="102.499"/>
    <n v="300.39999999999998"/>
  </r>
  <r>
    <x v="4"/>
    <x v="2"/>
    <x v="2"/>
    <n v="101.331"/>
    <n v="100.997"/>
    <n v="104.001"/>
    <n v="102.499"/>
    <n v="300.39999999999998"/>
  </r>
  <r>
    <x v="4"/>
    <x v="2"/>
    <x v="2"/>
    <n v="101.331"/>
    <n v="100.997"/>
    <n v="104.001"/>
    <n v="102.499"/>
    <n v="300.39999999999998"/>
  </r>
  <r>
    <x v="4"/>
    <x v="2"/>
    <x v="2"/>
    <n v="101.331"/>
    <n v="100.997"/>
    <n v="104.001"/>
    <n v="102.499"/>
    <n v="300.39999999999998"/>
  </r>
  <r>
    <x v="4"/>
    <x v="2"/>
    <x v="2"/>
    <n v="101.331"/>
    <n v="100.997"/>
    <n v="104.001"/>
    <n v="102.499"/>
    <n v="300.39999999999998"/>
  </r>
  <r>
    <x v="4"/>
    <x v="2"/>
    <x v="2"/>
    <n v="101.331"/>
    <n v="100.997"/>
    <n v="104.001"/>
    <n v="102.499"/>
    <n v="300.39999999999998"/>
  </r>
  <r>
    <x v="4"/>
    <x v="2"/>
    <x v="2"/>
    <n v="101.331"/>
    <n v="100.997"/>
    <n v="104.001"/>
    <n v="102.499"/>
    <n v="300.39999999999998"/>
  </r>
  <r>
    <x v="4"/>
    <x v="2"/>
    <x v="2"/>
    <n v="101.331"/>
    <n v="100.997"/>
    <n v="104.001"/>
    <n v="102.499"/>
    <n v="300.39999999999998"/>
  </r>
  <r>
    <x v="4"/>
    <x v="2"/>
    <x v="2"/>
    <n v="101.331"/>
    <n v="100.997"/>
    <n v="104.001"/>
    <n v="102.499"/>
    <n v="300.39999999999998"/>
  </r>
  <r>
    <x v="4"/>
    <x v="2"/>
    <x v="2"/>
    <n v="101.331"/>
    <n v="100.997"/>
    <n v="104.001"/>
    <n v="102.499"/>
    <n v="300.39999999999998"/>
  </r>
  <r>
    <x v="4"/>
    <x v="2"/>
    <x v="2"/>
    <n v="101.331"/>
    <n v="100.997"/>
    <n v="104.001"/>
    <n v="102.499"/>
    <n v="300.39999999999998"/>
  </r>
  <r>
    <x v="4"/>
    <x v="2"/>
    <x v="2"/>
    <n v="101.331"/>
    <n v="100.997"/>
    <n v="104.001"/>
    <n v="102.499"/>
    <n v="300.39999999999998"/>
  </r>
  <r>
    <x v="4"/>
    <x v="2"/>
    <x v="2"/>
    <n v="101.331"/>
    <n v="100.997"/>
    <n v="104.001"/>
    <n v="102.499"/>
    <n v="300.39999999999998"/>
  </r>
  <r>
    <x v="4"/>
    <x v="2"/>
    <x v="2"/>
    <n v="101.331"/>
    <n v="100.997"/>
    <n v="104.001"/>
    <n v="102.499"/>
    <n v="300.39999999999998"/>
  </r>
  <r>
    <x v="4"/>
    <x v="2"/>
    <x v="2"/>
    <n v="101.331"/>
    <n v="100.997"/>
    <n v="104.001"/>
    <n v="102.499"/>
    <n v="300.39999999999998"/>
  </r>
  <r>
    <x v="4"/>
    <x v="2"/>
    <x v="0"/>
    <n v="1.9651799999999999"/>
    <n v="1.9099200000000001"/>
    <n v="1.99"/>
    <n v="1.9499599999999999"/>
    <n v="800.8"/>
  </r>
  <r>
    <x v="4"/>
    <x v="2"/>
    <x v="0"/>
    <n v="1.9651799999999999"/>
    <n v="1.9099200000000001"/>
    <n v="1.99"/>
    <n v="1.9499599999999999"/>
    <n v="800.8"/>
  </r>
  <r>
    <x v="4"/>
    <x v="2"/>
    <x v="0"/>
    <n v="1.9651799999999999"/>
    <n v="1.9099200000000001"/>
    <n v="1.99"/>
    <n v="1.9499599999999999"/>
    <n v="800.8"/>
  </r>
  <r>
    <x v="4"/>
    <x v="2"/>
    <x v="0"/>
    <n v="1.9651799999999999"/>
    <n v="1.9099200000000001"/>
    <n v="1.99"/>
    <n v="1.9499599999999999"/>
    <n v="800.8"/>
  </r>
  <r>
    <x v="4"/>
    <x v="2"/>
    <x v="0"/>
    <n v="1.9651799999999999"/>
    <n v="1.9099200000000001"/>
    <n v="1.99"/>
    <n v="1.9499599999999999"/>
    <n v="800.8"/>
  </r>
  <r>
    <x v="4"/>
    <x v="2"/>
    <x v="0"/>
    <n v="1.9651799999999999"/>
    <n v="1.9099200000000001"/>
    <n v="1.99"/>
    <n v="1.9499599999999999"/>
    <n v="800.8"/>
  </r>
  <r>
    <x v="4"/>
    <x v="2"/>
    <x v="0"/>
    <n v="1.9651799999999999"/>
    <n v="1.9099200000000001"/>
    <n v="1.99"/>
    <n v="1.9499599999999999"/>
    <n v="800.8"/>
  </r>
  <r>
    <x v="4"/>
    <x v="2"/>
    <x v="0"/>
    <n v="1.9651799999999999"/>
    <n v="1.9099200000000001"/>
    <n v="1.99"/>
    <n v="1.9499599999999999"/>
    <n v="800.8"/>
  </r>
  <r>
    <x v="4"/>
    <x v="2"/>
    <x v="0"/>
    <n v="1.9651799999999999"/>
    <n v="1.9099200000000001"/>
    <n v="1.99"/>
    <n v="1.9499599999999999"/>
    <n v="800.8"/>
  </r>
  <r>
    <x v="4"/>
    <x v="2"/>
    <x v="0"/>
    <n v="1.9651799999999999"/>
    <n v="1.9099200000000001"/>
    <n v="1.99"/>
    <n v="1.9499599999999999"/>
    <n v="800.8"/>
  </r>
  <r>
    <x v="4"/>
    <x v="2"/>
    <x v="0"/>
    <n v="1.9651799999999999"/>
    <n v="1.9099200000000001"/>
    <n v="1.99"/>
    <n v="1.9499599999999999"/>
    <n v="800.8"/>
  </r>
  <r>
    <x v="4"/>
    <x v="2"/>
    <x v="0"/>
    <n v="1.9651799999999999"/>
    <n v="1.9099200000000001"/>
    <n v="1.99"/>
    <n v="1.9499599999999999"/>
    <n v="800.8"/>
  </r>
  <r>
    <x v="4"/>
    <x v="2"/>
    <x v="0"/>
    <n v="1.9651799999999999"/>
    <n v="1.9099200000000001"/>
    <n v="1.99"/>
    <n v="1.9499599999999999"/>
    <n v="800.8"/>
  </r>
  <r>
    <x v="4"/>
    <x v="2"/>
    <x v="0"/>
    <n v="1.9651799999999999"/>
    <n v="1.9099200000000001"/>
    <n v="1.99"/>
    <n v="1.9499599999999999"/>
    <n v="800.8"/>
  </r>
  <r>
    <x v="4"/>
    <x v="2"/>
    <x v="0"/>
    <n v="1.9651799999999999"/>
    <n v="1.9099200000000001"/>
    <n v="1.99"/>
    <n v="1.9499599999999999"/>
    <n v="800.8"/>
  </r>
  <r>
    <x v="4"/>
    <x v="2"/>
    <x v="0"/>
    <n v="1.9651799999999999"/>
    <n v="1.9099200000000001"/>
    <n v="1.99"/>
    <n v="1.9499599999999999"/>
    <n v="800.8"/>
  </r>
  <r>
    <x v="4"/>
    <x v="2"/>
    <x v="0"/>
    <n v="1.9651799999999999"/>
    <n v="1.9099200000000001"/>
    <n v="1.99"/>
    <n v="1.9499599999999999"/>
    <n v="800.8"/>
  </r>
  <r>
    <x v="4"/>
    <x v="2"/>
    <x v="0"/>
    <n v="1.9651799999999999"/>
    <n v="1.9099200000000001"/>
    <n v="1.99"/>
    <n v="1.9499599999999999"/>
    <n v="800.8"/>
  </r>
  <r>
    <x v="4"/>
    <x v="2"/>
    <x v="0"/>
    <n v="1.9651799999999999"/>
    <n v="1.9099200000000001"/>
    <n v="1.99"/>
    <n v="1.9499599999999999"/>
    <n v="800.8"/>
  </r>
  <r>
    <x v="4"/>
    <x v="2"/>
    <x v="0"/>
    <n v="1.9651799999999999"/>
    <n v="1.9099200000000001"/>
    <n v="1.99"/>
    <n v="1.9499599999999999"/>
    <n v="800.8"/>
  </r>
  <r>
    <x v="4"/>
    <x v="2"/>
    <x v="0"/>
    <n v="1.9651799999999999"/>
    <n v="1.9099200000000001"/>
    <n v="1.99"/>
    <n v="1.9499599999999999"/>
    <n v="800.8"/>
  </r>
  <r>
    <x v="4"/>
    <x v="2"/>
    <x v="0"/>
    <n v="1.9651799999999999"/>
    <n v="1.9099200000000001"/>
    <n v="1.99"/>
    <n v="1.9499599999999999"/>
    <n v="800.8"/>
  </r>
  <r>
    <x v="4"/>
    <x v="2"/>
    <x v="0"/>
    <n v="1.9651799999999999"/>
    <n v="1.9099200000000001"/>
    <n v="1.99"/>
    <n v="1.9499599999999999"/>
    <n v="800.8"/>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2"/>
    <x v="7"/>
    <n v="1.4387799999999999"/>
    <n v="1.43598"/>
    <n v="1.5540099999999999"/>
    <n v="1.4949950000000001"/>
    <n v="1180.3"/>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2"/>
    <n v="101.78700000000001"/>
    <n v="100.997"/>
    <n v="104.001"/>
    <n v="102.499"/>
    <n v="300.39999999999998"/>
  </r>
  <r>
    <x v="4"/>
    <x v="3"/>
    <x v="2"/>
    <n v="101.78700000000001"/>
    <n v="100.997"/>
    <n v="104.001"/>
    <n v="102.499"/>
    <n v="300.39999999999998"/>
  </r>
  <r>
    <x v="4"/>
    <x v="3"/>
    <x v="2"/>
    <n v="101.78700000000001"/>
    <n v="100.997"/>
    <n v="104.001"/>
    <n v="102.499"/>
    <n v="300.39999999999998"/>
  </r>
  <r>
    <x v="4"/>
    <x v="3"/>
    <x v="2"/>
    <n v="101.78700000000001"/>
    <n v="100.997"/>
    <n v="104.001"/>
    <n v="102.499"/>
    <n v="300.39999999999998"/>
  </r>
  <r>
    <x v="4"/>
    <x v="3"/>
    <x v="2"/>
    <n v="101.78700000000001"/>
    <n v="100.997"/>
    <n v="104.001"/>
    <n v="102.499"/>
    <n v="300.39999999999998"/>
  </r>
  <r>
    <x v="4"/>
    <x v="3"/>
    <x v="2"/>
    <n v="101.78700000000001"/>
    <n v="100.997"/>
    <n v="104.001"/>
    <n v="102.499"/>
    <n v="300.39999999999998"/>
  </r>
  <r>
    <x v="4"/>
    <x v="3"/>
    <x v="2"/>
    <n v="101.78700000000001"/>
    <n v="100.997"/>
    <n v="104.001"/>
    <n v="102.499"/>
    <n v="300.39999999999998"/>
  </r>
  <r>
    <x v="4"/>
    <x v="3"/>
    <x v="2"/>
    <n v="101.78700000000001"/>
    <n v="100.997"/>
    <n v="104.001"/>
    <n v="102.499"/>
    <n v="300.39999999999998"/>
  </r>
  <r>
    <x v="4"/>
    <x v="3"/>
    <x v="2"/>
    <n v="101.78700000000001"/>
    <n v="100.997"/>
    <n v="104.001"/>
    <n v="102.499"/>
    <n v="300.39999999999998"/>
  </r>
  <r>
    <x v="4"/>
    <x v="3"/>
    <x v="2"/>
    <n v="101.78700000000001"/>
    <n v="100.997"/>
    <n v="104.001"/>
    <n v="102.499"/>
    <n v="300.39999999999998"/>
  </r>
  <r>
    <x v="4"/>
    <x v="3"/>
    <x v="2"/>
    <n v="101.78700000000001"/>
    <n v="100.997"/>
    <n v="104.001"/>
    <n v="102.499"/>
    <n v="300.39999999999998"/>
  </r>
  <r>
    <x v="4"/>
    <x v="3"/>
    <x v="2"/>
    <n v="101.78700000000001"/>
    <n v="100.997"/>
    <n v="104.001"/>
    <n v="102.499"/>
    <n v="300.39999999999998"/>
  </r>
  <r>
    <x v="4"/>
    <x v="3"/>
    <x v="2"/>
    <n v="101.78700000000001"/>
    <n v="100.997"/>
    <n v="104.001"/>
    <n v="102.499"/>
    <n v="300.39999999999998"/>
  </r>
  <r>
    <x v="4"/>
    <x v="3"/>
    <x v="2"/>
    <n v="101.78700000000001"/>
    <n v="100.997"/>
    <n v="104.001"/>
    <n v="102.499"/>
    <n v="300.39999999999998"/>
  </r>
  <r>
    <x v="4"/>
    <x v="3"/>
    <x v="2"/>
    <n v="101.78700000000001"/>
    <n v="100.997"/>
    <n v="104.001"/>
    <n v="102.499"/>
    <n v="300.39999999999998"/>
  </r>
  <r>
    <x v="4"/>
    <x v="3"/>
    <x v="2"/>
    <n v="101.78700000000001"/>
    <n v="100.997"/>
    <n v="104.001"/>
    <n v="102.499"/>
    <n v="300.39999999999998"/>
  </r>
  <r>
    <x v="4"/>
    <x v="3"/>
    <x v="2"/>
    <n v="101.78700000000001"/>
    <n v="100.997"/>
    <n v="104.001"/>
    <n v="102.499"/>
    <n v="300.39999999999998"/>
  </r>
  <r>
    <x v="4"/>
    <x v="3"/>
    <x v="0"/>
    <n v="1.9822"/>
    <n v="1.9099200000000001"/>
    <n v="1.99"/>
    <n v="1.9499599999999999"/>
    <n v="800.8"/>
  </r>
  <r>
    <x v="4"/>
    <x v="3"/>
    <x v="0"/>
    <n v="1.9822"/>
    <n v="1.9099200000000001"/>
    <n v="1.99"/>
    <n v="1.9499599999999999"/>
    <n v="800.8"/>
  </r>
  <r>
    <x v="4"/>
    <x v="3"/>
    <x v="0"/>
    <n v="1.9822"/>
    <n v="1.9099200000000001"/>
    <n v="1.99"/>
    <n v="1.9499599999999999"/>
    <n v="800.8"/>
  </r>
  <r>
    <x v="4"/>
    <x v="3"/>
    <x v="0"/>
    <n v="1.9822"/>
    <n v="1.9099200000000001"/>
    <n v="1.99"/>
    <n v="1.9499599999999999"/>
    <n v="800.8"/>
  </r>
  <r>
    <x v="4"/>
    <x v="3"/>
    <x v="0"/>
    <n v="1.9822"/>
    <n v="1.9099200000000001"/>
    <n v="1.99"/>
    <n v="1.9499599999999999"/>
    <n v="800.8"/>
  </r>
  <r>
    <x v="4"/>
    <x v="3"/>
    <x v="0"/>
    <n v="1.9822"/>
    <n v="1.9099200000000001"/>
    <n v="1.99"/>
    <n v="1.9499599999999999"/>
    <n v="800.8"/>
  </r>
  <r>
    <x v="4"/>
    <x v="3"/>
    <x v="0"/>
    <n v="1.9822"/>
    <n v="1.9099200000000001"/>
    <n v="1.99"/>
    <n v="1.9499599999999999"/>
    <n v="800.8"/>
  </r>
  <r>
    <x v="4"/>
    <x v="3"/>
    <x v="0"/>
    <n v="1.9822"/>
    <n v="1.9099200000000001"/>
    <n v="1.99"/>
    <n v="1.9499599999999999"/>
    <n v="800.8"/>
  </r>
  <r>
    <x v="4"/>
    <x v="3"/>
    <x v="0"/>
    <n v="1.9822"/>
    <n v="1.9099200000000001"/>
    <n v="1.99"/>
    <n v="1.9499599999999999"/>
    <n v="800.8"/>
  </r>
  <r>
    <x v="4"/>
    <x v="3"/>
    <x v="0"/>
    <n v="1.9822"/>
    <n v="1.9099200000000001"/>
    <n v="1.99"/>
    <n v="1.9499599999999999"/>
    <n v="800.8"/>
  </r>
  <r>
    <x v="4"/>
    <x v="3"/>
    <x v="0"/>
    <n v="1.9822"/>
    <n v="1.9099200000000001"/>
    <n v="1.99"/>
    <n v="1.9499599999999999"/>
    <n v="800.8"/>
  </r>
  <r>
    <x v="4"/>
    <x v="3"/>
    <x v="0"/>
    <n v="1.9822"/>
    <n v="1.9099200000000001"/>
    <n v="1.99"/>
    <n v="1.9499599999999999"/>
    <n v="800.8"/>
  </r>
  <r>
    <x v="4"/>
    <x v="3"/>
    <x v="0"/>
    <n v="1.9822"/>
    <n v="1.9099200000000001"/>
    <n v="1.99"/>
    <n v="1.9499599999999999"/>
    <n v="800.8"/>
  </r>
  <r>
    <x v="4"/>
    <x v="3"/>
    <x v="0"/>
    <n v="1.9822"/>
    <n v="1.9099200000000001"/>
    <n v="1.99"/>
    <n v="1.9499599999999999"/>
    <n v="800.8"/>
  </r>
  <r>
    <x v="4"/>
    <x v="3"/>
    <x v="0"/>
    <n v="1.9822"/>
    <n v="1.9099200000000001"/>
    <n v="1.99"/>
    <n v="1.9499599999999999"/>
    <n v="800.8"/>
  </r>
  <r>
    <x v="4"/>
    <x v="3"/>
    <x v="0"/>
    <n v="1.9822"/>
    <n v="1.9099200000000001"/>
    <n v="1.99"/>
    <n v="1.9499599999999999"/>
    <n v="800.8"/>
  </r>
  <r>
    <x v="4"/>
    <x v="3"/>
    <x v="0"/>
    <n v="1.9822"/>
    <n v="1.9099200000000001"/>
    <n v="1.99"/>
    <n v="1.9499599999999999"/>
    <n v="800.8"/>
  </r>
  <r>
    <x v="4"/>
    <x v="3"/>
    <x v="0"/>
    <n v="1.9822"/>
    <n v="1.9099200000000001"/>
    <n v="1.99"/>
    <n v="1.9499599999999999"/>
    <n v="800.8"/>
  </r>
  <r>
    <x v="4"/>
    <x v="3"/>
    <x v="0"/>
    <n v="1.9822"/>
    <n v="1.9099200000000001"/>
    <n v="1.99"/>
    <n v="1.9499599999999999"/>
    <n v="800.8"/>
  </r>
  <r>
    <x v="4"/>
    <x v="3"/>
    <x v="0"/>
    <n v="1.9822"/>
    <n v="1.9099200000000001"/>
    <n v="1.99"/>
    <n v="1.9499599999999999"/>
    <n v="800.8"/>
  </r>
  <r>
    <x v="4"/>
    <x v="3"/>
    <x v="0"/>
    <n v="1.9822"/>
    <n v="1.9099200000000001"/>
    <n v="1.99"/>
    <n v="1.9499599999999999"/>
    <n v="800.8"/>
  </r>
  <r>
    <x v="4"/>
    <x v="3"/>
    <x v="0"/>
    <n v="1.9822"/>
    <n v="1.9099200000000001"/>
    <n v="1.99"/>
    <n v="1.9499599999999999"/>
    <n v="800.8"/>
  </r>
  <r>
    <x v="4"/>
    <x v="3"/>
    <x v="0"/>
    <n v="1.9822"/>
    <n v="1.9099200000000001"/>
    <n v="1.99"/>
    <n v="1.9499599999999999"/>
    <n v="800.8"/>
  </r>
  <r>
    <x v="4"/>
    <x v="3"/>
    <x v="0"/>
    <n v="1.9822"/>
    <n v="1.9099200000000001"/>
    <n v="1.99"/>
    <n v="1.9499599999999999"/>
    <n v="800.8"/>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3"/>
    <x v="7"/>
    <n v="1.4287700000000001"/>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2"/>
    <n v="102.592"/>
    <n v="100.997"/>
    <n v="104.001"/>
    <n v="102.499"/>
    <n v="300.39999999999998"/>
  </r>
  <r>
    <x v="4"/>
    <x v="4"/>
    <x v="2"/>
    <n v="102.592"/>
    <n v="100.997"/>
    <n v="104.001"/>
    <n v="102.499"/>
    <n v="300.39999999999998"/>
  </r>
  <r>
    <x v="4"/>
    <x v="4"/>
    <x v="2"/>
    <n v="102.592"/>
    <n v="100.997"/>
    <n v="104.001"/>
    <n v="102.499"/>
    <n v="300.39999999999998"/>
  </r>
  <r>
    <x v="4"/>
    <x v="4"/>
    <x v="2"/>
    <n v="102.592"/>
    <n v="100.997"/>
    <n v="104.001"/>
    <n v="102.499"/>
    <n v="300.39999999999998"/>
  </r>
  <r>
    <x v="4"/>
    <x v="4"/>
    <x v="2"/>
    <n v="102.592"/>
    <n v="100.997"/>
    <n v="104.001"/>
    <n v="102.499"/>
    <n v="300.39999999999998"/>
  </r>
  <r>
    <x v="4"/>
    <x v="4"/>
    <x v="2"/>
    <n v="102.592"/>
    <n v="100.997"/>
    <n v="104.001"/>
    <n v="102.499"/>
    <n v="300.39999999999998"/>
  </r>
  <r>
    <x v="4"/>
    <x v="4"/>
    <x v="2"/>
    <n v="102.592"/>
    <n v="100.997"/>
    <n v="104.001"/>
    <n v="102.499"/>
    <n v="300.39999999999998"/>
  </r>
  <r>
    <x v="4"/>
    <x v="4"/>
    <x v="2"/>
    <n v="102.592"/>
    <n v="100.997"/>
    <n v="104.001"/>
    <n v="102.499"/>
    <n v="300.39999999999998"/>
  </r>
  <r>
    <x v="4"/>
    <x v="4"/>
    <x v="2"/>
    <n v="102.592"/>
    <n v="100.997"/>
    <n v="104.001"/>
    <n v="102.499"/>
    <n v="300.39999999999998"/>
  </r>
  <r>
    <x v="4"/>
    <x v="4"/>
    <x v="2"/>
    <n v="102.592"/>
    <n v="100.997"/>
    <n v="104.001"/>
    <n v="102.499"/>
    <n v="300.39999999999998"/>
  </r>
  <r>
    <x v="4"/>
    <x v="4"/>
    <x v="2"/>
    <n v="102.592"/>
    <n v="100.997"/>
    <n v="104.001"/>
    <n v="102.499"/>
    <n v="300.39999999999998"/>
  </r>
  <r>
    <x v="4"/>
    <x v="4"/>
    <x v="2"/>
    <n v="102.592"/>
    <n v="100.997"/>
    <n v="104.001"/>
    <n v="102.499"/>
    <n v="300.39999999999998"/>
  </r>
  <r>
    <x v="4"/>
    <x v="4"/>
    <x v="2"/>
    <n v="102.592"/>
    <n v="100.997"/>
    <n v="104.001"/>
    <n v="102.499"/>
    <n v="300.39999999999998"/>
  </r>
  <r>
    <x v="4"/>
    <x v="4"/>
    <x v="2"/>
    <n v="102.592"/>
    <n v="100.997"/>
    <n v="104.001"/>
    <n v="102.499"/>
    <n v="300.39999999999998"/>
  </r>
  <r>
    <x v="4"/>
    <x v="4"/>
    <x v="2"/>
    <n v="102.592"/>
    <n v="100.997"/>
    <n v="104.001"/>
    <n v="102.499"/>
    <n v="300.39999999999998"/>
  </r>
  <r>
    <x v="4"/>
    <x v="4"/>
    <x v="2"/>
    <n v="102.592"/>
    <n v="100.997"/>
    <n v="104.001"/>
    <n v="102.499"/>
    <n v="300.39999999999998"/>
  </r>
  <r>
    <x v="4"/>
    <x v="4"/>
    <x v="2"/>
    <n v="102.592"/>
    <n v="100.997"/>
    <n v="104.001"/>
    <n v="102.499"/>
    <n v="300.39999999999998"/>
  </r>
  <r>
    <x v="4"/>
    <x v="4"/>
    <x v="2"/>
    <n v="102.592"/>
    <n v="100.997"/>
    <n v="104.001"/>
    <n v="102.499"/>
    <n v="300.39999999999998"/>
  </r>
  <r>
    <x v="4"/>
    <x v="4"/>
    <x v="2"/>
    <n v="102.592"/>
    <n v="100.997"/>
    <n v="104.001"/>
    <n v="102.499"/>
    <n v="300.39999999999998"/>
  </r>
  <r>
    <x v="4"/>
    <x v="4"/>
    <x v="0"/>
    <n v="1.97315"/>
    <n v="1.9099200000000001"/>
    <n v="1.994"/>
    <n v="1.9519599999999999"/>
    <n v="840.8"/>
  </r>
  <r>
    <x v="4"/>
    <x v="4"/>
    <x v="0"/>
    <n v="1.97315"/>
    <n v="1.9099200000000001"/>
    <n v="1.994"/>
    <n v="1.9519599999999999"/>
    <n v="840.8"/>
  </r>
  <r>
    <x v="4"/>
    <x v="4"/>
    <x v="0"/>
    <n v="1.97315"/>
    <n v="1.9099200000000001"/>
    <n v="1.994"/>
    <n v="1.9519599999999999"/>
    <n v="840.8"/>
  </r>
  <r>
    <x v="4"/>
    <x v="4"/>
    <x v="0"/>
    <n v="1.97315"/>
    <n v="1.9099200000000001"/>
    <n v="1.994"/>
    <n v="1.9519599999999999"/>
    <n v="840.8"/>
  </r>
  <r>
    <x v="4"/>
    <x v="4"/>
    <x v="0"/>
    <n v="1.97315"/>
    <n v="1.9099200000000001"/>
    <n v="1.994"/>
    <n v="1.9519599999999999"/>
    <n v="840.8"/>
  </r>
  <r>
    <x v="4"/>
    <x v="4"/>
    <x v="0"/>
    <n v="1.97315"/>
    <n v="1.9099200000000001"/>
    <n v="1.994"/>
    <n v="1.9519599999999999"/>
    <n v="840.8"/>
  </r>
  <r>
    <x v="4"/>
    <x v="4"/>
    <x v="0"/>
    <n v="1.97315"/>
    <n v="1.9099200000000001"/>
    <n v="1.994"/>
    <n v="1.9519599999999999"/>
    <n v="840.8"/>
  </r>
  <r>
    <x v="4"/>
    <x v="4"/>
    <x v="0"/>
    <n v="1.97315"/>
    <n v="1.9099200000000001"/>
    <n v="1.994"/>
    <n v="1.9519599999999999"/>
    <n v="840.8"/>
  </r>
  <r>
    <x v="4"/>
    <x v="4"/>
    <x v="0"/>
    <n v="1.97315"/>
    <n v="1.9099200000000001"/>
    <n v="1.994"/>
    <n v="1.9519599999999999"/>
    <n v="840.8"/>
  </r>
  <r>
    <x v="4"/>
    <x v="4"/>
    <x v="0"/>
    <n v="1.97315"/>
    <n v="1.9099200000000001"/>
    <n v="1.994"/>
    <n v="1.9519599999999999"/>
    <n v="840.8"/>
  </r>
  <r>
    <x v="4"/>
    <x v="4"/>
    <x v="0"/>
    <n v="1.97315"/>
    <n v="1.9099200000000001"/>
    <n v="1.994"/>
    <n v="1.9519599999999999"/>
    <n v="840.8"/>
  </r>
  <r>
    <x v="4"/>
    <x v="4"/>
    <x v="0"/>
    <n v="1.97315"/>
    <n v="1.9099200000000001"/>
    <n v="1.994"/>
    <n v="1.9519599999999999"/>
    <n v="840.8"/>
  </r>
  <r>
    <x v="4"/>
    <x v="4"/>
    <x v="0"/>
    <n v="1.97315"/>
    <n v="1.9099200000000001"/>
    <n v="1.994"/>
    <n v="1.9519599999999999"/>
    <n v="840.8"/>
  </r>
  <r>
    <x v="4"/>
    <x v="4"/>
    <x v="0"/>
    <n v="1.97315"/>
    <n v="1.9099200000000001"/>
    <n v="1.994"/>
    <n v="1.9519599999999999"/>
    <n v="840.8"/>
  </r>
  <r>
    <x v="4"/>
    <x v="4"/>
    <x v="0"/>
    <n v="1.97315"/>
    <n v="1.9099200000000001"/>
    <n v="1.994"/>
    <n v="1.9519599999999999"/>
    <n v="840.8"/>
  </r>
  <r>
    <x v="4"/>
    <x v="4"/>
    <x v="0"/>
    <n v="1.97315"/>
    <n v="1.9099200000000001"/>
    <n v="1.994"/>
    <n v="1.9519599999999999"/>
    <n v="840.8"/>
  </r>
  <r>
    <x v="4"/>
    <x v="4"/>
    <x v="0"/>
    <n v="1.97315"/>
    <n v="1.9099200000000001"/>
    <n v="1.994"/>
    <n v="1.9519599999999999"/>
    <n v="840.8"/>
  </r>
  <r>
    <x v="4"/>
    <x v="4"/>
    <x v="0"/>
    <n v="1.97315"/>
    <n v="1.9099200000000001"/>
    <n v="1.994"/>
    <n v="1.9519599999999999"/>
    <n v="840.8"/>
  </r>
  <r>
    <x v="4"/>
    <x v="4"/>
    <x v="0"/>
    <n v="1.97315"/>
    <n v="1.9099200000000001"/>
    <n v="1.994"/>
    <n v="1.9519599999999999"/>
    <n v="840.8"/>
  </r>
  <r>
    <x v="4"/>
    <x v="4"/>
    <x v="0"/>
    <n v="1.97315"/>
    <n v="1.9099200000000001"/>
    <n v="1.994"/>
    <n v="1.9519599999999999"/>
    <n v="840.8"/>
  </r>
  <r>
    <x v="4"/>
    <x v="4"/>
    <x v="0"/>
    <n v="1.97315"/>
    <n v="1.9099200000000001"/>
    <n v="1.994"/>
    <n v="1.9519599999999999"/>
    <n v="840.8"/>
  </r>
  <r>
    <x v="4"/>
    <x v="4"/>
    <x v="0"/>
    <n v="1.97315"/>
    <n v="1.9099200000000001"/>
    <n v="1.994"/>
    <n v="1.9519599999999999"/>
    <n v="840.8"/>
  </r>
  <r>
    <x v="4"/>
    <x v="4"/>
    <x v="0"/>
    <n v="1.97315"/>
    <n v="1.9099200000000001"/>
    <n v="1.994"/>
    <n v="1.9519599999999999"/>
    <n v="840.8"/>
  </r>
  <r>
    <x v="4"/>
    <x v="4"/>
    <x v="0"/>
    <n v="1.97315"/>
    <n v="1.9099200000000001"/>
    <n v="1.994"/>
    <n v="1.9519599999999999"/>
    <n v="840.8"/>
  </r>
  <r>
    <x v="4"/>
    <x v="4"/>
    <x v="0"/>
    <n v="1.97315"/>
    <n v="1.9099200000000001"/>
    <n v="1.994"/>
    <n v="1.9519599999999999"/>
    <n v="840.8"/>
  </r>
  <r>
    <x v="4"/>
    <x v="4"/>
    <x v="0"/>
    <n v="1.97315"/>
    <n v="1.9099200000000001"/>
    <n v="1.994"/>
    <n v="1.9519599999999999"/>
    <n v="840.8"/>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4"/>
    <x v="7"/>
    <n v="1.4409099999999999"/>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2"/>
    <n v="102.015"/>
    <n v="100.997"/>
    <n v="104.001"/>
    <n v="102.499"/>
    <n v="300.39999999999998"/>
  </r>
  <r>
    <x v="4"/>
    <x v="5"/>
    <x v="2"/>
    <n v="102.015"/>
    <n v="100.997"/>
    <n v="104.001"/>
    <n v="102.499"/>
    <n v="300.39999999999998"/>
  </r>
  <r>
    <x v="4"/>
    <x v="5"/>
    <x v="2"/>
    <n v="102.015"/>
    <n v="100.997"/>
    <n v="104.001"/>
    <n v="102.499"/>
    <n v="300.39999999999998"/>
  </r>
  <r>
    <x v="4"/>
    <x v="5"/>
    <x v="2"/>
    <n v="102.015"/>
    <n v="100.997"/>
    <n v="104.001"/>
    <n v="102.499"/>
    <n v="300.39999999999998"/>
  </r>
  <r>
    <x v="4"/>
    <x v="5"/>
    <x v="2"/>
    <n v="102.015"/>
    <n v="100.997"/>
    <n v="104.001"/>
    <n v="102.499"/>
    <n v="300.39999999999998"/>
  </r>
  <r>
    <x v="4"/>
    <x v="5"/>
    <x v="2"/>
    <n v="102.015"/>
    <n v="100.997"/>
    <n v="104.001"/>
    <n v="102.499"/>
    <n v="300.39999999999998"/>
  </r>
  <r>
    <x v="4"/>
    <x v="5"/>
    <x v="2"/>
    <n v="102.015"/>
    <n v="100.997"/>
    <n v="104.001"/>
    <n v="102.499"/>
    <n v="300.39999999999998"/>
  </r>
  <r>
    <x v="4"/>
    <x v="5"/>
    <x v="2"/>
    <n v="102.015"/>
    <n v="100.997"/>
    <n v="104.001"/>
    <n v="102.499"/>
    <n v="300.39999999999998"/>
  </r>
  <r>
    <x v="4"/>
    <x v="5"/>
    <x v="2"/>
    <n v="102.015"/>
    <n v="100.997"/>
    <n v="104.001"/>
    <n v="102.499"/>
    <n v="300.39999999999998"/>
  </r>
  <r>
    <x v="4"/>
    <x v="5"/>
    <x v="2"/>
    <n v="102.015"/>
    <n v="100.997"/>
    <n v="104.001"/>
    <n v="102.499"/>
    <n v="300.39999999999998"/>
  </r>
  <r>
    <x v="4"/>
    <x v="5"/>
    <x v="2"/>
    <n v="102.015"/>
    <n v="100.997"/>
    <n v="104.001"/>
    <n v="102.499"/>
    <n v="300.39999999999998"/>
  </r>
  <r>
    <x v="4"/>
    <x v="5"/>
    <x v="2"/>
    <n v="102.015"/>
    <n v="100.997"/>
    <n v="104.001"/>
    <n v="102.499"/>
    <n v="300.39999999999998"/>
  </r>
  <r>
    <x v="4"/>
    <x v="5"/>
    <x v="2"/>
    <n v="102.015"/>
    <n v="100.997"/>
    <n v="104.001"/>
    <n v="102.499"/>
    <n v="300.39999999999998"/>
  </r>
  <r>
    <x v="4"/>
    <x v="5"/>
    <x v="2"/>
    <n v="102.015"/>
    <n v="100.997"/>
    <n v="104.001"/>
    <n v="102.499"/>
    <n v="300.39999999999998"/>
  </r>
  <r>
    <x v="4"/>
    <x v="5"/>
    <x v="2"/>
    <n v="102.015"/>
    <n v="100.997"/>
    <n v="104.001"/>
    <n v="102.499"/>
    <n v="300.39999999999998"/>
  </r>
  <r>
    <x v="4"/>
    <x v="5"/>
    <x v="2"/>
    <n v="102.015"/>
    <n v="100.997"/>
    <n v="104.001"/>
    <n v="102.499"/>
    <n v="300.39999999999998"/>
  </r>
  <r>
    <x v="4"/>
    <x v="5"/>
    <x v="2"/>
    <n v="102.015"/>
    <n v="100.997"/>
    <n v="104.001"/>
    <n v="102.499"/>
    <n v="300.39999999999998"/>
  </r>
  <r>
    <x v="4"/>
    <x v="5"/>
    <x v="2"/>
    <n v="102.015"/>
    <n v="100.997"/>
    <n v="104.001"/>
    <n v="102.499"/>
    <n v="300.39999999999998"/>
  </r>
  <r>
    <x v="4"/>
    <x v="5"/>
    <x v="2"/>
    <n v="102.015"/>
    <n v="100.997"/>
    <n v="104.001"/>
    <n v="102.499"/>
    <n v="300.3999999999999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0"/>
    <n v="1.9805999999999999"/>
    <n v="1.9099200000000001"/>
    <n v="2.0026999999999999"/>
    <n v="1.95631"/>
    <n v="927.8"/>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5"/>
    <x v="7"/>
    <n v="1.44468"/>
    <n v="1.4212400000000001"/>
    <n v="1.5540099999999999"/>
    <n v="1.487625"/>
    <n v="1327.7"/>
  </r>
  <r>
    <x v="4"/>
    <x v="6"/>
    <x v="7"/>
    <n v="1.43947"/>
    <n v="1.4212400000000001"/>
    <n v="1.5540099999999999"/>
    <n v="1.487625"/>
    <n v="1327.7"/>
  </r>
  <r>
    <x v="4"/>
    <x v="6"/>
    <x v="7"/>
    <n v="1.43947"/>
    <n v="1.4212400000000001"/>
    <n v="1.5540099999999999"/>
    <n v="1.487625"/>
    <n v="1327.7"/>
  </r>
  <r>
    <x v="4"/>
    <x v="6"/>
    <x v="7"/>
    <n v="1.43947"/>
    <n v="1.4212400000000001"/>
    <n v="1.5540099999999999"/>
    <n v="1.487625"/>
    <n v="1327.7"/>
  </r>
  <r>
    <x v="4"/>
    <x v="6"/>
    <x v="7"/>
    <n v="1.43947"/>
    <n v="1.4212400000000001"/>
    <n v="1.5540099999999999"/>
    <n v="1.487625"/>
    <n v="1327.7"/>
  </r>
  <r>
    <x v="4"/>
    <x v="6"/>
    <x v="7"/>
    <n v="1.43947"/>
    <n v="1.4212400000000001"/>
    <n v="1.5540099999999999"/>
    <n v="1.487625"/>
    <n v="1327.7"/>
  </r>
  <r>
    <x v="4"/>
    <x v="6"/>
    <x v="7"/>
    <n v="1.43947"/>
    <n v="1.4212400000000001"/>
    <n v="1.5540099999999999"/>
    <n v="1.487625"/>
    <n v="1327.7"/>
  </r>
  <r>
    <x v="4"/>
    <x v="6"/>
    <x v="7"/>
    <n v="1.43947"/>
    <n v="1.4212400000000001"/>
    <n v="1.5540099999999999"/>
    <n v="1.487625"/>
    <n v="1327.7"/>
  </r>
  <r>
    <x v="4"/>
    <x v="6"/>
    <x v="7"/>
    <n v="1.43947"/>
    <n v="1.4212400000000001"/>
    <n v="1.5540099999999999"/>
    <n v="1.487625"/>
    <n v="1327.7"/>
  </r>
  <r>
    <x v="4"/>
    <x v="6"/>
    <x v="7"/>
    <n v="1.43947"/>
    <n v="1.4212400000000001"/>
    <n v="1.5540099999999999"/>
    <n v="1.487625"/>
    <n v="1327.7"/>
  </r>
  <r>
    <x v="4"/>
    <x v="6"/>
    <x v="7"/>
    <n v="1.43947"/>
    <n v="1.4212400000000001"/>
    <n v="1.5540099999999999"/>
    <n v="1.487625"/>
    <n v="1327.7"/>
  </r>
  <r>
    <x v="4"/>
    <x v="6"/>
    <x v="7"/>
    <n v="1.43947"/>
    <n v="1.4212400000000001"/>
    <n v="1.5540099999999999"/>
    <n v="1.487625"/>
    <n v="1327.7"/>
  </r>
  <r>
    <x v="4"/>
    <x v="6"/>
    <x v="7"/>
    <n v="1.43947"/>
    <n v="1.4212400000000001"/>
    <n v="1.5540099999999999"/>
    <n v="1.487625"/>
    <n v="1327.7"/>
  </r>
  <r>
    <x v="4"/>
    <x v="6"/>
    <x v="7"/>
    <n v="1.43947"/>
    <n v="1.4212400000000001"/>
    <n v="1.5540099999999999"/>
    <n v="1.487625"/>
    <n v="1327.7"/>
  </r>
  <r>
    <x v="4"/>
    <x v="6"/>
    <x v="7"/>
    <n v="1.43947"/>
    <n v="1.4212400000000001"/>
    <n v="1.5540099999999999"/>
    <n v="1.487625"/>
    <n v="1327.7"/>
  </r>
  <r>
    <x v="4"/>
    <x v="6"/>
    <x v="7"/>
    <n v="1.43947"/>
    <n v="1.4212400000000001"/>
    <n v="1.5540099999999999"/>
    <n v="1.487625"/>
    <n v="1327.7"/>
  </r>
  <r>
    <x v="4"/>
    <x v="6"/>
    <x v="7"/>
    <n v="1.43947"/>
    <n v="1.4212400000000001"/>
    <n v="1.5540099999999999"/>
    <n v="1.487625"/>
    <n v="1327.7"/>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0"/>
    <n v="1.97051"/>
    <n v="1.9099200000000001"/>
    <n v="2.0026999999999999"/>
    <n v="1.95631"/>
    <n v="927.8"/>
  </r>
  <r>
    <x v="4"/>
    <x v="7"/>
    <x v="0"/>
    <n v="1.97051"/>
    <n v="1.9099200000000001"/>
    <n v="2.0026999999999999"/>
    <n v="1.95631"/>
    <n v="927.8"/>
  </r>
  <r>
    <x v="4"/>
    <x v="7"/>
    <x v="0"/>
    <n v="1.97051"/>
    <n v="1.9099200000000001"/>
    <n v="2.0026999999999999"/>
    <n v="1.95631"/>
    <n v="927.8"/>
  </r>
  <r>
    <x v="4"/>
    <x v="7"/>
    <x v="0"/>
    <n v="1.97051"/>
    <n v="1.9099200000000001"/>
    <n v="2.0026999999999999"/>
    <n v="1.95631"/>
    <n v="927.8"/>
  </r>
  <r>
    <x v="4"/>
    <x v="7"/>
    <x v="0"/>
    <n v="1.97051"/>
    <n v="1.9099200000000001"/>
    <n v="2.0026999999999999"/>
    <n v="1.95631"/>
    <n v="927.8"/>
  </r>
  <r>
    <x v="4"/>
    <x v="7"/>
    <x v="0"/>
    <n v="1.97051"/>
    <n v="1.9099200000000001"/>
    <n v="2.0026999999999999"/>
    <n v="1.95631"/>
    <n v="927.8"/>
  </r>
  <r>
    <x v="4"/>
    <x v="7"/>
    <x v="0"/>
    <n v="1.97051"/>
    <n v="1.9099200000000001"/>
    <n v="2.0026999999999999"/>
    <n v="1.95631"/>
    <n v="927.8"/>
  </r>
  <r>
    <x v="4"/>
    <x v="7"/>
    <x v="0"/>
    <n v="1.97051"/>
    <n v="1.9099200000000001"/>
    <n v="2.0026999999999999"/>
    <n v="1.95631"/>
    <n v="927.8"/>
  </r>
  <r>
    <x v="4"/>
    <x v="7"/>
    <x v="0"/>
    <n v="1.97051"/>
    <n v="1.9099200000000001"/>
    <n v="2.0026999999999999"/>
    <n v="1.95631"/>
    <n v="927.8"/>
  </r>
  <r>
    <x v="4"/>
    <x v="7"/>
    <x v="0"/>
    <n v="1.97051"/>
    <n v="1.9099200000000001"/>
    <n v="2.0026999999999999"/>
    <n v="1.95631"/>
    <n v="927.8"/>
  </r>
  <r>
    <x v="4"/>
    <x v="7"/>
    <x v="0"/>
    <n v="1.97051"/>
    <n v="1.9099200000000001"/>
    <n v="2.0026999999999999"/>
    <n v="1.95631"/>
    <n v="927.8"/>
  </r>
  <r>
    <x v="4"/>
    <x v="7"/>
    <x v="0"/>
    <n v="1.97051"/>
    <n v="1.9099200000000001"/>
    <n v="2.0026999999999999"/>
    <n v="1.95631"/>
    <n v="927.8"/>
  </r>
  <r>
    <x v="4"/>
    <x v="7"/>
    <x v="0"/>
    <n v="1.97051"/>
    <n v="1.9099200000000001"/>
    <n v="2.0026999999999999"/>
    <n v="1.95631"/>
    <n v="927.8"/>
  </r>
  <r>
    <x v="4"/>
    <x v="7"/>
    <x v="0"/>
    <n v="1.97051"/>
    <n v="1.9099200000000001"/>
    <n v="2.0026999999999999"/>
    <n v="1.95631"/>
    <n v="927.8"/>
  </r>
  <r>
    <x v="4"/>
    <x v="7"/>
    <x v="0"/>
    <n v="1.97051"/>
    <n v="1.9099200000000001"/>
    <n v="2.0026999999999999"/>
    <n v="1.95631"/>
    <n v="927.8"/>
  </r>
  <r>
    <x v="4"/>
    <x v="7"/>
    <x v="0"/>
    <n v="1.97051"/>
    <n v="1.9099200000000001"/>
    <n v="2.0026999999999999"/>
    <n v="1.95631"/>
    <n v="927.8"/>
  </r>
  <r>
    <x v="4"/>
    <x v="7"/>
    <x v="0"/>
    <n v="1.97051"/>
    <n v="1.9099200000000001"/>
    <n v="2.0026999999999999"/>
    <n v="1.95631"/>
    <n v="927.8"/>
  </r>
  <r>
    <x v="4"/>
    <x v="7"/>
    <x v="0"/>
    <n v="1.97051"/>
    <n v="1.9099200000000001"/>
    <n v="2.0026999999999999"/>
    <n v="1.95631"/>
    <n v="927.8"/>
  </r>
  <r>
    <x v="4"/>
    <x v="7"/>
    <x v="0"/>
    <n v="1.97051"/>
    <n v="1.9099200000000001"/>
    <n v="2.0026999999999999"/>
    <n v="1.95631"/>
    <n v="927.8"/>
  </r>
  <r>
    <x v="4"/>
    <x v="7"/>
    <x v="0"/>
    <n v="1.97051"/>
    <n v="1.9099200000000001"/>
    <n v="2.0026999999999999"/>
    <n v="1.95631"/>
    <n v="927.8"/>
  </r>
  <r>
    <x v="4"/>
    <x v="7"/>
    <x v="0"/>
    <n v="1.97051"/>
    <n v="1.9099200000000001"/>
    <n v="2.0026999999999999"/>
    <n v="1.95631"/>
    <n v="927.8"/>
  </r>
  <r>
    <x v="4"/>
    <x v="7"/>
    <x v="0"/>
    <n v="1.97051"/>
    <n v="1.9099200000000001"/>
    <n v="2.0026999999999999"/>
    <n v="1.95631"/>
    <n v="927.8"/>
  </r>
  <r>
    <x v="4"/>
    <x v="7"/>
    <x v="0"/>
    <n v="1.97051"/>
    <n v="1.9099200000000001"/>
    <n v="2.0026999999999999"/>
    <n v="1.95631"/>
    <n v="927.8"/>
  </r>
  <r>
    <x v="4"/>
    <x v="7"/>
    <x v="0"/>
    <n v="1.97051"/>
    <n v="1.9099200000000001"/>
    <n v="2.0026999999999999"/>
    <n v="1.95631"/>
    <n v="927.8"/>
  </r>
  <r>
    <x v="4"/>
    <x v="7"/>
    <x v="0"/>
    <n v="1.97051"/>
    <n v="1.9099200000000001"/>
    <n v="2.0026999999999999"/>
    <n v="1.95631"/>
    <n v="927.8"/>
  </r>
  <r>
    <x v="4"/>
    <x v="7"/>
    <x v="0"/>
    <n v="1.97051"/>
    <n v="1.9099200000000001"/>
    <n v="2.0026999999999999"/>
    <n v="1.95631"/>
    <n v="927.8"/>
  </r>
  <r>
    <x v="4"/>
    <x v="7"/>
    <x v="0"/>
    <n v="1.97051"/>
    <n v="1.9099200000000001"/>
    <n v="2.0026999999999999"/>
    <n v="1.95631"/>
    <n v="927.8"/>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7"/>
    <x v="7"/>
    <n v="1.4201600000000001"/>
    <n v="1.41995"/>
    <n v="1.5540099999999999"/>
    <n v="1.48698"/>
    <n v="1340.6"/>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0"/>
    <n v="1.9832099999999999"/>
    <n v="1.9099200000000001"/>
    <n v="2.0026999999999999"/>
    <n v="1.95631"/>
    <n v="927.8"/>
  </r>
  <r>
    <x v="4"/>
    <x v="8"/>
    <x v="0"/>
    <n v="1.9832099999999999"/>
    <n v="1.9099200000000001"/>
    <n v="2.0026999999999999"/>
    <n v="1.95631"/>
    <n v="927.8"/>
  </r>
  <r>
    <x v="4"/>
    <x v="8"/>
    <x v="0"/>
    <n v="1.9832099999999999"/>
    <n v="1.9099200000000001"/>
    <n v="2.0026999999999999"/>
    <n v="1.95631"/>
    <n v="927.8"/>
  </r>
  <r>
    <x v="4"/>
    <x v="8"/>
    <x v="0"/>
    <n v="1.9832099999999999"/>
    <n v="1.9099200000000001"/>
    <n v="2.0026999999999999"/>
    <n v="1.95631"/>
    <n v="927.8"/>
  </r>
  <r>
    <x v="4"/>
    <x v="8"/>
    <x v="0"/>
    <n v="1.9832099999999999"/>
    <n v="1.9099200000000001"/>
    <n v="2.0026999999999999"/>
    <n v="1.95631"/>
    <n v="927.8"/>
  </r>
  <r>
    <x v="4"/>
    <x v="8"/>
    <x v="0"/>
    <n v="1.9832099999999999"/>
    <n v="1.9099200000000001"/>
    <n v="2.0026999999999999"/>
    <n v="1.95631"/>
    <n v="927.8"/>
  </r>
  <r>
    <x v="4"/>
    <x v="8"/>
    <x v="0"/>
    <n v="1.9832099999999999"/>
    <n v="1.9099200000000001"/>
    <n v="2.0026999999999999"/>
    <n v="1.95631"/>
    <n v="927.8"/>
  </r>
  <r>
    <x v="4"/>
    <x v="8"/>
    <x v="0"/>
    <n v="1.9832099999999999"/>
    <n v="1.9099200000000001"/>
    <n v="2.0026999999999999"/>
    <n v="1.95631"/>
    <n v="927.8"/>
  </r>
  <r>
    <x v="4"/>
    <x v="8"/>
    <x v="0"/>
    <n v="1.9832099999999999"/>
    <n v="1.9099200000000001"/>
    <n v="2.0026999999999999"/>
    <n v="1.95631"/>
    <n v="927.8"/>
  </r>
  <r>
    <x v="4"/>
    <x v="8"/>
    <x v="0"/>
    <n v="1.9832099999999999"/>
    <n v="1.9099200000000001"/>
    <n v="2.0026999999999999"/>
    <n v="1.95631"/>
    <n v="927.8"/>
  </r>
  <r>
    <x v="4"/>
    <x v="8"/>
    <x v="0"/>
    <n v="1.9832099999999999"/>
    <n v="1.9099200000000001"/>
    <n v="2.0026999999999999"/>
    <n v="1.95631"/>
    <n v="927.8"/>
  </r>
  <r>
    <x v="4"/>
    <x v="8"/>
    <x v="0"/>
    <n v="1.9832099999999999"/>
    <n v="1.9099200000000001"/>
    <n v="2.0026999999999999"/>
    <n v="1.95631"/>
    <n v="927.8"/>
  </r>
  <r>
    <x v="4"/>
    <x v="8"/>
    <x v="0"/>
    <n v="1.9832099999999999"/>
    <n v="1.9099200000000001"/>
    <n v="2.0026999999999999"/>
    <n v="1.95631"/>
    <n v="927.8"/>
  </r>
  <r>
    <x v="4"/>
    <x v="8"/>
    <x v="0"/>
    <n v="1.9832099999999999"/>
    <n v="1.9099200000000001"/>
    <n v="2.0026999999999999"/>
    <n v="1.95631"/>
    <n v="927.8"/>
  </r>
  <r>
    <x v="4"/>
    <x v="8"/>
    <x v="0"/>
    <n v="1.9832099999999999"/>
    <n v="1.9099200000000001"/>
    <n v="2.0026999999999999"/>
    <n v="1.95631"/>
    <n v="927.8"/>
  </r>
  <r>
    <x v="4"/>
    <x v="8"/>
    <x v="0"/>
    <n v="1.9832099999999999"/>
    <n v="1.9099200000000001"/>
    <n v="2.0026999999999999"/>
    <n v="1.95631"/>
    <n v="927.8"/>
  </r>
  <r>
    <x v="4"/>
    <x v="8"/>
    <x v="0"/>
    <n v="1.9832099999999999"/>
    <n v="1.9099200000000001"/>
    <n v="2.0026999999999999"/>
    <n v="1.95631"/>
    <n v="927.8"/>
  </r>
  <r>
    <x v="4"/>
    <x v="8"/>
    <x v="0"/>
    <n v="1.9832099999999999"/>
    <n v="1.9099200000000001"/>
    <n v="2.0026999999999999"/>
    <n v="1.95631"/>
    <n v="927.8"/>
  </r>
  <r>
    <x v="4"/>
    <x v="8"/>
    <x v="0"/>
    <n v="1.9832099999999999"/>
    <n v="1.9099200000000001"/>
    <n v="2.0026999999999999"/>
    <n v="1.95631"/>
    <n v="927.8"/>
  </r>
  <r>
    <x v="4"/>
    <x v="8"/>
    <x v="0"/>
    <n v="1.9832099999999999"/>
    <n v="1.9099200000000001"/>
    <n v="2.0026999999999999"/>
    <n v="1.95631"/>
    <n v="927.8"/>
  </r>
  <r>
    <x v="4"/>
    <x v="8"/>
    <x v="0"/>
    <n v="1.9832099999999999"/>
    <n v="1.9099200000000001"/>
    <n v="2.0026999999999999"/>
    <n v="1.95631"/>
    <n v="927.8"/>
  </r>
  <r>
    <x v="4"/>
    <x v="8"/>
    <x v="0"/>
    <n v="1.9832099999999999"/>
    <n v="1.9099200000000001"/>
    <n v="2.0026999999999999"/>
    <n v="1.95631"/>
    <n v="927.8"/>
  </r>
  <r>
    <x v="4"/>
    <x v="8"/>
    <x v="0"/>
    <n v="1.9832099999999999"/>
    <n v="1.9099200000000001"/>
    <n v="2.0026999999999999"/>
    <n v="1.95631"/>
    <n v="927.8"/>
  </r>
  <r>
    <x v="4"/>
    <x v="8"/>
    <x v="0"/>
    <n v="1.9832099999999999"/>
    <n v="1.9099200000000001"/>
    <n v="2.0026999999999999"/>
    <n v="1.95631"/>
    <n v="927.8"/>
  </r>
  <r>
    <x v="4"/>
    <x v="8"/>
    <x v="0"/>
    <n v="1.9832099999999999"/>
    <n v="1.9099200000000001"/>
    <n v="2.0026999999999999"/>
    <n v="1.95631"/>
    <n v="927.8"/>
  </r>
  <r>
    <x v="4"/>
    <x v="8"/>
    <x v="0"/>
    <n v="1.9832099999999999"/>
    <n v="1.9099200000000001"/>
    <n v="2.0026999999999999"/>
    <n v="1.95631"/>
    <n v="927.8"/>
  </r>
  <r>
    <x v="4"/>
    <x v="8"/>
    <x v="0"/>
    <n v="1.9832099999999999"/>
    <n v="1.9099200000000001"/>
    <n v="2.0026999999999999"/>
    <n v="1.95631"/>
    <n v="927.8"/>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8"/>
    <x v="7"/>
    <n v="1.40571"/>
    <n v="1.4079900000000001"/>
    <n v="1.5540099999999999"/>
    <n v="1.4810000000000001"/>
    <n v="146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0"/>
    <n v="1.9601599999999999"/>
    <n v="1.9099200000000001"/>
    <n v="2.0026999999999999"/>
    <n v="1.95631"/>
    <n v="927.8"/>
  </r>
  <r>
    <x v="4"/>
    <x v="9"/>
    <x v="0"/>
    <n v="1.9601599999999999"/>
    <n v="1.9099200000000001"/>
    <n v="2.0026999999999999"/>
    <n v="1.95631"/>
    <n v="927.8"/>
  </r>
  <r>
    <x v="4"/>
    <x v="9"/>
    <x v="0"/>
    <n v="1.9601599999999999"/>
    <n v="1.9099200000000001"/>
    <n v="2.0026999999999999"/>
    <n v="1.95631"/>
    <n v="927.8"/>
  </r>
  <r>
    <x v="4"/>
    <x v="9"/>
    <x v="0"/>
    <n v="1.9601599999999999"/>
    <n v="1.9099200000000001"/>
    <n v="2.0026999999999999"/>
    <n v="1.95631"/>
    <n v="927.8"/>
  </r>
  <r>
    <x v="4"/>
    <x v="9"/>
    <x v="0"/>
    <n v="1.9601599999999999"/>
    <n v="1.9099200000000001"/>
    <n v="2.0026999999999999"/>
    <n v="1.95631"/>
    <n v="927.8"/>
  </r>
  <r>
    <x v="4"/>
    <x v="9"/>
    <x v="0"/>
    <n v="1.9601599999999999"/>
    <n v="1.9099200000000001"/>
    <n v="2.0026999999999999"/>
    <n v="1.95631"/>
    <n v="927.8"/>
  </r>
  <r>
    <x v="4"/>
    <x v="9"/>
    <x v="0"/>
    <n v="1.9601599999999999"/>
    <n v="1.9099200000000001"/>
    <n v="2.0026999999999999"/>
    <n v="1.95631"/>
    <n v="927.8"/>
  </r>
  <r>
    <x v="4"/>
    <x v="9"/>
    <x v="0"/>
    <n v="1.9601599999999999"/>
    <n v="1.9099200000000001"/>
    <n v="2.0026999999999999"/>
    <n v="1.95631"/>
    <n v="927.8"/>
  </r>
  <r>
    <x v="4"/>
    <x v="9"/>
    <x v="0"/>
    <n v="1.9601599999999999"/>
    <n v="1.9099200000000001"/>
    <n v="2.0026999999999999"/>
    <n v="1.95631"/>
    <n v="927.8"/>
  </r>
  <r>
    <x v="4"/>
    <x v="9"/>
    <x v="0"/>
    <n v="1.9601599999999999"/>
    <n v="1.9099200000000001"/>
    <n v="2.0026999999999999"/>
    <n v="1.95631"/>
    <n v="927.8"/>
  </r>
  <r>
    <x v="4"/>
    <x v="9"/>
    <x v="0"/>
    <n v="1.9601599999999999"/>
    <n v="1.9099200000000001"/>
    <n v="2.0026999999999999"/>
    <n v="1.95631"/>
    <n v="927.8"/>
  </r>
  <r>
    <x v="4"/>
    <x v="9"/>
    <x v="0"/>
    <n v="1.9601599999999999"/>
    <n v="1.9099200000000001"/>
    <n v="2.0026999999999999"/>
    <n v="1.95631"/>
    <n v="927.8"/>
  </r>
  <r>
    <x v="4"/>
    <x v="9"/>
    <x v="0"/>
    <n v="1.9601599999999999"/>
    <n v="1.9099200000000001"/>
    <n v="2.0026999999999999"/>
    <n v="1.95631"/>
    <n v="927.8"/>
  </r>
  <r>
    <x v="4"/>
    <x v="9"/>
    <x v="0"/>
    <n v="1.9601599999999999"/>
    <n v="1.9099200000000001"/>
    <n v="2.0026999999999999"/>
    <n v="1.95631"/>
    <n v="927.8"/>
  </r>
  <r>
    <x v="4"/>
    <x v="9"/>
    <x v="0"/>
    <n v="1.9601599999999999"/>
    <n v="1.9099200000000001"/>
    <n v="2.0026999999999999"/>
    <n v="1.95631"/>
    <n v="927.8"/>
  </r>
  <r>
    <x v="4"/>
    <x v="9"/>
    <x v="0"/>
    <n v="1.9601599999999999"/>
    <n v="1.9099200000000001"/>
    <n v="2.0026999999999999"/>
    <n v="1.95631"/>
    <n v="927.8"/>
  </r>
  <r>
    <x v="4"/>
    <x v="9"/>
    <x v="0"/>
    <n v="1.9601599999999999"/>
    <n v="1.9099200000000001"/>
    <n v="2.0026999999999999"/>
    <n v="1.95631"/>
    <n v="927.8"/>
  </r>
  <r>
    <x v="4"/>
    <x v="9"/>
    <x v="0"/>
    <n v="1.9601599999999999"/>
    <n v="1.9099200000000001"/>
    <n v="2.0026999999999999"/>
    <n v="1.95631"/>
    <n v="927.8"/>
  </r>
  <r>
    <x v="4"/>
    <x v="9"/>
    <x v="0"/>
    <n v="1.9601599999999999"/>
    <n v="1.9099200000000001"/>
    <n v="2.0026999999999999"/>
    <n v="1.95631"/>
    <n v="927.8"/>
  </r>
  <r>
    <x v="4"/>
    <x v="9"/>
    <x v="0"/>
    <n v="1.9601599999999999"/>
    <n v="1.9099200000000001"/>
    <n v="2.0026999999999999"/>
    <n v="1.95631"/>
    <n v="927.8"/>
  </r>
  <r>
    <x v="4"/>
    <x v="9"/>
    <x v="0"/>
    <n v="1.9601599999999999"/>
    <n v="1.9099200000000001"/>
    <n v="2.0026999999999999"/>
    <n v="1.95631"/>
    <n v="927.8"/>
  </r>
  <r>
    <x v="4"/>
    <x v="9"/>
    <x v="0"/>
    <n v="1.9601599999999999"/>
    <n v="1.9099200000000001"/>
    <n v="2.0026999999999999"/>
    <n v="1.95631"/>
    <n v="927.8"/>
  </r>
  <r>
    <x v="4"/>
    <x v="9"/>
    <x v="0"/>
    <n v="1.9601599999999999"/>
    <n v="1.9099200000000001"/>
    <n v="2.0026999999999999"/>
    <n v="1.95631"/>
    <n v="927.8"/>
  </r>
  <r>
    <x v="4"/>
    <x v="9"/>
    <x v="0"/>
    <n v="1.9601599999999999"/>
    <n v="1.9099200000000001"/>
    <n v="2.0026999999999999"/>
    <n v="1.95631"/>
    <n v="927.8"/>
  </r>
  <r>
    <x v="4"/>
    <x v="9"/>
    <x v="0"/>
    <n v="1.9601599999999999"/>
    <n v="1.9099200000000001"/>
    <n v="2.0026999999999999"/>
    <n v="1.95631"/>
    <n v="927.8"/>
  </r>
  <r>
    <x v="4"/>
    <x v="9"/>
    <x v="0"/>
    <n v="1.9601599999999999"/>
    <n v="1.9099200000000001"/>
    <n v="2.0026999999999999"/>
    <n v="1.95631"/>
    <n v="927.8"/>
  </r>
  <r>
    <x v="4"/>
    <x v="9"/>
    <x v="0"/>
    <n v="1.9601599999999999"/>
    <n v="1.9099200000000001"/>
    <n v="2.0026999999999999"/>
    <n v="1.95631"/>
    <n v="927.8"/>
  </r>
  <r>
    <x v="4"/>
    <x v="9"/>
    <x v="0"/>
    <n v="1.9601599999999999"/>
    <n v="1.9099200000000001"/>
    <n v="2.0026999999999999"/>
    <n v="1.95631"/>
    <n v="927.8"/>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9"/>
    <x v="7"/>
    <n v="1.38091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0"/>
    <n v="1.9964599999999999"/>
    <n v="1.9099200000000001"/>
    <n v="2.0026999999999999"/>
    <n v="1.95631"/>
    <n v="927.8"/>
  </r>
  <r>
    <x v="4"/>
    <x v="10"/>
    <x v="0"/>
    <n v="1.9964599999999999"/>
    <n v="1.9099200000000001"/>
    <n v="2.0026999999999999"/>
    <n v="1.95631"/>
    <n v="927.8"/>
  </r>
  <r>
    <x v="4"/>
    <x v="10"/>
    <x v="0"/>
    <n v="1.9964599999999999"/>
    <n v="1.9099200000000001"/>
    <n v="2.0026999999999999"/>
    <n v="1.95631"/>
    <n v="927.8"/>
  </r>
  <r>
    <x v="4"/>
    <x v="10"/>
    <x v="0"/>
    <n v="1.9964599999999999"/>
    <n v="1.9099200000000001"/>
    <n v="2.0026999999999999"/>
    <n v="1.95631"/>
    <n v="927.8"/>
  </r>
  <r>
    <x v="4"/>
    <x v="10"/>
    <x v="0"/>
    <n v="1.9964599999999999"/>
    <n v="1.9099200000000001"/>
    <n v="2.0026999999999999"/>
    <n v="1.95631"/>
    <n v="927.8"/>
  </r>
  <r>
    <x v="4"/>
    <x v="10"/>
    <x v="0"/>
    <n v="1.9964599999999999"/>
    <n v="1.9099200000000001"/>
    <n v="2.0026999999999999"/>
    <n v="1.95631"/>
    <n v="927.8"/>
  </r>
  <r>
    <x v="4"/>
    <x v="10"/>
    <x v="0"/>
    <n v="1.9964599999999999"/>
    <n v="1.9099200000000001"/>
    <n v="2.0026999999999999"/>
    <n v="1.95631"/>
    <n v="927.8"/>
  </r>
  <r>
    <x v="4"/>
    <x v="10"/>
    <x v="0"/>
    <n v="1.9964599999999999"/>
    <n v="1.9099200000000001"/>
    <n v="2.0026999999999999"/>
    <n v="1.95631"/>
    <n v="927.8"/>
  </r>
  <r>
    <x v="4"/>
    <x v="10"/>
    <x v="0"/>
    <n v="1.9964599999999999"/>
    <n v="1.9099200000000001"/>
    <n v="2.0026999999999999"/>
    <n v="1.95631"/>
    <n v="927.8"/>
  </r>
  <r>
    <x v="4"/>
    <x v="10"/>
    <x v="0"/>
    <n v="1.9964599999999999"/>
    <n v="1.9099200000000001"/>
    <n v="2.0026999999999999"/>
    <n v="1.95631"/>
    <n v="927.8"/>
  </r>
  <r>
    <x v="4"/>
    <x v="10"/>
    <x v="0"/>
    <n v="1.9964599999999999"/>
    <n v="1.9099200000000001"/>
    <n v="2.0026999999999999"/>
    <n v="1.95631"/>
    <n v="927.8"/>
  </r>
  <r>
    <x v="4"/>
    <x v="10"/>
    <x v="0"/>
    <n v="1.9964599999999999"/>
    <n v="1.9099200000000001"/>
    <n v="2.0026999999999999"/>
    <n v="1.95631"/>
    <n v="927.8"/>
  </r>
  <r>
    <x v="4"/>
    <x v="10"/>
    <x v="0"/>
    <n v="1.9964599999999999"/>
    <n v="1.9099200000000001"/>
    <n v="2.0026999999999999"/>
    <n v="1.95631"/>
    <n v="927.8"/>
  </r>
  <r>
    <x v="4"/>
    <x v="10"/>
    <x v="0"/>
    <n v="1.9964599999999999"/>
    <n v="1.9099200000000001"/>
    <n v="2.0026999999999999"/>
    <n v="1.95631"/>
    <n v="927.8"/>
  </r>
  <r>
    <x v="4"/>
    <x v="10"/>
    <x v="0"/>
    <n v="1.9964599999999999"/>
    <n v="1.9099200000000001"/>
    <n v="2.0026999999999999"/>
    <n v="1.95631"/>
    <n v="927.8"/>
  </r>
  <r>
    <x v="4"/>
    <x v="10"/>
    <x v="0"/>
    <n v="1.9964599999999999"/>
    <n v="1.9099200000000001"/>
    <n v="2.0026999999999999"/>
    <n v="1.95631"/>
    <n v="927.8"/>
  </r>
  <r>
    <x v="4"/>
    <x v="10"/>
    <x v="0"/>
    <n v="1.9964599999999999"/>
    <n v="1.9099200000000001"/>
    <n v="2.0026999999999999"/>
    <n v="1.95631"/>
    <n v="927.8"/>
  </r>
  <r>
    <x v="4"/>
    <x v="10"/>
    <x v="0"/>
    <n v="1.9964599999999999"/>
    <n v="1.9099200000000001"/>
    <n v="2.0026999999999999"/>
    <n v="1.95631"/>
    <n v="927.8"/>
  </r>
  <r>
    <x v="4"/>
    <x v="10"/>
    <x v="0"/>
    <n v="1.9964599999999999"/>
    <n v="1.9099200000000001"/>
    <n v="2.0026999999999999"/>
    <n v="1.95631"/>
    <n v="927.8"/>
  </r>
  <r>
    <x v="4"/>
    <x v="10"/>
    <x v="0"/>
    <n v="1.9964599999999999"/>
    <n v="1.9099200000000001"/>
    <n v="2.0026999999999999"/>
    <n v="1.95631"/>
    <n v="927.8"/>
  </r>
  <r>
    <x v="4"/>
    <x v="10"/>
    <x v="0"/>
    <n v="1.9964599999999999"/>
    <n v="1.9099200000000001"/>
    <n v="2.0026999999999999"/>
    <n v="1.95631"/>
    <n v="927.8"/>
  </r>
  <r>
    <x v="4"/>
    <x v="10"/>
    <x v="0"/>
    <n v="1.9964599999999999"/>
    <n v="1.9099200000000001"/>
    <n v="2.0026999999999999"/>
    <n v="1.95631"/>
    <n v="927.8"/>
  </r>
  <r>
    <x v="4"/>
    <x v="10"/>
    <x v="0"/>
    <n v="1.9964599999999999"/>
    <n v="1.9099200000000001"/>
    <n v="2.0026999999999999"/>
    <n v="1.95631"/>
    <n v="927.8"/>
  </r>
  <r>
    <x v="4"/>
    <x v="10"/>
    <x v="0"/>
    <n v="1.9964599999999999"/>
    <n v="1.9099200000000001"/>
    <n v="2.0026999999999999"/>
    <n v="1.95631"/>
    <n v="927.8"/>
  </r>
  <r>
    <x v="4"/>
    <x v="10"/>
    <x v="0"/>
    <n v="1.9964599999999999"/>
    <n v="1.9099200000000001"/>
    <n v="2.0026999999999999"/>
    <n v="1.95631"/>
    <n v="927.8"/>
  </r>
  <r>
    <x v="4"/>
    <x v="10"/>
    <x v="0"/>
    <n v="1.9964599999999999"/>
    <n v="1.9099200000000001"/>
    <n v="2.0026999999999999"/>
    <n v="1.95631"/>
    <n v="927.8"/>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0"/>
    <x v="7"/>
    <n v="1.43399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0"/>
    <n v="2.0033099999999999"/>
    <n v="1.9099200000000001"/>
    <n v="2.0340400000000001"/>
    <n v="1.9719800000000001"/>
    <n v="1241.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1"/>
    <x v="7"/>
    <n v="1.4368000000000001"/>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0"/>
    <n v="2.0645099999999998"/>
    <n v="1.9099200000000001"/>
    <n v="2.0579200000000002"/>
    <n v="1.9839199999999999"/>
    <n v="1480"/>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2"/>
    <x v="7"/>
    <n v="1.44685"/>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0"/>
    <n v="2.0541200000000002"/>
    <n v="1.9099200000000001"/>
    <n v="2.0579200000000002"/>
    <n v="1.9839199999999999"/>
    <n v="1480"/>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3"/>
    <x v="7"/>
    <n v="1.44228"/>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0"/>
    <n v="2.0561799999999999"/>
    <n v="1.9099200000000001"/>
    <n v="2.06602"/>
    <n v="1.98797"/>
    <n v="1561"/>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4"/>
    <x v="7"/>
    <n v="1.45276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0"/>
    <n v="2.0307300000000001"/>
    <n v="1.9099200000000001"/>
    <n v="2.06602"/>
    <n v="1.98797"/>
    <n v="1561"/>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5"/>
    <x v="7"/>
    <n v="1.4578599999999999"/>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0"/>
    <n v="2.0472399999999999"/>
    <n v="1.9099200000000001"/>
    <n v="2.06602"/>
    <n v="1.98797"/>
    <n v="1561"/>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6"/>
    <x v="7"/>
    <n v="1.43955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0"/>
    <n v="2.05166"/>
    <n v="1.9099200000000001"/>
    <n v="2.06602"/>
    <n v="1.98797"/>
    <n v="1561"/>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7"/>
    <x v="7"/>
    <n v="1.42321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0"/>
    <n v="2.04644"/>
    <n v="1.9099200000000001"/>
    <n v="2.06602"/>
    <n v="1.98797"/>
    <n v="1561"/>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8"/>
    <x v="7"/>
    <n v="1.4422600000000001"/>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0"/>
    <n v="1.98014"/>
    <n v="1.9099200000000001"/>
    <n v="2.06602"/>
    <n v="1.98797"/>
    <n v="1561"/>
  </r>
  <r>
    <x v="4"/>
    <x v="19"/>
    <x v="0"/>
    <n v="1.98014"/>
    <n v="1.9099200000000001"/>
    <n v="2.06602"/>
    <n v="1.98797"/>
    <n v="1561"/>
  </r>
  <r>
    <x v="4"/>
    <x v="19"/>
    <x v="0"/>
    <n v="1.98014"/>
    <n v="1.9099200000000001"/>
    <n v="2.06602"/>
    <n v="1.98797"/>
    <n v="1561"/>
  </r>
  <r>
    <x v="4"/>
    <x v="19"/>
    <x v="0"/>
    <n v="1.98014"/>
    <n v="1.9099200000000001"/>
    <n v="2.06602"/>
    <n v="1.98797"/>
    <n v="1561"/>
  </r>
  <r>
    <x v="4"/>
    <x v="19"/>
    <x v="0"/>
    <n v="1.98014"/>
    <n v="1.9099200000000001"/>
    <n v="2.06602"/>
    <n v="1.98797"/>
    <n v="1561"/>
  </r>
  <r>
    <x v="4"/>
    <x v="19"/>
    <x v="0"/>
    <n v="1.98014"/>
    <n v="1.9099200000000001"/>
    <n v="2.06602"/>
    <n v="1.98797"/>
    <n v="1561"/>
  </r>
  <r>
    <x v="4"/>
    <x v="19"/>
    <x v="0"/>
    <n v="1.98014"/>
    <n v="1.9099200000000001"/>
    <n v="2.06602"/>
    <n v="1.98797"/>
    <n v="1561"/>
  </r>
  <r>
    <x v="4"/>
    <x v="19"/>
    <x v="0"/>
    <n v="1.98014"/>
    <n v="1.9099200000000001"/>
    <n v="2.06602"/>
    <n v="1.98797"/>
    <n v="1561"/>
  </r>
  <r>
    <x v="4"/>
    <x v="19"/>
    <x v="0"/>
    <n v="1.98014"/>
    <n v="1.9099200000000001"/>
    <n v="2.06602"/>
    <n v="1.98797"/>
    <n v="1561"/>
  </r>
  <r>
    <x v="4"/>
    <x v="19"/>
    <x v="0"/>
    <n v="1.98014"/>
    <n v="1.9099200000000001"/>
    <n v="2.06602"/>
    <n v="1.98797"/>
    <n v="1561"/>
  </r>
  <r>
    <x v="4"/>
    <x v="19"/>
    <x v="0"/>
    <n v="1.98014"/>
    <n v="1.9099200000000001"/>
    <n v="2.06602"/>
    <n v="1.98797"/>
    <n v="1561"/>
  </r>
  <r>
    <x v="4"/>
    <x v="19"/>
    <x v="0"/>
    <n v="1.98014"/>
    <n v="1.9099200000000001"/>
    <n v="2.06602"/>
    <n v="1.98797"/>
    <n v="1561"/>
  </r>
  <r>
    <x v="4"/>
    <x v="19"/>
    <x v="0"/>
    <n v="1.98014"/>
    <n v="1.9099200000000001"/>
    <n v="2.06602"/>
    <n v="1.98797"/>
    <n v="1561"/>
  </r>
  <r>
    <x v="4"/>
    <x v="19"/>
    <x v="0"/>
    <n v="1.98014"/>
    <n v="1.9099200000000001"/>
    <n v="2.06602"/>
    <n v="1.98797"/>
    <n v="1561"/>
  </r>
  <r>
    <x v="4"/>
    <x v="19"/>
    <x v="0"/>
    <n v="1.98014"/>
    <n v="1.9099200000000001"/>
    <n v="2.06602"/>
    <n v="1.98797"/>
    <n v="1561"/>
  </r>
  <r>
    <x v="4"/>
    <x v="19"/>
    <x v="0"/>
    <n v="1.98014"/>
    <n v="1.9099200000000001"/>
    <n v="2.06602"/>
    <n v="1.98797"/>
    <n v="1561"/>
  </r>
  <r>
    <x v="4"/>
    <x v="19"/>
    <x v="0"/>
    <n v="1.98014"/>
    <n v="1.9099200000000001"/>
    <n v="2.06602"/>
    <n v="1.98797"/>
    <n v="1561"/>
  </r>
  <r>
    <x v="4"/>
    <x v="19"/>
    <x v="0"/>
    <n v="1.98014"/>
    <n v="1.9099200000000001"/>
    <n v="2.06602"/>
    <n v="1.98797"/>
    <n v="1561"/>
  </r>
  <r>
    <x v="4"/>
    <x v="19"/>
    <x v="0"/>
    <n v="1.98014"/>
    <n v="1.9099200000000001"/>
    <n v="2.06602"/>
    <n v="1.98797"/>
    <n v="1561"/>
  </r>
  <r>
    <x v="4"/>
    <x v="19"/>
    <x v="0"/>
    <n v="1.98014"/>
    <n v="1.9099200000000001"/>
    <n v="2.06602"/>
    <n v="1.98797"/>
    <n v="1561"/>
  </r>
  <r>
    <x v="4"/>
    <x v="19"/>
    <x v="0"/>
    <n v="1.98014"/>
    <n v="1.9099200000000001"/>
    <n v="2.06602"/>
    <n v="1.98797"/>
    <n v="1561"/>
  </r>
  <r>
    <x v="4"/>
    <x v="19"/>
    <x v="0"/>
    <n v="1.98014"/>
    <n v="1.9099200000000001"/>
    <n v="2.06602"/>
    <n v="1.98797"/>
    <n v="1561"/>
  </r>
  <r>
    <x v="4"/>
    <x v="19"/>
    <x v="0"/>
    <n v="1.98014"/>
    <n v="1.9099200000000001"/>
    <n v="2.06602"/>
    <n v="1.98797"/>
    <n v="1561"/>
  </r>
  <r>
    <x v="4"/>
    <x v="19"/>
    <x v="0"/>
    <n v="1.98014"/>
    <n v="1.9099200000000001"/>
    <n v="2.06602"/>
    <n v="1.98797"/>
    <n v="1561"/>
  </r>
  <r>
    <x v="4"/>
    <x v="19"/>
    <x v="0"/>
    <n v="1.98014"/>
    <n v="1.9099200000000001"/>
    <n v="2.06602"/>
    <n v="1.98797"/>
    <n v="1561"/>
  </r>
  <r>
    <x v="4"/>
    <x v="19"/>
    <x v="0"/>
    <n v="1.98014"/>
    <n v="1.9099200000000001"/>
    <n v="2.06602"/>
    <n v="1.98797"/>
    <n v="1561"/>
  </r>
  <r>
    <x v="4"/>
    <x v="19"/>
    <x v="0"/>
    <n v="1.98014"/>
    <n v="1.9099200000000001"/>
    <n v="2.06602"/>
    <n v="1.98797"/>
    <n v="1561"/>
  </r>
  <r>
    <x v="4"/>
    <x v="19"/>
    <x v="0"/>
    <n v="1.98014"/>
    <n v="1.9099200000000001"/>
    <n v="2.06602"/>
    <n v="1.98797"/>
    <n v="1561"/>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19"/>
    <x v="7"/>
    <n v="1.43168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0"/>
    <n v="1.9856199999999999"/>
    <n v="1.9099200000000001"/>
    <n v="2.06602"/>
    <n v="1.98797"/>
    <n v="1561"/>
  </r>
  <r>
    <x v="4"/>
    <x v="20"/>
    <x v="0"/>
    <n v="1.9856199999999999"/>
    <n v="1.9099200000000001"/>
    <n v="2.06602"/>
    <n v="1.98797"/>
    <n v="1561"/>
  </r>
  <r>
    <x v="4"/>
    <x v="20"/>
    <x v="0"/>
    <n v="1.9856199999999999"/>
    <n v="1.9099200000000001"/>
    <n v="2.06602"/>
    <n v="1.98797"/>
    <n v="1561"/>
  </r>
  <r>
    <x v="4"/>
    <x v="20"/>
    <x v="0"/>
    <n v="1.9856199999999999"/>
    <n v="1.9099200000000001"/>
    <n v="2.06602"/>
    <n v="1.98797"/>
    <n v="1561"/>
  </r>
  <r>
    <x v="4"/>
    <x v="20"/>
    <x v="0"/>
    <n v="1.9856199999999999"/>
    <n v="1.9099200000000001"/>
    <n v="2.06602"/>
    <n v="1.98797"/>
    <n v="1561"/>
  </r>
  <r>
    <x v="4"/>
    <x v="20"/>
    <x v="0"/>
    <n v="1.9856199999999999"/>
    <n v="1.9099200000000001"/>
    <n v="2.06602"/>
    <n v="1.98797"/>
    <n v="1561"/>
  </r>
  <r>
    <x v="4"/>
    <x v="20"/>
    <x v="0"/>
    <n v="1.9856199999999999"/>
    <n v="1.9099200000000001"/>
    <n v="2.06602"/>
    <n v="1.98797"/>
    <n v="1561"/>
  </r>
  <r>
    <x v="4"/>
    <x v="20"/>
    <x v="0"/>
    <n v="1.9856199999999999"/>
    <n v="1.9099200000000001"/>
    <n v="2.06602"/>
    <n v="1.98797"/>
    <n v="1561"/>
  </r>
  <r>
    <x v="4"/>
    <x v="20"/>
    <x v="0"/>
    <n v="1.9856199999999999"/>
    <n v="1.9099200000000001"/>
    <n v="2.06602"/>
    <n v="1.98797"/>
    <n v="1561"/>
  </r>
  <r>
    <x v="4"/>
    <x v="20"/>
    <x v="0"/>
    <n v="1.9856199999999999"/>
    <n v="1.9099200000000001"/>
    <n v="2.06602"/>
    <n v="1.98797"/>
    <n v="1561"/>
  </r>
  <r>
    <x v="4"/>
    <x v="20"/>
    <x v="0"/>
    <n v="1.9856199999999999"/>
    <n v="1.9099200000000001"/>
    <n v="2.06602"/>
    <n v="1.98797"/>
    <n v="1561"/>
  </r>
  <r>
    <x v="4"/>
    <x v="20"/>
    <x v="0"/>
    <n v="1.9856199999999999"/>
    <n v="1.9099200000000001"/>
    <n v="2.06602"/>
    <n v="1.98797"/>
    <n v="1561"/>
  </r>
  <r>
    <x v="4"/>
    <x v="20"/>
    <x v="0"/>
    <n v="1.9856199999999999"/>
    <n v="1.9099200000000001"/>
    <n v="2.06602"/>
    <n v="1.98797"/>
    <n v="1561"/>
  </r>
  <r>
    <x v="4"/>
    <x v="20"/>
    <x v="0"/>
    <n v="1.9856199999999999"/>
    <n v="1.9099200000000001"/>
    <n v="2.06602"/>
    <n v="1.98797"/>
    <n v="1561"/>
  </r>
  <r>
    <x v="4"/>
    <x v="20"/>
    <x v="0"/>
    <n v="1.9856199999999999"/>
    <n v="1.9099200000000001"/>
    <n v="2.06602"/>
    <n v="1.98797"/>
    <n v="1561"/>
  </r>
  <r>
    <x v="4"/>
    <x v="20"/>
    <x v="0"/>
    <n v="1.9856199999999999"/>
    <n v="1.9099200000000001"/>
    <n v="2.06602"/>
    <n v="1.98797"/>
    <n v="1561"/>
  </r>
  <r>
    <x v="4"/>
    <x v="20"/>
    <x v="0"/>
    <n v="1.9856199999999999"/>
    <n v="1.9099200000000001"/>
    <n v="2.06602"/>
    <n v="1.98797"/>
    <n v="1561"/>
  </r>
  <r>
    <x v="4"/>
    <x v="20"/>
    <x v="0"/>
    <n v="1.9856199999999999"/>
    <n v="1.9099200000000001"/>
    <n v="2.06602"/>
    <n v="1.98797"/>
    <n v="1561"/>
  </r>
  <r>
    <x v="4"/>
    <x v="20"/>
    <x v="0"/>
    <n v="1.9856199999999999"/>
    <n v="1.9099200000000001"/>
    <n v="2.06602"/>
    <n v="1.98797"/>
    <n v="1561"/>
  </r>
  <r>
    <x v="4"/>
    <x v="20"/>
    <x v="0"/>
    <n v="1.9856199999999999"/>
    <n v="1.9099200000000001"/>
    <n v="2.06602"/>
    <n v="1.98797"/>
    <n v="1561"/>
  </r>
  <r>
    <x v="4"/>
    <x v="20"/>
    <x v="0"/>
    <n v="1.9856199999999999"/>
    <n v="1.9099200000000001"/>
    <n v="2.06602"/>
    <n v="1.98797"/>
    <n v="1561"/>
  </r>
  <r>
    <x v="4"/>
    <x v="20"/>
    <x v="0"/>
    <n v="1.9856199999999999"/>
    <n v="1.9099200000000001"/>
    <n v="2.06602"/>
    <n v="1.98797"/>
    <n v="1561"/>
  </r>
  <r>
    <x v="4"/>
    <x v="20"/>
    <x v="0"/>
    <n v="1.9856199999999999"/>
    <n v="1.9099200000000001"/>
    <n v="2.06602"/>
    <n v="1.98797"/>
    <n v="1561"/>
  </r>
  <r>
    <x v="4"/>
    <x v="20"/>
    <x v="0"/>
    <n v="1.9856199999999999"/>
    <n v="1.9099200000000001"/>
    <n v="2.06602"/>
    <n v="1.98797"/>
    <n v="1561"/>
  </r>
  <r>
    <x v="4"/>
    <x v="20"/>
    <x v="0"/>
    <n v="1.9856199999999999"/>
    <n v="1.9099200000000001"/>
    <n v="2.06602"/>
    <n v="1.98797"/>
    <n v="1561"/>
  </r>
  <r>
    <x v="4"/>
    <x v="20"/>
    <x v="0"/>
    <n v="1.9856199999999999"/>
    <n v="1.9099200000000001"/>
    <n v="2.06602"/>
    <n v="1.98797"/>
    <n v="1561"/>
  </r>
  <r>
    <x v="4"/>
    <x v="20"/>
    <x v="0"/>
    <n v="1.9856199999999999"/>
    <n v="1.9099200000000001"/>
    <n v="2.06602"/>
    <n v="1.98797"/>
    <n v="1561"/>
  </r>
  <r>
    <x v="4"/>
    <x v="20"/>
    <x v="0"/>
    <n v="1.9856199999999999"/>
    <n v="1.9099200000000001"/>
    <n v="2.06602"/>
    <n v="1.98797"/>
    <n v="1561"/>
  </r>
  <r>
    <x v="4"/>
    <x v="20"/>
    <x v="0"/>
    <n v="1.9856199999999999"/>
    <n v="1.9099200000000001"/>
    <n v="2.06602"/>
    <n v="1.98797"/>
    <n v="1561"/>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0"/>
    <x v="7"/>
    <n v="1.4291499999999999"/>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0"/>
    <n v="1.9944999999999999"/>
    <n v="1.9099200000000001"/>
    <n v="2.06602"/>
    <n v="1.98797"/>
    <n v="1561"/>
  </r>
  <r>
    <x v="4"/>
    <x v="21"/>
    <x v="0"/>
    <n v="1.9944999999999999"/>
    <n v="1.9099200000000001"/>
    <n v="2.06602"/>
    <n v="1.98797"/>
    <n v="1561"/>
  </r>
  <r>
    <x v="4"/>
    <x v="21"/>
    <x v="0"/>
    <n v="1.9944999999999999"/>
    <n v="1.9099200000000001"/>
    <n v="2.06602"/>
    <n v="1.98797"/>
    <n v="1561"/>
  </r>
  <r>
    <x v="4"/>
    <x v="21"/>
    <x v="0"/>
    <n v="1.9944999999999999"/>
    <n v="1.9099200000000001"/>
    <n v="2.06602"/>
    <n v="1.98797"/>
    <n v="1561"/>
  </r>
  <r>
    <x v="4"/>
    <x v="21"/>
    <x v="0"/>
    <n v="1.9944999999999999"/>
    <n v="1.9099200000000001"/>
    <n v="2.06602"/>
    <n v="1.98797"/>
    <n v="1561"/>
  </r>
  <r>
    <x v="4"/>
    <x v="21"/>
    <x v="0"/>
    <n v="1.9944999999999999"/>
    <n v="1.9099200000000001"/>
    <n v="2.06602"/>
    <n v="1.98797"/>
    <n v="1561"/>
  </r>
  <r>
    <x v="4"/>
    <x v="21"/>
    <x v="0"/>
    <n v="1.9944999999999999"/>
    <n v="1.9099200000000001"/>
    <n v="2.06602"/>
    <n v="1.98797"/>
    <n v="1561"/>
  </r>
  <r>
    <x v="4"/>
    <x v="21"/>
    <x v="0"/>
    <n v="1.9944999999999999"/>
    <n v="1.9099200000000001"/>
    <n v="2.06602"/>
    <n v="1.98797"/>
    <n v="1561"/>
  </r>
  <r>
    <x v="4"/>
    <x v="21"/>
    <x v="0"/>
    <n v="1.9944999999999999"/>
    <n v="1.9099200000000001"/>
    <n v="2.06602"/>
    <n v="1.98797"/>
    <n v="1561"/>
  </r>
  <r>
    <x v="4"/>
    <x v="21"/>
    <x v="0"/>
    <n v="1.9944999999999999"/>
    <n v="1.9099200000000001"/>
    <n v="2.06602"/>
    <n v="1.98797"/>
    <n v="1561"/>
  </r>
  <r>
    <x v="4"/>
    <x v="21"/>
    <x v="0"/>
    <n v="1.9944999999999999"/>
    <n v="1.9099200000000001"/>
    <n v="2.06602"/>
    <n v="1.98797"/>
    <n v="1561"/>
  </r>
  <r>
    <x v="4"/>
    <x v="21"/>
    <x v="0"/>
    <n v="1.9944999999999999"/>
    <n v="1.9099200000000001"/>
    <n v="2.06602"/>
    <n v="1.98797"/>
    <n v="1561"/>
  </r>
  <r>
    <x v="4"/>
    <x v="21"/>
    <x v="0"/>
    <n v="1.9944999999999999"/>
    <n v="1.9099200000000001"/>
    <n v="2.06602"/>
    <n v="1.98797"/>
    <n v="1561"/>
  </r>
  <r>
    <x v="4"/>
    <x v="21"/>
    <x v="0"/>
    <n v="1.9944999999999999"/>
    <n v="1.9099200000000001"/>
    <n v="2.06602"/>
    <n v="1.98797"/>
    <n v="1561"/>
  </r>
  <r>
    <x v="4"/>
    <x v="21"/>
    <x v="0"/>
    <n v="1.9944999999999999"/>
    <n v="1.9099200000000001"/>
    <n v="2.06602"/>
    <n v="1.98797"/>
    <n v="1561"/>
  </r>
  <r>
    <x v="4"/>
    <x v="21"/>
    <x v="0"/>
    <n v="1.9944999999999999"/>
    <n v="1.9099200000000001"/>
    <n v="2.06602"/>
    <n v="1.98797"/>
    <n v="1561"/>
  </r>
  <r>
    <x v="4"/>
    <x v="21"/>
    <x v="0"/>
    <n v="1.9944999999999999"/>
    <n v="1.9099200000000001"/>
    <n v="2.06602"/>
    <n v="1.98797"/>
    <n v="1561"/>
  </r>
  <r>
    <x v="4"/>
    <x v="21"/>
    <x v="0"/>
    <n v="1.9944999999999999"/>
    <n v="1.9099200000000001"/>
    <n v="2.06602"/>
    <n v="1.98797"/>
    <n v="1561"/>
  </r>
  <r>
    <x v="4"/>
    <x v="21"/>
    <x v="0"/>
    <n v="1.9944999999999999"/>
    <n v="1.9099200000000001"/>
    <n v="2.06602"/>
    <n v="1.98797"/>
    <n v="1561"/>
  </r>
  <r>
    <x v="4"/>
    <x v="21"/>
    <x v="0"/>
    <n v="1.9944999999999999"/>
    <n v="1.9099200000000001"/>
    <n v="2.06602"/>
    <n v="1.98797"/>
    <n v="1561"/>
  </r>
  <r>
    <x v="4"/>
    <x v="21"/>
    <x v="0"/>
    <n v="1.9944999999999999"/>
    <n v="1.9099200000000001"/>
    <n v="2.06602"/>
    <n v="1.98797"/>
    <n v="1561"/>
  </r>
  <r>
    <x v="4"/>
    <x v="21"/>
    <x v="0"/>
    <n v="1.9944999999999999"/>
    <n v="1.9099200000000001"/>
    <n v="2.06602"/>
    <n v="1.98797"/>
    <n v="1561"/>
  </r>
  <r>
    <x v="4"/>
    <x v="21"/>
    <x v="0"/>
    <n v="1.9944999999999999"/>
    <n v="1.9099200000000001"/>
    <n v="2.06602"/>
    <n v="1.98797"/>
    <n v="1561"/>
  </r>
  <r>
    <x v="4"/>
    <x v="21"/>
    <x v="0"/>
    <n v="1.9944999999999999"/>
    <n v="1.9099200000000001"/>
    <n v="2.06602"/>
    <n v="1.98797"/>
    <n v="1561"/>
  </r>
  <r>
    <x v="4"/>
    <x v="21"/>
    <x v="0"/>
    <n v="1.9944999999999999"/>
    <n v="1.9099200000000001"/>
    <n v="2.06602"/>
    <n v="1.98797"/>
    <n v="1561"/>
  </r>
  <r>
    <x v="4"/>
    <x v="21"/>
    <x v="0"/>
    <n v="1.9944999999999999"/>
    <n v="1.9099200000000001"/>
    <n v="2.06602"/>
    <n v="1.98797"/>
    <n v="1561"/>
  </r>
  <r>
    <x v="4"/>
    <x v="21"/>
    <x v="0"/>
    <n v="1.9944999999999999"/>
    <n v="1.9099200000000001"/>
    <n v="2.06602"/>
    <n v="1.98797"/>
    <n v="1561"/>
  </r>
  <r>
    <x v="4"/>
    <x v="21"/>
    <x v="0"/>
    <n v="1.9944999999999999"/>
    <n v="1.9099200000000001"/>
    <n v="2.06602"/>
    <n v="1.98797"/>
    <n v="1561"/>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1"/>
    <x v="7"/>
    <n v="1.46248"/>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4"/>
    <x v="22"/>
    <x v="7"/>
    <n v="1.4741"/>
    <n v="1.37999"/>
    <n v="1.5540099999999999"/>
    <n v="1.4670000000000001"/>
    <n v="1740.2"/>
  </r>
  <r>
    <x v="5"/>
    <x v="60"/>
    <x v="7"/>
    <n v="1.45041"/>
    <n v="1.4629399999999999"/>
    <n v="1.46374"/>
    <n v="1.4633400000000001"/>
    <n v="8"/>
  </r>
  <r>
    <x v="5"/>
    <x v="60"/>
    <x v="7"/>
    <n v="1.45041"/>
    <n v="1.4629399999999999"/>
    <n v="1.46374"/>
    <n v="1.4633400000000001"/>
    <n v="8"/>
  </r>
  <r>
    <x v="5"/>
    <x v="60"/>
    <x v="2"/>
    <n v="102.178"/>
    <n v="102.41800000000001"/>
    <n v="102.44"/>
    <n v="102.429"/>
    <n v="2.2000000000000002"/>
  </r>
  <r>
    <x v="5"/>
    <x v="60"/>
    <x v="2"/>
    <n v="102.178"/>
    <n v="102.41800000000001"/>
    <n v="102.44"/>
    <n v="102.429"/>
    <n v="2.2000000000000002"/>
  </r>
  <r>
    <x v="5"/>
    <x v="60"/>
    <x v="0"/>
    <n v="1.96085"/>
    <n v="1.9603699999999999"/>
    <n v="1.9603699999999999"/>
    <n v="1.9603699999999999"/>
    <n v="0"/>
  </r>
  <r>
    <x v="6"/>
    <x v="61"/>
    <x v="10"/>
    <m/>
    <n v="0.91115999999999997"/>
    <n v="0.91217000000000004"/>
    <n v="0.91166499999999995"/>
    <n v="10.1"/>
  </r>
  <r>
    <x v="6"/>
    <x v="61"/>
    <x v="0"/>
    <m/>
    <n v="1.9151"/>
    <n v="1.9171"/>
    <n v="1.9160999999999999"/>
    <n v="20"/>
  </r>
  <r>
    <x v="6"/>
    <x v="61"/>
    <x v="10"/>
    <m/>
    <n v="0.91115999999999997"/>
    <n v="0.91217000000000004"/>
    <n v="0.91166499999999995"/>
    <n v="10.1"/>
  </r>
  <r>
    <x v="6"/>
    <x v="61"/>
    <x v="10"/>
    <m/>
    <n v="0.91115999999999997"/>
    <n v="0.91217000000000004"/>
    <n v="0.91166499999999995"/>
    <n v="10.1"/>
  </r>
  <r>
    <x v="6"/>
    <x v="61"/>
    <x v="10"/>
    <m/>
    <n v="0.91115999999999997"/>
    <n v="0.91217000000000004"/>
    <n v="0.91166499999999995"/>
    <n v="10.1"/>
  </r>
  <r>
    <x v="6"/>
    <x v="61"/>
    <x v="10"/>
    <m/>
    <n v="0.91115999999999997"/>
    <n v="0.91217000000000004"/>
    <n v="0.91166499999999995"/>
    <n v="10.1"/>
  </r>
  <r>
    <x v="6"/>
    <x v="61"/>
    <x v="10"/>
    <m/>
    <n v="0.91115999999999997"/>
    <n v="0.91217000000000004"/>
    <n v="0.91166499999999995"/>
    <n v="10.1"/>
  </r>
  <r>
    <x v="6"/>
    <x v="61"/>
    <x v="0"/>
    <m/>
    <n v="1.9151"/>
    <n v="1.9171"/>
    <n v="1.9160999999999999"/>
    <n v="20"/>
  </r>
  <r>
    <x v="6"/>
    <x v="61"/>
    <x v="0"/>
    <m/>
    <n v="1.9151"/>
    <n v="1.9171"/>
    <n v="1.9160999999999999"/>
    <n v="20"/>
  </r>
  <r>
    <x v="6"/>
    <x v="61"/>
    <x v="0"/>
    <m/>
    <n v="1.9151"/>
    <n v="1.9171"/>
    <n v="1.9160999999999999"/>
    <n v="20"/>
  </r>
  <r>
    <x v="6"/>
    <x v="61"/>
    <x v="0"/>
    <m/>
    <n v="1.9151"/>
    <n v="1.9171"/>
    <n v="1.9160999999999999"/>
    <n v="20"/>
  </r>
  <r>
    <x v="6"/>
    <x v="61"/>
    <x v="0"/>
    <m/>
    <n v="1.9151"/>
    <n v="1.9171"/>
    <n v="1.9160999999999999"/>
    <n v="20"/>
  </r>
  <r>
    <x v="6"/>
    <x v="61"/>
    <x v="0"/>
    <m/>
    <n v="1.9151"/>
    <n v="1.9171"/>
    <n v="1.9160999999999999"/>
    <n v="20"/>
  </r>
  <r>
    <x v="6"/>
    <x v="61"/>
    <x v="0"/>
    <m/>
    <n v="1.9151"/>
    <n v="1.9171"/>
    <n v="1.9160999999999999"/>
    <n v="20"/>
  </r>
  <r>
    <x v="6"/>
    <x v="61"/>
    <x v="0"/>
    <m/>
    <n v="1.9151"/>
    <n v="1.9171"/>
    <n v="1.9160999999999999"/>
    <n v="20"/>
  </r>
  <r>
    <x v="6"/>
    <x v="61"/>
    <x v="0"/>
    <m/>
    <n v="1.9151"/>
    <n v="1.9171"/>
    <n v="1.9160999999999999"/>
    <n v="20"/>
  </r>
  <r>
    <x v="6"/>
    <x v="61"/>
    <x v="0"/>
    <m/>
    <n v="1.9151"/>
    <n v="1.9171"/>
    <n v="1.9160999999999999"/>
    <n v="20"/>
  </r>
  <r>
    <x v="6"/>
    <x v="61"/>
    <x v="0"/>
    <m/>
    <n v="1.9151"/>
    <n v="1.9171"/>
    <n v="1.9160999999999999"/>
    <n v="20"/>
  </r>
  <r>
    <x v="6"/>
    <x v="61"/>
    <x v="0"/>
    <m/>
    <n v="1.9151"/>
    <n v="1.9171"/>
    <n v="1.9160999999999999"/>
    <n v="20"/>
  </r>
  <r>
    <x v="6"/>
    <x v="61"/>
    <x v="10"/>
    <m/>
    <n v="0.91115999999999997"/>
    <n v="0.91217000000000004"/>
    <n v="0.91166499999999995"/>
    <n v="10.1"/>
  </r>
  <r>
    <x v="6"/>
    <x v="27"/>
    <x v="10"/>
    <m/>
    <n v="0.90158000000000005"/>
    <n v="0.91217000000000004"/>
    <n v="0.90687499999999999"/>
    <n v="105.9"/>
  </r>
  <r>
    <x v="6"/>
    <x v="27"/>
    <x v="0"/>
    <m/>
    <n v="1.9001600000000001"/>
    <n v="1.9171"/>
    <n v="1.90863"/>
    <n v="169.4"/>
  </r>
  <r>
    <x v="6"/>
    <x v="27"/>
    <x v="10"/>
    <m/>
    <n v="0.90158000000000005"/>
    <n v="0.91217000000000004"/>
    <n v="0.90687499999999999"/>
    <n v="105.9"/>
  </r>
  <r>
    <x v="6"/>
    <x v="27"/>
    <x v="10"/>
    <m/>
    <n v="0.90158000000000005"/>
    <n v="0.91217000000000004"/>
    <n v="0.90687499999999999"/>
    <n v="105.9"/>
  </r>
  <r>
    <x v="6"/>
    <x v="27"/>
    <x v="10"/>
    <m/>
    <n v="0.90158000000000005"/>
    <n v="0.91217000000000004"/>
    <n v="0.90687499999999999"/>
    <n v="105.9"/>
  </r>
  <r>
    <x v="6"/>
    <x v="27"/>
    <x v="10"/>
    <m/>
    <n v="0.90158000000000005"/>
    <n v="0.91217000000000004"/>
    <n v="0.90687499999999999"/>
    <n v="105.9"/>
  </r>
  <r>
    <x v="6"/>
    <x v="27"/>
    <x v="10"/>
    <m/>
    <n v="0.90158000000000005"/>
    <n v="0.91217000000000004"/>
    <n v="0.90687499999999999"/>
    <n v="105.9"/>
  </r>
  <r>
    <x v="6"/>
    <x v="27"/>
    <x v="10"/>
    <m/>
    <n v="0.90158000000000005"/>
    <n v="0.91217000000000004"/>
    <n v="0.90687499999999999"/>
    <n v="105.9"/>
  </r>
  <r>
    <x v="6"/>
    <x v="27"/>
    <x v="10"/>
    <m/>
    <n v="0.90158000000000005"/>
    <n v="0.91217000000000004"/>
    <n v="0.90687499999999999"/>
    <n v="105.9"/>
  </r>
  <r>
    <x v="6"/>
    <x v="27"/>
    <x v="10"/>
    <m/>
    <n v="0.90158000000000005"/>
    <n v="0.91217000000000004"/>
    <n v="0.90687499999999999"/>
    <n v="105.9"/>
  </r>
  <r>
    <x v="6"/>
    <x v="27"/>
    <x v="0"/>
    <m/>
    <n v="1.9001600000000001"/>
    <n v="1.9171"/>
    <n v="1.90863"/>
    <n v="169.4"/>
  </r>
  <r>
    <x v="6"/>
    <x v="27"/>
    <x v="0"/>
    <m/>
    <n v="1.9001600000000001"/>
    <n v="1.9171"/>
    <n v="1.90863"/>
    <n v="169.4"/>
  </r>
  <r>
    <x v="6"/>
    <x v="27"/>
    <x v="0"/>
    <m/>
    <n v="1.9001600000000001"/>
    <n v="1.9171"/>
    <n v="1.90863"/>
    <n v="169.4"/>
  </r>
  <r>
    <x v="6"/>
    <x v="27"/>
    <x v="0"/>
    <m/>
    <n v="1.9001600000000001"/>
    <n v="1.9171"/>
    <n v="1.90863"/>
    <n v="169.4"/>
  </r>
  <r>
    <x v="6"/>
    <x v="27"/>
    <x v="0"/>
    <m/>
    <n v="1.9001600000000001"/>
    <n v="1.9171"/>
    <n v="1.90863"/>
    <n v="169.4"/>
  </r>
  <r>
    <x v="6"/>
    <x v="27"/>
    <x v="0"/>
    <m/>
    <n v="1.9001600000000001"/>
    <n v="1.9171"/>
    <n v="1.90863"/>
    <n v="169.4"/>
  </r>
  <r>
    <x v="6"/>
    <x v="27"/>
    <x v="0"/>
    <m/>
    <n v="1.9001600000000001"/>
    <n v="1.9171"/>
    <n v="1.90863"/>
    <n v="169.4"/>
  </r>
  <r>
    <x v="6"/>
    <x v="27"/>
    <x v="0"/>
    <m/>
    <n v="1.9001600000000001"/>
    <n v="1.9171"/>
    <n v="1.90863"/>
    <n v="169.4"/>
  </r>
  <r>
    <x v="6"/>
    <x v="27"/>
    <x v="0"/>
    <m/>
    <n v="1.9001600000000001"/>
    <n v="1.9171"/>
    <n v="1.90863"/>
    <n v="169.4"/>
  </r>
  <r>
    <x v="6"/>
    <x v="27"/>
    <x v="0"/>
    <m/>
    <n v="1.9001600000000001"/>
    <n v="1.9171"/>
    <n v="1.90863"/>
    <n v="169.4"/>
  </r>
  <r>
    <x v="6"/>
    <x v="27"/>
    <x v="0"/>
    <m/>
    <n v="1.9001600000000001"/>
    <n v="1.9171"/>
    <n v="1.90863"/>
    <n v="169.4"/>
  </r>
  <r>
    <x v="6"/>
    <x v="27"/>
    <x v="0"/>
    <m/>
    <n v="1.9001600000000001"/>
    <n v="1.9171"/>
    <n v="1.90863"/>
    <n v="169.4"/>
  </r>
  <r>
    <x v="6"/>
    <x v="27"/>
    <x v="0"/>
    <m/>
    <n v="1.9001600000000001"/>
    <n v="1.9171"/>
    <n v="1.90863"/>
    <n v="169.4"/>
  </r>
  <r>
    <x v="6"/>
    <x v="27"/>
    <x v="0"/>
    <m/>
    <n v="1.9001600000000001"/>
    <n v="1.9171"/>
    <n v="1.90863"/>
    <n v="169.4"/>
  </r>
  <r>
    <x v="6"/>
    <x v="27"/>
    <x v="0"/>
    <m/>
    <n v="1.9001600000000001"/>
    <n v="1.9171"/>
    <n v="1.90863"/>
    <n v="169.4"/>
  </r>
  <r>
    <x v="6"/>
    <x v="27"/>
    <x v="0"/>
    <m/>
    <n v="1.9001600000000001"/>
    <n v="1.9171"/>
    <n v="1.90863"/>
    <n v="169.4"/>
  </r>
  <r>
    <x v="6"/>
    <x v="27"/>
    <x v="0"/>
    <m/>
    <n v="1.9001600000000001"/>
    <n v="1.9171"/>
    <n v="1.90863"/>
    <n v="169.4"/>
  </r>
  <r>
    <x v="6"/>
    <x v="27"/>
    <x v="0"/>
    <m/>
    <n v="1.9001600000000001"/>
    <n v="1.9171"/>
    <n v="1.90863"/>
    <n v="169.4"/>
  </r>
  <r>
    <x v="6"/>
    <x v="27"/>
    <x v="0"/>
    <m/>
    <n v="1.9001600000000001"/>
    <n v="1.9171"/>
    <n v="1.90863"/>
    <n v="169.4"/>
  </r>
  <r>
    <x v="6"/>
    <x v="27"/>
    <x v="0"/>
    <m/>
    <n v="1.9001600000000001"/>
    <n v="1.9171"/>
    <n v="1.90863"/>
    <n v="169.4"/>
  </r>
  <r>
    <x v="6"/>
    <x v="27"/>
    <x v="10"/>
    <m/>
    <n v="0.90158000000000005"/>
    <n v="0.91217000000000004"/>
    <n v="0.90687499999999999"/>
    <n v="105.9"/>
  </r>
  <r>
    <x v="6"/>
    <x v="28"/>
    <x v="10"/>
    <m/>
    <n v="0.89190999999999998"/>
    <n v="0.91217000000000004"/>
    <n v="0.90203999999999995"/>
    <n v="202.6"/>
  </r>
  <r>
    <x v="6"/>
    <x v="28"/>
    <x v="0"/>
    <m/>
    <n v="1.9001600000000001"/>
    <n v="1.9531000000000001"/>
    <n v="1.9266300000000001"/>
    <n v="529.4"/>
  </r>
  <r>
    <x v="6"/>
    <x v="28"/>
    <x v="10"/>
    <m/>
    <n v="0.89190999999999998"/>
    <n v="0.91217000000000004"/>
    <n v="0.90203999999999995"/>
    <n v="202.6"/>
  </r>
  <r>
    <x v="6"/>
    <x v="28"/>
    <x v="10"/>
    <m/>
    <n v="0.89190999999999998"/>
    <n v="0.91217000000000004"/>
    <n v="0.90203999999999995"/>
    <n v="202.6"/>
  </r>
  <r>
    <x v="6"/>
    <x v="28"/>
    <x v="10"/>
    <m/>
    <n v="0.89190999999999998"/>
    <n v="0.91217000000000004"/>
    <n v="0.90203999999999995"/>
    <n v="202.6"/>
  </r>
  <r>
    <x v="6"/>
    <x v="28"/>
    <x v="10"/>
    <m/>
    <n v="0.89190999999999998"/>
    <n v="0.91217000000000004"/>
    <n v="0.90203999999999995"/>
    <n v="202.6"/>
  </r>
  <r>
    <x v="6"/>
    <x v="28"/>
    <x v="10"/>
    <m/>
    <n v="0.89190999999999998"/>
    <n v="0.91217000000000004"/>
    <n v="0.90203999999999995"/>
    <n v="202.6"/>
  </r>
  <r>
    <x v="6"/>
    <x v="28"/>
    <x v="10"/>
    <m/>
    <n v="0.89190999999999998"/>
    <n v="0.91217000000000004"/>
    <n v="0.90203999999999995"/>
    <n v="202.6"/>
  </r>
  <r>
    <x v="6"/>
    <x v="28"/>
    <x v="10"/>
    <m/>
    <n v="0.89190999999999998"/>
    <n v="0.91217000000000004"/>
    <n v="0.90203999999999995"/>
    <n v="202.6"/>
  </r>
  <r>
    <x v="6"/>
    <x v="28"/>
    <x v="10"/>
    <m/>
    <n v="0.89190999999999998"/>
    <n v="0.91217000000000004"/>
    <n v="0.90203999999999995"/>
    <n v="202.6"/>
  </r>
  <r>
    <x v="6"/>
    <x v="28"/>
    <x v="10"/>
    <m/>
    <n v="0.89190999999999998"/>
    <n v="0.91217000000000004"/>
    <n v="0.90203999999999995"/>
    <n v="202.6"/>
  </r>
  <r>
    <x v="6"/>
    <x v="28"/>
    <x v="10"/>
    <m/>
    <n v="0.89190999999999998"/>
    <n v="0.91217000000000004"/>
    <n v="0.90203999999999995"/>
    <n v="202.6"/>
  </r>
  <r>
    <x v="6"/>
    <x v="28"/>
    <x v="10"/>
    <m/>
    <n v="0.89190999999999998"/>
    <n v="0.91217000000000004"/>
    <n v="0.90203999999999995"/>
    <n v="202.6"/>
  </r>
  <r>
    <x v="6"/>
    <x v="28"/>
    <x v="10"/>
    <m/>
    <n v="0.89190999999999998"/>
    <n v="0.91217000000000004"/>
    <n v="0.90203999999999995"/>
    <n v="202.6"/>
  </r>
  <r>
    <x v="6"/>
    <x v="28"/>
    <x v="10"/>
    <m/>
    <n v="0.89190999999999998"/>
    <n v="0.91217000000000004"/>
    <n v="0.90203999999999995"/>
    <n v="202.6"/>
  </r>
  <r>
    <x v="6"/>
    <x v="28"/>
    <x v="10"/>
    <m/>
    <n v="0.89190999999999998"/>
    <n v="0.91217000000000004"/>
    <n v="0.90203999999999995"/>
    <n v="202.6"/>
  </r>
  <r>
    <x v="6"/>
    <x v="28"/>
    <x v="0"/>
    <m/>
    <n v="1.9001600000000001"/>
    <n v="1.9531000000000001"/>
    <n v="1.9266300000000001"/>
    <n v="529.4"/>
  </r>
  <r>
    <x v="6"/>
    <x v="28"/>
    <x v="0"/>
    <m/>
    <n v="1.9001600000000001"/>
    <n v="1.9531000000000001"/>
    <n v="1.9266300000000001"/>
    <n v="529.4"/>
  </r>
  <r>
    <x v="6"/>
    <x v="28"/>
    <x v="0"/>
    <m/>
    <n v="1.9001600000000001"/>
    <n v="1.9531000000000001"/>
    <n v="1.9266300000000001"/>
    <n v="529.4"/>
  </r>
  <r>
    <x v="6"/>
    <x v="28"/>
    <x v="0"/>
    <m/>
    <n v="1.9001600000000001"/>
    <n v="1.9531000000000001"/>
    <n v="1.9266300000000001"/>
    <n v="529.4"/>
  </r>
  <r>
    <x v="6"/>
    <x v="28"/>
    <x v="0"/>
    <m/>
    <n v="1.9001600000000001"/>
    <n v="1.9531000000000001"/>
    <n v="1.9266300000000001"/>
    <n v="529.4"/>
  </r>
  <r>
    <x v="6"/>
    <x v="28"/>
    <x v="0"/>
    <m/>
    <n v="1.9001600000000001"/>
    <n v="1.9531000000000001"/>
    <n v="1.9266300000000001"/>
    <n v="529.4"/>
  </r>
  <r>
    <x v="6"/>
    <x v="28"/>
    <x v="0"/>
    <m/>
    <n v="1.9001600000000001"/>
    <n v="1.9531000000000001"/>
    <n v="1.9266300000000001"/>
    <n v="529.4"/>
  </r>
  <r>
    <x v="6"/>
    <x v="28"/>
    <x v="0"/>
    <m/>
    <n v="1.9001600000000001"/>
    <n v="1.9531000000000001"/>
    <n v="1.9266300000000001"/>
    <n v="529.4"/>
  </r>
  <r>
    <x v="6"/>
    <x v="28"/>
    <x v="0"/>
    <m/>
    <n v="1.9001600000000001"/>
    <n v="1.9531000000000001"/>
    <n v="1.9266300000000001"/>
    <n v="529.4"/>
  </r>
  <r>
    <x v="6"/>
    <x v="28"/>
    <x v="0"/>
    <m/>
    <n v="1.9001600000000001"/>
    <n v="1.9531000000000001"/>
    <n v="1.9266300000000001"/>
    <n v="529.4"/>
  </r>
  <r>
    <x v="6"/>
    <x v="28"/>
    <x v="0"/>
    <m/>
    <n v="1.9001600000000001"/>
    <n v="1.9531000000000001"/>
    <n v="1.9266300000000001"/>
    <n v="529.4"/>
  </r>
  <r>
    <x v="6"/>
    <x v="28"/>
    <x v="0"/>
    <m/>
    <n v="1.9001600000000001"/>
    <n v="1.9531000000000001"/>
    <n v="1.9266300000000001"/>
    <n v="529.4"/>
  </r>
  <r>
    <x v="6"/>
    <x v="28"/>
    <x v="0"/>
    <m/>
    <n v="1.9001600000000001"/>
    <n v="1.9531000000000001"/>
    <n v="1.9266300000000001"/>
    <n v="529.4"/>
  </r>
  <r>
    <x v="6"/>
    <x v="28"/>
    <x v="0"/>
    <m/>
    <n v="1.9001600000000001"/>
    <n v="1.9531000000000001"/>
    <n v="1.9266300000000001"/>
    <n v="529.4"/>
  </r>
  <r>
    <x v="6"/>
    <x v="28"/>
    <x v="0"/>
    <m/>
    <n v="1.9001600000000001"/>
    <n v="1.9531000000000001"/>
    <n v="1.9266300000000001"/>
    <n v="529.4"/>
  </r>
  <r>
    <x v="6"/>
    <x v="28"/>
    <x v="0"/>
    <m/>
    <n v="1.9001600000000001"/>
    <n v="1.9531000000000001"/>
    <n v="1.9266300000000001"/>
    <n v="529.4"/>
  </r>
  <r>
    <x v="6"/>
    <x v="28"/>
    <x v="0"/>
    <m/>
    <n v="1.9001600000000001"/>
    <n v="1.9531000000000001"/>
    <n v="1.9266300000000001"/>
    <n v="529.4"/>
  </r>
  <r>
    <x v="6"/>
    <x v="28"/>
    <x v="0"/>
    <m/>
    <n v="1.9001600000000001"/>
    <n v="1.9531000000000001"/>
    <n v="1.9266300000000001"/>
    <n v="529.4"/>
  </r>
  <r>
    <x v="6"/>
    <x v="28"/>
    <x v="0"/>
    <m/>
    <n v="1.9001600000000001"/>
    <n v="1.9531000000000001"/>
    <n v="1.9266300000000001"/>
    <n v="529.4"/>
  </r>
  <r>
    <x v="6"/>
    <x v="28"/>
    <x v="0"/>
    <m/>
    <n v="1.9001600000000001"/>
    <n v="1.9531000000000001"/>
    <n v="1.9266300000000001"/>
    <n v="529.4"/>
  </r>
  <r>
    <x v="6"/>
    <x v="28"/>
    <x v="0"/>
    <m/>
    <n v="1.9001600000000001"/>
    <n v="1.9531000000000001"/>
    <n v="1.9266300000000001"/>
    <n v="529.4"/>
  </r>
  <r>
    <x v="6"/>
    <x v="28"/>
    <x v="0"/>
    <m/>
    <n v="1.9001600000000001"/>
    <n v="1.9531000000000001"/>
    <n v="1.9266300000000001"/>
    <n v="529.4"/>
  </r>
  <r>
    <x v="6"/>
    <x v="28"/>
    <x v="0"/>
    <m/>
    <n v="1.9001600000000001"/>
    <n v="1.9531000000000001"/>
    <n v="1.9266300000000001"/>
    <n v="529.4"/>
  </r>
  <r>
    <x v="6"/>
    <x v="28"/>
    <x v="0"/>
    <m/>
    <n v="1.9001600000000001"/>
    <n v="1.9531000000000001"/>
    <n v="1.9266300000000001"/>
    <n v="529.4"/>
  </r>
  <r>
    <x v="6"/>
    <x v="28"/>
    <x v="10"/>
    <m/>
    <n v="0.89190999999999998"/>
    <n v="0.91217000000000004"/>
    <n v="0.90203999999999995"/>
    <n v="202.6"/>
  </r>
  <r>
    <x v="6"/>
    <x v="29"/>
    <x v="10"/>
    <m/>
    <n v="0.89190999999999998"/>
    <n v="0.91269999999999996"/>
    <n v="0.90230500000000002"/>
    <n v="207.9"/>
  </r>
  <r>
    <x v="6"/>
    <x v="29"/>
    <x v="0"/>
    <m/>
    <n v="1.9001600000000001"/>
    <n v="1.9531000000000001"/>
    <n v="1.9266300000000001"/>
    <n v="529.4"/>
  </r>
  <r>
    <x v="6"/>
    <x v="29"/>
    <x v="10"/>
    <m/>
    <n v="0.89190999999999998"/>
    <n v="0.91269999999999996"/>
    <n v="0.90230500000000002"/>
    <n v="207.9"/>
  </r>
  <r>
    <x v="6"/>
    <x v="29"/>
    <x v="10"/>
    <m/>
    <n v="0.89190999999999998"/>
    <n v="0.91269999999999996"/>
    <n v="0.90230500000000002"/>
    <n v="207.9"/>
  </r>
  <r>
    <x v="6"/>
    <x v="29"/>
    <x v="10"/>
    <m/>
    <n v="0.89190999999999998"/>
    <n v="0.91269999999999996"/>
    <n v="0.90230500000000002"/>
    <n v="207.9"/>
  </r>
  <r>
    <x v="6"/>
    <x v="29"/>
    <x v="10"/>
    <m/>
    <n v="0.89190999999999998"/>
    <n v="0.91269999999999996"/>
    <n v="0.90230500000000002"/>
    <n v="207.9"/>
  </r>
  <r>
    <x v="6"/>
    <x v="29"/>
    <x v="10"/>
    <m/>
    <n v="0.89190999999999998"/>
    <n v="0.91269999999999996"/>
    <n v="0.90230500000000002"/>
    <n v="207.9"/>
  </r>
  <r>
    <x v="6"/>
    <x v="29"/>
    <x v="10"/>
    <m/>
    <n v="0.89190999999999998"/>
    <n v="0.91269999999999996"/>
    <n v="0.90230500000000002"/>
    <n v="207.9"/>
  </r>
  <r>
    <x v="6"/>
    <x v="29"/>
    <x v="10"/>
    <m/>
    <n v="0.89190999999999998"/>
    <n v="0.91269999999999996"/>
    <n v="0.90230500000000002"/>
    <n v="207.9"/>
  </r>
  <r>
    <x v="6"/>
    <x v="29"/>
    <x v="10"/>
    <m/>
    <n v="0.89190999999999998"/>
    <n v="0.91269999999999996"/>
    <n v="0.90230500000000002"/>
    <n v="207.9"/>
  </r>
  <r>
    <x v="6"/>
    <x v="29"/>
    <x v="10"/>
    <m/>
    <n v="0.89190999999999998"/>
    <n v="0.91269999999999996"/>
    <n v="0.90230500000000002"/>
    <n v="207.9"/>
  </r>
  <r>
    <x v="6"/>
    <x v="29"/>
    <x v="10"/>
    <m/>
    <n v="0.89190999999999998"/>
    <n v="0.91269999999999996"/>
    <n v="0.90230500000000002"/>
    <n v="207.9"/>
  </r>
  <r>
    <x v="6"/>
    <x v="29"/>
    <x v="10"/>
    <m/>
    <n v="0.89190999999999998"/>
    <n v="0.91269999999999996"/>
    <n v="0.90230500000000002"/>
    <n v="207.9"/>
  </r>
  <r>
    <x v="6"/>
    <x v="29"/>
    <x v="10"/>
    <m/>
    <n v="0.89190999999999998"/>
    <n v="0.91269999999999996"/>
    <n v="0.90230500000000002"/>
    <n v="207.9"/>
  </r>
  <r>
    <x v="6"/>
    <x v="29"/>
    <x v="10"/>
    <m/>
    <n v="0.89190999999999998"/>
    <n v="0.91269999999999996"/>
    <n v="0.90230500000000002"/>
    <n v="207.9"/>
  </r>
  <r>
    <x v="6"/>
    <x v="29"/>
    <x v="10"/>
    <m/>
    <n v="0.89190999999999998"/>
    <n v="0.91269999999999996"/>
    <n v="0.90230500000000002"/>
    <n v="207.9"/>
  </r>
  <r>
    <x v="6"/>
    <x v="29"/>
    <x v="0"/>
    <m/>
    <n v="1.9001600000000001"/>
    <n v="1.9531000000000001"/>
    <n v="1.9266300000000001"/>
    <n v="529.4"/>
  </r>
  <r>
    <x v="6"/>
    <x v="29"/>
    <x v="0"/>
    <m/>
    <n v="1.9001600000000001"/>
    <n v="1.9531000000000001"/>
    <n v="1.9266300000000001"/>
    <n v="529.4"/>
  </r>
  <r>
    <x v="6"/>
    <x v="29"/>
    <x v="0"/>
    <m/>
    <n v="1.9001600000000001"/>
    <n v="1.9531000000000001"/>
    <n v="1.9266300000000001"/>
    <n v="529.4"/>
  </r>
  <r>
    <x v="6"/>
    <x v="29"/>
    <x v="0"/>
    <m/>
    <n v="1.9001600000000001"/>
    <n v="1.9531000000000001"/>
    <n v="1.9266300000000001"/>
    <n v="529.4"/>
  </r>
  <r>
    <x v="6"/>
    <x v="29"/>
    <x v="0"/>
    <m/>
    <n v="1.9001600000000001"/>
    <n v="1.9531000000000001"/>
    <n v="1.9266300000000001"/>
    <n v="529.4"/>
  </r>
  <r>
    <x v="6"/>
    <x v="29"/>
    <x v="0"/>
    <m/>
    <n v="1.9001600000000001"/>
    <n v="1.9531000000000001"/>
    <n v="1.9266300000000001"/>
    <n v="529.4"/>
  </r>
  <r>
    <x v="6"/>
    <x v="29"/>
    <x v="0"/>
    <m/>
    <n v="1.9001600000000001"/>
    <n v="1.9531000000000001"/>
    <n v="1.9266300000000001"/>
    <n v="529.4"/>
  </r>
  <r>
    <x v="6"/>
    <x v="29"/>
    <x v="0"/>
    <m/>
    <n v="1.9001600000000001"/>
    <n v="1.9531000000000001"/>
    <n v="1.9266300000000001"/>
    <n v="529.4"/>
  </r>
  <r>
    <x v="6"/>
    <x v="29"/>
    <x v="0"/>
    <m/>
    <n v="1.9001600000000001"/>
    <n v="1.9531000000000001"/>
    <n v="1.9266300000000001"/>
    <n v="529.4"/>
  </r>
  <r>
    <x v="6"/>
    <x v="29"/>
    <x v="0"/>
    <m/>
    <n v="1.9001600000000001"/>
    <n v="1.9531000000000001"/>
    <n v="1.9266300000000001"/>
    <n v="529.4"/>
  </r>
  <r>
    <x v="6"/>
    <x v="29"/>
    <x v="0"/>
    <m/>
    <n v="1.9001600000000001"/>
    <n v="1.9531000000000001"/>
    <n v="1.9266300000000001"/>
    <n v="529.4"/>
  </r>
  <r>
    <x v="6"/>
    <x v="29"/>
    <x v="0"/>
    <m/>
    <n v="1.9001600000000001"/>
    <n v="1.9531000000000001"/>
    <n v="1.9266300000000001"/>
    <n v="529.4"/>
  </r>
  <r>
    <x v="6"/>
    <x v="29"/>
    <x v="0"/>
    <m/>
    <n v="1.9001600000000001"/>
    <n v="1.9531000000000001"/>
    <n v="1.9266300000000001"/>
    <n v="529.4"/>
  </r>
  <r>
    <x v="6"/>
    <x v="29"/>
    <x v="0"/>
    <m/>
    <n v="1.9001600000000001"/>
    <n v="1.9531000000000001"/>
    <n v="1.9266300000000001"/>
    <n v="529.4"/>
  </r>
  <r>
    <x v="6"/>
    <x v="29"/>
    <x v="0"/>
    <m/>
    <n v="1.9001600000000001"/>
    <n v="1.9531000000000001"/>
    <n v="1.9266300000000001"/>
    <n v="529.4"/>
  </r>
  <r>
    <x v="6"/>
    <x v="29"/>
    <x v="0"/>
    <m/>
    <n v="1.9001600000000001"/>
    <n v="1.9531000000000001"/>
    <n v="1.9266300000000001"/>
    <n v="529.4"/>
  </r>
  <r>
    <x v="6"/>
    <x v="29"/>
    <x v="0"/>
    <m/>
    <n v="1.9001600000000001"/>
    <n v="1.9531000000000001"/>
    <n v="1.9266300000000001"/>
    <n v="529.4"/>
  </r>
  <r>
    <x v="6"/>
    <x v="29"/>
    <x v="0"/>
    <m/>
    <n v="1.9001600000000001"/>
    <n v="1.9531000000000001"/>
    <n v="1.9266300000000001"/>
    <n v="529.4"/>
  </r>
  <r>
    <x v="6"/>
    <x v="29"/>
    <x v="0"/>
    <m/>
    <n v="1.9001600000000001"/>
    <n v="1.9531000000000001"/>
    <n v="1.9266300000000001"/>
    <n v="529.4"/>
  </r>
  <r>
    <x v="6"/>
    <x v="29"/>
    <x v="0"/>
    <m/>
    <n v="1.9001600000000001"/>
    <n v="1.9531000000000001"/>
    <n v="1.9266300000000001"/>
    <n v="529.4"/>
  </r>
  <r>
    <x v="6"/>
    <x v="29"/>
    <x v="0"/>
    <m/>
    <n v="1.9001600000000001"/>
    <n v="1.9531000000000001"/>
    <n v="1.9266300000000001"/>
    <n v="529.4"/>
  </r>
  <r>
    <x v="6"/>
    <x v="29"/>
    <x v="0"/>
    <m/>
    <n v="1.9001600000000001"/>
    <n v="1.9531000000000001"/>
    <n v="1.9266300000000001"/>
    <n v="529.4"/>
  </r>
  <r>
    <x v="6"/>
    <x v="29"/>
    <x v="0"/>
    <m/>
    <n v="1.9001600000000001"/>
    <n v="1.9531000000000001"/>
    <n v="1.9266300000000001"/>
    <n v="529.4"/>
  </r>
  <r>
    <x v="6"/>
    <x v="29"/>
    <x v="0"/>
    <m/>
    <n v="1.9001600000000001"/>
    <n v="1.9531000000000001"/>
    <n v="1.9266300000000001"/>
    <n v="529.4"/>
  </r>
  <r>
    <x v="6"/>
    <x v="29"/>
    <x v="10"/>
    <m/>
    <n v="0.89190999999999998"/>
    <n v="0.91269999999999996"/>
    <n v="0.90230500000000002"/>
    <n v="207.9"/>
  </r>
  <r>
    <x v="6"/>
    <x v="30"/>
    <x v="10"/>
    <m/>
    <n v="0.89190999999999998"/>
    <n v="0.92157"/>
    <n v="0.90673999999999999"/>
    <n v="296.60000000000002"/>
  </r>
  <r>
    <x v="6"/>
    <x v="30"/>
    <x v="0"/>
    <m/>
    <n v="1.9001600000000001"/>
    <n v="1.9531000000000001"/>
    <n v="1.9266300000000001"/>
    <n v="529.4"/>
  </r>
  <r>
    <x v="6"/>
    <x v="30"/>
    <x v="10"/>
    <m/>
    <n v="0.89190999999999998"/>
    <n v="0.92157"/>
    <n v="0.90673999999999999"/>
    <n v="296.60000000000002"/>
  </r>
  <r>
    <x v="6"/>
    <x v="30"/>
    <x v="10"/>
    <m/>
    <n v="0.89190999999999998"/>
    <n v="0.92157"/>
    <n v="0.90673999999999999"/>
    <n v="296.60000000000002"/>
  </r>
  <r>
    <x v="6"/>
    <x v="30"/>
    <x v="10"/>
    <m/>
    <n v="0.89190999999999998"/>
    <n v="0.92157"/>
    <n v="0.90673999999999999"/>
    <n v="296.60000000000002"/>
  </r>
  <r>
    <x v="6"/>
    <x v="30"/>
    <x v="10"/>
    <m/>
    <n v="0.89190999999999998"/>
    <n v="0.92157"/>
    <n v="0.90673999999999999"/>
    <n v="296.60000000000002"/>
  </r>
  <r>
    <x v="6"/>
    <x v="30"/>
    <x v="10"/>
    <m/>
    <n v="0.89190999999999998"/>
    <n v="0.92157"/>
    <n v="0.90673999999999999"/>
    <n v="296.60000000000002"/>
  </r>
  <r>
    <x v="6"/>
    <x v="30"/>
    <x v="10"/>
    <m/>
    <n v="0.89190999999999998"/>
    <n v="0.92157"/>
    <n v="0.90673999999999999"/>
    <n v="296.60000000000002"/>
  </r>
  <r>
    <x v="6"/>
    <x v="30"/>
    <x v="10"/>
    <m/>
    <n v="0.89190999999999998"/>
    <n v="0.92157"/>
    <n v="0.90673999999999999"/>
    <n v="296.60000000000002"/>
  </r>
  <r>
    <x v="6"/>
    <x v="30"/>
    <x v="10"/>
    <m/>
    <n v="0.89190999999999998"/>
    <n v="0.92157"/>
    <n v="0.90673999999999999"/>
    <n v="296.60000000000002"/>
  </r>
  <r>
    <x v="6"/>
    <x v="30"/>
    <x v="10"/>
    <m/>
    <n v="0.89190999999999998"/>
    <n v="0.92157"/>
    <n v="0.90673999999999999"/>
    <n v="296.60000000000002"/>
  </r>
  <r>
    <x v="6"/>
    <x v="30"/>
    <x v="10"/>
    <m/>
    <n v="0.89190999999999998"/>
    <n v="0.92157"/>
    <n v="0.90673999999999999"/>
    <n v="296.60000000000002"/>
  </r>
  <r>
    <x v="6"/>
    <x v="30"/>
    <x v="10"/>
    <m/>
    <n v="0.89190999999999998"/>
    <n v="0.92157"/>
    <n v="0.90673999999999999"/>
    <n v="296.60000000000002"/>
  </r>
  <r>
    <x v="6"/>
    <x v="30"/>
    <x v="10"/>
    <m/>
    <n v="0.89190999999999998"/>
    <n v="0.92157"/>
    <n v="0.90673999999999999"/>
    <n v="296.60000000000002"/>
  </r>
  <r>
    <x v="6"/>
    <x v="30"/>
    <x v="10"/>
    <m/>
    <n v="0.89190999999999998"/>
    <n v="0.92157"/>
    <n v="0.90673999999999999"/>
    <n v="296.60000000000002"/>
  </r>
  <r>
    <x v="6"/>
    <x v="30"/>
    <x v="10"/>
    <m/>
    <n v="0.89190999999999998"/>
    <n v="0.92157"/>
    <n v="0.90673999999999999"/>
    <n v="296.60000000000002"/>
  </r>
  <r>
    <x v="6"/>
    <x v="30"/>
    <x v="10"/>
    <m/>
    <n v="0.89190999999999998"/>
    <n v="0.92157"/>
    <n v="0.90673999999999999"/>
    <n v="296.60000000000002"/>
  </r>
  <r>
    <x v="6"/>
    <x v="30"/>
    <x v="10"/>
    <m/>
    <n v="0.89190999999999998"/>
    <n v="0.92157"/>
    <n v="0.90673999999999999"/>
    <n v="296.60000000000002"/>
  </r>
  <r>
    <x v="6"/>
    <x v="30"/>
    <x v="10"/>
    <m/>
    <n v="0.89190999999999998"/>
    <n v="0.92157"/>
    <n v="0.90673999999999999"/>
    <n v="296.60000000000002"/>
  </r>
  <r>
    <x v="6"/>
    <x v="30"/>
    <x v="10"/>
    <m/>
    <n v="0.89190999999999998"/>
    <n v="0.92157"/>
    <n v="0.90673999999999999"/>
    <n v="296.60000000000002"/>
  </r>
  <r>
    <x v="6"/>
    <x v="30"/>
    <x v="0"/>
    <m/>
    <n v="1.9001600000000001"/>
    <n v="1.9531000000000001"/>
    <n v="1.9266300000000001"/>
    <n v="529.4"/>
  </r>
  <r>
    <x v="6"/>
    <x v="30"/>
    <x v="0"/>
    <m/>
    <n v="1.9001600000000001"/>
    <n v="1.9531000000000001"/>
    <n v="1.9266300000000001"/>
    <n v="529.4"/>
  </r>
  <r>
    <x v="6"/>
    <x v="30"/>
    <x v="0"/>
    <m/>
    <n v="1.9001600000000001"/>
    <n v="1.9531000000000001"/>
    <n v="1.9266300000000001"/>
    <n v="529.4"/>
  </r>
  <r>
    <x v="6"/>
    <x v="30"/>
    <x v="0"/>
    <m/>
    <n v="1.9001600000000001"/>
    <n v="1.9531000000000001"/>
    <n v="1.9266300000000001"/>
    <n v="529.4"/>
  </r>
  <r>
    <x v="6"/>
    <x v="30"/>
    <x v="0"/>
    <m/>
    <n v="1.9001600000000001"/>
    <n v="1.9531000000000001"/>
    <n v="1.9266300000000001"/>
    <n v="529.4"/>
  </r>
  <r>
    <x v="6"/>
    <x v="30"/>
    <x v="0"/>
    <m/>
    <n v="1.9001600000000001"/>
    <n v="1.9531000000000001"/>
    <n v="1.9266300000000001"/>
    <n v="529.4"/>
  </r>
  <r>
    <x v="6"/>
    <x v="30"/>
    <x v="0"/>
    <m/>
    <n v="1.9001600000000001"/>
    <n v="1.9531000000000001"/>
    <n v="1.9266300000000001"/>
    <n v="529.4"/>
  </r>
  <r>
    <x v="6"/>
    <x v="30"/>
    <x v="0"/>
    <m/>
    <n v="1.9001600000000001"/>
    <n v="1.9531000000000001"/>
    <n v="1.9266300000000001"/>
    <n v="529.4"/>
  </r>
  <r>
    <x v="6"/>
    <x v="30"/>
    <x v="0"/>
    <m/>
    <n v="1.9001600000000001"/>
    <n v="1.9531000000000001"/>
    <n v="1.9266300000000001"/>
    <n v="529.4"/>
  </r>
  <r>
    <x v="6"/>
    <x v="30"/>
    <x v="0"/>
    <m/>
    <n v="1.9001600000000001"/>
    <n v="1.9531000000000001"/>
    <n v="1.9266300000000001"/>
    <n v="529.4"/>
  </r>
  <r>
    <x v="6"/>
    <x v="30"/>
    <x v="0"/>
    <m/>
    <n v="1.9001600000000001"/>
    <n v="1.9531000000000001"/>
    <n v="1.9266300000000001"/>
    <n v="529.4"/>
  </r>
  <r>
    <x v="6"/>
    <x v="30"/>
    <x v="0"/>
    <m/>
    <n v="1.9001600000000001"/>
    <n v="1.9531000000000001"/>
    <n v="1.9266300000000001"/>
    <n v="529.4"/>
  </r>
  <r>
    <x v="6"/>
    <x v="30"/>
    <x v="0"/>
    <m/>
    <n v="1.9001600000000001"/>
    <n v="1.9531000000000001"/>
    <n v="1.9266300000000001"/>
    <n v="529.4"/>
  </r>
  <r>
    <x v="6"/>
    <x v="30"/>
    <x v="0"/>
    <m/>
    <n v="1.9001600000000001"/>
    <n v="1.9531000000000001"/>
    <n v="1.9266300000000001"/>
    <n v="529.4"/>
  </r>
  <r>
    <x v="6"/>
    <x v="30"/>
    <x v="0"/>
    <m/>
    <n v="1.9001600000000001"/>
    <n v="1.9531000000000001"/>
    <n v="1.9266300000000001"/>
    <n v="529.4"/>
  </r>
  <r>
    <x v="6"/>
    <x v="30"/>
    <x v="0"/>
    <m/>
    <n v="1.9001600000000001"/>
    <n v="1.9531000000000001"/>
    <n v="1.9266300000000001"/>
    <n v="529.4"/>
  </r>
  <r>
    <x v="6"/>
    <x v="30"/>
    <x v="0"/>
    <m/>
    <n v="1.9001600000000001"/>
    <n v="1.9531000000000001"/>
    <n v="1.9266300000000001"/>
    <n v="529.4"/>
  </r>
  <r>
    <x v="6"/>
    <x v="30"/>
    <x v="0"/>
    <m/>
    <n v="1.9001600000000001"/>
    <n v="1.9531000000000001"/>
    <n v="1.9266300000000001"/>
    <n v="529.4"/>
  </r>
  <r>
    <x v="6"/>
    <x v="30"/>
    <x v="0"/>
    <m/>
    <n v="1.9001600000000001"/>
    <n v="1.9531000000000001"/>
    <n v="1.9266300000000001"/>
    <n v="529.4"/>
  </r>
  <r>
    <x v="6"/>
    <x v="30"/>
    <x v="0"/>
    <m/>
    <n v="1.9001600000000001"/>
    <n v="1.9531000000000001"/>
    <n v="1.9266300000000001"/>
    <n v="529.4"/>
  </r>
  <r>
    <x v="6"/>
    <x v="30"/>
    <x v="0"/>
    <m/>
    <n v="1.9001600000000001"/>
    <n v="1.9531000000000001"/>
    <n v="1.9266300000000001"/>
    <n v="529.4"/>
  </r>
  <r>
    <x v="6"/>
    <x v="30"/>
    <x v="0"/>
    <m/>
    <n v="1.9001600000000001"/>
    <n v="1.9531000000000001"/>
    <n v="1.9266300000000001"/>
    <n v="529.4"/>
  </r>
  <r>
    <x v="6"/>
    <x v="30"/>
    <x v="0"/>
    <m/>
    <n v="1.9001600000000001"/>
    <n v="1.9531000000000001"/>
    <n v="1.9266300000000001"/>
    <n v="529.4"/>
  </r>
  <r>
    <x v="6"/>
    <x v="30"/>
    <x v="0"/>
    <m/>
    <n v="1.9001600000000001"/>
    <n v="1.9531000000000001"/>
    <n v="1.9266300000000001"/>
    <n v="529.4"/>
  </r>
  <r>
    <x v="6"/>
    <x v="30"/>
    <x v="10"/>
    <m/>
    <n v="0.89190999999999998"/>
    <n v="0.92157"/>
    <n v="0.90673999999999999"/>
    <n v="296.60000000000002"/>
  </r>
  <r>
    <x v="6"/>
    <x v="31"/>
    <x v="10"/>
    <m/>
    <n v="0.89190999999999998"/>
    <n v="0.92157"/>
    <n v="0.90673999999999999"/>
    <n v="296.60000000000002"/>
  </r>
  <r>
    <x v="6"/>
    <x v="31"/>
    <x v="0"/>
    <m/>
    <n v="1.9001600000000001"/>
    <n v="1.9531000000000001"/>
    <n v="1.9266300000000001"/>
    <n v="529.4"/>
  </r>
  <r>
    <x v="6"/>
    <x v="31"/>
    <x v="10"/>
    <m/>
    <n v="0.89190999999999998"/>
    <n v="0.92157"/>
    <n v="0.90673999999999999"/>
    <n v="296.60000000000002"/>
  </r>
  <r>
    <x v="6"/>
    <x v="31"/>
    <x v="10"/>
    <m/>
    <n v="0.89190999999999998"/>
    <n v="0.92157"/>
    <n v="0.90673999999999999"/>
    <n v="296.60000000000002"/>
  </r>
  <r>
    <x v="6"/>
    <x v="31"/>
    <x v="10"/>
    <m/>
    <n v="0.89190999999999998"/>
    <n v="0.92157"/>
    <n v="0.90673999999999999"/>
    <n v="296.60000000000002"/>
  </r>
  <r>
    <x v="6"/>
    <x v="31"/>
    <x v="10"/>
    <m/>
    <n v="0.89190999999999998"/>
    <n v="0.92157"/>
    <n v="0.90673999999999999"/>
    <n v="296.60000000000002"/>
  </r>
  <r>
    <x v="6"/>
    <x v="31"/>
    <x v="10"/>
    <m/>
    <n v="0.89190999999999998"/>
    <n v="0.92157"/>
    <n v="0.90673999999999999"/>
    <n v="296.60000000000002"/>
  </r>
  <r>
    <x v="6"/>
    <x v="31"/>
    <x v="10"/>
    <m/>
    <n v="0.89190999999999998"/>
    <n v="0.92157"/>
    <n v="0.90673999999999999"/>
    <n v="296.60000000000002"/>
  </r>
  <r>
    <x v="6"/>
    <x v="31"/>
    <x v="10"/>
    <m/>
    <n v="0.89190999999999998"/>
    <n v="0.92157"/>
    <n v="0.90673999999999999"/>
    <n v="296.60000000000002"/>
  </r>
  <r>
    <x v="6"/>
    <x v="31"/>
    <x v="10"/>
    <m/>
    <n v="0.89190999999999998"/>
    <n v="0.92157"/>
    <n v="0.90673999999999999"/>
    <n v="296.60000000000002"/>
  </r>
  <r>
    <x v="6"/>
    <x v="31"/>
    <x v="10"/>
    <m/>
    <n v="0.89190999999999998"/>
    <n v="0.92157"/>
    <n v="0.90673999999999999"/>
    <n v="296.60000000000002"/>
  </r>
  <r>
    <x v="6"/>
    <x v="31"/>
    <x v="10"/>
    <m/>
    <n v="0.89190999999999998"/>
    <n v="0.92157"/>
    <n v="0.90673999999999999"/>
    <n v="296.60000000000002"/>
  </r>
  <r>
    <x v="6"/>
    <x v="31"/>
    <x v="10"/>
    <m/>
    <n v="0.89190999999999998"/>
    <n v="0.92157"/>
    <n v="0.90673999999999999"/>
    <n v="296.60000000000002"/>
  </r>
  <r>
    <x v="6"/>
    <x v="31"/>
    <x v="10"/>
    <m/>
    <n v="0.89190999999999998"/>
    <n v="0.92157"/>
    <n v="0.90673999999999999"/>
    <n v="296.60000000000002"/>
  </r>
  <r>
    <x v="6"/>
    <x v="31"/>
    <x v="10"/>
    <m/>
    <n v="0.89190999999999998"/>
    <n v="0.92157"/>
    <n v="0.90673999999999999"/>
    <n v="296.60000000000002"/>
  </r>
  <r>
    <x v="6"/>
    <x v="31"/>
    <x v="10"/>
    <m/>
    <n v="0.89190999999999998"/>
    <n v="0.92157"/>
    <n v="0.90673999999999999"/>
    <n v="296.60000000000002"/>
  </r>
  <r>
    <x v="6"/>
    <x v="31"/>
    <x v="10"/>
    <m/>
    <n v="0.89190999999999998"/>
    <n v="0.92157"/>
    <n v="0.90673999999999999"/>
    <n v="296.60000000000002"/>
  </r>
  <r>
    <x v="6"/>
    <x v="31"/>
    <x v="10"/>
    <m/>
    <n v="0.89190999999999998"/>
    <n v="0.92157"/>
    <n v="0.90673999999999999"/>
    <n v="296.60000000000002"/>
  </r>
  <r>
    <x v="6"/>
    <x v="31"/>
    <x v="10"/>
    <m/>
    <n v="0.89190999999999998"/>
    <n v="0.92157"/>
    <n v="0.90673999999999999"/>
    <n v="296.60000000000002"/>
  </r>
  <r>
    <x v="6"/>
    <x v="31"/>
    <x v="10"/>
    <m/>
    <n v="0.89190999999999998"/>
    <n v="0.92157"/>
    <n v="0.90673999999999999"/>
    <n v="296.60000000000002"/>
  </r>
  <r>
    <x v="6"/>
    <x v="31"/>
    <x v="0"/>
    <m/>
    <n v="1.9001600000000001"/>
    <n v="1.9531000000000001"/>
    <n v="1.9266300000000001"/>
    <n v="529.4"/>
  </r>
  <r>
    <x v="6"/>
    <x v="31"/>
    <x v="0"/>
    <m/>
    <n v="1.9001600000000001"/>
    <n v="1.9531000000000001"/>
    <n v="1.9266300000000001"/>
    <n v="529.4"/>
  </r>
  <r>
    <x v="6"/>
    <x v="31"/>
    <x v="0"/>
    <m/>
    <n v="1.9001600000000001"/>
    <n v="1.9531000000000001"/>
    <n v="1.9266300000000001"/>
    <n v="529.4"/>
  </r>
  <r>
    <x v="6"/>
    <x v="31"/>
    <x v="0"/>
    <m/>
    <n v="1.9001600000000001"/>
    <n v="1.9531000000000001"/>
    <n v="1.9266300000000001"/>
    <n v="529.4"/>
  </r>
  <r>
    <x v="6"/>
    <x v="31"/>
    <x v="0"/>
    <m/>
    <n v="1.9001600000000001"/>
    <n v="1.9531000000000001"/>
    <n v="1.9266300000000001"/>
    <n v="529.4"/>
  </r>
  <r>
    <x v="6"/>
    <x v="31"/>
    <x v="0"/>
    <m/>
    <n v="1.9001600000000001"/>
    <n v="1.9531000000000001"/>
    <n v="1.9266300000000001"/>
    <n v="529.4"/>
  </r>
  <r>
    <x v="6"/>
    <x v="31"/>
    <x v="0"/>
    <m/>
    <n v="1.9001600000000001"/>
    <n v="1.9531000000000001"/>
    <n v="1.9266300000000001"/>
    <n v="529.4"/>
  </r>
  <r>
    <x v="6"/>
    <x v="31"/>
    <x v="0"/>
    <m/>
    <n v="1.9001600000000001"/>
    <n v="1.9531000000000001"/>
    <n v="1.9266300000000001"/>
    <n v="529.4"/>
  </r>
  <r>
    <x v="6"/>
    <x v="31"/>
    <x v="0"/>
    <m/>
    <n v="1.9001600000000001"/>
    <n v="1.9531000000000001"/>
    <n v="1.9266300000000001"/>
    <n v="529.4"/>
  </r>
  <r>
    <x v="6"/>
    <x v="31"/>
    <x v="0"/>
    <m/>
    <n v="1.9001600000000001"/>
    <n v="1.9531000000000001"/>
    <n v="1.9266300000000001"/>
    <n v="529.4"/>
  </r>
  <r>
    <x v="6"/>
    <x v="31"/>
    <x v="0"/>
    <m/>
    <n v="1.9001600000000001"/>
    <n v="1.9531000000000001"/>
    <n v="1.9266300000000001"/>
    <n v="529.4"/>
  </r>
  <r>
    <x v="6"/>
    <x v="31"/>
    <x v="0"/>
    <m/>
    <n v="1.9001600000000001"/>
    <n v="1.9531000000000001"/>
    <n v="1.9266300000000001"/>
    <n v="529.4"/>
  </r>
  <r>
    <x v="6"/>
    <x v="31"/>
    <x v="0"/>
    <m/>
    <n v="1.9001600000000001"/>
    <n v="1.9531000000000001"/>
    <n v="1.9266300000000001"/>
    <n v="529.4"/>
  </r>
  <r>
    <x v="6"/>
    <x v="31"/>
    <x v="0"/>
    <m/>
    <n v="1.9001600000000001"/>
    <n v="1.9531000000000001"/>
    <n v="1.9266300000000001"/>
    <n v="529.4"/>
  </r>
  <r>
    <x v="6"/>
    <x v="31"/>
    <x v="0"/>
    <m/>
    <n v="1.9001600000000001"/>
    <n v="1.9531000000000001"/>
    <n v="1.9266300000000001"/>
    <n v="529.4"/>
  </r>
  <r>
    <x v="6"/>
    <x v="31"/>
    <x v="0"/>
    <m/>
    <n v="1.9001600000000001"/>
    <n v="1.9531000000000001"/>
    <n v="1.9266300000000001"/>
    <n v="529.4"/>
  </r>
  <r>
    <x v="6"/>
    <x v="31"/>
    <x v="0"/>
    <m/>
    <n v="1.9001600000000001"/>
    <n v="1.9531000000000001"/>
    <n v="1.9266300000000001"/>
    <n v="529.4"/>
  </r>
  <r>
    <x v="6"/>
    <x v="31"/>
    <x v="0"/>
    <m/>
    <n v="1.9001600000000001"/>
    <n v="1.9531000000000001"/>
    <n v="1.9266300000000001"/>
    <n v="529.4"/>
  </r>
  <r>
    <x v="6"/>
    <x v="31"/>
    <x v="0"/>
    <m/>
    <n v="1.9001600000000001"/>
    <n v="1.9531000000000001"/>
    <n v="1.9266300000000001"/>
    <n v="529.4"/>
  </r>
  <r>
    <x v="6"/>
    <x v="31"/>
    <x v="0"/>
    <m/>
    <n v="1.9001600000000001"/>
    <n v="1.9531000000000001"/>
    <n v="1.9266300000000001"/>
    <n v="529.4"/>
  </r>
  <r>
    <x v="6"/>
    <x v="31"/>
    <x v="0"/>
    <m/>
    <n v="1.9001600000000001"/>
    <n v="1.9531000000000001"/>
    <n v="1.9266300000000001"/>
    <n v="529.4"/>
  </r>
  <r>
    <x v="6"/>
    <x v="31"/>
    <x v="0"/>
    <m/>
    <n v="1.9001600000000001"/>
    <n v="1.9531000000000001"/>
    <n v="1.9266300000000001"/>
    <n v="529.4"/>
  </r>
  <r>
    <x v="6"/>
    <x v="31"/>
    <x v="0"/>
    <m/>
    <n v="1.9001600000000001"/>
    <n v="1.9531000000000001"/>
    <n v="1.9266300000000001"/>
    <n v="529.4"/>
  </r>
  <r>
    <x v="6"/>
    <x v="31"/>
    <x v="0"/>
    <m/>
    <n v="1.9001600000000001"/>
    <n v="1.9531000000000001"/>
    <n v="1.9266300000000001"/>
    <n v="529.4"/>
  </r>
  <r>
    <x v="6"/>
    <x v="31"/>
    <x v="10"/>
    <m/>
    <n v="0.89190999999999998"/>
    <n v="0.92157"/>
    <n v="0.90673999999999999"/>
    <n v="296.60000000000002"/>
  </r>
  <r>
    <x v="6"/>
    <x v="32"/>
    <x v="10"/>
    <m/>
    <n v="0.89190999999999998"/>
    <n v="0.92157"/>
    <n v="0.90673999999999999"/>
    <n v="296.60000000000002"/>
  </r>
  <r>
    <x v="6"/>
    <x v="32"/>
    <x v="10"/>
    <m/>
    <n v="0.89190999999999998"/>
    <n v="0.92157"/>
    <n v="0.90673999999999999"/>
    <n v="296.60000000000002"/>
  </r>
  <r>
    <x v="6"/>
    <x v="32"/>
    <x v="10"/>
    <m/>
    <n v="0.89190999999999998"/>
    <n v="0.92157"/>
    <n v="0.90673999999999999"/>
    <n v="296.60000000000002"/>
  </r>
  <r>
    <x v="6"/>
    <x v="32"/>
    <x v="10"/>
    <m/>
    <n v="0.89190999999999998"/>
    <n v="0.92157"/>
    <n v="0.90673999999999999"/>
    <n v="296.60000000000002"/>
  </r>
  <r>
    <x v="6"/>
    <x v="32"/>
    <x v="10"/>
    <m/>
    <n v="0.89190999999999998"/>
    <n v="0.92157"/>
    <n v="0.90673999999999999"/>
    <n v="296.60000000000002"/>
  </r>
  <r>
    <x v="6"/>
    <x v="32"/>
    <x v="10"/>
    <m/>
    <n v="0.89190999999999998"/>
    <n v="0.92157"/>
    <n v="0.90673999999999999"/>
    <n v="296.60000000000002"/>
  </r>
  <r>
    <x v="6"/>
    <x v="32"/>
    <x v="10"/>
    <m/>
    <n v="0.89190999999999998"/>
    <n v="0.92157"/>
    <n v="0.90673999999999999"/>
    <n v="296.60000000000002"/>
  </r>
  <r>
    <x v="6"/>
    <x v="32"/>
    <x v="10"/>
    <m/>
    <n v="0.89190999999999998"/>
    <n v="0.92157"/>
    <n v="0.90673999999999999"/>
    <n v="296.60000000000002"/>
  </r>
  <r>
    <x v="6"/>
    <x v="32"/>
    <x v="10"/>
    <m/>
    <n v="0.89190999999999998"/>
    <n v="0.92157"/>
    <n v="0.90673999999999999"/>
    <n v="296.60000000000002"/>
  </r>
  <r>
    <x v="6"/>
    <x v="32"/>
    <x v="10"/>
    <m/>
    <n v="0.89190999999999998"/>
    <n v="0.92157"/>
    <n v="0.90673999999999999"/>
    <n v="296.60000000000002"/>
  </r>
  <r>
    <x v="6"/>
    <x v="32"/>
    <x v="10"/>
    <m/>
    <n v="0.89190999999999998"/>
    <n v="0.92157"/>
    <n v="0.90673999999999999"/>
    <n v="296.60000000000002"/>
  </r>
  <r>
    <x v="6"/>
    <x v="32"/>
    <x v="10"/>
    <m/>
    <n v="0.89190999999999998"/>
    <n v="0.92157"/>
    <n v="0.90673999999999999"/>
    <n v="296.60000000000002"/>
  </r>
  <r>
    <x v="6"/>
    <x v="32"/>
    <x v="10"/>
    <m/>
    <n v="0.89190999999999998"/>
    <n v="0.92157"/>
    <n v="0.90673999999999999"/>
    <n v="296.60000000000002"/>
  </r>
  <r>
    <x v="6"/>
    <x v="32"/>
    <x v="10"/>
    <m/>
    <n v="0.89190999999999998"/>
    <n v="0.92157"/>
    <n v="0.90673999999999999"/>
    <n v="296.60000000000002"/>
  </r>
  <r>
    <x v="6"/>
    <x v="32"/>
    <x v="10"/>
    <m/>
    <n v="0.89190999999999998"/>
    <n v="0.92157"/>
    <n v="0.90673999999999999"/>
    <n v="296.60000000000002"/>
  </r>
  <r>
    <x v="6"/>
    <x v="32"/>
    <x v="10"/>
    <m/>
    <n v="0.89190999999999998"/>
    <n v="0.92157"/>
    <n v="0.90673999999999999"/>
    <n v="296.60000000000002"/>
  </r>
  <r>
    <x v="6"/>
    <x v="32"/>
    <x v="10"/>
    <m/>
    <n v="0.89190999999999998"/>
    <n v="0.92157"/>
    <n v="0.90673999999999999"/>
    <n v="296.60000000000002"/>
  </r>
  <r>
    <x v="6"/>
    <x v="32"/>
    <x v="10"/>
    <m/>
    <n v="0.89190999999999998"/>
    <n v="0.92157"/>
    <n v="0.90673999999999999"/>
    <n v="296.60000000000002"/>
  </r>
  <r>
    <x v="6"/>
    <x v="32"/>
    <x v="10"/>
    <m/>
    <n v="0.89190999999999998"/>
    <n v="0.92157"/>
    <n v="0.90673999999999999"/>
    <n v="296.60000000000002"/>
  </r>
  <r>
    <x v="6"/>
    <x v="32"/>
    <x v="10"/>
    <m/>
    <n v="0.89190999999999998"/>
    <n v="0.92157"/>
    <n v="0.90673999999999999"/>
    <n v="296.60000000000002"/>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2"/>
    <x v="0"/>
    <m/>
    <n v="1.9001600000000001"/>
    <n v="1.98167"/>
    <n v="1.9409149999999999"/>
    <n v="815.1"/>
  </r>
  <r>
    <x v="6"/>
    <x v="33"/>
    <x v="10"/>
    <m/>
    <n v="0.89190999999999998"/>
    <n v="0.92157"/>
    <n v="0.90673999999999999"/>
    <n v="296.60000000000002"/>
  </r>
  <r>
    <x v="6"/>
    <x v="33"/>
    <x v="0"/>
    <m/>
    <n v="1.9001600000000001"/>
    <n v="2.01301"/>
    <n v="1.956585"/>
    <n v="1128.5"/>
  </r>
  <r>
    <x v="6"/>
    <x v="33"/>
    <x v="10"/>
    <m/>
    <n v="0.89190999999999998"/>
    <n v="0.92157"/>
    <n v="0.90673999999999999"/>
    <n v="296.60000000000002"/>
  </r>
  <r>
    <x v="6"/>
    <x v="33"/>
    <x v="10"/>
    <m/>
    <n v="0.89190999999999998"/>
    <n v="0.92157"/>
    <n v="0.90673999999999999"/>
    <n v="296.60000000000002"/>
  </r>
  <r>
    <x v="6"/>
    <x v="33"/>
    <x v="10"/>
    <m/>
    <n v="0.89190999999999998"/>
    <n v="0.92157"/>
    <n v="0.90673999999999999"/>
    <n v="296.60000000000002"/>
  </r>
  <r>
    <x v="6"/>
    <x v="33"/>
    <x v="10"/>
    <m/>
    <n v="0.89190999999999998"/>
    <n v="0.92157"/>
    <n v="0.90673999999999999"/>
    <n v="296.60000000000002"/>
  </r>
  <r>
    <x v="6"/>
    <x v="33"/>
    <x v="10"/>
    <m/>
    <n v="0.89190999999999998"/>
    <n v="0.92157"/>
    <n v="0.90673999999999999"/>
    <n v="296.60000000000002"/>
  </r>
  <r>
    <x v="6"/>
    <x v="33"/>
    <x v="10"/>
    <m/>
    <n v="0.89190999999999998"/>
    <n v="0.92157"/>
    <n v="0.90673999999999999"/>
    <n v="296.60000000000002"/>
  </r>
  <r>
    <x v="6"/>
    <x v="33"/>
    <x v="10"/>
    <m/>
    <n v="0.89190999999999998"/>
    <n v="0.92157"/>
    <n v="0.90673999999999999"/>
    <n v="296.60000000000002"/>
  </r>
  <r>
    <x v="6"/>
    <x v="33"/>
    <x v="10"/>
    <m/>
    <n v="0.89190999999999998"/>
    <n v="0.92157"/>
    <n v="0.90673999999999999"/>
    <n v="296.60000000000002"/>
  </r>
  <r>
    <x v="6"/>
    <x v="33"/>
    <x v="10"/>
    <m/>
    <n v="0.89190999999999998"/>
    <n v="0.92157"/>
    <n v="0.90673999999999999"/>
    <n v="296.60000000000002"/>
  </r>
  <r>
    <x v="6"/>
    <x v="33"/>
    <x v="10"/>
    <m/>
    <n v="0.89190999999999998"/>
    <n v="0.92157"/>
    <n v="0.90673999999999999"/>
    <n v="296.60000000000002"/>
  </r>
  <r>
    <x v="6"/>
    <x v="33"/>
    <x v="10"/>
    <m/>
    <n v="0.89190999999999998"/>
    <n v="0.92157"/>
    <n v="0.90673999999999999"/>
    <n v="296.60000000000002"/>
  </r>
  <r>
    <x v="6"/>
    <x v="33"/>
    <x v="10"/>
    <m/>
    <n v="0.89190999999999998"/>
    <n v="0.92157"/>
    <n v="0.90673999999999999"/>
    <n v="296.60000000000002"/>
  </r>
  <r>
    <x v="6"/>
    <x v="33"/>
    <x v="10"/>
    <m/>
    <n v="0.89190999999999998"/>
    <n v="0.92157"/>
    <n v="0.90673999999999999"/>
    <n v="296.60000000000002"/>
  </r>
  <r>
    <x v="6"/>
    <x v="33"/>
    <x v="10"/>
    <m/>
    <n v="0.89190999999999998"/>
    <n v="0.92157"/>
    <n v="0.90673999999999999"/>
    <n v="296.60000000000002"/>
  </r>
  <r>
    <x v="6"/>
    <x v="33"/>
    <x v="10"/>
    <m/>
    <n v="0.89190999999999998"/>
    <n v="0.92157"/>
    <n v="0.90673999999999999"/>
    <n v="296.60000000000002"/>
  </r>
  <r>
    <x v="6"/>
    <x v="33"/>
    <x v="10"/>
    <m/>
    <n v="0.89190999999999998"/>
    <n v="0.92157"/>
    <n v="0.90673999999999999"/>
    <n v="296.60000000000002"/>
  </r>
  <r>
    <x v="6"/>
    <x v="33"/>
    <x v="10"/>
    <m/>
    <n v="0.89190999999999998"/>
    <n v="0.92157"/>
    <n v="0.90673999999999999"/>
    <n v="296.60000000000002"/>
  </r>
  <r>
    <x v="6"/>
    <x v="33"/>
    <x v="10"/>
    <m/>
    <n v="0.89190999999999998"/>
    <n v="0.92157"/>
    <n v="0.90673999999999999"/>
    <n v="296.60000000000002"/>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0"/>
    <m/>
    <n v="1.9001600000000001"/>
    <n v="2.01301"/>
    <n v="1.956585"/>
    <n v="1128.5"/>
  </r>
  <r>
    <x v="6"/>
    <x v="33"/>
    <x v="10"/>
    <m/>
    <n v="0.89190999999999998"/>
    <n v="0.92157"/>
    <n v="0.90673999999999999"/>
    <n v="296.60000000000002"/>
  </r>
  <r>
    <x v="6"/>
    <x v="34"/>
    <x v="10"/>
    <m/>
    <n v="0.89132"/>
    <n v="0.92157"/>
    <n v="0.90644499999999995"/>
    <n v="302.5"/>
  </r>
  <r>
    <x v="6"/>
    <x v="34"/>
    <x v="0"/>
    <m/>
    <n v="1.9001600000000001"/>
    <n v="2.01301"/>
    <n v="1.956585"/>
    <n v="1128.5"/>
  </r>
  <r>
    <x v="6"/>
    <x v="34"/>
    <x v="10"/>
    <m/>
    <n v="0.89132"/>
    <n v="0.92157"/>
    <n v="0.90644499999999995"/>
    <n v="302.5"/>
  </r>
  <r>
    <x v="6"/>
    <x v="34"/>
    <x v="10"/>
    <m/>
    <n v="0.89132"/>
    <n v="0.92157"/>
    <n v="0.90644499999999995"/>
    <n v="302.5"/>
  </r>
  <r>
    <x v="6"/>
    <x v="34"/>
    <x v="10"/>
    <m/>
    <n v="0.89132"/>
    <n v="0.92157"/>
    <n v="0.90644499999999995"/>
    <n v="302.5"/>
  </r>
  <r>
    <x v="6"/>
    <x v="34"/>
    <x v="10"/>
    <m/>
    <n v="0.89132"/>
    <n v="0.92157"/>
    <n v="0.90644499999999995"/>
    <n v="302.5"/>
  </r>
  <r>
    <x v="6"/>
    <x v="34"/>
    <x v="10"/>
    <m/>
    <n v="0.89132"/>
    <n v="0.92157"/>
    <n v="0.90644499999999995"/>
    <n v="302.5"/>
  </r>
  <r>
    <x v="6"/>
    <x v="34"/>
    <x v="10"/>
    <m/>
    <n v="0.89132"/>
    <n v="0.92157"/>
    <n v="0.90644499999999995"/>
    <n v="302.5"/>
  </r>
  <r>
    <x v="6"/>
    <x v="34"/>
    <x v="10"/>
    <m/>
    <n v="0.89132"/>
    <n v="0.92157"/>
    <n v="0.90644499999999995"/>
    <n v="302.5"/>
  </r>
  <r>
    <x v="6"/>
    <x v="34"/>
    <x v="10"/>
    <m/>
    <n v="0.89132"/>
    <n v="0.92157"/>
    <n v="0.90644499999999995"/>
    <n v="302.5"/>
  </r>
  <r>
    <x v="6"/>
    <x v="34"/>
    <x v="10"/>
    <m/>
    <n v="0.89132"/>
    <n v="0.92157"/>
    <n v="0.90644499999999995"/>
    <n v="302.5"/>
  </r>
  <r>
    <x v="6"/>
    <x v="34"/>
    <x v="10"/>
    <m/>
    <n v="0.89132"/>
    <n v="0.92157"/>
    <n v="0.90644499999999995"/>
    <n v="302.5"/>
  </r>
  <r>
    <x v="6"/>
    <x v="34"/>
    <x v="10"/>
    <m/>
    <n v="0.89132"/>
    <n v="0.92157"/>
    <n v="0.90644499999999995"/>
    <n v="302.5"/>
  </r>
  <r>
    <x v="6"/>
    <x v="34"/>
    <x v="10"/>
    <m/>
    <n v="0.89132"/>
    <n v="0.92157"/>
    <n v="0.90644499999999995"/>
    <n v="302.5"/>
  </r>
  <r>
    <x v="6"/>
    <x v="34"/>
    <x v="10"/>
    <m/>
    <n v="0.89132"/>
    <n v="0.92157"/>
    <n v="0.90644499999999995"/>
    <n v="302.5"/>
  </r>
  <r>
    <x v="6"/>
    <x v="34"/>
    <x v="10"/>
    <m/>
    <n v="0.89132"/>
    <n v="0.92157"/>
    <n v="0.90644499999999995"/>
    <n v="302.5"/>
  </r>
  <r>
    <x v="6"/>
    <x v="34"/>
    <x v="10"/>
    <m/>
    <n v="0.89132"/>
    <n v="0.92157"/>
    <n v="0.90644499999999995"/>
    <n v="302.5"/>
  </r>
  <r>
    <x v="6"/>
    <x v="34"/>
    <x v="10"/>
    <m/>
    <n v="0.89132"/>
    <n v="0.92157"/>
    <n v="0.90644499999999995"/>
    <n v="302.5"/>
  </r>
  <r>
    <x v="6"/>
    <x v="34"/>
    <x v="10"/>
    <m/>
    <n v="0.89132"/>
    <n v="0.92157"/>
    <n v="0.90644499999999995"/>
    <n v="302.5"/>
  </r>
  <r>
    <x v="6"/>
    <x v="34"/>
    <x v="10"/>
    <m/>
    <n v="0.89132"/>
    <n v="0.92157"/>
    <n v="0.90644499999999995"/>
    <n v="302.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0"/>
    <m/>
    <n v="1.9001600000000001"/>
    <n v="2.01301"/>
    <n v="1.956585"/>
    <n v="1128.5"/>
  </r>
  <r>
    <x v="6"/>
    <x v="34"/>
    <x v="10"/>
    <m/>
    <n v="0.89132"/>
    <n v="0.92157"/>
    <n v="0.90644499999999995"/>
    <n v="302.5"/>
  </r>
  <r>
    <x v="6"/>
    <x v="35"/>
    <x v="0"/>
    <m/>
    <n v="1.9001600000000001"/>
    <n v="2.01301"/>
    <n v="1.956585"/>
    <n v="1128.5"/>
  </r>
  <r>
    <x v="6"/>
    <x v="35"/>
    <x v="0"/>
    <m/>
    <n v="1.9001600000000001"/>
    <n v="2.01301"/>
    <n v="1.956585"/>
    <n v="1128.5"/>
  </r>
  <r>
    <x v="6"/>
    <x v="35"/>
    <x v="10"/>
    <m/>
    <n v="0.88932"/>
    <n v="0.92157"/>
    <n v="0.90544500000000006"/>
    <n v="322.5"/>
  </r>
  <r>
    <x v="6"/>
    <x v="35"/>
    <x v="10"/>
    <m/>
    <n v="0.88932"/>
    <n v="0.92157"/>
    <n v="0.90544500000000006"/>
    <n v="322.5"/>
  </r>
  <r>
    <x v="6"/>
    <x v="35"/>
    <x v="10"/>
    <m/>
    <n v="0.88932"/>
    <n v="0.92157"/>
    <n v="0.90544500000000006"/>
    <n v="322.5"/>
  </r>
  <r>
    <x v="6"/>
    <x v="35"/>
    <x v="10"/>
    <m/>
    <n v="0.88932"/>
    <n v="0.92157"/>
    <n v="0.90544500000000006"/>
    <n v="322.5"/>
  </r>
  <r>
    <x v="6"/>
    <x v="35"/>
    <x v="10"/>
    <m/>
    <n v="0.88932"/>
    <n v="0.92157"/>
    <n v="0.90544500000000006"/>
    <n v="322.5"/>
  </r>
  <r>
    <x v="6"/>
    <x v="35"/>
    <x v="10"/>
    <m/>
    <n v="0.88932"/>
    <n v="0.92157"/>
    <n v="0.90544500000000006"/>
    <n v="322.5"/>
  </r>
  <r>
    <x v="6"/>
    <x v="35"/>
    <x v="10"/>
    <m/>
    <n v="0.88932"/>
    <n v="0.92157"/>
    <n v="0.90544500000000006"/>
    <n v="322.5"/>
  </r>
  <r>
    <x v="6"/>
    <x v="35"/>
    <x v="10"/>
    <m/>
    <n v="0.88932"/>
    <n v="0.92157"/>
    <n v="0.90544500000000006"/>
    <n v="322.5"/>
  </r>
  <r>
    <x v="6"/>
    <x v="35"/>
    <x v="10"/>
    <m/>
    <n v="0.88932"/>
    <n v="0.92157"/>
    <n v="0.90544500000000006"/>
    <n v="322.5"/>
  </r>
  <r>
    <x v="6"/>
    <x v="35"/>
    <x v="10"/>
    <m/>
    <n v="0.88932"/>
    <n v="0.92157"/>
    <n v="0.90544500000000006"/>
    <n v="322.5"/>
  </r>
  <r>
    <x v="6"/>
    <x v="35"/>
    <x v="10"/>
    <m/>
    <n v="0.88932"/>
    <n v="0.92157"/>
    <n v="0.90544500000000006"/>
    <n v="322.5"/>
  </r>
  <r>
    <x v="6"/>
    <x v="35"/>
    <x v="10"/>
    <m/>
    <n v="0.88932"/>
    <n v="0.92157"/>
    <n v="0.90544500000000006"/>
    <n v="322.5"/>
  </r>
  <r>
    <x v="6"/>
    <x v="35"/>
    <x v="10"/>
    <m/>
    <n v="0.88932"/>
    <n v="0.92157"/>
    <n v="0.90544500000000006"/>
    <n v="322.5"/>
  </r>
  <r>
    <x v="6"/>
    <x v="35"/>
    <x v="10"/>
    <m/>
    <n v="0.88932"/>
    <n v="0.92157"/>
    <n v="0.90544500000000006"/>
    <n v="322.5"/>
  </r>
  <r>
    <x v="6"/>
    <x v="35"/>
    <x v="10"/>
    <m/>
    <n v="0.88932"/>
    <n v="0.92157"/>
    <n v="0.90544500000000006"/>
    <n v="322.5"/>
  </r>
  <r>
    <x v="6"/>
    <x v="35"/>
    <x v="10"/>
    <m/>
    <n v="0.88932"/>
    <n v="0.92157"/>
    <n v="0.90544500000000006"/>
    <n v="322.5"/>
  </r>
  <r>
    <x v="6"/>
    <x v="35"/>
    <x v="10"/>
    <m/>
    <n v="0.88932"/>
    <n v="0.92157"/>
    <n v="0.90544500000000006"/>
    <n v="322.5"/>
  </r>
  <r>
    <x v="6"/>
    <x v="35"/>
    <x v="10"/>
    <m/>
    <n v="0.88932"/>
    <n v="0.92157"/>
    <n v="0.90544500000000006"/>
    <n v="322.5"/>
  </r>
  <r>
    <x v="6"/>
    <x v="35"/>
    <x v="10"/>
    <m/>
    <n v="0.88932"/>
    <n v="0.92157"/>
    <n v="0.90544500000000006"/>
    <n v="322.5"/>
  </r>
  <r>
    <x v="6"/>
    <x v="35"/>
    <x v="10"/>
    <m/>
    <n v="0.88932"/>
    <n v="0.92157"/>
    <n v="0.90544500000000006"/>
    <n v="322.5"/>
  </r>
  <r>
    <x v="6"/>
    <x v="35"/>
    <x v="10"/>
    <m/>
    <n v="0.88932"/>
    <n v="0.92157"/>
    <n v="0.90544500000000006"/>
    <n v="322.5"/>
  </r>
  <r>
    <x v="6"/>
    <x v="35"/>
    <x v="10"/>
    <m/>
    <n v="0.88932"/>
    <n v="0.92157"/>
    <n v="0.90544500000000006"/>
    <n v="322.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5"/>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10"/>
    <m/>
    <n v="0.88932"/>
    <n v="0.92157"/>
    <n v="0.90544500000000006"/>
    <n v="322.5"/>
  </r>
  <r>
    <x v="6"/>
    <x v="36"/>
    <x v="10"/>
    <m/>
    <n v="0.88932"/>
    <n v="0.92157"/>
    <n v="0.90544500000000006"/>
    <n v="322.5"/>
  </r>
  <r>
    <x v="6"/>
    <x v="36"/>
    <x v="10"/>
    <m/>
    <n v="0.88932"/>
    <n v="0.92157"/>
    <n v="0.90544500000000006"/>
    <n v="322.5"/>
  </r>
  <r>
    <x v="6"/>
    <x v="36"/>
    <x v="10"/>
    <m/>
    <n v="0.88932"/>
    <n v="0.92157"/>
    <n v="0.90544500000000006"/>
    <n v="322.5"/>
  </r>
  <r>
    <x v="6"/>
    <x v="36"/>
    <x v="10"/>
    <m/>
    <n v="0.88932"/>
    <n v="0.92157"/>
    <n v="0.90544500000000006"/>
    <n v="322.5"/>
  </r>
  <r>
    <x v="6"/>
    <x v="36"/>
    <x v="10"/>
    <m/>
    <n v="0.88932"/>
    <n v="0.92157"/>
    <n v="0.90544500000000006"/>
    <n v="322.5"/>
  </r>
  <r>
    <x v="6"/>
    <x v="36"/>
    <x v="10"/>
    <m/>
    <n v="0.88932"/>
    <n v="0.92157"/>
    <n v="0.90544500000000006"/>
    <n v="322.5"/>
  </r>
  <r>
    <x v="6"/>
    <x v="36"/>
    <x v="10"/>
    <m/>
    <n v="0.88932"/>
    <n v="0.92157"/>
    <n v="0.90544500000000006"/>
    <n v="322.5"/>
  </r>
  <r>
    <x v="6"/>
    <x v="36"/>
    <x v="10"/>
    <m/>
    <n v="0.88932"/>
    <n v="0.92157"/>
    <n v="0.90544500000000006"/>
    <n v="322.5"/>
  </r>
  <r>
    <x v="6"/>
    <x v="36"/>
    <x v="10"/>
    <m/>
    <n v="0.88932"/>
    <n v="0.92157"/>
    <n v="0.90544500000000006"/>
    <n v="322.5"/>
  </r>
  <r>
    <x v="6"/>
    <x v="36"/>
    <x v="10"/>
    <m/>
    <n v="0.88932"/>
    <n v="0.92157"/>
    <n v="0.90544500000000006"/>
    <n v="322.5"/>
  </r>
  <r>
    <x v="6"/>
    <x v="36"/>
    <x v="10"/>
    <m/>
    <n v="0.88932"/>
    <n v="0.92157"/>
    <n v="0.90544500000000006"/>
    <n v="322.5"/>
  </r>
  <r>
    <x v="6"/>
    <x v="36"/>
    <x v="10"/>
    <m/>
    <n v="0.88932"/>
    <n v="0.92157"/>
    <n v="0.90544500000000006"/>
    <n v="322.5"/>
  </r>
  <r>
    <x v="6"/>
    <x v="36"/>
    <x v="10"/>
    <m/>
    <n v="0.88932"/>
    <n v="0.92157"/>
    <n v="0.90544500000000006"/>
    <n v="322.5"/>
  </r>
  <r>
    <x v="6"/>
    <x v="36"/>
    <x v="10"/>
    <m/>
    <n v="0.88932"/>
    <n v="0.92157"/>
    <n v="0.90544500000000006"/>
    <n v="322.5"/>
  </r>
  <r>
    <x v="6"/>
    <x v="36"/>
    <x v="10"/>
    <m/>
    <n v="0.88932"/>
    <n v="0.92157"/>
    <n v="0.90544500000000006"/>
    <n v="322.5"/>
  </r>
  <r>
    <x v="6"/>
    <x v="36"/>
    <x v="10"/>
    <m/>
    <n v="0.88932"/>
    <n v="0.92157"/>
    <n v="0.90544500000000006"/>
    <n v="322.5"/>
  </r>
  <r>
    <x v="6"/>
    <x v="36"/>
    <x v="10"/>
    <m/>
    <n v="0.88932"/>
    <n v="0.92157"/>
    <n v="0.90544500000000006"/>
    <n v="322.5"/>
  </r>
  <r>
    <x v="6"/>
    <x v="36"/>
    <x v="10"/>
    <m/>
    <n v="0.88932"/>
    <n v="0.92157"/>
    <n v="0.90544500000000006"/>
    <n v="322.5"/>
  </r>
  <r>
    <x v="6"/>
    <x v="36"/>
    <x v="10"/>
    <m/>
    <n v="0.88932"/>
    <n v="0.92157"/>
    <n v="0.90544500000000006"/>
    <n v="322.5"/>
  </r>
  <r>
    <x v="6"/>
    <x v="36"/>
    <x v="10"/>
    <m/>
    <n v="0.88932"/>
    <n v="0.92157"/>
    <n v="0.90544500000000006"/>
    <n v="322.5"/>
  </r>
  <r>
    <x v="6"/>
    <x v="36"/>
    <x v="10"/>
    <m/>
    <n v="0.88932"/>
    <n v="0.92157"/>
    <n v="0.90544500000000006"/>
    <n v="322.5"/>
  </r>
  <r>
    <x v="6"/>
    <x v="36"/>
    <x v="10"/>
    <m/>
    <n v="0.88932"/>
    <n v="0.92157"/>
    <n v="0.90544500000000006"/>
    <n v="322.5"/>
  </r>
  <r>
    <x v="6"/>
    <x v="36"/>
    <x v="10"/>
    <m/>
    <n v="0.88932"/>
    <n v="0.92157"/>
    <n v="0.90544500000000006"/>
    <n v="322.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6"/>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10"/>
    <m/>
    <n v="0.88932"/>
    <n v="0.92157"/>
    <n v="0.90544500000000006"/>
    <n v="322.5"/>
  </r>
  <r>
    <x v="6"/>
    <x v="37"/>
    <x v="10"/>
    <m/>
    <n v="0.88932"/>
    <n v="0.92157"/>
    <n v="0.90544500000000006"/>
    <n v="322.5"/>
  </r>
  <r>
    <x v="6"/>
    <x v="37"/>
    <x v="10"/>
    <m/>
    <n v="0.88932"/>
    <n v="0.92157"/>
    <n v="0.90544500000000006"/>
    <n v="322.5"/>
  </r>
  <r>
    <x v="6"/>
    <x v="37"/>
    <x v="10"/>
    <m/>
    <n v="0.88932"/>
    <n v="0.92157"/>
    <n v="0.90544500000000006"/>
    <n v="322.5"/>
  </r>
  <r>
    <x v="6"/>
    <x v="37"/>
    <x v="10"/>
    <m/>
    <n v="0.88932"/>
    <n v="0.92157"/>
    <n v="0.90544500000000006"/>
    <n v="322.5"/>
  </r>
  <r>
    <x v="6"/>
    <x v="37"/>
    <x v="10"/>
    <m/>
    <n v="0.88932"/>
    <n v="0.92157"/>
    <n v="0.90544500000000006"/>
    <n v="322.5"/>
  </r>
  <r>
    <x v="6"/>
    <x v="37"/>
    <x v="10"/>
    <m/>
    <n v="0.88932"/>
    <n v="0.92157"/>
    <n v="0.90544500000000006"/>
    <n v="322.5"/>
  </r>
  <r>
    <x v="6"/>
    <x v="37"/>
    <x v="10"/>
    <m/>
    <n v="0.88932"/>
    <n v="0.92157"/>
    <n v="0.90544500000000006"/>
    <n v="322.5"/>
  </r>
  <r>
    <x v="6"/>
    <x v="37"/>
    <x v="10"/>
    <m/>
    <n v="0.88932"/>
    <n v="0.92157"/>
    <n v="0.90544500000000006"/>
    <n v="322.5"/>
  </r>
  <r>
    <x v="6"/>
    <x v="37"/>
    <x v="10"/>
    <m/>
    <n v="0.88932"/>
    <n v="0.92157"/>
    <n v="0.90544500000000006"/>
    <n v="322.5"/>
  </r>
  <r>
    <x v="6"/>
    <x v="37"/>
    <x v="10"/>
    <m/>
    <n v="0.88932"/>
    <n v="0.92157"/>
    <n v="0.90544500000000006"/>
    <n v="322.5"/>
  </r>
  <r>
    <x v="6"/>
    <x v="37"/>
    <x v="10"/>
    <m/>
    <n v="0.88932"/>
    <n v="0.92157"/>
    <n v="0.90544500000000006"/>
    <n v="322.5"/>
  </r>
  <r>
    <x v="6"/>
    <x v="37"/>
    <x v="10"/>
    <m/>
    <n v="0.88932"/>
    <n v="0.92157"/>
    <n v="0.90544500000000006"/>
    <n v="322.5"/>
  </r>
  <r>
    <x v="6"/>
    <x v="37"/>
    <x v="10"/>
    <m/>
    <n v="0.88932"/>
    <n v="0.92157"/>
    <n v="0.90544500000000006"/>
    <n v="322.5"/>
  </r>
  <r>
    <x v="6"/>
    <x v="37"/>
    <x v="10"/>
    <m/>
    <n v="0.88932"/>
    <n v="0.92157"/>
    <n v="0.90544500000000006"/>
    <n v="322.5"/>
  </r>
  <r>
    <x v="6"/>
    <x v="37"/>
    <x v="10"/>
    <m/>
    <n v="0.88932"/>
    <n v="0.92157"/>
    <n v="0.90544500000000006"/>
    <n v="322.5"/>
  </r>
  <r>
    <x v="6"/>
    <x v="37"/>
    <x v="10"/>
    <m/>
    <n v="0.88932"/>
    <n v="0.92157"/>
    <n v="0.90544500000000006"/>
    <n v="322.5"/>
  </r>
  <r>
    <x v="6"/>
    <x v="37"/>
    <x v="10"/>
    <m/>
    <n v="0.88932"/>
    <n v="0.92157"/>
    <n v="0.90544500000000006"/>
    <n v="322.5"/>
  </r>
  <r>
    <x v="6"/>
    <x v="37"/>
    <x v="10"/>
    <m/>
    <n v="0.88932"/>
    <n v="0.92157"/>
    <n v="0.90544500000000006"/>
    <n v="322.5"/>
  </r>
  <r>
    <x v="6"/>
    <x v="37"/>
    <x v="10"/>
    <m/>
    <n v="0.88932"/>
    <n v="0.92157"/>
    <n v="0.90544500000000006"/>
    <n v="322.5"/>
  </r>
  <r>
    <x v="6"/>
    <x v="37"/>
    <x v="10"/>
    <m/>
    <n v="0.88932"/>
    <n v="0.92157"/>
    <n v="0.90544500000000006"/>
    <n v="322.5"/>
  </r>
  <r>
    <x v="6"/>
    <x v="37"/>
    <x v="10"/>
    <m/>
    <n v="0.88932"/>
    <n v="0.92157"/>
    <n v="0.90544500000000006"/>
    <n v="322.5"/>
  </r>
  <r>
    <x v="6"/>
    <x v="37"/>
    <x v="10"/>
    <m/>
    <n v="0.88932"/>
    <n v="0.92157"/>
    <n v="0.90544500000000006"/>
    <n v="322.5"/>
  </r>
  <r>
    <x v="6"/>
    <x v="37"/>
    <x v="10"/>
    <m/>
    <n v="0.88932"/>
    <n v="0.92157"/>
    <n v="0.90544500000000006"/>
    <n v="322.5"/>
  </r>
  <r>
    <x v="6"/>
    <x v="37"/>
    <x v="10"/>
    <m/>
    <n v="0.88932"/>
    <n v="0.92157"/>
    <n v="0.90544500000000006"/>
    <n v="322.5"/>
  </r>
  <r>
    <x v="6"/>
    <x v="37"/>
    <x v="10"/>
    <m/>
    <n v="0.88932"/>
    <n v="0.92157"/>
    <n v="0.90544500000000006"/>
    <n v="322.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7"/>
    <x v="0"/>
    <m/>
    <n v="1.9001600000000001"/>
    <n v="2.01301"/>
    <n v="1.956585"/>
    <n v="1128.5"/>
  </r>
  <r>
    <x v="6"/>
    <x v="38"/>
    <x v="10"/>
    <m/>
    <n v="0.88932"/>
    <n v="0.92157"/>
    <n v="0.90544500000000006"/>
    <n v="322.5"/>
  </r>
  <r>
    <x v="6"/>
    <x v="38"/>
    <x v="0"/>
    <m/>
    <n v="1.9001600000000001"/>
    <n v="2.01301"/>
    <n v="1.956585"/>
    <n v="1128.5"/>
  </r>
  <r>
    <x v="6"/>
    <x v="38"/>
    <x v="10"/>
    <m/>
    <n v="0.88932"/>
    <n v="0.92157"/>
    <n v="0.90544500000000006"/>
    <n v="322.5"/>
  </r>
  <r>
    <x v="6"/>
    <x v="38"/>
    <x v="10"/>
    <m/>
    <n v="0.88932"/>
    <n v="0.92157"/>
    <n v="0.90544500000000006"/>
    <n v="322.5"/>
  </r>
  <r>
    <x v="6"/>
    <x v="38"/>
    <x v="10"/>
    <m/>
    <n v="0.88932"/>
    <n v="0.92157"/>
    <n v="0.90544500000000006"/>
    <n v="322.5"/>
  </r>
  <r>
    <x v="6"/>
    <x v="38"/>
    <x v="10"/>
    <m/>
    <n v="0.88932"/>
    <n v="0.92157"/>
    <n v="0.90544500000000006"/>
    <n v="322.5"/>
  </r>
  <r>
    <x v="6"/>
    <x v="38"/>
    <x v="10"/>
    <m/>
    <n v="0.88932"/>
    <n v="0.92157"/>
    <n v="0.90544500000000006"/>
    <n v="322.5"/>
  </r>
  <r>
    <x v="6"/>
    <x v="38"/>
    <x v="10"/>
    <m/>
    <n v="0.88932"/>
    <n v="0.92157"/>
    <n v="0.90544500000000006"/>
    <n v="322.5"/>
  </r>
  <r>
    <x v="6"/>
    <x v="38"/>
    <x v="10"/>
    <m/>
    <n v="0.88932"/>
    <n v="0.92157"/>
    <n v="0.90544500000000006"/>
    <n v="322.5"/>
  </r>
  <r>
    <x v="6"/>
    <x v="38"/>
    <x v="10"/>
    <m/>
    <n v="0.88932"/>
    <n v="0.92157"/>
    <n v="0.90544500000000006"/>
    <n v="322.5"/>
  </r>
  <r>
    <x v="6"/>
    <x v="38"/>
    <x v="10"/>
    <m/>
    <n v="0.88932"/>
    <n v="0.92157"/>
    <n v="0.90544500000000006"/>
    <n v="322.5"/>
  </r>
  <r>
    <x v="6"/>
    <x v="38"/>
    <x v="10"/>
    <m/>
    <n v="0.88932"/>
    <n v="0.92157"/>
    <n v="0.90544500000000006"/>
    <n v="322.5"/>
  </r>
  <r>
    <x v="6"/>
    <x v="38"/>
    <x v="10"/>
    <m/>
    <n v="0.88932"/>
    <n v="0.92157"/>
    <n v="0.90544500000000006"/>
    <n v="322.5"/>
  </r>
  <r>
    <x v="6"/>
    <x v="38"/>
    <x v="10"/>
    <m/>
    <n v="0.88932"/>
    <n v="0.92157"/>
    <n v="0.90544500000000006"/>
    <n v="322.5"/>
  </r>
  <r>
    <x v="6"/>
    <x v="38"/>
    <x v="10"/>
    <m/>
    <n v="0.88932"/>
    <n v="0.92157"/>
    <n v="0.90544500000000006"/>
    <n v="322.5"/>
  </r>
  <r>
    <x v="6"/>
    <x v="38"/>
    <x v="10"/>
    <m/>
    <n v="0.88932"/>
    <n v="0.92157"/>
    <n v="0.90544500000000006"/>
    <n v="322.5"/>
  </r>
  <r>
    <x v="6"/>
    <x v="38"/>
    <x v="10"/>
    <m/>
    <n v="0.88932"/>
    <n v="0.92157"/>
    <n v="0.90544500000000006"/>
    <n v="322.5"/>
  </r>
  <r>
    <x v="6"/>
    <x v="38"/>
    <x v="10"/>
    <m/>
    <n v="0.88932"/>
    <n v="0.92157"/>
    <n v="0.90544500000000006"/>
    <n v="322.5"/>
  </r>
  <r>
    <x v="6"/>
    <x v="38"/>
    <x v="10"/>
    <m/>
    <n v="0.88932"/>
    <n v="0.92157"/>
    <n v="0.90544500000000006"/>
    <n v="322.5"/>
  </r>
  <r>
    <x v="6"/>
    <x v="38"/>
    <x v="10"/>
    <m/>
    <n v="0.88932"/>
    <n v="0.92157"/>
    <n v="0.90544500000000006"/>
    <n v="322.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0"/>
    <m/>
    <n v="1.9001600000000001"/>
    <n v="2.01301"/>
    <n v="1.956585"/>
    <n v="1128.5"/>
  </r>
  <r>
    <x v="6"/>
    <x v="38"/>
    <x v="10"/>
    <m/>
    <n v="0.88932"/>
    <n v="0.92157"/>
    <n v="0.90544500000000006"/>
    <n v="322.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10"/>
    <m/>
    <n v="0.88932"/>
    <n v="0.92157"/>
    <n v="0.90544500000000006"/>
    <n v="322.5"/>
  </r>
  <r>
    <x v="6"/>
    <x v="39"/>
    <x v="10"/>
    <m/>
    <n v="0.88932"/>
    <n v="0.92157"/>
    <n v="0.90544500000000006"/>
    <n v="322.5"/>
  </r>
  <r>
    <x v="6"/>
    <x v="39"/>
    <x v="10"/>
    <m/>
    <n v="0.88932"/>
    <n v="0.92157"/>
    <n v="0.90544500000000006"/>
    <n v="322.5"/>
  </r>
  <r>
    <x v="6"/>
    <x v="39"/>
    <x v="10"/>
    <m/>
    <n v="0.88932"/>
    <n v="0.92157"/>
    <n v="0.90544500000000006"/>
    <n v="322.5"/>
  </r>
  <r>
    <x v="6"/>
    <x v="39"/>
    <x v="10"/>
    <m/>
    <n v="0.88932"/>
    <n v="0.92157"/>
    <n v="0.90544500000000006"/>
    <n v="322.5"/>
  </r>
  <r>
    <x v="6"/>
    <x v="39"/>
    <x v="10"/>
    <m/>
    <n v="0.88932"/>
    <n v="0.92157"/>
    <n v="0.90544500000000006"/>
    <n v="322.5"/>
  </r>
  <r>
    <x v="6"/>
    <x v="39"/>
    <x v="10"/>
    <m/>
    <n v="0.88932"/>
    <n v="0.92157"/>
    <n v="0.90544500000000006"/>
    <n v="322.5"/>
  </r>
  <r>
    <x v="6"/>
    <x v="39"/>
    <x v="10"/>
    <m/>
    <n v="0.88932"/>
    <n v="0.92157"/>
    <n v="0.90544500000000006"/>
    <n v="322.5"/>
  </r>
  <r>
    <x v="6"/>
    <x v="39"/>
    <x v="10"/>
    <m/>
    <n v="0.88932"/>
    <n v="0.92157"/>
    <n v="0.90544500000000006"/>
    <n v="322.5"/>
  </r>
  <r>
    <x v="6"/>
    <x v="39"/>
    <x v="10"/>
    <m/>
    <n v="0.88932"/>
    <n v="0.92157"/>
    <n v="0.90544500000000006"/>
    <n v="322.5"/>
  </r>
  <r>
    <x v="6"/>
    <x v="39"/>
    <x v="10"/>
    <m/>
    <n v="0.88932"/>
    <n v="0.92157"/>
    <n v="0.90544500000000006"/>
    <n v="322.5"/>
  </r>
  <r>
    <x v="6"/>
    <x v="39"/>
    <x v="10"/>
    <m/>
    <n v="0.88932"/>
    <n v="0.92157"/>
    <n v="0.90544500000000006"/>
    <n v="322.5"/>
  </r>
  <r>
    <x v="6"/>
    <x v="39"/>
    <x v="10"/>
    <m/>
    <n v="0.88932"/>
    <n v="0.92157"/>
    <n v="0.90544500000000006"/>
    <n v="322.5"/>
  </r>
  <r>
    <x v="6"/>
    <x v="39"/>
    <x v="10"/>
    <m/>
    <n v="0.88932"/>
    <n v="0.92157"/>
    <n v="0.90544500000000006"/>
    <n v="322.5"/>
  </r>
  <r>
    <x v="6"/>
    <x v="39"/>
    <x v="10"/>
    <m/>
    <n v="0.88932"/>
    <n v="0.92157"/>
    <n v="0.90544500000000006"/>
    <n v="322.5"/>
  </r>
  <r>
    <x v="6"/>
    <x v="39"/>
    <x v="10"/>
    <m/>
    <n v="0.88932"/>
    <n v="0.92157"/>
    <n v="0.90544500000000006"/>
    <n v="322.5"/>
  </r>
  <r>
    <x v="6"/>
    <x v="39"/>
    <x v="10"/>
    <m/>
    <n v="0.88932"/>
    <n v="0.92157"/>
    <n v="0.90544500000000006"/>
    <n v="322.5"/>
  </r>
  <r>
    <x v="6"/>
    <x v="39"/>
    <x v="10"/>
    <m/>
    <n v="0.88932"/>
    <n v="0.92157"/>
    <n v="0.90544500000000006"/>
    <n v="322.5"/>
  </r>
  <r>
    <x v="6"/>
    <x v="39"/>
    <x v="10"/>
    <m/>
    <n v="0.88932"/>
    <n v="0.92157"/>
    <n v="0.90544500000000006"/>
    <n v="322.5"/>
  </r>
  <r>
    <x v="6"/>
    <x v="39"/>
    <x v="10"/>
    <m/>
    <n v="0.88932"/>
    <n v="0.92157"/>
    <n v="0.90544500000000006"/>
    <n v="322.5"/>
  </r>
  <r>
    <x v="6"/>
    <x v="39"/>
    <x v="10"/>
    <m/>
    <n v="0.88932"/>
    <n v="0.92157"/>
    <n v="0.90544500000000006"/>
    <n v="322.5"/>
  </r>
  <r>
    <x v="6"/>
    <x v="39"/>
    <x v="10"/>
    <m/>
    <n v="0.88932"/>
    <n v="0.92157"/>
    <n v="0.90544500000000006"/>
    <n v="322.5"/>
  </r>
  <r>
    <x v="6"/>
    <x v="39"/>
    <x v="10"/>
    <m/>
    <n v="0.88932"/>
    <n v="0.92157"/>
    <n v="0.90544500000000006"/>
    <n v="322.5"/>
  </r>
  <r>
    <x v="6"/>
    <x v="39"/>
    <x v="10"/>
    <m/>
    <n v="0.88932"/>
    <n v="0.92157"/>
    <n v="0.90544500000000006"/>
    <n v="322.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39"/>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10"/>
    <m/>
    <n v="0.88932"/>
    <n v="0.92157"/>
    <n v="0.90544500000000006"/>
    <n v="322.5"/>
  </r>
  <r>
    <x v="6"/>
    <x v="40"/>
    <x v="10"/>
    <m/>
    <n v="0.88932"/>
    <n v="0.92157"/>
    <n v="0.90544500000000006"/>
    <n v="322.5"/>
  </r>
  <r>
    <x v="6"/>
    <x v="40"/>
    <x v="10"/>
    <m/>
    <n v="0.88932"/>
    <n v="0.92157"/>
    <n v="0.90544500000000006"/>
    <n v="322.5"/>
  </r>
  <r>
    <x v="6"/>
    <x v="40"/>
    <x v="10"/>
    <m/>
    <n v="0.88932"/>
    <n v="0.92157"/>
    <n v="0.90544500000000006"/>
    <n v="322.5"/>
  </r>
  <r>
    <x v="6"/>
    <x v="40"/>
    <x v="10"/>
    <m/>
    <n v="0.88932"/>
    <n v="0.92157"/>
    <n v="0.90544500000000006"/>
    <n v="322.5"/>
  </r>
  <r>
    <x v="6"/>
    <x v="40"/>
    <x v="10"/>
    <m/>
    <n v="0.88932"/>
    <n v="0.92157"/>
    <n v="0.90544500000000006"/>
    <n v="322.5"/>
  </r>
  <r>
    <x v="6"/>
    <x v="40"/>
    <x v="10"/>
    <m/>
    <n v="0.88932"/>
    <n v="0.92157"/>
    <n v="0.90544500000000006"/>
    <n v="322.5"/>
  </r>
  <r>
    <x v="6"/>
    <x v="40"/>
    <x v="10"/>
    <m/>
    <n v="0.88932"/>
    <n v="0.92157"/>
    <n v="0.90544500000000006"/>
    <n v="322.5"/>
  </r>
  <r>
    <x v="6"/>
    <x v="40"/>
    <x v="10"/>
    <m/>
    <n v="0.88932"/>
    <n v="0.92157"/>
    <n v="0.90544500000000006"/>
    <n v="322.5"/>
  </r>
  <r>
    <x v="6"/>
    <x v="40"/>
    <x v="10"/>
    <m/>
    <n v="0.88932"/>
    <n v="0.92157"/>
    <n v="0.90544500000000006"/>
    <n v="322.5"/>
  </r>
  <r>
    <x v="6"/>
    <x v="40"/>
    <x v="10"/>
    <m/>
    <n v="0.88932"/>
    <n v="0.92157"/>
    <n v="0.90544500000000006"/>
    <n v="322.5"/>
  </r>
  <r>
    <x v="6"/>
    <x v="40"/>
    <x v="10"/>
    <m/>
    <n v="0.88932"/>
    <n v="0.92157"/>
    <n v="0.90544500000000006"/>
    <n v="322.5"/>
  </r>
  <r>
    <x v="6"/>
    <x v="40"/>
    <x v="10"/>
    <m/>
    <n v="0.88932"/>
    <n v="0.92157"/>
    <n v="0.90544500000000006"/>
    <n v="322.5"/>
  </r>
  <r>
    <x v="6"/>
    <x v="40"/>
    <x v="10"/>
    <m/>
    <n v="0.88932"/>
    <n v="0.92157"/>
    <n v="0.90544500000000006"/>
    <n v="322.5"/>
  </r>
  <r>
    <x v="6"/>
    <x v="40"/>
    <x v="10"/>
    <m/>
    <n v="0.88932"/>
    <n v="0.92157"/>
    <n v="0.90544500000000006"/>
    <n v="322.5"/>
  </r>
  <r>
    <x v="6"/>
    <x v="40"/>
    <x v="10"/>
    <m/>
    <n v="0.88932"/>
    <n v="0.92157"/>
    <n v="0.90544500000000006"/>
    <n v="322.5"/>
  </r>
  <r>
    <x v="6"/>
    <x v="40"/>
    <x v="10"/>
    <m/>
    <n v="0.88932"/>
    <n v="0.92157"/>
    <n v="0.90544500000000006"/>
    <n v="322.5"/>
  </r>
  <r>
    <x v="6"/>
    <x v="40"/>
    <x v="10"/>
    <m/>
    <n v="0.88932"/>
    <n v="0.92157"/>
    <n v="0.90544500000000006"/>
    <n v="322.5"/>
  </r>
  <r>
    <x v="6"/>
    <x v="40"/>
    <x v="10"/>
    <m/>
    <n v="0.88932"/>
    <n v="0.92157"/>
    <n v="0.90544500000000006"/>
    <n v="322.5"/>
  </r>
  <r>
    <x v="6"/>
    <x v="40"/>
    <x v="10"/>
    <m/>
    <n v="0.88932"/>
    <n v="0.92157"/>
    <n v="0.90544500000000006"/>
    <n v="322.5"/>
  </r>
  <r>
    <x v="6"/>
    <x v="40"/>
    <x v="10"/>
    <m/>
    <n v="0.88932"/>
    <n v="0.92157"/>
    <n v="0.90544500000000006"/>
    <n v="322.5"/>
  </r>
  <r>
    <x v="6"/>
    <x v="40"/>
    <x v="10"/>
    <m/>
    <n v="0.88932"/>
    <n v="0.92157"/>
    <n v="0.90544500000000006"/>
    <n v="322.5"/>
  </r>
  <r>
    <x v="6"/>
    <x v="40"/>
    <x v="10"/>
    <m/>
    <n v="0.88932"/>
    <n v="0.92157"/>
    <n v="0.90544500000000006"/>
    <n v="322.5"/>
  </r>
  <r>
    <x v="6"/>
    <x v="40"/>
    <x v="10"/>
    <m/>
    <n v="0.88932"/>
    <n v="0.92157"/>
    <n v="0.90544500000000006"/>
    <n v="322.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0"/>
    <x v="0"/>
    <m/>
    <n v="1.9001600000000001"/>
    <n v="2.01301"/>
    <n v="1.956585"/>
    <n v="1128.5"/>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10"/>
    <m/>
    <n v="0.88932"/>
    <n v="0.92157"/>
    <n v="0.90544500000000006"/>
    <n v="322.5"/>
  </r>
  <r>
    <x v="6"/>
    <x v="41"/>
    <x v="10"/>
    <m/>
    <n v="0.88932"/>
    <n v="0.92157"/>
    <n v="0.90544500000000006"/>
    <n v="322.5"/>
  </r>
  <r>
    <x v="6"/>
    <x v="41"/>
    <x v="10"/>
    <m/>
    <n v="0.88932"/>
    <n v="0.92157"/>
    <n v="0.90544500000000006"/>
    <n v="322.5"/>
  </r>
  <r>
    <x v="6"/>
    <x v="41"/>
    <x v="10"/>
    <m/>
    <n v="0.88932"/>
    <n v="0.92157"/>
    <n v="0.90544500000000006"/>
    <n v="322.5"/>
  </r>
  <r>
    <x v="6"/>
    <x v="41"/>
    <x v="10"/>
    <m/>
    <n v="0.88932"/>
    <n v="0.92157"/>
    <n v="0.90544500000000006"/>
    <n v="322.5"/>
  </r>
  <r>
    <x v="6"/>
    <x v="41"/>
    <x v="10"/>
    <m/>
    <n v="0.88932"/>
    <n v="0.92157"/>
    <n v="0.90544500000000006"/>
    <n v="322.5"/>
  </r>
  <r>
    <x v="6"/>
    <x v="41"/>
    <x v="10"/>
    <m/>
    <n v="0.88932"/>
    <n v="0.92157"/>
    <n v="0.90544500000000006"/>
    <n v="322.5"/>
  </r>
  <r>
    <x v="6"/>
    <x v="41"/>
    <x v="10"/>
    <m/>
    <n v="0.88932"/>
    <n v="0.92157"/>
    <n v="0.90544500000000006"/>
    <n v="322.5"/>
  </r>
  <r>
    <x v="6"/>
    <x v="41"/>
    <x v="10"/>
    <m/>
    <n v="0.88932"/>
    <n v="0.92157"/>
    <n v="0.90544500000000006"/>
    <n v="322.5"/>
  </r>
  <r>
    <x v="6"/>
    <x v="41"/>
    <x v="10"/>
    <m/>
    <n v="0.88932"/>
    <n v="0.92157"/>
    <n v="0.90544500000000006"/>
    <n v="322.5"/>
  </r>
  <r>
    <x v="6"/>
    <x v="41"/>
    <x v="10"/>
    <m/>
    <n v="0.88932"/>
    <n v="0.92157"/>
    <n v="0.90544500000000006"/>
    <n v="322.5"/>
  </r>
  <r>
    <x v="6"/>
    <x v="41"/>
    <x v="10"/>
    <m/>
    <n v="0.88932"/>
    <n v="0.92157"/>
    <n v="0.90544500000000006"/>
    <n v="322.5"/>
  </r>
  <r>
    <x v="6"/>
    <x v="41"/>
    <x v="10"/>
    <m/>
    <n v="0.88932"/>
    <n v="0.92157"/>
    <n v="0.90544500000000006"/>
    <n v="322.5"/>
  </r>
  <r>
    <x v="6"/>
    <x v="41"/>
    <x v="10"/>
    <m/>
    <n v="0.88932"/>
    <n v="0.92157"/>
    <n v="0.90544500000000006"/>
    <n v="322.5"/>
  </r>
  <r>
    <x v="6"/>
    <x v="41"/>
    <x v="10"/>
    <m/>
    <n v="0.88932"/>
    <n v="0.92157"/>
    <n v="0.90544500000000006"/>
    <n v="322.5"/>
  </r>
  <r>
    <x v="6"/>
    <x v="41"/>
    <x v="10"/>
    <m/>
    <n v="0.88932"/>
    <n v="0.92157"/>
    <n v="0.90544500000000006"/>
    <n v="322.5"/>
  </r>
  <r>
    <x v="6"/>
    <x v="41"/>
    <x v="10"/>
    <m/>
    <n v="0.88932"/>
    <n v="0.92157"/>
    <n v="0.90544500000000006"/>
    <n v="322.5"/>
  </r>
  <r>
    <x v="6"/>
    <x v="41"/>
    <x v="10"/>
    <m/>
    <n v="0.88932"/>
    <n v="0.92157"/>
    <n v="0.90544500000000006"/>
    <n v="322.5"/>
  </r>
  <r>
    <x v="6"/>
    <x v="41"/>
    <x v="10"/>
    <m/>
    <n v="0.88932"/>
    <n v="0.92157"/>
    <n v="0.90544500000000006"/>
    <n v="322.5"/>
  </r>
  <r>
    <x v="6"/>
    <x v="41"/>
    <x v="10"/>
    <m/>
    <n v="0.88932"/>
    <n v="0.92157"/>
    <n v="0.90544500000000006"/>
    <n v="322.5"/>
  </r>
  <r>
    <x v="6"/>
    <x v="41"/>
    <x v="10"/>
    <m/>
    <n v="0.88932"/>
    <n v="0.92157"/>
    <n v="0.90544500000000006"/>
    <n v="322.5"/>
  </r>
  <r>
    <x v="6"/>
    <x v="41"/>
    <x v="10"/>
    <m/>
    <n v="0.88932"/>
    <n v="0.92157"/>
    <n v="0.90544500000000006"/>
    <n v="322.5"/>
  </r>
  <r>
    <x v="6"/>
    <x v="41"/>
    <x v="10"/>
    <m/>
    <n v="0.88932"/>
    <n v="0.92157"/>
    <n v="0.90544500000000006"/>
    <n v="322.5"/>
  </r>
  <r>
    <x v="6"/>
    <x v="41"/>
    <x v="10"/>
    <m/>
    <n v="0.88932"/>
    <n v="0.92157"/>
    <n v="0.90544500000000006"/>
    <n v="322.5"/>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1"/>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10"/>
    <m/>
    <n v="0.88932"/>
    <n v="0.92157"/>
    <n v="0.90544500000000006"/>
    <n v="322.5"/>
  </r>
  <r>
    <x v="6"/>
    <x v="42"/>
    <x v="10"/>
    <m/>
    <n v="0.88932"/>
    <n v="0.92157"/>
    <n v="0.90544500000000006"/>
    <n v="322.5"/>
  </r>
  <r>
    <x v="6"/>
    <x v="42"/>
    <x v="10"/>
    <m/>
    <n v="0.88932"/>
    <n v="0.92157"/>
    <n v="0.90544500000000006"/>
    <n v="322.5"/>
  </r>
  <r>
    <x v="6"/>
    <x v="42"/>
    <x v="10"/>
    <m/>
    <n v="0.88932"/>
    <n v="0.92157"/>
    <n v="0.90544500000000006"/>
    <n v="322.5"/>
  </r>
  <r>
    <x v="6"/>
    <x v="42"/>
    <x v="10"/>
    <m/>
    <n v="0.88932"/>
    <n v="0.92157"/>
    <n v="0.90544500000000006"/>
    <n v="322.5"/>
  </r>
  <r>
    <x v="6"/>
    <x v="42"/>
    <x v="10"/>
    <m/>
    <n v="0.88932"/>
    <n v="0.92157"/>
    <n v="0.90544500000000006"/>
    <n v="322.5"/>
  </r>
  <r>
    <x v="6"/>
    <x v="42"/>
    <x v="10"/>
    <m/>
    <n v="0.88932"/>
    <n v="0.92157"/>
    <n v="0.90544500000000006"/>
    <n v="322.5"/>
  </r>
  <r>
    <x v="6"/>
    <x v="42"/>
    <x v="10"/>
    <m/>
    <n v="0.88932"/>
    <n v="0.92157"/>
    <n v="0.90544500000000006"/>
    <n v="322.5"/>
  </r>
  <r>
    <x v="6"/>
    <x v="42"/>
    <x v="10"/>
    <m/>
    <n v="0.88932"/>
    <n v="0.92157"/>
    <n v="0.90544500000000006"/>
    <n v="322.5"/>
  </r>
  <r>
    <x v="6"/>
    <x v="42"/>
    <x v="10"/>
    <m/>
    <n v="0.88932"/>
    <n v="0.92157"/>
    <n v="0.90544500000000006"/>
    <n v="322.5"/>
  </r>
  <r>
    <x v="6"/>
    <x v="42"/>
    <x v="10"/>
    <m/>
    <n v="0.88932"/>
    <n v="0.92157"/>
    <n v="0.90544500000000006"/>
    <n v="322.5"/>
  </r>
  <r>
    <x v="6"/>
    <x v="42"/>
    <x v="10"/>
    <m/>
    <n v="0.88932"/>
    <n v="0.92157"/>
    <n v="0.90544500000000006"/>
    <n v="322.5"/>
  </r>
  <r>
    <x v="6"/>
    <x v="42"/>
    <x v="10"/>
    <m/>
    <n v="0.88932"/>
    <n v="0.92157"/>
    <n v="0.90544500000000006"/>
    <n v="322.5"/>
  </r>
  <r>
    <x v="6"/>
    <x v="42"/>
    <x v="10"/>
    <m/>
    <n v="0.88932"/>
    <n v="0.92157"/>
    <n v="0.90544500000000006"/>
    <n v="322.5"/>
  </r>
  <r>
    <x v="6"/>
    <x v="42"/>
    <x v="10"/>
    <m/>
    <n v="0.88932"/>
    <n v="0.92157"/>
    <n v="0.90544500000000006"/>
    <n v="322.5"/>
  </r>
  <r>
    <x v="6"/>
    <x v="42"/>
    <x v="10"/>
    <m/>
    <n v="0.88932"/>
    <n v="0.92157"/>
    <n v="0.90544500000000006"/>
    <n v="322.5"/>
  </r>
  <r>
    <x v="6"/>
    <x v="42"/>
    <x v="10"/>
    <m/>
    <n v="0.88932"/>
    <n v="0.92157"/>
    <n v="0.90544500000000006"/>
    <n v="322.5"/>
  </r>
  <r>
    <x v="6"/>
    <x v="42"/>
    <x v="10"/>
    <m/>
    <n v="0.88932"/>
    <n v="0.92157"/>
    <n v="0.90544500000000006"/>
    <n v="322.5"/>
  </r>
  <r>
    <x v="6"/>
    <x v="42"/>
    <x v="10"/>
    <m/>
    <n v="0.88932"/>
    <n v="0.92157"/>
    <n v="0.90544500000000006"/>
    <n v="322.5"/>
  </r>
  <r>
    <x v="6"/>
    <x v="42"/>
    <x v="10"/>
    <m/>
    <n v="0.88932"/>
    <n v="0.92157"/>
    <n v="0.90544500000000006"/>
    <n v="322.5"/>
  </r>
  <r>
    <x v="6"/>
    <x v="42"/>
    <x v="10"/>
    <m/>
    <n v="0.88932"/>
    <n v="0.92157"/>
    <n v="0.90544500000000006"/>
    <n v="322.5"/>
  </r>
  <r>
    <x v="6"/>
    <x v="42"/>
    <x v="10"/>
    <m/>
    <n v="0.88932"/>
    <n v="0.92157"/>
    <n v="0.90544500000000006"/>
    <n v="322.5"/>
  </r>
  <r>
    <x v="6"/>
    <x v="42"/>
    <x v="10"/>
    <m/>
    <n v="0.88932"/>
    <n v="0.92157"/>
    <n v="0.90544500000000006"/>
    <n v="322.5"/>
  </r>
  <r>
    <x v="6"/>
    <x v="42"/>
    <x v="10"/>
    <m/>
    <n v="0.88932"/>
    <n v="0.92157"/>
    <n v="0.90544500000000006"/>
    <n v="322.5"/>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2"/>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10"/>
    <m/>
    <n v="0.88932"/>
    <n v="0.92157"/>
    <n v="0.90544500000000006"/>
    <n v="322.5"/>
  </r>
  <r>
    <x v="6"/>
    <x v="43"/>
    <x v="10"/>
    <m/>
    <n v="0.88932"/>
    <n v="0.92157"/>
    <n v="0.90544500000000006"/>
    <n v="322.5"/>
  </r>
  <r>
    <x v="6"/>
    <x v="43"/>
    <x v="10"/>
    <m/>
    <n v="0.88932"/>
    <n v="0.92157"/>
    <n v="0.90544500000000006"/>
    <n v="322.5"/>
  </r>
  <r>
    <x v="6"/>
    <x v="43"/>
    <x v="10"/>
    <m/>
    <n v="0.88932"/>
    <n v="0.92157"/>
    <n v="0.90544500000000006"/>
    <n v="322.5"/>
  </r>
  <r>
    <x v="6"/>
    <x v="43"/>
    <x v="10"/>
    <m/>
    <n v="0.88932"/>
    <n v="0.92157"/>
    <n v="0.90544500000000006"/>
    <n v="322.5"/>
  </r>
  <r>
    <x v="6"/>
    <x v="43"/>
    <x v="10"/>
    <m/>
    <n v="0.88932"/>
    <n v="0.92157"/>
    <n v="0.90544500000000006"/>
    <n v="322.5"/>
  </r>
  <r>
    <x v="6"/>
    <x v="43"/>
    <x v="10"/>
    <m/>
    <n v="0.88932"/>
    <n v="0.92157"/>
    <n v="0.90544500000000006"/>
    <n v="322.5"/>
  </r>
  <r>
    <x v="6"/>
    <x v="43"/>
    <x v="10"/>
    <m/>
    <n v="0.88932"/>
    <n v="0.92157"/>
    <n v="0.90544500000000006"/>
    <n v="322.5"/>
  </r>
  <r>
    <x v="6"/>
    <x v="43"/>
    <x v="10"/>
    <m/>
    <n v="0.88932"/>
    <n v="0.92157"/>
    <n v="0.90544500000000006"/>
    <n v="322.5"/>
  </r>
  <r>
    <x v="6"/>
    <x v="43"/>
    <x v="10"/>
    <m/>
    <n v="0.88932"/>
    <n v="0.92157"/>
    <n v="0.90544500000000006"/>
    <n v="322.5"/>
  </r>
  <r>
    <x v="6"/>
    <x v="43"/>
    <x v="10"/>
    <m/>
    <n v="0.88932"/>
    <n v="0.92157"/>
    <n v="0.90544500000000006"/>
    <n v="322.5"/>
  </r>
  <r>
    <x v="6"/>
    <x v="43"/>
    <x v="10"/>
    <m/>
    <n v="0.88932"/>
    <n v="0.92157"/>
    <n v="0.90544500000000006"/>
    <n v="322.5"/>
  </r>
  <r>
    <x v="6"/>
    <x v="43"/>
    <x v="10"/>
    <m/>
    <n v="0.88932"/>
    <n v="0.92157"/>
    <n v="0.90544500000000006"/>
    <n v="322.5"/>
  </r>
  <r>
    <x v="6"/>
    <x v="43"/>
    <x v="10"/>
    <m/>
    <n v="0.88932"/>
    <n v="0.92157"/>
    <n v="0.90544500000000006"/>
    <n v="322.5"/>
  </r>
  <r>
    <x v="6"/>
    <x v="43"/>
    <x v="10"/>
    <m/>
    <n v="0.88932"/>
    <n v="0.92157"/>
    <n v="0.90544500000000006"/>
    <n v="322.5"/>
  </r>
  <r>
    <x v="6"/>
    <x v="43"/>
    <x v="10"/>
    <m/>
    <n v="0.88932"/>
    <n v="0.92157"/>
    <n v="0.90544500000000006"/>
    <n v="322.5"/>
  </r>
  <r>
    <x v="6"/>
    <x v="43"/>
    <x v="10"/>
    <m/>
    <n v="0.88932"/>
    <n v="0.92157"/>
    <n v="0.90544500000000006"/>
    <n v="322.5"/>
  </r>
  <r>
    <x v="6"/>
    <x v="43"/>
    <x v="10"/>
    <m/>
    <n v="0.88932"/>
    <n v="0.92157"/>
    <n v="0.90544500000000006"/>
    <n v="322.5"/>
  </r>
  <r>
    <x v="6"/>
    <x v="43"/>
    <x v="10"/>
    <m/>
    <n v="0.88932"/>
    <n v="0.92157"/>
    <n v="0.90544500000000006"/>
    <n v="322.5"/>
  </r>
  <r>
    <x v="6"/>
    <x v="43"/>
    <x v="10"/>
    <m/>
    <n v="0.88932"/>
    <n v="0.92157"/>
    <n v="0.90544500000000006"/>
    <n v="322.5"/>
  </r>
  <r>
    <x v="6"/>
    <x v="43"/>
    <x v="10"/>
    <m/>
    <n v="0.88932"/>
    <n v="0.92157"/>
    <n v="0.90544500000000006"/>
    <n v="322.5"/>
  </r>
  <r>
    <x v="6"/>
    <x v="43"/>
    <x v="10"/>
    <m/>
    <n v="0.88932"/>
    <n v="0.92157"/>
    <n v="0.90544500000000006"/>
    <n v="322.5"/>
  </r>
  <r>
    <x v="6"/>
    <x v="43"/>
    <x v="10"/>
    <m/>
    <n v="0.88932"/>
    <n v="0.92157"/>
    <n v="0.90544500000000006"/>
    <n v="322.5"/>
  </r>
  <r>
    <x v="6"/>
    <x v="43"/>
    <x v="10"/>
    <m/>
    <n v="0.88932"/>
    <n v="0.92157"/>
    <n v="0.90544500000000006"/>
    <n v="322.5"/>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3"/>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10"/>
    <m/>
    <n v="0.88763999999999998"/>
    <n v="0.92157"/>
    <n v="0.90460499999999999"/>
    <n v="339.3"/>
  </r>
  <r>
    <x v="6"/>
    <x v="44"/>
    <x v="10"/>
    <m/>
    <n v="0.88763999999999998"/>
    <n v="0.92157"/>
    <n v="0.90460499999999999"/>
    <n v="339.3"/>
  </r>
  <r>
    <x v="6"/>
    <x v="44"/>
    <x v="10"/>
    <m/>
    <n v="0.88763999999999998"/>
    <n v="0.92157"/>
    <n v="0.90460499999999999"/>
    <n v="339.3"/>
  </r>
  <r>
    <x v="6"/>
    <x v="44"/>
    <x v="10"/>
    <m/>
    <n v="0.88763999999999998"/>
    <n v="0.92157"/>
    <n v="0.90460499999999999"/>
    <n v="339.3"/>
  </r>
  <r>
    <x v="6"/>
    <x v="44"/>
    <x v="10"/>
    <m/>
    <n v="0.88763999999999998"/>
    <n v="0.92157"/>
    <n v="0.90460499999999999"/>
    <n v="339.3"/>
  </r>
  <r>
    <x v="6"/>
    <x v="44"/>
    <x v="10"/>
    <m/>
    <n v="0.88763999999999998"/>
    <n v="0.92157"/>
    <n v="0.90460499999999999"/>
    <n v="339.3"/>
  </r>
  <r>
    <x v="6"/>
    <x v="44"/>
    <x v="10"/>
    <m/>
    <n v="0.88763999999999998"/>
    <n v="0.92157"/>
    <n v="0.90460499999999999"/>
    <n v="339.3"/>
  </r>
  <r>
    <x v="6"/>
    <x v="44"/>
    <x v="10"/>
    <m/>
    <n v="0.88763999999999998"/>
    <n v="0.92157"/>
    <n v="0.90460499999999999"/>
    <n v="339.3"/>
  </r>
  <r>
    <x v="6"/>
    <x v="44"/>
    <x v="10"/>
    <m/>
    <n v="0.88763999999999998"/>
    <n v="0.92157"/>
    <n v="0.90460499999999999"/>
    <n v="339.3"/>
  </r>
  <r>
    <x v="6"/>
    <x v="44"/>
    <x v="10"/>
    <m/>
    <n v="0.88763999999999998"/>
    <n v="0.92157"/>
    <n v="0.90460499999999999"/>
    <n v="339.3"/>
  </r>
  <r>
    <x v="6"/>
    <x v="44"/>
    <x v="10"/>
    <m/>
    <n v="0.88763999999999998"/>
    <n v="0.92157"/>
    <n v="0.90460499999999999"/>
    <n v="339.3"/>
  </r>
  <r>
    <x v="6"/>
    <x v="44"/>
    <x v="10"/>
    <m/>
    <n v="0.88763999999999998"/>
    <n v="0.92157"/>
    <n v="0.90460499999999999"/>
    <n v="339.3"/>
  </r>
  <r>
    <x v="6"/>
    <x v="44"/>
    <x v="10"/>
    <m/>
    <n v="0.88763999999999998"/>
    <n v="0.92157"/>
    <n v="0.90460499999999999"/>
    <n v="339.3"/>
  </r>
  <r>
    <x v="6"/>
    <x v="44"/>
    <x v="10"/>
    <m/>
    <n v="0.88763999999999998"/>
    <n v="0.92157"/>
    <n v="0.90460499999999999"/>
    <n v="339.3"/>
  </r>
  <r>
    <x v="6"/>
    <x v="44"/>
    <x v="10"/>
    <m/>
    <n v="0.88763999999999998"/>
    <n v="0.92157"/>
    <n v="0.90460499999999999"/>
    <n v="339.3"/>
  </r>
  <r>
    <x v="6"/>
    <x v="44"/>
    <x v="10"/>
    <m/>
    <n v="0.88763999999999998"/>
    <n v="0.92157"/>
    <n v="0.90460499999999999"/>
    <n v="339.3"/>
  </r>
  <r>
    <x v="6"/>
    <x v="44"/>
    <x v="10"/>
    <m/>
    <n v="0.88763999999999998"/>
    <n v="0.92157"/>
    <n v="0.90460499999999999"/>
    <n v="339.3"/>
  </r>
  <r>
    <x v="6"/>
    <x v="44"/>
    <x v="10"/>
    <m/>
    <n v="0.88763999999999998"/>
    <n v="0.92157"/>
    <n v="0.90460499999999999"/>
    <n v="339.3"/>
  </r>
  <r>
    <x v="6"/>
    <x v="44"/>
    <x v="10"/>
    <m/>
    <n v="0.88763999999999998"/>
    <n v="0.92157"/>
    <n v="0.90460499999999999"/>
    <n v="339.3"/>
  </r>
  <r>
    <x v="6"/>
    <x v="44"/>
    <x v="10"/>
    <m/>
    <n v="0.88763999999999998"/>
    <n v="0.92157"/>
    <n v="0.90460499999999999"/>
    <n v="339.3"/>
  </r>
  <r>
    <x v="6"/>
    <x v="44"/>
    <x v="10"/>
    <m/>
    <n v="0.88763999999999998"/>
    <n v="0.92157"/>
    <n v="0.90460499999999999"/>
    <n v="339.3"/>
  </r>
  <r>
    <x v="6"/>
    <x v="44"/>
    <x v="10"/>
    <m/>
    <n v="0.88763999999999998"/>
    <n v="0.92157"/>
    <n v="0.90460499999999999"/>
    <n v="339.3"/>
  </r>
  <r>
    <x v="6"/>
    <x v="44"/>
    <x v="10"/>
    <m/>
    <n v="0.88763999999999998"/>
    <n v="0.92157"/>
    <n v="0.90460499999999999"/>
    <n v="339.3"/>
  </r>
  <r>
    <x v="6"/>
    <x v="44"/>
    <x v="10"/>
    <m/>
    <n v="0.88763999999999998"/>
    <n v="0.92157"/>
    <n v="0.90460499999999999"/>
    <n v="339.3"/>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4"/>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10"/>
    <m/>
    <n v="0.87966999999999995"/>
    <n v="0.92157"/>
    <n v="0.90061999999999998"/>
    <n v="419"/>
  </r>
  <r>
    <x v="6"/>
    <x v="45"/>
    <x v="10"/>
    <m/>
    <n v="0.87966999999999995"/>
    <n v="0.92157"/>
    <n v="0.90061999999999998"/>
    <n v="419"/>
  </r>
  <r>
    <x v="6"/>
    <x v="45"/>
    <x v="10"/>
    <m/>
    <n v="0.87966999999999995"/>
    <n v="0.92157"/>
    <n v="0.90061999999999998"/>
    <n v="419"/>
  </r>
  <r>
    <x v="6"/>
    <x v="45"/>
    <x v="10"/>
    <m/>
    <n v="0.87966999999999995"/>
    <n v="0.92157"/>
    <n v="0.90061999999999998"/>
    <n v="419"/>
  </r>
  <r>
    <x v="6"/>
    <x v="45"/>
    <x v="10"/>
    <m/>
    <n v="0.87966999999999995"/>
    <n v="0.92157"/>
    <n v="0.90061999999999998"/>
    <n v="419"/>
  </r>
  <r>
    <x v="6"/>
    <x v="45"/>
    <x v="10"/>
    <m/>
    <n v="0.87966999999999995"/>
    <n v="0.92157"/>
    <n v="0.90061999999999998"/>
    <n v="419"/>
  </r>
  <r>
    <x v="6"/>
    <x v="45"/>
    <x v="10"/>
    <m/>
    <n v="0.87966999999999995"/>
    <n v="0.92157"/>
    <n v="0.90061999999999998"/>
    <n v="419"/>
  </r>
  <r>
    <x v="6"/>
    <x v="45"/>
    <x v="10"/>
    <m/>
    <n v="0.87966999999999995"/>
    <n v="0.92157"/>
    <n v="0.90061999999999998"/>
    <n v="419"/>
  </r>
  <r>
    <x v="6"/>
    <x v="45"/>
    <x v="10"/>
    <m/>
    <n v="0.87966999999999995"/>
    <n v="0.92157"/>
    <n v="0.90061999999999998"/>
    <n v="419"/>
  </r>
  <r>
    <x v="6"/>
    <x v="45"/>
    <x v="10"/>
    <m/>
    <n v="0.87966999999999995"/>
    <n v="0.92157"/>
    <n v="0.90061999999999998"/>
    <n v="419"/>
  </r>
  <r>
    <x v="6"/>
    <x v="45"/>
    <x v="10"/>
    <m/>
    <n v="0.87966999999999995"/>
    <n v="0.92157"/>
    <n v="0.90061999999999998"/>
    <n v="419"/>
  </r>
  <r>
    <x v="6"/>
    <x v="45"/>
    <x v="10"/>
    <m/>
    <n v="0.87966999999999995"/>
    <n v="0.92157"/>
    <n v="0.90061999999999998"/>
    <n v="419"/>
  </r>
  <r>
    <x v="6"/>
    <x v="45"/>
    <x v="10"/>
    <m/>
    <n v="0.87966999999999995"/>
    <n v="0.92157"/>
    <n v="0.90061999999999998"/>
    <n v="419"/>
  </r>
  <r>
    <x v="6"/>
    <x v="45"/>
    <x v="10"/>
    <m/>
    <n v="0.87966999999999995"/>
    <n v="0.92157"/>
    <n v="0.90061999999999998"/>
    <n v="419"/>
  </r>
  <r>
    <x v="6"/>
    <x v="45"/>
    <x v="10"/>
    <m/>
    <n v="0.87966999999999995"/>
    <n v="0.92157"/>
    <n v="0.90061999999999998"/>
    <n v="419"/>
  </r>
  <r>
    <x v="6"/>
    <x v="45"/>
    <x v="10"/>
    <m/>
    <n v="0.87966999999999995"/>
    <n v="0.92157"/>
    <n v="0.90061999999999998"/>
    <n v="419"/>
  </r>
  <r>
    <x v="6"/>
    <x v="45"/>
    <x v="10"/>
    <m/>
    <n v="0.87966999999999995"/>
    <n v="0.92157"/>
    <n v="0.90061999999999998"/>
    <n v="419"/>
  </r>
  <r>
    <x v="6"/>
    <x v="45"/>
    <x v="10"/>
    <m/>
    <n v="0.87966999999999995"/>
    <n v="0.92157"/>
    <n v="0.90061999999999998"/>
    <n v="419"/>
  </r>
  <r>
    <x v="6"/>
    <x v="45"/>
    <x v="10"/>
    <m/>
    <n v="0.87966999999999995"/>
    <n v="0.92157"/>
    <n v="0.90061999999999998"/>
    <n v="419"/>
  </r>
  <r>
    <x v="6"/>
    <x v="45"/>
    <x v="10"/>
    <m/>
    <n v="0.87966999999999995"/>
    <n v="0.92157"/>
    <n v="0.90061999999999998"/>
    <n v="419"/>
  </r>
  <r>
    <x v="6"/>
    <x v="45"/>
    <x v="10"/>
    <m/>
    <n v="0.87966999999999995"/>
    <n v="0.92157"/>
    <n v="0.90061999999999998"/>
    <n v="419"/>
  </r>
  <r>
    <x v="6"/>
    <x v="45"/>
    <x v="10"/>
    <m/>
    <n v="0.87966999999999995"/>
    <n v="0.92157"/>
    <n v="0.90061999999999998"/>
    <n v="419"/>
  </r>
  <r>
    <x v="6"/>
    <x v="45"/>
    <x v="10"/>
    <m/>
    <n v="0.87966999999999995"/>
    <n v="0.92157"/>
    <n v="0.90061999999999998"/>
    <n v="419"/>
  </r>
  <r>
    <x v="6"/>
    <x v="45"/>
    <x v="10"/>
    <m/>
    <n v="0.87966999999999995"/>
    <n v="0.92157"/>
    <n v="0.90061999999999998"/>
    <n v="419"/>
  </r>
  <r>
    <x v="6"/>
    <x v="45"/>
    <x v="10"/>
    <m/>
    <n v="0.87966999999999995"/>
    <n v="0.92157"/>
    <n v="0.90061999999999998"/>
    <n v="419"/>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5"/>
    <x v="0"/>
    <m/>
    <n v="1.9001600000000001"/>
    <n v="2.0350999999999999"/>
    <n v="1.96763"/>
    <n v="1349.4"/>
  </r>
  <r>
    <x v="6"/>
    <x v="46"/>
    <x v="10"/>
    <m/>
    <n v="0.87738000000000005"/>
    <n v="0.92157"/>
    <n v="0.89947500000000002"/>
    <n v="441.9"/>
  </r>
  <r>
    <x v="6"/>
    <x v="46"/>
    <x v="10"/>
    <m/>
    <n v="0.87738000000000005"/>
    <n v="0.92157"/>
    <n v="0.89947500000000002"/>
    <n v="441.9"/>
  </r>
  <r>
    <x v="6"/>
    <x v="46"/>
    <x v="10"/>
    <m/>
    <n v="0.87738000000000005"/>
    <n v="0.92157"/>
    <n v="0.89947500000000002"/>
    <n v="441.9"/>
  </r>
  <r>
    <x v="6"/>
    <x v="46"/>
    <x v="10"/>
    <m/>
    <n v="0.87738000000000005"/>
    <n v="0.92157"/>
    <n v="0.89947500000000002"/>
    <n v="441.9"/>
  </r>
  <r>
    <x v="6"/>
    <x v="46"/>
    <x v="10"/>
    <m/>
    <n v="0.87738000000000005"/>
    <n v="0.92157"/>
    <n v="0.89947500000000002"/>
    <n v="441.9"/>
  </r>
  <r>
    <x v="6"/>
    <x v="46"/>
    <x v="10"/>
    <m/>
    <n v="0.87738000000000005"/>
    <n v="0.92157"/>
    <n v="0.89947500000000002"/>
    <n v="441.9"/>
  </r>
  <r>
    <x v="6"/>
    <x v="46"/>
    <x v="10"/>
    <m/>
    <n v="0.87738000000000005"/>
    <n v="0.92157"/>
    <n v="0.89947500000000002"/>
    <n v="441.9"/>
  </r>
  <r>
    <x v="6"/>
    <x v="46"/>
    <x v="10"/>
    <m/>
    <n v="0.87738000000000005"/>
    <n v="0.92157"/>
    <n v="0.89947500000000002"/>
    <n v="441.9"/>
  </r>
  <r>
    <x v="6"/>
    <x v="46"/>
    <x v="10"/>
    <m/>
    <n v="0.87738000000000005"/>
    <n v="0.92157"/>
    <n v="0.89947500000000002"/>
    <n v="441.9"/>
  </r>
  <r>
    <x v="6"/>
    <x v="46"/>
    <x v="10"/>
    <m/>
    <n v="0.87738000000000005"/>
    <n v="0.92157"/>
    <n v="0.89947500000000002"/>
    <n v="441.9"/>
  </r>
  <r>
    <x v="6"/>
    <x v="46"/>
    <x v="10"/>
    <m/>
    <n v="0.87738000000000005"/>
    <n v="0.92157"/>
    <n v="0.89947500000000002"/>
    <n v="441.9"/>
  </r>
  <r>
    <x v="6"/>
    <x v="46"/>
    <x v="10"/>
    <m/>
    <n v="0.87738000000000005"/>
    <n v="0.92157"/>
    <n v="0.89947500000000002"/>
    <n v="441.9"/>
  </r>
  <r>
    <x v="6"/>
    <x v="46"/>
    <x v="10"/>
    <m/>
    <n v="0.87738000000000005"/>
    <n v="0.92157"/>
    <n v="0.89947500000000002"/>
    <n v="441.9"/>
  </r>
  <r>
    <x v="6"/>
    <x v="46"/>
    <x v="10"/>
    <m/>
    <n v="0.87738000000000005"/>
    <n v="0.92157"/>
    <n v="0.89947500000000002"/>
    <n v="441.9"/>
  </r>
  <r>
    <x v="6"/>
    <x v="46"/>
    <x v="10"/>
    <m/>
    <n v="0.87738000000000005"/>
    <n v="0.92157"/>
    <n v="0.89947500000000002"/>
    <n v="441.9"/>
  </r>
  <r>
    <x v="6"/>
    <x v="46"/>
    <x v="10"/>
    <m/>
    <n v="0.87738000000000005"/>
    <n v="0.92157"/>
    <n v="0.89947500000000002"/>
    <n v="441.9"/>
  </r>
  <r>
    <x v="6"/>
    <x v="46"/>
    <x v="10"/>
    <m/>
    <n v="0.87738000000000005"/>
    <n v="0.92157"/>
    <n v="0.89947500000000002"/>
    <n v="441.9"/>
  </r>
  <r>
    <x v="6"/>
    <x v="46"/>
    <x v="10"/>
    <m/>
    <n v="0.87738000000000005"/>
    <n v="0.92157"/>
    <n v="0.89947500000000002"/>
    <n v="441.9"/>
  </r>
  <r>
    <x v="6"/>
    <x v="46"/>
    <x v="10"/>
    <m/>
    <n v="0.87738000000000005"/>
    <n v="0.92157"/>
    <n v="0.89947500000000002"/>
    <n v="441.9"/>
  </r>
  <r>
    <x v="6"/>
    <x v="46"/>
    <x v="10"/>
    <m/>
    <n v="0.87738000000000005"/>
    <n v="0.92157"/>
    <n v="0.89947500000000002"/>
    <n v="441.9"/>
  </r>
  <r>
    <x v="6"/>
    <x v="46"/>
    <x v="10"/>
    <m/>
    <n v="0.87738000000000005"/>
    <n v="0.92157"/>
    <n v="0.89947500000000002"/>
    <n v="441.9"/>
  </r>
  <r>
    <x v="6"/>
    <x v="46"/>
    <x v="10"/>
    <m/>
    <n v="0.87738000000000005"/>
    <n v="0.92157"/>
    <n v="0.89947500000000002"/>
    <n v="441.9"/>
  </r>
  <r>
    <x v="6"/>
    <x v="46"/>
    <x v="10"/>
    <m/>
    <n v="0.87738000000000005"/>
    <n v="0.92157"/>
    <n v="0.89947500000000002"/>
    <n v="441.9"/>
  </r>
  <r>
    <x v="6"/>
    <x v="46"/>
    <x v="10"/>
    <m/>
    <n v="0.87738000000000005"/>
    <n v="0.92157"/>
    <n v="0.89947500000000002"/>
    <n v="441.9"/>
  </r>
  <r>
    <x v="6"/>
    <x v="46"/>
    <x v="10"/>
    <m/>
    <n v="0.87738000000000005"/>
    <n v="0.92157"/>
    <n v="0.89947500000000002"/>
    <n v="441.9"/>
  </r>
  <r>
    <x v="6"/>
    <x v="46"/>
    <x v="10"/>
    <m/>
    <n v="0.87738000000000005"/>
    <n v="0.92157"/>
    <n v="0.89947500000000002"/>
    <n v="441.9"/>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6"/>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10"/>
    <m/>
    <n v="0.87195999999999996"/>
    <n v="0.92157"/>
    <n v="0.89676500000000003"/>
    <n v="496.1"/>
  </r>
  <r>
    <x v="6"/>
    <x v="47"/>
    <x v="10"/>
    <m/>
    <n v="0.87195999999999996"/>
    <n v="0.92157"/>
    <n v="0.89676500000000003"/>
    <n v="496.1"/>
  </r>
  <r>
    <x v="6"/>
    <x v="47"/>
    <x v="10"/>
    <m/>
    <n v="0.87195999999999996"/>
    <n v="0.92157"/>
    <n v="0.89676500000000003"/>
    <n v="496.1"/>
  </r>
  <r>
    <x v="6"/>
    <x v="47"/>
    <x v="10"/>
    <m/>
    <n v="0.87195999999999996"/>
    <n v="0.92157"/>
    <n v="0.89676500000000003"/>
    <n v="496.1"/>
  </r>
  <r>
    <x v="6"/>
    <x v="47"/>
    <x v="10"/>
    <m/>
    <n v="0.87195999999999996"/>
    <n v="0.92157"/>
    <n v="0.89676500000000003"/>
    <n v="496.1"/>
  </r>
  <r>
    <x v="6"/>
    <x v="47"/>
    <x v="10"/>
    <m/>
    <n v="0.87195999999999996"/>
    <n v="0.92157"/>
    <n v="0.89676500000000003"/>
    <n v="496.1"/>
  </r>
  <r>
    <x v="6"/>
    <x v="47"/>
    <x v="10"/>
    <m/>
    <n v="0.87195999999999996"/>
    <n v="0.92157"/>
    <n v="0.89676500000000003"/>
    <n v="496.1"/>
  </r>
  <r>
    <x v="6"/>
    <x v="47"/>
    <x v="10"/>
    <m/>
    <n v="0.87195999999999996"/>
    <n v="0.92157"/>
    <n v="0.89676500000000003"/>
    <n v="496.1"/>
  </r>
  <r>
    <x v="6"/>
    <x v="47"/>
    <x v="10"/>
    <m/>
    <n v="0.87195999999999996"/>
    <n v="0.92157"/>
    <n v="0.89676500000000003"/>
    <n v="496.1"/>
  </r>
  <r>
    <x v="6"/>
    <x v="47"/>
    <x v="10"/>
    <m/>
    <n v="0.87195999999999996"/>
    <n v="0.92157"/>
    <n v="0.89676500000000003"/>
    <n v="496.1"/>
  </r>
  <r>
    <x v="6"/>
    <x v="47"/>
    <x v="10"/>
    <m/>
    <n v="0.87195999999999996"/>
    <n v="0.92157"/>
    <n v="0.89676500000000003"/>
    <n v="496.1"/>
  </r>
  <r>
    <x v="6"/>
    <x v="47"/>
    <x v="10"/>
    <m/>
    <n v="0.87195999999999996"/>
    <n v="0.92157"/>
    <n v="0.89676500000000003"/>
    <n v="496.1"/>
  </r>
  <r>
    <x v="6"/>
    <x v="47"/>
    <x v="10"/>
    <m/>
    <n v="0.87195999999999996"/>
    <n v="0.92157"/>
    <n v="0.89676500000000003"/>
    <n v="496.1"/>
  </r>
  <r>
    <x v="6"/>
    <x v="47"/>
    <x v="10"/>
    <m/>
    <n v="0.87195999999999996"/>
    <n v="0.92157"/>
    <n v="0.89676500000000003"/>
    <n v="496.1"/>
  </r>
  <r>
    <x v="6"/>
    <x v="47"/>
    <x v="10"/>
    <m/>
    <n v="0.87195999999999996"/>
    <n v="0.92157"/>
    <n v="0.89676500000000003"/>
    <n v="496.1"/>
  </r>
  <r>
    <x v="6"/>
    <x v="47"/>
    <x v="10"/>
    <m/>
    <n v="0.87195999999999996"/>
    <n v="0.92157"/>
    <n v="0.89676500000000003"/>
    <n v="496.1"/>
  </r>
  <r>
    <x v="6"/>
    <x v="47"/>
    <x v="10"/>
    <m/>
    <n v="0.87195999999999996"/>
    <n v="0.92157"/>
    <n v="0.89676500000000003"/>
    <n v="496.1"/>
  </r>
  <r>
    <x v="6"/>
    <x v="47"/>
    <x v="10"/>
    <m/>
    <n v="0.87195999999999996"/>
    <n v="0.92157"/>
    <n v="0.89676500000000003"/>
    <n v="496.1"/>
  </r>
  <r>
    <x v="6"/>
    <x v="47"/>
    <x v="10"/>
    <m/>
    <n v="0.87195999999999996"/>
    <n v="0.92157"/>
    <n v="0.89676500000000003"/>
    <n v="496.1"/>
  </r>
  <r>
    <x v="6"/>
    <x v="47"/>
    <x v="10"/>
    <m/>
    <n v="0.87195999999999996"/>
    <n v="0.92157"/>
    <n v="0.89676500000000003"/>
    <n v="496.1"/>
  </r>
  <r>
    <x v="6"/>
    <x v="47"/>
    <x v="10"/>
    <m/>
    <n v="0.87195999999999996"/>
    <n v="0.92157"/>
    <n v="0.89676500000000003"/>
    <n v="496.1"/>
  </r>
  <r>
    <x v="6"/>
    <x v="47"/>
    <x v="10"/>
    <m/>
    <n v="0.87195999999999996"/>
    <n v="0.92157"/>
    <n v="0.89676500000000003"/>
    <n v="496.1"/>
  </r>
  <r>
    <x v="6"/>
    <x v="47"/>
    <x v="10"/>
    <m/>
    <n v="0.87195999999999996"/>
    <n v="0.92157"/>
    <n v="0.89676500000000003"/>
    <n v="496.1"/>
  </r>
  <r>
    <x v="6"/>
    <x v="47"/>
    <x v="10"/>
    <m/>
    <n v="0.87195999999999996"/>
    <n v="0.92157"/>
    <n v="0.89676500000000003"/>
    <n v="496.1"/>
  </r>
  <r>
    <x v="6"/>
    <x v="47"/>
    <x v="10"/>
    <m/>
    <n v="0.87195999999999996"/>
    <n v="0.92157"/>
    <n v="0.89676500000000003"/>
    <n v="496.1"/>
  </r>
  <r>
    <x v="6"/>
    <x v="47"/>
    <x v="10"/>
    <m/>
    <n v="0.87195999999999996"/>
    <n v="0.92157"/>
    <n v="0.89676500000000003"/>
    <n v="496.1"/>
  </r>
  <r>
    <x v="6"/>
    <x v="47"/>
    <x v="10"/>
    <m/>
    <n v="0.87195999999999996"/>
    <n v="0.92157"/>
    <n v="0.89676500000000003"/>
    <n v="496.1"/>
  </r>
  <r>
    <x v="6"/>
    <x v="47"/>
    <x v="10"/>
    <m/>
    <n v="0.87195999999999996"/>
    <n v="0.92157"/>
    <n v="0.89676500000000003"/>
    <n v="496.1"/>
  </r>
  <r>
    <x v="6"/>
    <x v="47"/>
    <x v="10"/>
    <m/>
    <n v="0.87195999999999996"/>
    <n v="0.92157"/>
    <n v="0.89676500000000003"/>
    <n v="496.1"/>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7"/>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10"/>
    <m/>
    <n v="0.87195999999999996"/>
    <n v="0.92157"/>
    <n v="0.89676500000000003"/>
    <n v="496.1"/>
  </r>
  <r>
    <x v="6"/>
    <x v="48"/>
    <x v="10"/>
    <m/>
    <n v="0.87195999999999996"/>
    <n v="0.92157"/>
    <n v="0.89676500000000003"/>
    <n v="496.1"/>
  </r>
  <r>
    <x v="6"/>
    <x v="48"/>
    <x v="10"/>
    <m/>
    <n v="0.87195999999999996"/>
    <n v="0.92157"/>
    <n v="0.89676500000000003"/>
    <n v="496.1"/>
  </r>
  <r>
    <x v="6"/>
    <x v="48"/>
    <x v="10"/>
    <m/>
    <n v="0.87195999999999996"/>
    <n v="0.92157"/>
    <n v="0.89676500000000003"/>
    <n v="496.1"/>
  </r>
  <r>
    <x v="6"/>
    <x v="48"/>
    <x v="10"/>
    <m/>
    <n v="0.87195999999999996"/>
    <n v="0.92157"/>
    <n v="0.89676500000000003"/>
    <n v="496.1"/>
  </r>
  <r>
    <x v="6"/>
    <x v="48"/>
    <x v="10"/>
    <m/>
    <n v="0.87195999999999996"/>
    <n v="0.92157"/>
    <n v="0.89676500000000003"/>
    <n v="496.1"/>
  </r>
  <r>
    <x v="6"/>
    <x v="48"/>
    <x v="10"/>
    <m/>
    <n v="0.87195999999999996"/>
    <n v="0.92157"/>
    <n v="0.89676500000000003"/>
    <n v="496.1"/>
  </r>
  <r>
    <x v="6"/>
    <x v="48"/>
    <x v="10"/>
    <m/>
    <n v="0.87195999999999996"/>
    <n v="0.92157"/>
    <n v="0.89676500000000003"/>
    <n v="496.1"/>
  </r>
  <r>
    <x v="6"/>
    <x v="48"/>
    <x v="10"/>
    <m/>
    <n v="0.87195999999999996"/>
    <n v="0.92157"/>
    <n v="0.89676500000000003"/>
    <n v="496.1"/>
  </r>
  <r>
    <x v="6"/>
    <x v="48"/>
    <x v="10"/>
    <m/>
    <n v="0.87195999999999996"/>
    <n v="0.92157"/>
    <n v="0.89676500000000003"/>
    <n v="496.1"/>
  </r>
  <r>
    <x v="6"/>
    <x v="48"/>
    <x v="10"/>
    <m/>
    <n v="0.87195999999999996"/>
    <n v="0.92157"/>
    <n v="0.89676500000000003"/>
    <n v="496.1"/>
  </r>
  <r>
    <x v="6"/>
    <x v="48"/>
    <x v="10"/>
    <m/>
    <n v="0.87195999999999996"/>
    <n v="0.92157"/>
    <n v="0.89676500000000003"/>
    <n v="496.1"/>
  </r>
  <r>
    <x v="6"/>
    <x v="48"/>
    <x v="10"/>
    <m/>
    <n v="0.87195999999999996"/>
    <n v="0.92157"/>
    <n v="0.89676500000000003"/>
    <n v="496.1"/>
  </r>
  <r>
    <x v="6"/>
    <x v="48"/>
    <x v="10"/>
    <m/>
    <n v="0.87195999999999996"/>
    <n v="0.92157"/>
    <n v="0.89676500000000003"/>
    <n v="496.1"/>
  </r>
  <r>
    <x v="6"/>
    <x v="48"/>
    <x v="10"/>
    <m/>
    <n v="0.87195999999999996"/>
    <n v="0.92157"/>
    <n v="0.89676500000000003"/>
    <n v="496.1"/>
  </r>
  <r>
    <x v="6"/>
    <x v="48"/>
    <x v="10"/>
    <m/>
    <n v="0.87195999999999996"/>
    <n v="0.92157"/>
    <n v="0.89676500000000003"/>
    <n v="496.1"/>
  </r>
  <r>
    <x v="6"/>
    <x v="48"/>
    <x v="10"/>
    <m/>
    <n v="0.87195999999999996"/>
    <n v="0.92157"/>
    <n v="0.89676500000000003"/>
    <n v="496.1"/>
  </r>
  <r>
    <x v="6"/>
    <x v="48"/>
    <x v="10"/>
    <m/>
    <n v="0.87195999999999996"/>
    <n v="0.92157"/>
    <n v="0.89676500000000003"/>
    <n v="496.1"/>
  </r>
  <r>
    <x v="6"/>
    <x v="48"/>
    <x v="10"/>
    <m/>
    <n v="0.87195999999999996"/>
    <n v="0.92157"/>
    <n v="0.89676500000000003"/>
    <n v="496.1"/>
  </r>
  <r>
    <x v="6"/>
    <x v="48"/>
    <x v="10"/>
    <m/>
    <n v="0.87195999999999996"/>
    <n v="0.92157"/>
    <n v="0.89676500000000003"/>
    <n v="496.1"/>
  </r>
  <r>
    <x v="6"/>
    <x v="48"/>
    <x v="10"/>
    <m/>
    <n v="0.87195999999999996"/>
    <n v="0.92157"/>
    <n v="0.89676500000000003"/>
    <n v="496.1"/>
  </r>
  <r>
    <x v="6"/>
    <x v="48"/>
    <x v="10"/>
    <m/>
    <n v="0.87195999999999996"/>
    <n v="0.92157"/>
    <n v="0.89676500000000003"/>
    <n v="496.1"/>
  </r>
  <r>
    <x v="6"/>
    <x v="48"/>
    <x v="10"/>
    <m/>
    <n v="0.87195999999999996"/>
    <n v="0.92157"/>
    <n v="0.89676500000000003"/>
    <n v="496.1"/>
  </r>
  <r>
    <x v="6"/>
    <x v="48"/>
    <x v="10"/>
    <m/>
    <n v="0.87195999999999996"/>
    <n v="0.92157"/>
    <n v="0.89676500000000003"/>
    <n v="496.1"/>
  </r>
  <r>
    <x v="6"/>
    <x v="48"/>
    <x v="10"/>
    <m/>
    <n v="0.87195999999999996"/>
    <n v="0.92157"/>
    <n v="0.89676500000000003"/>
    <n v="496.1"/>
  </r>
  <r>
    <x v="6"/>
    <x v="48"/>
    <x v="10"/>
    <m/>
    <n v="0.87195999999999996"/>
    <n v="0.92157"/>
    <n v="0.89676500000000003"/>
    <n v="496.1"/>
  </r>
  <r>
    <x v="6"/>
    <x v="48"/>
    <x v="10"/>
    <m/>
    <n v="0.87195999999999996"/>
    <n v="0.92157"/>
    <n v="0.89676500000000003"/>
    <n v="496.1"/>
  </r>
  <r>
    <x v="6"/>
    <x v="48"/>
    <x v="10"/>
    <m/>
    <n v="0.87195999999999996"/>
    <n v="0.92157"/>
    <n v="0.89676500000000003"/>
    <n v="496.1"/>
  </r>
  <r>
    <x v="6"/>
    <x v="48"/>
    <x v="10"/>
    <m/>
    <n v="0.87195999999999996"/>
    <n v="0.92157"/>
    <n v="0.89676500000000003"/>
    <n v="496.1"/>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8"/>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10"/>
    <m/>
    <n v="0.87195999999999996"/>
    <n v="0.92157"/>
    <n v="0.89676500000000003"/>
    <n v="496.1"/>
  </r>
  <r>
    <x v="6"/>
    <x v="49"/>
    <x v="10"/>
    <m/>
    <n v="0.87195999999999996"/>
    <n v="0.92157"/>
    <n v="0.89676500000000003"/>
    <n v="496.1"/>
  </r>
  <r>
    <x v="6"/>
    <x v="49"/>
    <x v="10"/>
    <m/>
    <n v="0.87195999999999996"/>
    <n v="0.92157"/>
    <n v="0.89676500000000003"/>
    <n v="496.1"/>
  </r>
  <r>
    <x v="6"/>
    <x v="49"/>
    <x v="10"/>
    <m/>
    <n v="0.87195999999999996"/>
    <n v="0.92157"/>
    <n v="0.89676500000000003"/>
    <n v="496.1"/>
  </r>
  <r>
    <x v="6"/>
    <x v="49"/>
    <x v="10"/>
    <m/>
    <n v="0.87195999999999996"/>
    <n v="0.92157"/>
    <n v="0.89676500000000003"/>
    <n v="496.1"/>
  </r>
  <r>
    <x v="6"/>
    <x v="49"/>
    <x v="10"/>
    <m/>
    <n v="0.87195999999999996"/>
    <n v="0.92157"/>
    <n v="0.89676500000000003"/>
    <n v="496.1"/>
  </r>
  <r>
    <x v="6"/>
    <x v="49"/>
    <x v="10"/>
    <m/>
    <n v="0.87195999999999996"/>
    <n v="0.92157"/>
    <n v="0.89676500000000003"/>
    <n v="496.1"/>
  </r>
  <r>
    <x v="6"/>
    <x v="49"/>
    <x v="10"/>
    <m/>
    <n v="0.87195999999999996"/>
    <n v="0.92157"/>
    <n v="0.89676500000000003"/>
    <n v="496.1"/>
  </r>
  <r>
    <x v="6"/>
    <x v="49"/>
    <x v="10"/>
    <m/>
    <n v="0.87195999999999996"/>
    <n v="0.92157"/>
    <n v="0.89676500000000003"/>
    <n v="496.1"/>
  </r>
  <r>
    <x v="6"/>
    <x v="49"/>
    <x v="10"/>
    <m/>
    <n v="0.87195999999999996"/>
    <n v="0.92157"/>
    <n v="0.89676500000000003"/>
    <n v="496.1"/>
  </r>
  <r>
    <x v="6"/>
    <x v="49"/>
    <x v="10"/>
    <m/>
    <n v="0.87195999999999996"/>
    <n v="0.92157"/>
    <n v="0.89676500000000003"/>
    <n v="496.1"/>
  </r>
  <r>
    <x v="6"/>
    <x v="49"/>
    <x v="10"/>
    <m/>
    <n v="0.87195999999999996"/>
    <n v="0.92157"/>
    <n v="0.89676500000000003"/>
    <n v="496.1"/>
  </r>
  <r>
    <x v="6"/>
    <x v="49"/>
    <x v="10"/>
    <m/>
    <n v="0.87195999999999996"/>
    <n v="0.92157"/>
    <n v="0.89676500000000003"/>
    <n v="496.1"/>
  </r>
  <r>
    <x v="6"/>
    <x v="49"/>
    <x v="10"/>
    <m/>
    <n v="0.87195999999999996"/>
    <n v="0.92157"/>
    <n v="0.89676500000000003"/>
    <n v="496.1"/>
  </r>
  <r>
    <x v="6"/>
    <x v="49"/>
    <x v="10"/>
    <m/>
    <n v="0.87195999999999996"/>
    <n v="0.92157"/>
    <n v="0.89676500000000003"/>
    <n v="496.1"/>
  </r>
  <r>
    <x v="6"/>
    <x v="49"/>
    <x v="10"/>
    <m/>
    <n v="0.87195999999999996"/>
    <n v="0.92157"/>
    <n v="0.89676500000000003"/>
    <n v="496.1"/>
  </r>
  <r>
    <x v="6"/>
    <x v="49"/>
    <x v="10"/>
    <m/>
    <n v="0.87195999999999996"/>
    <n v="0.92157"/>
    <n v="0.89676500000000003"/>
    <n v="496.1"/>
  </r>
  <r>
    <x v="6"/>
    <x v="49"/>
    <x v="10"/>
    <m/>
    <n v="0.87195999999999996"/>
    <n v="0.92157"/>
    <n v="0.89676500000000003"/>
    <n v="496.1"/>
  </r>
  <r>
    <x v="6"/>
    <x v="49"/>
    <x v="10"/>
    <m/>
    <n v="0.87195999999999996"/>
    <n v="0.92157"/>
    <n v="0.89676500000000003"/>
    <n v="496.1"/>
  </r>
  <r>
    <x v="6"/>
    <x v="49"/>
    <x v="10"/>
    <m/>
    <n v="0.87195999999999996"/>
    <n v="0.92157"/>
    <n v="0.89676500000000003"/>
    <n v="496.1"/>
  </r>
  <r>
    <x v="6"/>
    <x v="49"/>
    <x v="10"/>
    <m/>
    <n v="0.87195999999999996"/>
    <n v="0.92157"/>
    <n v="0.89676500000000003"/>
    <n v="496.1"/>
  </r>
  <r>
    <x v="6"/>
    <x v="49"/>
    <x v="10"/>
    <m/>
    <n v="0.87195999999999996"/>
    <n v="0.92157"/>
    <n v="0.89676500000000003"/>
    <n v="496.1"/>
  </r>
  <r>
    <x v="6"/>
    <x v="49"/>
    <x v="10"/>
    <m/>
    <n v="0.87195999999999996"/>
    <n v="0.92157"/>
    <n v="0.89676500000000003"/>
    <n v="496.1"/>
  </r>
  <r>
    <x v="6"/>
    <x v="49"/>
    <x v="10"/>
    <m/>
    <n v="0.87195999999999996"/>
    <n v="0.92157"/>
    <n v="0.89676500000000003"/>
    <n v="496.1"/>
  </r>
  <r>
    <x v="6"/>
    <x v="49"/>
    <x v="10"/>
    <m/>
    <n v="0.87195999999999996"/>
    <n v="0.92157"/>
    <n v="0.89676500000000003"/>
    <n v="496.1"/>
  </r>
  <r>
    <x v="6"/>
    <x v="49"/>
    <x v="10"/>
    <m/>
    <n v="0.87195999999999996"/>
    <n v="0.92157"/>
    <n v="0.89676500000000003"/>
    <n v="496.1"/>
  </r>
  <r>
    <x v="6"/>
    <x v="49"/>
    <x v="10"/>
    <m/>
    <n v="0.87195999999999996"/>
    <n v="0.92157"/>
    <n v="0.89676500000000003"/>
    <n v="496.1"/>
  </r>
  <r>
    <x v="6"/>
    <x v="49"/>
    <x v="10"/>
    <m/>
    <n v="0.87195999999999996"/>
    <n v="0.92157"/>
    <n v="0.89676500000000003"/>
    <n v="496.1"/>
  </r>
  <r>
    <x v="6"/>
    <x v="49"/>
    <x v="10"/>
    <m/>
    <n v="0.87195999999999996"/>
    <n v="0.92157"/>
    <n v="0.89676500000000003"/>
    <n v="496.1"/>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49"/>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10"/>
    <m/>
    <n v="0.87195999999999996"/>
    <n v="0.92157"/>
    <n v="0.89676500000000003"/>
    <n v="496.1"/>
  </r>
  <r>
    <x v="6"/>
    <x v="50"/>
    <x v="10"/>
    <m/>
    <n v="0.87195999999999996"/>
    <n v="0.92157"/>
    <n v="0.89676500000000003"/>
    <n v="496.1"/>
  </r>
  <r>
    <x v="6"/>
    <x v="50"/>
    <x v="10"/>
    <m/>
    <n v="0.87195999999999996"/>
    <n v="0.92157"/>
    <n v="0.89676500000000003"/>
    <n v="496.1"/>
  </r>
  <r>
    <x v="6"/>
    <x v="50"/>
    <x v="10"/>
    <m/>
    <n v="0.87195999999999996"/>
    <n v="0.92157"/>
    <n v="0.89676500000000003"/>
    <n v="496.1"/>
  </r>
  <r>
    <x v="6"/>
    <x v="50"/>
    <x v="10"/>
    <m/>
    <n v="0.87195999999999996"/>
    <n v="0.92157"/>
    <n v="0.89676500000000003"/>
    <n v="496.1"/>
  </r>
  <r>
    <x v="6"/>
    <x v="50"/>
    <x v="10"/>
    <m/>
    <n v="0.87195999999999996"/>
    <n v="0.92157"/>
    <n v="0.89676500000000003"/>
    <n v="496.1"/>
  </r>
  <r>
    <x v="6"/>
    <x v="50"/>
    <x v="10"/>
    <m/>
    <n v="0.87195999999999996"/>
    <n v="0.92157"/>
    <n v="0.89676500000000003"/>
    <n v="496.1"/>
  </r>
  <r>
    <x v="6"/>
    <x v="50"/>
    <x v="10"/>
    <m/>
    <n v="0.87195999999999996"/>
    <n v="0.92157"/>
    <n v="0.89676500000000003"/>
    <n v="496.1"/>
  </r>
  <r>
    <x v="6"/>
    <x v="50"/>
    <x v="10"/>
    <m/>
    <n v="0.87195999999999996"/>
    <n v="0.92157"/>
    <n v="0.89676500000000003"/>
    <n v="496.1"/>
  </r>
  <r>
    <x v="6"/>
    <x v="50"/>
    <x v="10"/>
    <m/>
    <n v="0.87195999999999996"/>
    <n v="0.92157"/>
    <n v="0.89676500000000003"/>
    <n v="496.1"/>
  </r>
  <r>
    <x v="6"/>
    <x v="50"/>
    <x v="10"/>
    <m/>
    <n v="0.87195999999999996"/>
    <n v="0.92157"/>
    <n v="0.89676500000000003"/>
    <n v="496.1"/>
  </r>
  <r>
    <x v="6"/>
    <x v="50"/>
    <x v="10"/>
    <m/>
    <n v="0.87195999999999996"/>
    <n v="0.92157"/>
    <n v="0.89676500000000003"/>
    <n v="496.1"/>
  </r>
  <r>
    <x v="6"/>
    <x v="50"/>
    <x v="10"/>
    <m/>
    <n v="0.87195999999999996"/>
    <n v="0.92157"/>
    <n v="0.89676500000000003"/>
    <n v="496.1"/>
  </r>
  <r>
    <x v="6"/>
    <x v="50"/>
    <x v="10"/>
    <m/>
    <n v="0.87195999999999996"/>
    <n v="0.92157"/>
    <n v="0.89676500000000003"/>
    <n v="496.1"/>
  </r>
  <r>
    <x v="6"/>
    <x v="50"/>
    <x v="10"/>
    <m/>
    <n v="0.87195999999999996"/>
    <n v="0.92157"/>
    <n v="0.89676500000000003"/>
    <n v="496.1"/>
  </r>
  <r>
    <x v="6"/>
    <x v="50"/>
    <x v="10"/>
    <m/>
    <n v="0.87195999999999996"/>
    <n v="0.92157"/>
    <n v="0.89676500000000003"/>
    <n v="496.1"/>
  </r>
  <r>
    <x v="6"/>
    <x v="50"/>
    <x v="10"/>
    <m/>
    <n v="0.87195999999999996"/>
    <n v="0.92157"/>
    <n v="0.89676500000000003"/>
    <n v="496.1"/>
  </r>
  <r>
    <x v="6"/>
    <x v="50"/>
    <x v="10"/>
    <m/>
    <n v="0.87195999999999996"/>
    <n v="0.92157"/>
    <n v="0.89676500000000003"/>
    <n v="496.1"/>
  </r>
  <r>
    <x v="6"/>
    <x v="50"/>
    <x v="10"/>
    <m/>
    <n v="0.87195999999999996"/>
    <n v="0.92157"/>
    <n v="0.89676500000000003"/>
    <n v="496.1"/>
  </r>
  <r>
    <x v="6"/>
    <x v="50"/>
    <x v="10"/>
    <m/>
    <n v="0.87195999999999996"/>
    <n v="0.92157"/>
    <n v="0.89676500000000003"/>
    <n v="496.1"/>
  </r>
  <r>
    <x v="6"/>
    <x v="50"/>
    <x v="10"/>
    <m/>
    <n v="0.87195999999999996"/>
    <n v="0.92157"/>
    <n v="0.89676500000000003"/>
    <n v="496.1"/>
  </r>
  <r>
    <x v="6"/>
    <x v="50"/>
    <x v="10"/>
    <m/>
    <n v="0.87195999999999996"/>
    <n v="0.92157"/>
    <n v="0.89676500000000003"/>
    <n v="496.1"/>
  </r>
  <r>
    <x v="6"/>
    <x v="50"/>
    <x v="10"/>
    <m/>
    <n v="0.87195999999999996"/>
    <n v="0.92157"/>
    <n v="0.89676500000000003"/>
    <n v="496.1"/>
  </r>
  <r>
    <x v="6"/>
    <x v="50"/>
    <x v="10"/>
    <m/>
    <n v="0.87195999999999996"/>
    <n v="0.92157"/>
    <n v="0.89676500000000003"/>
    <n v="496.1"/>
  </r>
  <r>
    <x v="6"/>
    <x v="50"/>
    <x v="10"/>
    <m/>
    <n v="0.87195999999999996"/>
    <n v="0.92157"/>
    <n v="0.89676500000000003"/>
    <n v="496.1"/>
  </r>
  <r>
    <x v="6"/>
    <x v="50"/>
    <x v="10"/>
    <m/>
    <n v="0.87195999999999996"/>
    <n v="0.92157"/>
    <n v="0.89676500000000003"/>
    <n v="496.1"/>
  </r>
  <r>
    <x v="6"/>
    <x v="50"/>
    <x v="10"/>
    <m/>
    <n v="0.87195999999999996"/>
    <n v="0.92157"/>
    <n v="0.89676500000000003"/>
    <n v="496.1"/>
  </r>
  <r>
    <x v="6"/>
    <x v="50"/>
    <x v="10"/>
    <m/>
    <n v="0.87195999999999996"/>
    <n v="0.92157"/>
    <n v="0.89676500000000003"/>
    <n v="496.1"/>
  </r>
  <r>
    <x v="6"/>
    <x v="50"/>
    <x v="10"/>
    <m/>
    <n v="0.87195999999999996"/>
    <n v="0.92157"/>
    <n v="0.89676500000000003"/>
    <n v="496.1"/>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0"/>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10"/>
    <m/>
    <n v="0.87195999999999996"/>
    <n v="0.92157"/>
    <n v="0.89676500000000003"/>
    <n v="496.1"/>
  </r>
  <r>
    <x v="6"/>
    <x v="51"/>
    <x v="10"/>
    <m/>
    <n v="0.87195999999999996"/>
    <n v="0.92157"/>
    <n v="0.89676500000000003"/>
    <n v="496.1"/>
  </r>
  <r>
    <x v="6"/>
    <x v="51"/>
    <x v="10"/>
    <m/>
    <n v="0.87195999999999996"/>
    <n v="0.92157"/>
    <n v="0.89676500000000003"/>
    <n v="496.1"/>
  </r>
  <r>
    <x v="6"/>
    <x v="51"/>
    <x v="10"/>
    <m/>
    <n v="0.87195999999999996"/>
    <n v="0.92157"/>
    <n v="0.89676500000000003"/>
    <n v="496.1"/>
  </r>
  <r>
    <x v="6"/>
    <x v="51"/>
    <x v="10"/>
    <m/>
    <n v="0.87195999999999996"/>
    <n v="0.92157"/>
    <n v="0.89676500000000003"/>
    <n v="496.1"/>
  </r>
  <r>
    <x v="6"/>
    <x v="51"/>
    <x v="10"/>
    <m/>
    <n v="0.87195999999999996"/>
    <n v="0.92157"/>
    <n v="0.89676500000000003"/>
    <n v="496.1"/>
  </r>
  <r>
    <x v="6"/>
    <x v="51"/>
    <x v="10"/>
    <m/>
    <n v="0.87195999999999996"/>
    <n v="0.92157"/>
    <n v="0.89676500000000003"/>
    <n v="496.1"/>
  </r>
  <r>
    <x v="6"/>
    <x v="51"/>
    <x v="10"/>
    <m/>
    <n v="0.87195999999999996"/>
    <n v="0.92157"/>
    <n v="0.89676500000000003"/>
    <n v="496.1"/>
  </r>
  <r>
    <x v="6"/>
    <x v="51"/>
    <x v="10"/>
    <m/>
    <n v="0.87195999999999996"/>
    <n v="0.92157"/>
    <n v="0.89676500000000003"/>
    <n v="496.1"/>
  </r>
  <r>
    <x v="6"/>
    <x v="51"/>
    <x v="10"/>
    <m/>
    <n v="0.87195999999999996"/>
    <n v="0.92157"/>
    <n v="0.89676500000000003"/>
    <n v="496.1"/>
  </r>
  <r>
    <x v="6"/>
    <x v="51"/>
    <x v="10"/>
    <m/>
    <n v="0.87195999999999996"/>
    <n v="0.92157"/>
    <n v="0.89676500000000003"/>
    <n v="496.1"/>
  </r>
  <r>
    <x v="6"/>
    <x v="51"/>
    <x v="10"/>
    <m/>
    <n v="0.87195999999999996"/>
    <n v="0.92157"/>
    <n v="0.89676500000000003"/>
    <n v="496.1"/>
  </r>
  <r>
    <x v="6"/>
    <x v="51"/>
    <x v="10"/>
    <m/>
    <n v="0.87195999999999996"/>
    <n v="0.92157"/>
    <n v="0.89676500000000003"/>
    <n v="496.1"/>
  </r>
  <r>
    <x v="6"/>
    <x v="51"/>
    <x v="10"/>
    <m/>
    <n v="0.87195999999999996"/>
    <n v="0.92157"/>
    <n v="0.89676500000000003"/>
    <n v="496.1"/>
  </r>
  <r>
    <x v="6"/>
    <x v="51"/>
    <x v="10"/>
    <m/>
    <n v="0.87195999999999996"/>
    <n v="0.92157"/>
    <n v="0.89676500000000003"/>
    <n v="496.1"/>
  </r>
  <r>
    <x v="6"/>
    <x v="51"/>
    <x v="10"/>
    <m/>
    <n v="0.87195999999999996"/>
    <n v="0.92157"/>
    <n v="0.89676500000000003"/>
    <n v="496.1"/>
  </r>
  <r>
    <x v="6"/>
    <x v="51"/>
    <x v="10"/>
    <m/>
    <n v="0.87195999999999996"/>
    <n v="0.92157"/>
    <n v="0.89676500000000003"/>
    <n v="496.1"/>
  </r>
  <r>
    <x v="6"/>
    <x v="51"/>
    <x v="10"/>
    <m/>
    <n v="0.87195999999999996"/>
    <n v="0.92157"/>
    <n v="0.89676500000000003"/>
    <n v="496.1"/>
  </r>
  <r>
    <x v="6"/>
    <x v="51"/>
    <x v="10"/>
    <m/>
    <n v="0.87195999999999996"/>
    <n v="0.92157"/>
    <n v="0.89676500000000003"/>
    <n v="496.1"/>
  </r>
  <r>
    <x v="6"/>
    <x v="51"/>
    <x v="10"/>
    <m/>
    <n v="0.87195999999999996"/>
    <n v="0.92157"/>
    <n v="0.89676500000000003"/>
    <n v="496.1"/>
  </r>
  <r>
    <x v="6"/>
    <x v="51"/>
    <x v="10"/>
    <m/>
    <n v="0.87195999999999996"/>
    <n v="0.92157"/>
    <n v="0.89676500000000003"/>
    <n v="496.1"/>
  </r>
  <r>
    <x v="6"/>
    <x v="51"/>
    <x v="10"/>
    <m/>
    <n v="0.87195999999999996"/>
    <n v="0.92157"/>
    <n v="0.89676500000000003"/>
    <n v="496.1"/>
  </r>
  <r>
    <x v="6"/>
    <x v="51"/>
    <x v="10"/>
    <m/>
    <n v="0.87195999999999996"/>
    <n v="0.92157"/>
    <n v="0.89676500000000003"/>
    <n v="496.1"/>
  </r>
  <r>
    <x v="6"/>
    <x v="51"/>
    <x v="10"/>
    <m/>
    <n v="0.87195999999999996"/>
    <n v="0.92157"/>
    <n v="0.89676500000000003"/>
    <n v="496.1"/>
  </r>
  <r>
    <x v="6"/>
    <x v="51"/>
    <x v="10"/>
    <m/>
    <n v="0.87195999999999996"/>
    <n v="0.92157"/>
    <n v="0.89676500000000003"/>
    <n v="496.1"/>
  </r>
  <r>
    <x v="6"/>
    <x v="51"/>
    <x v="10"/>
    <m/>
    <n v="0.87195999999999996"/>
    <n v="0.92157"/>
    <n v="0.89676500000000003"/>
    <n v="496.1"/>
  </r>
  <r>
    <x v="6"/>
    <x v="51"/>
    <x v="10"/>
    <m/>
    <n v="0.87195999999999996"/>
    <n v="0.92157"/>
    <n v="0.89676500000000003"/>
    <n v="496.1"/>
  </r>
  <r>
    <x v="6"/>
    <x v="51"/>
    <x v="10"/>
    <m/>
    <n v="0.87195999999999996"/>
    <n v="0.92157"/>
    <n v="0.89676500000000003"/>
    <n v="496.1"/>
  </r>
  <r>
    <x v="6"/>
    <x v="51"/>
    <x v="10"/>
    <m/>
    <n v="0.87195999999999996"/>
    <n v="0.92157"/>
    <n v="0.89676500000000003"/>
    <n v="496.1"/>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1"/>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10"/>
    <m/>
    <n v="0.87195999999999996"/>
    <n v="0.92157"/>
    <n v="0.89676500000000003"/>
    <n v="496.1"/>
  </r>
  <r>
    <x v="6"/>
    <x v="52"/>
    <x v="10"/>
    <m/>
    <n v="0.87195999999999996"/>
    <n v="0.92157"/>
    <n v="0.89676500000000003"/>
    <n v="496.1"/>
  </r>
  <r>
    <x v="6"/>
    <x v="52"/>
    <x v="10"/>
    <m/>
    <n v="0.87195999999999996"/>
    <n v="0.92157"/>
    <n v="0.89676500000000003"/>
    <n v="496.1"/>
  </r>
  <r>
    <x v="6"/>
    <x v="52"/>
    <x v="10"/>
    <m/>
    <n v="0.87195999999999996"/>
    <n v="0.92157"/>
    <n v="0.89676500000000003"/>
    <n v="496.1"/>
  </r>
  <r>
    <x v="6"/>
    <x v="52"/>
    <x v="10"/>
    <m/>
    <n v="0.87195999999999996"/>
    <n v="0.92157"/>
    <n v="0.89676500000000003"/>
    <n v="496.1"/>
  </r>
  <r>
    <x v="6"/>
    <x v="52"/>
    <x v="10"/>
    <m/>
    <n v="0.87195999999999996"/>
    <n v="0.92157"/>
    <n v="0.89676500000000003"/>
    <n v="496.1"/>
  </r>
  <r>
    <x v="6"/>
    <x v="52"/>
    <x v="10"/>
    <m/>
    <n v="0.87195999999999996"/>
    <n v="0.92157"/>
    <n v="0.89676500000000003"/>
    <n v="496.1"/>
  </r>
  <r>
    <x v="6"/>
    <x v="52"/>
    <x v="10"/>
    <m/>
    <n v="0.87195999999999996"/>
    <n v="0.92157"/>
    <n v="0.89676500000000003"/>
    <n v="496.1"/>
  </r>
  <r>
    <x v="6"/>
    <x v="52"/>
    <x v="10"/>
    <m/>
    <n v="0.87195999999999996"/>
    <n v="0.92157"/>
    <n v="0.89676500000000003"/>
    <n v="496.1"/>
  </r>
  <r>
    <x v="6"/>
    <x v="52"/>
    <x v="10"/>
    <m/>
    <n v="0.87195999999999996"/>
    <n v="0.92157"/>
    <n v="0.89676500000000003"/>
    <n v="496.1"/>
  </r>
  <r>
    <x v="6"/>
    <x v="52"/>
    <x v="10"/>
    <m/>
    <n v="0.87195999999999996"/>
    <n v="0.92157"/>
    <n v="0.89676500000000003"/>
    <n v="496.1"/>
  </r>
  <r>
    <x v="6"/>
    <x v="52"/>
    <x v="10"/>
    <m/>
    <n v="0.87195999999999996"/>
    <n v="0.92157"/>
    <n v="0.89676500000000003"/>
    <n v="496.1"/>
  </r>
  <r>
    <x v="6"/>
    <x v="52"/>
    <x v="10"/>
    <m/>
    <n v="0.87195999999999996"/>
    <n v="0.92157"/>
    <n v="0.89676500000000003"/>
    <n v="496.1"/>
  </r>
  <r>
    <x v="6"/>
    <x v="52"/>
    <x v="10"/>
    <m/>
    <n v="0.87195999999999996"/>
    <n v="0.92157"/>
    <n v="0.89676500000000003"/>
    <n v="496.1"/>
  </r>
  <r>
    <x v="6"/>
    <x v="52"/>
    <x v="10"/>
    <m/>
    <n v="0.87195999999999996"/>
    <n v="0.92157"/>
    <n v="0.89676500000000003"/>
    <n v="496.1"/>
  </r>
  <r>
    <x v="6"/>
    <x v="52"/>
    <x v="10"/>
    <m/>
    <n v="0.87195999999999996"/>
    <n v="0.92157"/>
    <n v="0.89676500000000003"/>
    <n v="496.1"/>
  </r>
  <r>
    <x v="6"/>
    <x v="52"/>
    <x v="10"/>
    <m/>
    <n v="0.87195999999999996"/>
    <n v="0.92157"/>
    <n v="0.89676500000000003"/>
    <n v="496.1"/>
  </r>
  <r>
    <x v="6"/>
    <x v="52"/>
    <x v="10"/>
    <m/>
    <n v="0.87195999999999996"/>
    <n v="0.92157"/>
    <n v="0.89676500000000003"/>
    <n v="496.1"/>
  </r>
  <r>
    <x v="6"/>
    <x v="52"/>
    <x v="10"/>
    <m/>
    <n v="0.87195999999999996"/>
    <n v="0.92157"/>
    <n v="0.89676500000000003"/>
    <n v="496.1"/>
  </r>
  <r>
    <x v="6"/>
    <x v="52"/>
    <x v="10"/>
    <m/>
    <n v="0.87195999999999996"/>
    <n v="0.92157"/>
    <n v="0.89676500000000003"/>
    <n v="496.1"/>
  </r>
  <r>
    <x v="6"/>
    <x v="52"/>
    <x v="10"/>
    <m/>
    <n v="0.87195999999999996"/>
    <n v="0.92157"/>
    <n v="0.89676500000000003"/>
    <n v="496.1"/>
  </r>
  <r>
    <x v="6"/>
    <x v="52"/>
    <x v="10"/>
    <m/>
    <n v="0.87195999999999996"/>
    <n v="0.92157"/>
    <n v="0.89676500000000003"/>
    <n v="496.1"/>
  </r>
  <r>
    <x v="6"/>
    <x v="52"/>
    <x v="10"/>
    <m/>
    <n v="0.87195999999999996"/>
    <n v="0.92157"/>
    <n v="0.89676500000000003"/>
    <n v="496.1"/>
  </r>
  <r>
    <x v="6"/>
    <x v="52"/>
    <x v="10"/>
    <m/>
    <n v="0.87195999999999996"/>
    <n v="0.92157"/>
    <n v="0.89676500000000003"/>
    <n v="496.1"/>
  </r>
  <r>
    <x v="6"/>
    <x v="52"/>
    <x v="10"/>
    <m/>
    <n v="0.87195999999999996"/>
    <n v="0.92157"/>
    <n v="0.89676500000000003"/>
    <n v="496.1"/>
  </r>
  <r>
    <x v="6"/>
    <x v="52"/>
    <x v="10"/>
    <m/>
    <n v="0.87195999999999996"/>
    <n v="0.92157"/>
    <n v="0.89676500000000003"/>
    <n v="496.1"/>
  </r>
  <r>
    <x v="6"/>
    <x v="52"/>
    <x v="10"/>
    <m/>
    <n v="0.87195999999999996"/>
    <n v="0.92157"/>
    <n v="0.89676500000000003"/>
    <n v="496.1"/>
  </r>
  <r>
    <x v="6"/>
    <x v="52"/>
    <x v="10"/>
    <m/>
    <n v="0.87195999999999996"/>
    <n v="0.92157"/>
    <n v="0.89676500000000003"/>
    <n v="496.1"/>
  </r>
  <r>
    <x v="6"/>
    <x v="52"/>
    <x v="10"/>
    <m/>
    <n v="0.87195999999999996"/>
    <n v="0.92157"/>
    <n v="0.89676500000000003"/>
    <n v="496.1"/>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2"/>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10"/>
    <m/>
    <n v="0.87195999999999996"/>
    <n v="0.92157"/>
    <n v="0.89676500000000003"/>
    <n v="496.1"/>
  </r>
  <r>
    <x v="6"/>
    <x v="53"/>
    <x v="10"/>
    <m/>
    <n v="0.87195999999999996"/>
    <n v="0.92157"/>
    <n v="0.89676500000000003"/>
    <n v="496.1"/>
  </r>
  <r>
    <x v="6"/>
    <x v="53"/>
    <x v="10"/>
    <m/>
    <n v="0.87195999999999996"/>
    <n v="0.92157"/>
    <n v="0.89676500000000003"/>
    <n v="496.1"/>
  </r>
  <r>
    <x v="6"/>
    <x v="53"/>
    <x v="10"/>
    <m/>
    <n v="0.87195999999999996"/>
    <n v="0.92157"/>
    <n v="0.89676500000000003"/>
    <n v="496.1"/>
  </r>
  <r>
    <x v="6"/>
    <x v="53"/>
    <x v="10"/>
    <m/>
    <n v="0.87195999999999996"/>
    <n v="0.92157"/>
    <n v="0.89676500000000003"/>
    <n v="496.1"/>
  </r>
  <r>
    <x v="6"/>
    <x v="53"/>
    <x v="10"/>
    <m/>
    <n v="0.87195999999999996"/>
    <n v="0.92157"/>
    <n v="0.89676500000000003"/>
    <n v="496.1"/>
  </r>
  <r>
    <x v="6"/>
    <x v="53"/>
    <x v="10"/>
    <m/>
    <n v="0.87195999999999996"/>
    <n v="0.92157"/>
    <n v="0.89676500000000003"/>
    <n v="496.1"/>
  </r>
  <r>
    <x v="6"/>
    <x v="53"/>
    <x v="10"/>
    <m/>
    <n v="0.87195999999999996"/>
    <n v="0.92157"/>
    <n v="0.89676500000000003"/>
    <n v="496.1"/>
  </r>
  <r>
    <x v="6"/>
    <x v="53"/>
    <x v="10"/>
    <m/>
    <n v="0.87195999999999996"/>
    <n v="0.92157"/>
    <n v="0.89676500000000003"/>
    <n v="496.1"/>
  </r>
  <r>
    <x v="6"/>
    <x v="53"/>
    <x v="10"/>
    <m/>
    <n v="0.87195999999999996"/>
    <n v="0.92157"/>
    <n v="0.89676500000000003"/>
    <n v="496.1"/>
  </r>
  <r>
    <x v="6"/>
    <x v="53"/>
    <x v="10"/>
    <m/>
    <n v="0.87195999999999996"/>
    <n v="0.92157"/>
    <n v="0.89676500000000003"/>
    <n v="496.1"/>
  </r>
  <r>
    <x v="6"/>
    <x v="53"/>
    <x v="10"/>
    <m/>
    <n v="0.87195999999999996"/>
    <n v="0.92157"/>
    <n v="0.89676500000000003"/>
    <n v="496.1"/>
  </r>
  <r>
    <x v="6"/>
    <x v="53"/>
    <x v="10"/>
    <m/>
    <n v="0.87195999999999996"/>
    <n v="0.92157"/>
    <n v="0.89676500000000003"/>
    <n v="496.1"/>
  </r>
  <r>
    <x v="6"/>
    <x v="53"/>
    <x v="10"/>
    <m/>
    <n v="0.87195999999999996"/>
    <n v="0.92157"/>
    <n v="0.89676500000000003"/>
    <n v="496.1"/>
  </r>
  <r>
    <x v="6"/>
    <x v="53"/>
    <x v="10"/>
    <m/>
    <n v="0.87195999999999996"/>
    <n v="0.92157"/>
    <n v="0.89676500000000003"/>
    <n v="496.1"/>
  </r>
  <r>
    <x v="6"/>
    <x v="53"/>
    <x v="10"/>
    <m/>
    <n v="0.87195999999999996"/>
    <n v="0.92157"/>
    <n v="0.89676500000000003"/>
    <n v="496.1"/>
  </r>
  <r>
    <x v="6"/>
    <x v="53"/>
    <x v="10"/>
    <m/>
    <n v="0.87195999999999996"/>
    <n v="0.92157"/>
    <n v="0.89676500000000003"/>
    <n v="496.1"/>
  </r>
  <r>
    <x v="6"/>
    <x v="53"/>
    <x v="10"/>
    <m/>
    <n v="0.87195999999999996"/>
    <n v="0.92157"/>
    <n v="0.89676500000000003"/>
    <n v="496.1"/>
  </r>
  <r>
    <x v="6"/>
    <x v="53"/>
    <x v="10"/>
    <m/>
    <n v="0.87195999999999996"/>
    <n v="0.92157"/>
    <n v="0.89676500000000003"/>
    <n v="496.1"/>
  </r>
  <r>
    <x v="6"/>
    <x v="53"/>
    <x v="10"/>
    <m/>
    <n v="0.87195999999999996"/>
    <n v="0.92157"/>
    <n v="0.89676500000000003"/>
    <n v="496.1"/>
  </r>
  <r>
    <x v="6"/>
    <x v="53"/>
    <x v="10"/>
    <m/>
    <n v="0.87195999999999996"/>
    <n v="0.92157"/>
    <n v="0.89676500000000003"/>
    <n v="496.1"/>
  </r>
  <r>
    <x v="6"/>
    <x v="53"/>
    <x v="10"/>
    <m/>
    <n v="0.87195999999999996"/>
    <n v="0.92157"/>
    <n v="0.89676500000000003"/>
    <n v="496.1"/>
  </r>
  <r>
    <x v="6"/>
    <x v="53"/>
    <x v="10"/>
    <m/>
    <n v="0.87195999999999996"/>
    <n v="0.92157"/>
    <n v="0.89676500000000003"/>
    <n v="496.1"/>
  </r>
  <r>
    <x v="6"/>
    <x v="53"/>
    <x v="10"/>
    <m/>
    <n v="0.87195999999999996"/>
    <n v="0.92157"/>
    <n v="0.89676500000000003"/>
    <n v="496.1"/>
  </r>
  <r>
    <x v="6"/>
    <x v="53"/>
    <x v="10"/>
    <m/>
    <n v="0.87195999999999996"/>
    <n v="0.92157"/>
    <n v="0.89676500000000003"/>
    <n v="496.1"/>
  </r>
  <r>
    <x v="6"/>
    <x v="53"/>
    <x v="10"/>
    <m/>
    <n v="0.87195999999999996"/>
    <n v="0.92157"/>
    <n v="0.89676500000000003"/>
    <n v="496.1"/>
  </r>
  <r>
    <x v="6"/>
    <x v="53"/>
    <x v="10"/>
    <m/>
    <n v="0.87195999999999996"/>
    <n v="0.92157"/>
    <n v="0.89676500000000003"/>
    <n v="496.1"/>
  </r>
  <r>
    <x v="6"/>
    <x v="53"/>
    <x v="10"/>
    <m/>
    <n v="0.87195999999999996"/>
    <n v="0.92157"/>
    <n v="0.89676500000000003"/>
    <n v="496.1"/>
  </r>
  <r>
    <x v="6"/>
    <x v="53"/>
    <x v="10"/>
    <m/>
    <n v="0.87195999999999996"/>
    <n v="0.92157"/>
    <n v="0.89676500000000003"/>
    <n v="496.1"/>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3"/>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10"/>
    <m/>
    <n v="0.87195999999999996"/>
    <n v="0.92157"/>
    <n v="0.89676500000000003"/>
    <n v="496.1"/>
  </r>
  <r>
    <x v="6"/>
    <x v="54"/>
    <x v="10"/>
    <m/>
    <n v="0.87195999999999996"/>
    <n v="0.92157"/>
    <n v="0.89676500000000003"/>
    <n v="496.1"/>
  </r>
  <r>
    <x v="6"/>
    <x v="54"/>
    <x v="10"/>
    <m/>
    <n v="0.87195999999999996"/>
    <n v="0.92157"/>
    <n v="0.89676500000000003"/>
    <n v="496.1"/>
  </r>
  <r>
    <x v="6"/>
    <x v="54"/>
    <x v="10"/>
    <m/>
    <n v="0.87195999999999996"/>
    <n v="0.92157"/>
    <n v="0.89676500000000003"/>
    <n v="496.1"/>
  </r>
  <r>
    <x v="6"/>
    <x v="54"/>
    <x v="10"/>
    <m/>
    <n v="0.87195999999999996"/>
    <n v="0.92157"/>
    <n v="0.89676500000000003"/>
    <n v="496.1"/>
  </r>
  <r>
    <x v="6"/>
    <x v="54"/>
    <x v="10"/>
    <m/>
    <n v="0.87195999999999996"/>
    <n v="0.92157"/>
    <n v="0.89676500000000003"/>
    <n v="496.1"/>
  </r>
  <r>
    <x v="6"/>
    <x v="54"/>
    <x v="10"/>
    <m/>
    <n v="0.87195999999999996"/>
    <n v="0.92157"/>
    <n v="0.89676500000000003"/>
    <n v="496.1"/>
  </r>
  <r>
    <x v="6"/>
    <x v="54"/>
    <x v="10"/>
    <m/>
    <n v="0.87195999999999996"/>
    <n v="0.92157"/>
    <n v="0.89676500000000003"/>
    <n v="496.1"/>
  </r>
  <r>
    <x v="6"/>
    <x v="54"/>
    <x v="10"/>
    <m/>
    <n v="0.87195999999999996"/>
    <n v="0.92157"/>
    <n v="0.89676500000000003"/>
    <n v="496.1"/>
  </r>
  <r>
    <x v="6"/>
    <x v="54"/>
    <x v="10"/>
    <m/>
    <n v="0.87195999999999996"/>
    <n v="0.92157"/>
    <n v="0.89676500000000003"/>
    <n v="496.1"/>
  </r>
  <r>
    <x v="6"/>
    <x v="54"/>
    <x v="10"/>
    <m/>
    <n v="0.87195999999999996"/>
    <n v="0.92157"/>
    <n v="0.89676500000000003"/>
    <n v="496.1"/>
  </r>
  <r>
    <x v="6"/>
    <x v="54"/>
    <x v="10"/>
    <m/>
    <n v="0.87195999999999996"/>
    <n v="0.92157"/>
    <n v="0.89676500000000003"/>
    <n v="496.1"/>
  </r>
  <r>
    <x v="6"/>
    <x v="54"/>
    <x v="10"/>
    <m/>
    <n v="0.87195999999999996"/>
    <n v="0.92157"/>
    <n v="0.89676500000000003"/>
    <n v="496.1"/>
  </r>
  <r>
    <x v="6"/>
    <x v="54"/>
    <x v="10"/>
    <m/>
    <n v="0.87195999999999996"/>
    <n v="0.92157"/>
    <n v="0.89676500000000003"/>
    <n v="496.1"/>
  </r>
  <r>
    <x v="6"/>
    <x v="54"/>
    <x v="10"/>
    <m/>
    <n v="0.87195999999999996"/>
    <n v="0.92157"/>
    <n v="0.89676500000000003"/>
    <n v="496.1"/>
  </r>
  <r>
    <x v="6"/>
    <x v="54"/>
    <x v="10"/>
    <m/>
    <n v="0.87195999999999996"/>
    <n v="0.92157"/>
    <n v="0.89676500000000003"/>
    <n v="496.1"/>
  </r>
  <r>
    <x v="6"/>
    <x v="54"/>
    <x v="10"/>
    <m/>
    <n v="0.87195999999999996"/>
    <n v="0.92157"/>
    <n v="0.89676500000000003"/>
    <n v="496.1"/>
  </r>
  <r>
    <x v="6"/>
    <x v="54"/>
    <x v="10"/>
    <m/>
    <n v="0.87195999999999996"/>
    <n v="0.92157"/>
    <n v="0.89676500000000003"/>
    <n v="496.1"/>
  </r>
  <r>
    <x v="6"/>
    <x v="54"/>
    <x v="10"/>
    <m/>
    <n v="0.87195999999999996"/>
    <n v="0.92157"/>
    <n v="0.89676500000000003"/>
    <n v="496.1"/>
  </r>
  <r>
    <x v="6"/>
    <x v="54"/>
    <x v="10"/>
    <m/>
    <n v="0.87195999999999996"/>
    <n v="0.92157"/>
    <n v="0.89676500000000003"/>
    <n v="496.1"/>
  </r>
  <r>
    <x v="6"/>
    <x v="54"/>
    <x v="10"/>
    <m/>
    <n v="0.87195999999999996"/>
    <n v="0.92157"/>
    <n v="0.89676500000000003"/>
    <n v="496.1"/>
  </r>
  <r>
    <x v="6"/>
    <x v="54"/>
    <x v="10"/>
    <m/>
    <n v="0.87195999999999996"/>
    <n v="0.92157"/>
    <n v="0.89676500000000003"/>
    <n v="496.1"/>
  </r>
  <r>
    <x v="6"/>
    <x v="54"/>
    <x v="10"/>
    <m/>
    <n v="0.87195999999999996"/>
    <n v="0.92157"/>
    <n v="0.89676500000000003"/>
    <n v="496.1"/>
  </r>
  <r>
    <x v="6"/>
    <x v="54"/>
    <x v="10"/>
    <m/>
    <n v="0.87195999999999996"/>
    <n v="0.92157"/>
    <n v="0.89676500000000003"/>
    <n v="496.1"/>
  </r>
  <r>
    <x v="6"/>
    <x v="54"/>
    <x v="10"/>
    <m/>
    <n v="0.87195999999999996"/>
    <n v="0.92157"/>
    <n v="0.89676500000000003"/>
    <n v="496.1"/>
  </r>
  <r>
    <x v="6"/>
    <x v="54"/>
    <x v="10"/>
    <m/>
    <n v="0.87195999999999996"/>
    <n v="0.92157"/>
    <n v="0.89676500000000003"/>
    <n v="496.1"/>
  </r>
  <r>
    <x v="6"/>
    <x v="54"/>
    <x v="10"/>
    <m/>
    <n v="0.87195999999999996"/>
    <n v="0.92157"/>
    <n v="0.89676500000000003"/>
    <n v="496.1"/>
  </r>
  <r>
    <x v="6"/>
    <x v="54"/>
    <x v="10"/>
    <m/>
    <n v="0.87195999999999996"/>
    <n v="0.92157"/>
    <n v="0.89676500000000003"/>
    <n v="496.1"/>
  </r>
  <r>
    <x v="6"/>
    <x v="54"/>
    <x v="10"/>
    <m/>
    <n v="0.87195999999999996"/>
    <n v="0.92157"/>
    <n v="0.89676500000000003"/>
    <n v="496.1"/>
  </r>
  <r>
    <x v="6"/>
    <x v="54"/>
    <x v="10"/>
    <m/>
    <n v="0.87195999999999996"/>
    <n v="0.92157"/>
    <n v="0.89676500000000003"/>
    <n v="496.1"/>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4"/>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0"/>
    <m/>
    <n v="1.9001600000000001"/>
    <n v="2.0350999999999999"/>
    <n v="1.96763"/>
    <n v="1349.4"/>
  </r>
  <r>
    <x v="6"/>
    <x v="55"/>
    <x v="10"/>
    <m/>
    <n v="0.87195999999999996"/>
    <n v="0.92157"/>
    <n v="0.89676500000000003"/>
    <n v="496.1"/>
  </r>
  <r>
    <x v="6"/>
    <x v="55"/>
    <x v="10"/>
    <m/>
    <n v="0.87195999999999996"/>
    <n v="0.92157"/>
    <n v="0.89676500000000003"/>
    <n v="496.1"/>
  </r>
  <r>
    <x v="6"/>
    <x v="55"/>
    <x v="10"/>
    <m/>
    <n v="0.87195999999999996"/>
    <n v="0.92157"/>
    <n v="0.89676500000000003"/>
    <n v="496.1"/>
  </r>
  <r>
    <x v="6"/>
    <x v="55"/>
    <x v="10"/>
    <m/>
    <n v="0.87195999999999996"/>
    <n v="0.92157"/>
    <n v="0.89676500000000003"/>
    <n v="496.1"/>
  </r>
  <r>
    <x v="6"/>
    <x v="55"/>
    <x v="10"/>
    <m/>
    <n v="0.87195999999999996"/>
    <n v="0.92157"/>
    <n v="0.89676500000000003"/>
    <n v="496.1"/>
  </r>
  <r>
    <x v="6"/>
    <x v="55"/>
    <x v="10"/>
    <m/>
    <n v="0.87195999999999996"/>
    <n v="0.92157"/>
    <n v="0.89676500000000003"/>
    <n v="496.1"/>
  </r>
  <r>
    <x v="6"/>
    <x v="55"/>
    <x v="10"/>
    <m/>
    <n v="0.87195999999999996"/>
    <n v="0.92157"/>
    <n v="0.89676500000000003"/>
    <n v="496.1"/>
  </r>
  <r>
    <x v="6"/>
    <x v="55"/>
    <x v="10"/>
    <m/>
    <n v="0.87195999999999996"/>
    <n v="0.92157"/>
    <n v="0.89676500000000003"/>
    <n v="496.1"/>
  </r>
  <r>
    <x v="6"/>
    <x v="55"/>
    <x v="10"/>
    <m/>
    <n v="0.87195999999999996"/>
    <n v="0.92157"/>
    <n v="0.89676500000000003"/>
    <n v="496.1"/>
  </r>
  <r>
    <x v="6"/>
    <x v="55"/>
    <x v="10"/>
    <m/>
    <n v="0.87195999999999996"/>
    <n v="0.92157"/>
    <n v="0.89676500000000003"/>
    <n v="496.1"/>
  </r>
  <r>
    <x v="6"/>
    <x v="55"/>
    <x v="10"/>
    <m/>
    <n v="0.87195999999999996"/>
    <n v="0.92157"/>
    <n v="0.89676500000000003"/>
    <n v="496.1"/>
  </r>
  <r>
    <x v="6"/>
    <x v="55"/>
    <x v="10"/>
    <m/>
    <n v="0.87195999999999996"/>
    <n v="0.92157"/>
    <n v="0.89676500000000003"/>
    <n v="496.1"/>
  </r>
  <r>
    <x v="6"/>
    <x v="55"/>
    <x v="10"/>
    <m/>
    <n v="0.87195999999999996"/>
    <n v="0.92157"/>
    <n v="0.89676500000000003"/>
    <n v="496.1"/>
  </r>
  <r>
    <x v="6"/>
    <x v="55"/>
    <x v="10"/>
    <m/>
    <n v="0.87195999999999996"/>
    <n v="0.92157"/>
    <n v="0.89676500000000003"/>
    <n v="496.1"/>
  </r>
  <r>
    <x v="6"/>
    <x v="55"/>
    <x v="10"/>
    <m/>
    <n v="0.87195999999999996"/>
    <n v="0.92157"/>
    <n v="0.89676500000000003"/>
    <n v="496.1"/>
  </r>
  <r>
    <x v="6"/>
    <x v="55"/>
    <x v="10"/>
    <m/>
    <n v="0.87195999999999996"/>
    <n v="0.92157"/>
    <n v="0.89676500000000003"/>
    <n v="496.1"/>
  </r>
  <r>
    <x v="6"/>
    <x v="55"/>
    <x v="10"/>
    <m/>
    <n v="0.87195999999999996"/>
    <n v="0.92157"/>
    <n v="0.89676500000000003"/>
    <n v="496.1"/>
  </r>
  <r>
    <x v="6"/>
    <x v="55"/>
    <x v="10"/>
    <m/>
    <n v="0.87195999999999996"/>
    <n v="0.92157"/>
    <n v="0.89676500000000003"/>
    <n v="496.1"/>
  </r>
  <r>
    <x v="6"/>
    <x v="55"/>
    <x v="10"/>
    <m/>
    <n v="0.87195999999999996"/>
    <n v="0.92157"/>
    <n v="0.89676500000000003"/>
    <n v="496.1"/>
  </r>
  <r>
    <x v="6"/>
    <x v="55"/>
    <x v="10"/>
    <m/>
    <n v="0.87195999999999996"/>
    <n v="0.92157"/>
    <n v="0.89676500000000003"/>
    <n v="496.1"/>
  </r>
  <r>
    <x v="6"/>
    <x v="55"/>
    <x v="10"/>
    <m/>
    <n v="0.87195999999999996"/>
    <n v="0.92157"/>
    <n v="0.89676500000000003"/>
    <n v="496.1"/>
  </r>
  <r>
    <x v="6"/>
    <x v="55"/>
    <x v="10"/>
    <m/>
    <n v="0.87195999999999996"/>
    <n v="0.92157"/>
    <n v="0.89676500000000003"/>
    <n v="496.1"/>
  </r>
  <r>
    <x v="6"/>
    <x v="55"/>
    <x v="10"/>
    <m/>
    <n v="0.87195999999999996"/>
    <n v="0.92157"/>
    <n v="0.89676500000000003"/>
    <n v="496.1"/>
  </r>
  <r>
    <x v="6"/>
    <x v="55"/>
    <x v="10"/>
    <m/>
    <n v="0.87195999999999996"/>
    <n v="0.92157"/>
    <n v="0.89676500000000003"/>
    <n v="496.1"/>
  </r>
  <r>
    <x v="6"/>
    <x v="55"/>
    <x v="10"/>
    <m/>
    <n v="0.87195999999999996"/>
    <n v="0.92157"/>
    <n v="0.89676500000000003"/>
    <n v="496.1"/>
  </r>
  <r>
    <x v="6"/>
    <x v="55"/>
    <x v="10"/>
    <m/>
    <n v="0.87195999999999996"/>
    <n v="0.92157"/>
    <n v="0.89676500000000003"/>
    <n v="496.1"/>
  </r>
  <r>
    <x v="6"/>
    <x v="55"/>
    <x v="10"/>
    <m/>
    <n v="0.87195999999999996"/>
    <n v="0.92157"/>
    <n v="0.89676500000000003"/>
    <n v="496.1"/>
  </r>
  <r>
    <x v="6"/>
    <x v="55"/>
    <x v="10"/>
    <m/>
    <n v="0.87195999999999996"/>
    <n v="0.92157"/>
    <n v="0.89676500000000003"/>
    <n v="496.1"/>
  </r>
  <r>
    <x v="6"/>
    <x v="55"/>
    <x v="10"/>
    <m/>
    <n v="0.87195999999999996"/>
    <n v="0.92157"/>
    <n v="0.89676500000000003"/>
    <n v="496.1"/>
  </r>
  <r>
    <x v="6"/>
    <x v="56"/>
    <x v="10"/>
    <m/>
    <n v="0.87195999999999996"/>
    <n v="0.92157"/>
    <n v="0.89676500000000003"/>
    <n v="496.1"/>
  </r>
  <r>
    <x v="6"/>
    <x v="56"/>
    <x v="10"/>
    <m/>
    <n v="0.87195999999999996"/>
    <n v="0.92157"/>
    <n v="0.89676500000000003"/>
    <n v="496.1"/>
  </r>
  <r>
    <x v="6"/>
    <x v="56"/>
    <x v="10"/>
    <m/>
    <n v="0.87195999999999996"/>
    <n v="0.92157"/>
    <n v="0.89676500000000003"/>
    <n v="496.1"/>
  </r>
  <r>
    <x v="6"/>
    <x v="56"/>
    <x v="10"/>
    <m/>
    <n v="0.87195999999999996"/>
    <n v="0.92157"/>
    <n v="0.89676500000000003"/>
    <n v="496.1"/>
  </r>
  <r>
    <x v="6"/>
    <x v="56"/>
    <x v="10"/>
    <m/>
    <n v="0.87195999999999996"/>
    <n v="0.92157"/>
    <n v="0.89676500000000003"/>
    <n v="496.1"/>
  </r>
  <r>
    <x v="6"/>
    <x v="56"/>
    <x v="10"/>
    <m/>
    <n v="0.87195999999999996"/>
    <n v="0.92157"/>
    <n v="0.89676500000000003"/>
    <n v="496.1"/>
  </r>
  <r>
    <x v="6"/>
    <x v="56"/>
    <x v="10"/>
    <m/>
    <n v="0.87195999999999996"/>
    <n v="0.92157"/>
    <n v="0.89676500000000003"/>
    <n v="496.1"/>
  </r>
  <r>
    <x v="6"/>
    <x v="56"/>
    <x v="10"/>
    <m/>
    <n v="0.87195999999999996"/>
    <n v="0.92157"/>
    <n v="0.89676500000000003"/>
    <n v="496.1"/>
  </r>
  <r>
    <x v="6"/>
    <x v="56"/>
    <x v="10"/>
    <m/>
    <n v="0.87195999999999996"/>
    <n v="0.92157"/>
    <n v="0.89676500000000003"/>
    <n v="496.1"/>
  </r>
  <r>
    <x v="6"/>
    <x v="56"/>
    <x v="10"/>
    <m/>
    <n v="0.87195999999999996"/>
    <n v="0.92157"/>
    <n v="0.89676500000000003"/>
    <n v="496.1"/>
  </r>
  <r>
    <x v="6"/>
    <x v="56"/>
    <x v="10"/>
    <m/>
    <n v="0.87195999999999996"/>
    <n v="0.92157"/>
    <n v="0.89676500000000003"/>
    <n v="496.1"/>
  </r>
  <r>
    <x v="6"/>
    <x v="56"/>
    <x v="10"/>
    <m/>
    <n v="0.87195999999999996"/>
    <n v="0.92157"/>
    <n v="0.89676500000000003"/>
    <n v="496.1"/>
  </r>
  <r>
    <x v="6"/>
    <x v="56"/>
    <x v="10"/>
    <m/>
    <n v="0.87195999999999996"/>
    <n v="0.92157"/>
    <n v="0.89676500000000003"/>
    <n v="496.1"/>
  </r>
  <r>
    <x v="6"/>
    <x v="56"/>
    <x v="10"/>
    <m/>
    <n v="0.87195999999999996"/>
    <n v="0.92157"/>
    <n v="0.89676500000000003"/>
    <n v="496.1"/>
  </r>
  <r>
    <x v="6"/>
    <x v="56"/>
    <x v="10"/>
    <m/>
    <n v="0.87195999999999996"/>
    <n v="0.92157"/>
    <n v="0.89676500000000003"/>
    <n v="496.1"/>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0"/>
    <m/>
    <n v="1.9001600000000001"/>
    <n v="2.0350999999999999"/>
    <n v="1.96763"/>
    <n v="1349.4"/>
  </r>
  <r>
    <x v="6"/>
    <x v="56"/>
    <x v="10"/>
    <m/>
    <n v="0.87195999999999996"/>
    <n v="0.92157"/>
    <n v="0.89676500000000003"/>
    <n v="496.1"/>
  </r>
  <r>
    <x v="6"/>
    <x v="56"/>
    <x v="10"/>
    <m/>
    <n v="0.87195999999999996"/>
    <n v="0.92157"/>
    <n v="0.89676500000000003"/>
    <n v="496.1"/>
  </r>
  <r>
    <x v="6"/>
    <x v="56"/>
    <x v="10"/>
    <m/>
    <n v="0.87195999999999996"/>
    <n v="0.92157"/>
    <n v="0.89676500000000003"/>
    <n v="496.1"/>
  </r>
  <r>
    <x v="6"/>
    <x v="56"/>
    <x v="10"/>
    <m/>
    <n v="0.87195999999999996"/>
    <n v="0.92157"/>
    <n v="0.89676500000000003"/>
    <n v="496.1"/>
  </r>
  <r>
    <x v="6"/>
    <x v="56"/>
    <x v="10"/>
    <m/>
    <n v="0.87195999999999996"/>
    <n v="0.92157"/>
    <n v="0.89676500000000003"/>
    <n v="496.1"/>
  </r>
  <r>
    <x v="6"/>
    <x v="56"/>
    <x v="10"/>
    <m/>
    <n v="0.87195999999999996"/>
    <n v="0.92157"/>
    <n v="0.89676500000000003"/>
    <n v="496.1"/>
  </r>
  <r>
    <x v="6"/>
    <x v="56"/>
    <x v="10"/>
    <m/>
    <n v="0.87195999999999996"/>
    <n v="0.92157"/>
    <n v="0.89676500000000003"/>
    <n v="496.1"/>
  </r>
  <r>
    <x v="6"/>
    <x v="56"/>
    <x v="10"/>
    <m/>
    <n v="0.87195999999999996"/>
    <n v="0.92157"/>
    <n v="0.89676500000000003"/>
    <n v="496.1"/>
  </r>
  <r>
    <x v="6"/>
    <x v="56"/>
    <x v="10"/>
    <m/>
    <n v="0.87195999999999996"/>
    <n v="0.92157"/>
    <n v="0.89676500000000003"/>
    <n v="496.1"/>
  </r>
  <r>
    <x v="6"/>
    <x v="56"/>
    <x v="10"/>
    <m/>
    <n v="0.87195999999999996"/>
    <n v="0.92157"/>
    <n v="0.89676500000000003"/>
    <n v="496.1"/>
  </r>
  <r>
    <x v="6"/>
    <x v="56"/>
    <x v="10"/>
    <m/>
    <n v="0.87195999999999996"/>
    <n v="0.92157"/>
    <n v="0.89676500000000003"/>
    <n v="496.1"/>
  </r>
  <r>
    <x v="6"/>
    <x v="56"/>
    <x v="10"/>
    <m/>
    <n v="0.87195999999999996"/>
    <n v="0.92157"/>
    <n v="0.89676500000000003"/>
    <n v="496.1"/>
  </r>
  <r>
    <x v="6"/>
    <x v="56"/>
    <x v="10"/>
    <m/>
    <n v="0.87195999999999996"/>
    <n v="0.92157"/>
    <n v="0.89676500000000003"/>
    <n v="496.1"/>
  </r>
  <r>
    <x v="6"/>
    <x v="56"/>
    <x v="10"/>
    <m/>
    <n v="0.87195999999999996"/>
    <n v="0.92157"/>
    <n v="0.89676500000000003"/>
    <n v="496.1"/>
  </r>
  <r>
    <x v="6"/>
    <x v="57"/>
    <x v="10"/>
    <m/>
    <n v="0.87195999999999996"/>
    <n v="0.92157"/>
    <n v="0.89676500000000003"/>
    <n v="496.1"/>
  </r>
  <r>
    <x v="6"/>
    <x v="57"/>
    <x v="10"/>
    <m/>
    <n v="0.87195999999999996"/>
    <n v="0.92157"/>
    <n v="0.89676500000000003"/>
    <n v="496.1"/>
  </r>
  <r>
    <x v="6"/>
    <x v="57"/>
    <x v="10"/>
    <m/>
    <n v="0.87195999999999996"/>
    <n v="0.92157"/>
    <n v="0.89676500000000003"/>
    <n v="496.1"/>
  </r>
  <r>
    <x v="6"/>
    <x v="57"/>
    <x v="10"/>
    <m/>
    <n v="0.87195999999999996"/>
    <n v="0.92157"/>
    <n v="0.89676500000000003"/>
    <n v="496.1"/>
  </r>
  <r>
    <x v="6"/>
    <x v="57"/>
    <x v="10"/>
    <m/>
    <n v="0.87195999999999996"/>
    <n v="0.92157"/>
    <n v="0.89676500000000003"/>
    <n v="496.1"/>
  </r>
  <r>
    <x v="6"/>
    <x v="57"/>
    <x v="10"/>
    <m/>
    <n v="0.87195999999999996"/>
    <n v="0.92157"/>
    <n v="0.89676500000000003"/>
    <n v="496.1"/>
  </r>
  <r>
    <x v="6"/>
    <x v="57"/>
    <x v="10"/>
    <m/>
    <n v="0.87195999999999996"/>
    <n v="0.92157"/>
    <n v="0.89676500000000003"/>
    <n v="496.1"/>
  </r>
  <r>
    <x v="6"/>
    <x v="57"/>
    <x v="10"/>
    <m/>
    <n v="0.87195999999999996"/>
    <n v="0.92157"/>
    <n v="0.89676500000000003"/>
    <n v="496.1"/>
  </r>
  <r>
    <x v="6"/>
    <x v="57"/>
    <x v="10"/>
    <m/>
    <n v="0.87195999999999996"/>
    <n v="0.92157"/>
    <n v="0.89676500000000003"/>
    <n v="496.1"/>
  </r>
  <r>
    <x v="6"/>
    <x v="57"/>
    <x v="10"/>
    <m/>
    <n v="0.87195999999999996"/>
    <n v="0.92157"/>
    <n v="0.89676500000000003"/>
    <n v="496.1"/>
  </r>
  <r>
    <x v="6"/>
    <x v="57"/>
    <x v="10"/>
    <m/>
    <n v="0.87195999999999996"/>
    <n v="0.92157"/>
    <n v="0.89676500000000003"/>
    <n v="496.1"/>
  </r>
  <r>
    <x v="6"/>
    <x v="57"/>
    <x v="10"/>
    <m/>
    <n v="0.87195999999999996"/>
    <n v="0.92157"/>
    <n v="0.89676500000000003"/>
    <n v="496.1"/>
  </r>
  <r>
    <x v="6"/>
    <x v="57"/>
    <x v="10"/>
    <m/>
    <n v="0.87195999999999996"/>
    <n v="0.92157"/>
    <n v="0.89676500000000003"/>
    <n v="496.1"/>
  </r>
  <r>
    <x v="6"/>
    <x v="57"/>
    <x v="10"/>
    <m/>
    <n v="0.87195999999999996"/>
    <n v="0.92157"/>
    <n v="0.89676500000000003"/>
    <n v="496.1"/>
  </r>
  <r>
    <x v="6"/>
    <x v="57"/>
    <x v="10"/>
    <m/>
    <n v="0.87195999999999996"/>
    <n v="0.92157"/>
    <n v="0.89676500000000003"/>
    <n v="496.1"/>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0"/>
    <m/>
    <n v="1.9001600000000001"/>
    <n v="2.0350999999999999"/>
    <n v="1.96763"/>
    <n v="1349.4"/>
  </r>
  <r>
    <x v="6"/>
    <x v="57"/>
    <x v="10"/>
    <m/>
    <n v="0.87195999999999996"/>
    <n v="0.92157"/>
    <n v="0.89676500000000003"/>
    <n v="496.1"/>
  </r>
  <r>
    <x v="6"/>
    <x v="57"/>
    <x v="10"/>
    <m/>
    <n v="0.87195999999999996"/>
    <n v="0.92157"/>
    <n v="0.89676500000000003"/>
    <n v="496.1"/>
  </r>
  <r>
    <x v="6"/>
    <x v="57"/>
    <x v="10"/>
    <m/>
    <n v="0.87195999999999996"/>
    <n v="0.92157"/>
    <n v="0.89676500000000003"/>
    <n v="496.1"/>
  </r>
  <r>
    <x v="6"/>
    <x v="57"/>
    <x v="10"/>
    <m/>
    <n v="0.87195999999999996"/>
    <n v="0.92157"/>
    <n v="0.89676500000000003"/>
    <n v="496.1"/>
  </r>
  <r>
    <x v="6"/>
    <x v="57"/>
    <x v="10"/>
    <m/>
    <n v="0.87195999999999996"/>
    <n v="0.92157"/>
    <n v="0.89676500000000003"/>
    <n v="496.1"/>
  </r>
  <r>
    <x v="6"/>
    <x v="57"/>
    <x v="10"/>
    <m/>
    <n v="0.87195999999999996"/>
    <n v="0.92157"/>
    <n v="0.89676500000000003"/>
    <n v="496.1"/>
  </r>
  <r>
    <x v="6"/>
    <x v="57"/>
    <x v="10"/>
    <m/>
    <n v="0.87195999999999996"/>
    <n v="0.92157"/>
    <n v="0.89676500000000003"/>
    <n v="496.1"/>
  </r>
  <r>
    <x v="6"/>
    <x v="57"/>
    <x v="10"/>
    <m/>
    <n v="0.87195999999999996"/>
    <n v="0.92157"/>
    <n v="0.89676500000000003"/>
    <n v="496.1"/>
  </r>
  <r>
    <x v="6"/>
    <x v="57"/>
    <x v="10"/>
    <m/>
    <n v="0.87195999999999996"/>
    <n v="0.92157"/>
    <n v="0.89676500000000003"/>
    <n v="496.1"/>
  </r>
  <r>
    <x v="6"/>
    <x v="57"/>
    <x v="10"/>
    <m/>
    <n v="0.87195999999999996"/>
    <n v="0.92157"/>
    <n v="0.89676500000000003"/>
    <n v="496.1"/>
  </r>
  <r>
    <x v="6"/>
    <x v="57"/>
    <x v="10"/>
    <m/>
    <n v="0.87195999999999996"/>
    <n v="0.92157"/>
    <n v="0.89676500000000003"/>
    <n v="496.1"/>
  </r>
  <r>
    <x v="6"/>
    <x v="57"/>
    <x v="10"/>
    <m/>
    <n v="0.87195999999999996"/>
    <n v="0.92157"/>
    <n v="0.89676500000000003"/>
    <n v="496.1"/>
  </r>
  <r>
    <x v="6"/>
    <x v="57"/>
    <x v="10"/>
    <m/>
    <n v="0.87195999999999996"/>
    <n v="0.92157"/>
    <n v="0.89676500000000003"/>
    <n v="496.1"/>
  </r>
  <r>
    <x v="6"/>
    <x v="57"/>
    <x v="10"/>
    <m/>
    <n v="0.87195999999999996"/>
    <n v="0.92157"/>
    <n v="0.89676500000000003"/>
    <n v="496.1"/>
  </r>
  <r>
    <x v="6"/>
    <x v="58"/>
    <x v="11"/>
    <m/>
    <n v="1.79891"/>
    <n v="1.8003100000000001"/>
    <n v="1.7996099999999999"/>
    <n v="14"/>
  </r>
  <r>
    <x v="6"/>
    <x v="58"/>
    <x v="11"/>
    <m/>
    <n v="1.79891"/>
    <n v="1.8003100000000001"/>
    <n v="1.7996099999999999"/>
    <n v="14"/>
  </r>
  <r>
    <x v="6"/>
    <x v="58"/>
    <x v="11"/>
    <m/>
    <n v="1.79891"/>
    <n v="1.8003100000000001"/>
    <n v="1.7996099999999999"/>
    <n v="14"/>
  </r>
  <r>
    <x v="6"/>
    <x v="58"/>
    <x v="11"/>
    <m/>
    <n v="1.79891"/>
    <n v="1.8003100000000001"/>
    <n v="1.7996099999999999"/>
    <n v="14"/>
  </r>
  <r>
    <x v="6"/>
    <x v="58"/>
    <x v="11"/>
    <m/>
    <n v="1.79891"/>
    <n v="1.8003100000000001"/>
    <n v="1.7996099999999999"/>
    <n v="14"/>
  </r>
  <r>
    <x v="6"/>
    <x v="58"/>
    <x v="11"/>
    <m/>
    <n v="1.79891"/>
    <n v="1.8003100000000001"/>
    <n v="1.7996099999999999"/>
    <n v="14"/>
  </r>
  <r>
    <x v="6"/>
    <x v="58"/>
    <x v="11"/>
    <m/>
    <n v="1.79891"/>
    <n v="1.8003100000000001"/>
    <n v="1.7996099999999999"/>
    <n v="14"/>
  </r>
  <r>
    <x v="6"/>
    <x v="58"/>
    <x v="6"/>
    <m/>
    <n v="0.84945999999999999"/>
    <n v="0.85062000000000004"/>
    <n v="0.85004000000000002"/>
    <n v="11.6"/>
  </r>
  <r>
    <x v="6"/>
    <x v="58"/>
    <x v="6"/>
    <m/>
    <n v="0.84945999999999999"/>
    <n v="0.85062000000000004"/>
    <n v="0.85004000000000002"/>
    <n v="11.6"/>
  </r>
  <r>
    <x v="6"/>
    <x v="58"/>
    <x v="6"/>
    <m/>
    <n v="0.84945999999999999"/>
    <n v="0.85062000000000004"/>
    <n v="0.85004000000000002"/>
    <n v="11.6"/>
  </r>
  <r>
    <x v="6"/>
    <x v="58"/>
    <x v="6"/>
    <m/>
    <n v="0.84945999999999999"/>
    <n v="0.85062000000000004"/>
    <n v="0.85004000000000002"/>
    <n v="11.6"/>
  </r>
  <r>
    <x v="6"/>
    <x v="58"/>
    <x v="6"/>
    <m/>
    <n v="0.84945999999999999"/>
    <n v="0.85062000000000004"/>
    <n v="0.85004000000000002"/>
    <n v="11.6"/>
  </r>
  <r>
    <x v="6"/>
    <x v="59"/>
    <x v="11"/>
    <m/>
    <n v="1.796"/>
    <n v="1.8160000000000001"/>
    <n v="1.806"/>
    <n v="200"/>
  </r>
  <r>
    <x v="6"/>
    <x v="59"/>
    <x v="11"/>
    <m/>
    <n v="1.796"/>
    <n v="1.8160000000000001"/>
    <n v="1.806"/>
    <n v="200"/>
  </r>
  <r>
    <x v="6"/>
    <x v="59"/>
    <x v="11"/>
    <m/>
    <n v="1.796"/>
    <n v="1.8160000000000001"/>
    <n v="1.806"/>
    <n v="200"/>
  </r>
  <r>
    <x v="6"/>
    <x v="59"/>
    <x v="11"/>
    <m/>
    <n v="1.796"/>
    <n v="1.8160000000000001"/>
    <n v="1.806"/>
    <n v="200"/>
  </r>
  <r>
    <x v="6"/>
    <x v="59"/>
    <x v="11"/>
    <m/>
    <n v="1.796"/>
    <n v="1.8160000000000001"/>
    <n v="1.806"/>
    <n v="200"/>
  </r>
  <r>
    <x v="6"/>
    <x v="59"/>
    <x v="11"/>
    <m/>
    <n v="1.796"/>
    <n v="1.8160000000000001"/>
    <n v="1.806"/>
    <n v="200"/>
  </r>
  <r>
    <x v="6"/>
    <x v="59"/>
    <x v="11"/>
    <m/>
    <n v="1.796"/>
    <n v="1.8160000000000001"/>
    <n v="1.806"/>
    <n v="200"/>
  </r>
  <r>
    <x v="6"/>
    <x v="59"/>
    <x v="6"/>
    <m/>
    <n v="0.84150000000000003"/>
    <n v="0.85550000000000004"/>
    <n v="0.84850000000000003"/>
    <n v="140"/>
  </r>
  <r>
    <x v="6"/>
    <x v="59"/>
    <x v="6"/>
    <m/>
    <n v="0.84150000000000003"/>
    <n v="0.85550000000000004"/>
    <n v="0.84850000000000003"/>
    <n v="140"/>
  </r>
  <r>
    <x v="6"/>
    <x v="59"/>
    <x v="6"/>
    <m/>
    <n v="0.84150000000000003"/>
    <n v="0.85550000000000004"/>
    <n v="0.84850000000000003"/>
    <n v="140"/>
  </r>
  <r>
    <x v="6"/>
    <x v="59"/>
    <x v="6"/>
    <m/>
    <n v="0.84150000000000003"/>
    <n v="0.85550000000000004"/>
    <n v="0.84850000000000003"/>
    <n v="140"/>
  </r>
  <r>
    <x v="6"/>
    <x v="59"/>
    <x v="6"/>
    <m/>
    <n v="0.84150000000000003"/>
    <n v="0.85550000000000004"/>
    <n v="0.84850000000000003"/>
    <n v="140"/>
  </r>
  <r>
    <x v="6"/>
    <x v="59"/>
    <x v="6"/>
    <m/>
    <n v="0.84150000000000003"/>
    <n v="0.85550000000000004"/>
    <n v="0.84850000000000003"/>
    <n v="140"/>
  </r>
  <r>
    <x v="6"/>
    <x v="59"/>
    <x v="6"/>
    <m/>
    <n v="0.84150000000000003"/>
    <n v="0.85550000000000004"/>
    <n v="0.84850000000000003"/>
    <n v="140"/>
  </r>
  <r>
    <x v="6"/>
    <x v="59"/>
    <x v="6"/>
    <m/>
    <n v="0.84150000000000003"/>
    <n v="0.85550000000000004"/>
    <n v="0.84850000000000003"/>
    <n v="140"/>
  </r>
  <r>
    <x v="6"/>
    <x v="59"/>
    <x v="6"/>
    <m/>
    <n v="0.84150000000000003"/>
    <n v="0.85550000000000004"/>
    <n v="0.84850000000000003"/>
    <n v="140"/>
  </r>
  <r>
    <x v="6"/>
    <x v="25"/>
    <x v="11"/>
    <m/>
    <n v="1.7838499999999999"/>
    <n v="1.8160000000000001"/>
    <n v="1.799925"/>
    <n v="321.5"/>
  </r>
  <r>
    <x v="6"/>
    <x v="25"/>
    <x v="11"/>
    <m/>
    <n v="1.7838499999999999"/>
    <n v="1.8160000000000001"/>
    <n v="1.799925"/>
    <n v="321.5"/>
  </r>
  <r>
    <x v="6"/>
    <x v="25"/>
    <x v="11"/>
    <m/>
    <n v="1.7838499999999999"/>
    <n v="1.8160000000000001"/>
    <n v="1.799925"/>
    <n v="321.5"/>
  </r>
  <r>
    <x v="6"/>
    <x v="25"/>
    <x v="11"/>
    <m/>
    <n v="1.7838499999999999"/>
    <n v="1.8160000000000001"/>
    <n v="1.799925"/>
    <n v="321.5"/>
  </r>
  <r>
    <x v="6"/>
    <x v="25"/>
    <x v="11"/>
    <m/>
    <n v="1.7838499999999999"/>
    <n v="1.8160000000000001"/>
    <n v="1.799925"/>
    <n v="321.5"/>
  </r>
  <r>
    <x v="6"/>
    <x v="25"/>
    <x v="11"/>
    <m/>
    <n v="1.7838499999999999"/>
    <n v="1.8160000000000001"/>
    <n v="1.799925"/>
    <n v="321.5"/>
  </r>
  <r>
    <x v="6"/>
    <x v="25"/>
    <x v="11"/>
    <m/>
    <n v="1.7838499999999999"/>
    <n v="1.8160000000000001"/>
    <n v="1.799925"/>
    <n v="321.5"/>
  </r>
  <r>
    <x v="6"/>
    <x v="25"/>
    <x v="11"/>
    <m/>
    <n v="1.7838499999999999"/>
    <n v="1.8160000000000001"/>
    <n v="1.799925"/>
    <n v="321.5"/>
  </r>
  <r>
    <x v="6"/>
    <x v="25"/>
    <x v="11"/>
    <m/>
    <n v="1.7838499999999999"/>
    <n v="1.8160000000000001"/>
    <n v="1.799925"/>
    <n v="321.5"/>
  </r>
  <r>
    <x v="6"/>
    <x v="25"/>
    <x v="11"/>
    <m/>
    <n v="1.7838499999999999"/>
    <n v="1.8160000000000001"/>
    <n v="1.799925"/>
    <n v="321.5"/>
  </r>
  <r>
    <x v="6"/>
    <x v="25"/>
    <x v="6"/>
    <m/>
    <n v="0.84150000000000003"/>
    <n v="0.86950000000000005"/>
    <n v="0.85550000000000004"/>
    <n v="280"/>
  </r>
  <r>
    <x v="6"/>
    <x v="25"/>
    <x v="6"/>
    <m/>
    <n v="0.84150000000000003"/>
    <n v="0.86950000000000005"/>
    <n v="0.85550000000000004"/>
    <n v="280"/>
  </r>
  <r>
    <x v="6"/>
    <x v="25"/>
    <x v="6"/>
    <m/>
    <n v="0.84150000000000003"/>
    <n v="0.86950000000000005"/>
    <n v="0.85550000000000004"/>
    <n v="280"/>
  </r>
  <r>
    <x v="6"/>
    <x v="25"/>
    <x v="6"/>
    <m/>
    <n v="0.84150000000000003"/>
    <n v="0.86950000000000005"/>
    <n v="0.85550000000000004"/>
    <n v="280"/>
  </r>
  <r>
    <x v="6"/>
    <x v="25"/>
    <x v="6"/>
    <m/>
    <n v="0.84150000000000003"/>
    <n v="0.86950000000000005"/>
    <n v="0.85550000000000004"/>
    <n v="280"/>
  </r>
  <r>
    <x v="6"/>
    <x v="25"/>
    <x v="6"/>
    <m/>
    <n v="0.84150000000000003"/>
    <n v="0.86950000000000005"/>
    <n v="0.85550000000000004"/>
    <n v="280"/>
  </r>
  <r>
    <x v="6"/>
    <x v="25"/>
    <x v="6"/>
    <m/>
    <n v="0.84150000000000003"/>
    <n v="0.86950000000000005"/>
    <n v="0.85550000000000004"/>
    <n v="280"/>
  </r>
  <r>
    <x v="6"/>
    <x v="25"/>
    <x v="6"/>
    <m/>
    <n v="0.84150000000000003"/>
    <n v="0.86950000000000005"/>
    <n v="0.85550000000000004"/>
    <n v="280"/>
  </r>
  <r>
    <x v="6"/>
    <x v="25"/>
    <x v="6"/>
    <m/>
    <n v="0.84150000000000003"/>
    <n v="0.86950000000000005"/>
    <n v="0.85550000000000004"/>
    <n v="280"/>
  </r>
  <r>
    <x v="6"/>
    <x v="25"/>
    <x v="6"/>
    <m/>
    <n v="0.84150000000000003"/>
    <n v="0.86950000000000005"/>
    <n v="0.85550000000000004"/>
    <n v="280"/>
  </r>
  <r>
    <x v="6"/>
    <x v="25"/>
    <x v="6"/>
    <m/>
    <n v="0.84150000000000003"/>
    <n v="0.86950000000000005"/>
    <n v="0.85550000000000004"/>
    <n v="280"/>
  </r>
  <r>
    <x v="6"/>
    <x v="25"/>
    <x v="6"/>
    <m/>
    <n v="0.84150000000000003"/>
    <n v="0.86950000000000005"/>
    <n v="0.85550000000000004"/>
    <n v="280"/>
  </r>
  <r>
    <x v="6"/>
    <x v="25"/>
    <x v="6"/>
    <m/>
    <n v="0.84150000000000003"/>
    <n v="0.86950000000000005"/>
    <n v="0.85550000000000004"/>
    <n v="280"/>
  </r>
  <r>
    <x v="6"/>
    <x v="25"/>
    <x v="6"/>
    <m/>
    <n v="0.84150000000000003"/>
    <n v="0.86950000000000005"/>
    <n v="0.85550000000000004"/>
    <n v="280"/>
  </r>
  <r>
    <x v="6"/>
    <x v="25"/>
    <x v="6"/>
    <m/>
    <n v="0.84150000000000003"/>
    <n v="0.86950000000000005"/>
    <n v="0.85550000000000004"/>
    <n v="280"/>
  </r>
  <r>
    <x v="6"/>
    <x v="25"/>
    <x v="6"/>
    <m/>
    <n v="0.84150000000000003"/>
    <n v="0.86950000000000005"/>
    <n v="0.85550000000000004"/>
    <n v="280"/>
  </r>
  <r>
    <x v="6"/>
    <x v="60"/>
    <x v="11"/>
    <n v="1.81189"/>
    <n v="1.7838499999999999"/>
    <n v="1.8201799999999999"/>
    <n v="1.8020149999999999"/>
    <n v="363.3"/>
  </r>
  <r>
    <x v="6"/>
    <x v="60"/>
    <x v="11"/>
    <n v="1.81189"/>
    <n v="1.7838499999999999"/>
    <n v="1.8201799999999999"/>
    <n v="1.8020149999999999"/>
    <n v="363.3"/>
  </r>
  <r>
    <x v="6"/>
    <x v="60"/>
    <x v="11"/>
    <n v="1.81189"/>
    <n v="1.7838499999999999"/>
    <n v="1.8201799999999999"/>
    <n v="1.8020149999999999"/>
    <n v="363.3"/>
  </r>
  <r>
    <x v="6"/>
    <x v="60"/>
    <x v="11"/>
    <n v="1.81189"/>
    <n v="1.7838499999999999"/>
    <n v="1.8201799999999999"/>
    <n v="1.8020149999999999"/>
    <n v="363.3"/>
  </r>
  <r>
    <x v="6"/>
    <x v="60"/>
    <x v="11"/>
    <n v="1.81189"/>
    <n v="1.7838499999999999"/>
    <n v="1.8201799999999999"/>
    <n v="1.8020149999999999"/>
    <n v="363.3"/>
  </r>
  <r>
    <x v="6"/>
    <x v="60"/>
    <x v="11"/>
    <n v="1.81189"/>
    <n v="1.7838499999999999"/>
    <n v="1.8201799999999999"/>
    <n v="1.8020149999999999"/>
    <n v="363.3"/>
  </r>
  <r>
    <x v="6"/>
    <x v="60"/>
    <x v="11"/>
    <n v="1.81189"/>
    <n v="1.7838499999999999"/>
    <n v="1.8201799999999999"/>
    <n v="1.8020149999999999"/>
    <n v="363.3"/>
  </r>
  <r>
    <x v="6"/>
    <x v="60"/>
    <x v="11"/>
    <n v="1.81189"/>
    <n v="1.7838499999999999"/>
    <n v="1.8201799999999999"/>
    <n v="1.8020149999999999"/>
    <n v="363.3"/>
  </r>
  <r>
    <x v="6"/>
    <x v="60"/>
    <x v="11"/>
    <n v="1.81189"/>
    <n v="1.7838499999999999"/>
    <n v="1.8201799999999999"/>
    <n v="1.8020149999999999"/>
    <n v="363.3"/>
  </r>
  <r>
    <x v="6"/>
    <x v="60"/>
    <x v="11"/>
    <n v="1.81189"/>
    <n v="1.7838499999999999"/>
    <n v="1.8201799999999999"/>
    <n v="1.8020149999999999"/>
    <n v="363.3"/>
  </r>
  <r>
    <x v="6"/>
    <x v="60"/>
    <x v="11"/>
    <n v="1.81189"/>
    <n v="1.7838499999999999"/>
    <n v="1.8201799999999999"/>
    <n v="1.8020149999999999"/>
    <n v="363.3"/>
  </r>
  <r>
    <x v="6"/>
    <x v="60"/>
    <x v="11"/>
    <n v="1.81189"/>
    <n v="1.7838499999999999"/>
    <n v="1.8201799999999999"/>
    <n v="1.8020149999999999"/>
    <n v="363.3"/>
  </r>
  <r>
    <x v="6"/>
    <x v="60"/>
    <x v="6"/>
    <n v="0.86909999999999998"/>
    <n v="0.84150000000000003"/>
    <n v="0.87350000000000005"/>
    <n v="0.85750000000000004"/>
    <n v="320"/>
  </r>
  <r>
    <x v="6"/>
    <x v="60"/>
    <x v="6"/>
    <n v="0.86909999999999998"/>
    <n v="0.84150000000000003"/>
    <n v="0.87350000000000005"/>
    <n v="0.85750000000000004"/>
    <n v="320"/>
  </r>
  <r>
    <x v="6"/>
    <x v="60"/>
    <x v="6"/>
    <n v="0.86909999999999998"/>
    <n v="0.84150000000000003"/>
    <n v="0.87350000000000005"/>
    <n v="0.85750000000000004"/>
    <n v="320"/>
  </r>
  <r>
    <x v="6"/>
    <x v="60"/>
    <x v="6"/>
    <n v="0.86909999999999998"/>
    <n v="0.84150000000000003"/>
    <n v="0.87350000000000005"/>
    <n v="0.85750000000000004"/>
    <n v="320"/>
  </r>
  <r>
    <x v="6"/>
    <x v="60"/>
    <x v="6"/>
    <n v="0.86909999999999998"/>
    <n v="0.84150000000000003"/>
    <n v="0.87350000000000005"/>
    <n v="0.85750000000000004"/>
    <n v="320"/>
  </r>
  <r>
    <x v="6"/>
    <x v="60"/>
    <x v="6"/>
    <n v="0.86909999999999998"/>
    <n v="0.84150000000000003"/>
    <n v="0.87350000000000005"/>
    <n v="0.85750000000000004"/>
    <n v="320"/>
  </r>
  <r>
    <x v="6"/>
    <x v="60"/>
    <x v="6"/>
    <n v="0.86909999999999998"/>
    <n v="0.84150000000000003"/>
    <n v="0.87350000000000005"/>
    <n v="0.85750000000000004"/>
    <n v="320"/>
  </r>
  <r>
    <x v="6"/>
    <x v="60"/>
    <x v="6"/>
    <n v="0.86909999999999998"/>
    <n v="0.84150000000000003"/>
    <n v="0.87350000000000005"/>
    <n v="0.85750000000000004"/>
    <n v="320"/>
  </r>
  <r>
    <x v="6"/>
    <x v="60"/>
    <x v="6"/>
    <n v="0.86909999999999998"/>
    <n v="0.84150000000000003"/>
    <n v="0.87350000000000005"/>
    <n v="0.85750000000000004"/>
    <n v="320"/>
  </r>
  <r>
    <x v="6"/>
    <x v="60"/>
    <x v="6"/>
    <n v="0.86909999999999998"/>
    <n v="0.84150000000000003"/>
    <n v="0.87350000000000005"/>
    <n v="0.85750000000000004"/>
    <n v="320"/>
  </r>
  <r>
    <x v="6"/>
    <x v="60"/>
    <x v="6"/>
    <n v="0.86909999999999998"/>
    <n v="0.84150000000000003"/>
    <n v="0.87350000000000005"/>
    <n v="0.85750000000000004"/>
    <n v="320"/>
  </r>
  <r>
    <x v="6"/>
    <x v="60"/>
    <x v="6"/>
    <n v="0.86909999999999998"/>
    <n v="0.84150000000000003"/>
    <n v="0.87350000000000005"/>
    <n v="0.85750000000000004"/>
    <n v="320"/>
  </r>
  <r>
    <x v="6"/>
    <x v="60"/>
    <x v="6"/>
    <n v="0.86909999999999998"/>
    <n v="0.84150000000000003"/>
    <n v="0.87350000000000005"/>
    <n v="0.85750000000000004"/>
    <n v="320"/>
  </r>
  <r>
    <x v="6"/>
    <x v="60"/>
    <x v="6"/>
    <n v="0.86909999999999998"/>
    <n v="0.84150000000000003"/>
    <n v="0.87350000000000005"/>
    <n v="0.85750000000000004"/>
    <n v="320"/>
  </r>
  <r>
    <x v="6"/>
    <x v="60"/>
    <x v="6"/>
    <n v="0.86909999999999998"/>
    <n v="0.84150000000000003"/>
    <n v="0.87350000000000005"/>
    <n v="0.85750000000000004"/>
    <n v="320"/>
  </r>
  <r>
    <x v="6"/>
    <x v="60"/>
    <x v="6"/>
    <n v="0.86909999999999998"/>
    <n v="0.84150000000000003"/>
    <n v="0.87350000000000005"/>
    <n v="0.85750000000000004"/>
    <n v="320"/>
  </r>
  <r>
    <x v="6"/>
    <x v="60"/>
    <x v="6"/>
    <n v="0.86909999999999998"/>
    <n v="0.84150000000000003"/>
    <n v="0.87350000000000005"/>
    <n v="0.85750000000000004"/>
    <n v="320"/>
  </r>
  <r>
    <x v="6"/>
    <x v="60"/>
    <x v="6"/>
    <n v="0.86909999999999998"/>
    <n v="0.84150000000000003"/>
    <n v="0.87350000000000005"/>
    <n v="0.85750000000000004"/>
    <n v="320"/>
  </r>
  <r>
    <x v="6"/>
    <x v="60"/>
    <x v="6"/>
    <n v="0.86909999999999998"/>
    <n v="0.84150000000000003"/>
    <n v="0.87350000000000005"/>
    <n v="0.85750000000000004"/>
    <n v="320"/>
  </r>
  <r>
    <x v="6"/>
    <x v="26"/>
    <x v="11"/>
    <n v="1.8067500000000001"/>
    <n v="1.7838499999999999"/>
    <n v="1.8201799999999999"/>
    <n v="1.8020149999999999"/>
    <n v="363.3"/>
  </r>
  <r>
    <x v="6"/>
    <x v="26"/>
    <x v="11"/>
    <n v="1.8067500000000001"/>
    <n v="1.7838499999999999"/>
    <n v="1.8201799999999999"/>
    <n v="1.8020149999999999"/>
    <n v="363.3"/>
  </r>
  <r>
    <x v="6"/>
    <x v="26"/>
    <x v="11"/>
    <n v="1.8067500000000001"/>
    <n v="1.7838499999999999"/>
    <n v="1.8201799999999999"/>
    <n v="1.8020149999999999"/>
    <n v="363.3"/>
  </r>
  <r>
    <x v="6"/>
    <x v="26"/>
    <x v="11"/>
    <n v="1.8067500000000001"/>
    <n v="1.7838499999999999"/>
    <n v="1.8201799999999999"/>
    <n v="1.8020149999999999"/>
    <n v="363.3"/>
  </r>
  <r>
    <x v="6"/>
    <x v="26"/>
    <x v="11"/>
    <n v="1.8067500000000001"/>
    <n v="1.7838499999999999"/>
    <n v="1.8201799999999999"/>
    <n v="1.8020149999999999"/>
    <n v="363.3"/>
  </r>
  <r>
    <x v="6"/>
    <x v="26"/>
    <x v="11"/>
    <n v="1.8067500000000001"/>
    <n v="1.7838499999999999"/>
    <n v="1.8201799999999999"/>
    <n v="1.8020149999999999"/>
    <n v="363.3"/>
  </r>
  <r>
    <x v="6"/>
    <x v="26"/>
    <x v="11"/>
    <n v="1.8067500000000001"/>
    <n v="1.7838499999999999"/>
    <n v="1.8201799999999999"/>
    <n v="1.8020149999999999"/>
    <n v="363.3"/>
  </r>
  <r>
    <x v="6"/>
    <x v="26"/>
    <x v="11"/>
    <n v="1.8067500000000001"/>
    <n v="1.7838499999999999"/>
    <n v="1.8201799999999999"/>
    <n v="1.8020149999999999"/>
    <n v="363.3"/>
  </r>
  <r>
    <x v="6"/>
    <x v="26"/>
    <x v="11"/>
    <n v="1.8067500000000001"/>
    <n v="1.7838499999999999"/>
    <n v="1.8201799999999999"/>
    <n v="1.8020149999999999"/>
    <n v="363.3"/>
  </r>
  <r>
    <x v="6"/>
    <x v="26"/>
    <x v="11"/>
    <n v="1.8067500000000001"/>
    <n v="1.7838499999999999"/>
    <n v="1.8201799999999999"/>
    <n v="1.8020149999999999"/>
    <n v="363.3"/>
  </r>
  <r>
    <x v="6"/>
    <x v="26"/>
    <x v="11"/>
    <n v="1.8067500000000001"/>
    <n v="1.7838499999999999"/>
    <n v="1.8201799999999999"/>
    <n v="1.8020149999999999"/>
    <n v="363.3"/>
  </r>
  <r>
    <x v="6"/>
    <x v="26"/>
    <x v="11"/>
    <n v="1.8067500000000001"/>
    <n v="1.7838499999999999"/>
    <n v="1.8201799999999999"/>
    <n v="1.8020149999999999"/>
    <n v="363.3"/>
  </r>
  <r>
    <x v="6"/>
    <x v="26"/>
    <x v="6"/>
    <n v="0.87705999999999995"/>
    <n v="0.84150000000000003"/>
    <n v="0.87961999999999996"/>
    <n v="0.86055999999999999"/>
    <n v="381.2"/>
  </r>
  <r>
    <x v="6"/>
    <x v="26"/>
    <x v="6"/>
    <n v="0.87705999999999995"/>
    <n v="0.84150000000000003"/>
    <n v="0.87961999999999996"/>
    <n v="0.86055999999999999"/>
    <n v="381.2"/>
  </r>
  <r>
    <x v="6"/>
    <x v="26"/>
    <x v="6"/>
    <n v="0.87705999999999995"/>
    <n v="0.84150000000000003"/>
    <n v="0.87961999999999996"/>
    <n v="0.86055999999999999"/>
    <n v="381.2"/>
  </r>
  <r>
    <x v="6"/>
    <x v="26"/>
    <x v="6"/>
    <n v="0.87705999999999995"/>
    <n v="0.84150000000000003"/>
    <n v="0.87961999999999996"/>
    <n v="0.86055999999999999"/>
    <n v="381.2"/>
  </r>
  <r>
    <x v="6"/>
    <x v="26"/>
    <x v="6"/>
    <n v="0.87705999999999995"/>
    <n v="0.84150000000000003"/>
    <n v="0.87961999999999996"/>
    <n v="0.86055999999999999"/>
    <n v="381.2"/>
  </r>
  <r>
    <x v="6"/>
    <x v="26"/>
    <x v="6"/>
    <n v="0.87705999999999995"/>
    <n v="0.84150000000000003"/>
    <n v="0.87961999999999996"/>
    <n v="0.86055999999999999"/>
    <n v="381.2"/>
  </r>
  <r>
    <x v="6"/>
    <x v="26"/>
    <x v="6"/>
    <n v="0.87705999999999995"/>
    <n v="0.84150000000000003"/>
    <n v="0.87961999999999996"/>
    <n v="0.86055999999999999"/>
    <n v="381.2"/>
  </r>
  <r>
    <x v="6"/>
    <x v="26"/>
    <x v="6"/>
    <n v="0.87705999999999995"/>
    <n v="0.84150000000000003"/>
    <n v="0.87961999999999996"/>
    <n v="0.86055999999999999"/>
    <n v="381.2"/>
  </r>
  <r>
    <x v="6"/>
    <x v="26"/>
    <x v="6"/>
    <n v="0.87705999999999995"/>
    <n v="0.84150000000000003"/>
    <n v="0.87961999999999996"/>
    <n v="0.86055999999999999"/>
    <n v="381.2"/>
  </r>
  <r>
    <x v="6"/>
    <x v="26"/>
    <x v="6"/>
    <n v="0.87705999999999995"/>
    <n v="0.84150000000000003"/>
    <n v="0.87961999999999996"/>
    <n v="0.86055999999999999"/>
    <n v="381.2"/>
  </r>
  <r>
    <x v="6"/>
    <x v="26"/>
    <x v="6"/>
    <n v="0.87705999999999995"/>
    <n v="0.84150000000000003"/>
    <n v="0.87961999999999996"/>
    <n v="0.86055999999999999"/>
    <n v="381.2"/>
  </r>
  <r>
    <x v="6"/>
    <x v="26"/>
    <x v="6"/>
    <n v="0.87705999999999995"/>
    <n v="0.84150000000000003"/>
    <n v="0.87961999999999996"/>
    <n v="0.86055999999999999"/>
    <n v="381.2"/>
  </r>
  <r>
    <x v="6"/>
    <x v="26"/>
    <x v="6"/>
    <n v="0.87705999999999995"/>
    <n v="0.84150000000000003"/>
    <n v="0.87961999999999996"/>
    <n v="0.86055999999999999"/>
    <n v="381.2"/>
  </r>
  <r>
    <x v="6"/>
    <x v="26"/>
    <x v="6"/>
    <n v="0.87705999999999995"/>
    <n v="0.84150000000000003"/>
    <n v="0.87961999999999996"/>
    <n v="0.86055999999999999"/>
    <n v="381.2"/>
  </r>
  <r>
    <x v="6"/>
    <x v="26"/>
    <x v="6"/>
    <n v="0.87705999999999995"/>
    <n v="0.84150000000000003"/>
    <n v="0.87961999999999996"/>
    <n v="0.86055999999999999"/>
    <n v="381.2"/>
  </r>
  <r>
    <x v="6"/>
    <x v="26"/>
    <x v="6"/>
    <n v="0.87705999999999995"/>
    <n v="0.84150000000000003"/>
    <n v="0.87961999999999996"/>
    <n v="0.86055999999999999"/>
    <n v="381.2"/>
  </r>
  <r>
    <x v="6"/>
    <x v="26"/>
    <x v="6"/>
    <n v="0.87705999999999995"/>
    <n v="0.84150000000000003"/>
    <n v="0.87961999999999996"/>
    <n v="0.86055999999999999"/>
    <n v="381.2"/>
  </r>
  <r>
    <x v="6"/>
    <x v="26"/>
    <x v="6"/>
    <n v="0.87705999999999995"/>
    <n v="0.84150000000000003"/>
    <n v="0.87961999999999996"/>
    <n v="0.86055999999999999"/>
    <n v="381.2"/>
  </r>
  <r>
    <x v="6"/>
    <x v="26"/>
    <x v="6"/>
    <n v="0.87705999999999995"/>
    <n v="0.84150000000000003"/>
    <n v="0.87961999999999996"/>
    <n v="0.86055999999999999"/>
    <n v="381.2"/>
  </r>
  <r>
    <x v="6"/>
    <x v="26"/>
    <x v="6"/>
    <n v="0.87705999999999995"/>
    <n v="0.84150000000000003"/>
    <n v="0.87961999999999996"/>
    <n v="0.86055999999999999"/>
    <n v="381.2"/>
  </r>
  <r>
    <x v="6"/>
    <x v="26"/>
    <x v="6"/>
    <n v="0.87705999999999995"/>
    <n v="0.84150000000000003"/>
    <n v="0.87961999999999996"/>
    <n v="0.86055999999999999"/>
    <n v="381.2"/>
  </r>
  <r>
    <x v="6"/>
    <x v="26"/>
    <x v="6"/>
    <n v="0.87705999999999995"/>
    <n v="0.84150000000000003"/>
    <n v="0.87961999999999996"/>
    <n v="0.86055999999999999"/>
    <n v="381.2"/>
  </r>
  <r>
    <x v="6"/>
    <x v="0"/>
    <x v="11"/>
    <n v="1.83195"/>
    <n v="1.7838499999999999"/>
    <n v="1.8360000000000001"/>
    <n v="1.809925"/>
    <n v="521.5"/>
  </r>
  <r>
    <x v="6"/>
    <x v="0"/>
    <x v="11"/>
    <n v="1.83195"/>
    <n v="1.7838499999999999"/>
    <n v="1.8360000000000001"/>
    <n v="1.809925"/>
    <n v="521.5"/>
  </r>
  <r>
    <x v="6"/>
    <x v="0"/>
    <x v="11"/>
    <n v="1.83195"/>
    <n v="1.7838499999999999"/>
    <n v="1.8360000000000001"/>
    <n v="1.809925"/>
    <n v="521.5"/>
  </r>
  <r>
    <x v="6"/>
    <x v="0"/>
    <x v="11"/>
    <n v="1.83195"/>
    <n v="1.7838499999999999"/>
    <n v="1.8360000000000001"/>
    <n v="1.809925"/>
    <n v="521.5"/>
  </r>
  <r>
    <x v="6"/>
    <x v="0"/>
    <x v="11"/>
    <n v="1.83195"/>
    <n v="1.7838499999999999"/>
    <n v="1.8360000000000001"/>
    <n v="1.809925"/>
    <n v="521.5"/>
  </r>
  <r>
    <x v="6"/>
    <x v="0"/>
    <x v="11"/>
    <n v="1.83195"/>
    <n v="1.7838499999999999"/>
    <n v="1.8360000000000001"/>
    <n v="1.809925"/>
    <n v="521.5"/>
  </r>
  <r>
    <x v="6"/>
    <x v="0"/>
    <x v="11"/>
    <n v="1.83195"/>
    <n v="1.7838499999999999"/>
    <n v="1.8360000000000001"/>
    <n v="1.809925"/>
    <n v="521.5"/>
  </r>
  <r>
    <x v="6"/>
    <x v="0"/>
    <x v="11"/>
    <n v="1.83195"/>
    <n v="1.7838499999999999"/>
    <n v="1.8360000000000001"/>
    <n v="1.809925"/>
    <n v="521.5"/>
  </r>
  <r>
    <x v="6"/>
    <x v="0"/>
    <x v="11"/>
    <n v="1.83195"/>
    <n v="1.7838499999999999"/>
    <n v="1.8360000000000001"/>
    <n v="1.809925"/>
    <n v="521.5"/>
  </r>
  <r>
    <x v="6"/>
    <x v="0"/>
    <x v="11"/>
    <n v="1.83195"/>
    <n v="1.7838499999999999"/>
    <n v="1.8360000000000001"/>
    <n v="1.809925"/>
    <n v="521.5"/>
  </r>
  <r>
    <x v="6"/>
    <x v="0"/>
    <x v="11"/>
    <n v="1.83195"/>
    <n v="1.7838499999999999"/>
    <n v="1.8360000000000001"/>
    <n v="1.809925"/>
    <n v="521.5"/>
  </r>
  <r>
    <x v="6"/>
    <x v="0"/>
    <x v="11"/>
    <n v="1.83195"/>
    <n v="1.7838499999999999"/>
    <n v="1.8360000000000001"/>
    <n v="1.809925"/>
    <n v="521.5"/>
  </r>
  <r>
    <x v="6"/>
    <x v="0"/>
    <x v="11"/>
    <n v="1.83195"/>
    <n v="1.7838499999999999"/>
    <n v="1.8360000000000001"/>
    <n v="1.809925"/>
    <n v="521.5"/>
  </r>
  <r>
    <x v="6"/>
    <x v="0"/>
    <x v="11"/>
    <n v="1.83195"/>
    <n v="1.7838499999999999"/>
    <n v="1.8360000000000001"/>
    <n v="1.809925"/>
    <n v="521.5"/>
  </r>
  <r>
    <x v="6"/>
    <x v="0"/>
    <x v="11"/>
    <n v="1.83195"/>
    <n v="1.7838499999999999"/>
    <n v="1.8360000000000001"/>
    <n v="1.809925"/>
    <n v="521.5"/>
  </r>
  <r>
    <x v="6"/>
    <x v="0"/>
    <x v="11"/>
    <n v="1.83195"/>
    <n v="1.7838499999999999"/>
    <n v="1.8360000000000001"/>
    <n v="1.809925"/>
    <n v="521.5"/>
  </r>
  <r>
    <x v="6"/>
    <x v="0"/>
    <x v="11"/>
    <n v="1.83195"/>
    <n v="1.7838499999999999"/>
    <n v="1.8360000000000001"/>
    <n v="1.809925"/>
    <n v="521.5"/>
  </r>
  <r>
    <x v="6"/>
    <x v="0"/>
    <x v="6"/>
    <n v="0.87338000000000005"/>
    <n v="0.84150000000000003"/>
    <n v="0.87961999999999996"/>
    <n v="0.86055999999999999"/>
    <n v="381.2"/>
  </r>
  <r>
    <x v="6"/>
    <x v="0"/>
    <x v="6"/>
    <n v="0.87338000000000005"/>
    <n v="0.84150000000000003"/>
    <n v="0.87961999999999996"/>
    <n v="0.86055999999999999"/>
    <n v="381.2"/>
  </r>
  <r>
    <x v="6"/>
    <x v="0"/>
    <x v="6"/>
    <n v="0.87338000000000005"/>
    <n v="0.84150000000000003"/>
    <n v="0.87961999999999996"/>
    <n v="0.86055999999999999"/>
    <n v="381.2"/>
  </r>
  <r>
    <x v="6"/>
    <x v="0"/>
    <x v="6"/>
    <n v="0.87338000000000005"/>
    <n v="0.84150000000000003"/>
    <n v="0.87961999999999996"/>
    <n v="0.86055999999999999"/>
    <n v="381.2"/>
  </r>
  <r>
    <x v="6"/>
    <x v="0"/>
    <x v="6"/>
    <n v="0.87338000000000005"/>
    <n v="0.84150000000000003"/>
    <n v="0.87961999999999996"/>
    <n v="0.86055999999999999"/>
    <n v="381.2"/>
  </r>
  <r>
    <x v="6"/>
    <x v="0"/>
    <x v="6"/>
    <n v="0.87338000000000005"/>
    <n v="0.84150000000000003"/>
    <n v="0.87961999999999996"/>
    <n v="0.86055999999999999"/>
    <n v="381.2"/>
  </r>
  <r>
    <x v="6"/>
    <x v="0"/>
    <x v="6"/>
    <n v="0.87338000000000005"/>
    <n v="0.84150000000000003"/>
    <n v="0.87961999999999996"/>
    <n v="0.86055999999999999"/>
    <n v="381.2"/>
  </r>
  <r>
    <x v="6"/>
    <x v="0"/>
    <x v="6"/>
    <n v="0.87338000000000005"/>
    <n v="0.84150000000000003"/>
    <n v="0.87961999999999996"/>
    <n v="0.86055999999999999"/>
    <n v="381.2"/>
  </r>
  <r>
    <x v="6"/>
    <x v="0"/>
    <x v="6"/>
    <n v="0.87338000000000005"/>
    <n v="0.84150000000000003"/>
    <n v="0.87961999999999996"/>
    <n v="0.86055999999999999"/>
    <n v="381.2"/>
  </r>
  <r>
    <x v="6"/>
    <x v="0"/>
    <x v="6"/>
    <n v="0.87338000000000005"/>
    <n v="0.84150000000000003"/>
    <n v="0.87961999999999996"/>
    <n v="0.86055999999999999"/>
    <n v="381.2"/>
  </r>
  <r>
    <x v="6"/>
    <x v="0"/>
    <x v="6"/>
    <n v="0.87338000000000005"/>
    <n v="0.84150000000000003"/>
    <n v="0.87961999999999996"/>
    <n v="0.86055999999999999"/>
    <n v="381.2"/>
  </r>
  <r>
    <x v="6"/>
    <x v="0"/>
    <x v="6"/>
    <n v="0.87338000000000005"/>
    <n v="0.84150000000000003"/>
    <n v="0.87961999999999996"/>
    <n v="0.86055999999999999"/>
    <n v="381.2"/>
  </r>
  <r>
    <x v="6"/>
    <x v="0"/>
    <x v="6"/>
    <n v="0.87338000000000005"/>
    <n v="0.84150000000000003"/>
    <n v="0.87961999999999996"/>
    <n v="0.86055999999999999"/>
    <n v="381.2"/>
  </r>
  <r>
    <x v="6"/>
    <x v="0"/>
    <x v="6"/>
    <n v="0.87338000000000005"/>
    <n v="0.84150000000000003"/>
    <n v="0.87961999999999996"/>
    <n v="0.86055999999999999"/>
    <n v="381.2"/>
  </r>
  <r>
    <x v="6"/>
    <x v="0"/>
    <x v="6"/>
    <n v="0.87338000000000005"/>
    <n v="0.84150000000000003"/>
    <n v="0.87961999999999996"/>
    <n v="0.86055999999999999"/>
    <n v="381.2"/>
  </r>
  <r>
    <x v="6"/>
    <x v="0"/>
    <x v="6"/>
    <n v="0.87338000000000005"/>
    <n v="0.84150000000000003"/>
    <n v="0.87961999999999996"/>
    <n v="0.86055999999999999"/>
    <n v="381.2"/>
  </r>
  <r>
    <x v="6"/>
    <x v="0"/>
    <x v="6"/>
    <n v="0.87338000000000005"/>
    <n v="0.84150000000000003"/>
    <n v="0.87961999999999996"/>
    <n v="0.86055999999999999"/>
    <n v="381.2"/>
  </r>
  <r>
    <x v="6"/>
    <x v="0"/>
    <x v="6"/>
    <n v="0.87338000000000005"/>
    <n v="0.84150000000000003"/>
    <n v="0.87961999999999996"/>
    <n v="0.86055999999999999"/>
    <n v="381.2"/>
  </r>
  <r>
    <x v="6"/>
    <x v="0"/>
    <x v="6"/>
    <n v="0.87338000000000005"/>
    <n v="0.84150000000000003"/>
    <n v="0.87961999999999996"/>
    <n v="0.86055999999999999"/>
    <n v="381.2"/>
  </r>
  <r>
    <x v="6"/>
    <x v="0"/>
    <x v="6"/>
    <n v="0.87338000000000005"/>
    <n v="0.84150000000000003"/>
    <n v="0.87961999999999996"/>
    <n v="0.86055999999999999"/>
    <n v="381.2"/>
  </r>
  <r>
    <x v="6"/>
    <x v="1"/>
    <x v="11"/>
    <n v="1.82317"/>
    <n v="1.7838499999999999"/>
    <n v="1.8360000000000001"/>
    <n v="1.809925"/>
    <n v="521.5"/>
  </r>
  <r>
    <x v="6"/>
    <x v="1"/>
    <x v="11"/>
    <n v="1.82317"/>
    <n v="1.7838499999999999"/>
    <n v="1.8360000000000001"/>
    <n v="1.809925"/>
    <n v="521.5"/>
  </r>
  <r>
    <x v="6"/>
    <x v="1"/>
    <x v="11"/>
    <n v="1.82317"/>
    <n v="1.7838499999999999"/>
    <n v="1.8360000000000001"/>
    <n v="1.809925"/>
    <n v="521.5"/>
  </r>
  <r>
    <x v="6"/>
    <x v="1"/>
    <x v="11"/>
    <n v="1.82317"/>
    <n v="1.7838499999999999"/>
    <n v="1.8360000000000001"/>
    <n v="1.809925"/>
    <n v="521.5"/>
  </r>
  <r>
    <x v="6"/>
    <x v="1"/>
    <x v="11"/>
    <n v="1.82317"/>
    <n v="1.7838499999999999"/>
    <n v="1.8360000000000001"/>
    <n v="1.809925"/>
    <n v="521.5"/>
  </r>
  <r>
    <x v="6"/>
    <x v="1"/>
    <x v="11"/>
    <n v="1.82317"/>
    <n v="1.7838499999999999"/>
    <n v="1.8360000000000001"/>
    <n v="1.809925"/>
    <n v="521.5"/>
  </r>
  <r>
    <x v="6"/>
    <x v="1"/>
    <x v="11"/>
    <n v="1.82317"/>
    <n v="1.7838499999999999"/>
    <n v="1.8360000000000001"/>
    <n v="1.809925"/>
    <n v="521.5"/>
  </r>
  <r>
    <x v="6"/>
    <x v="1"/>
    <x v="11"/>
    <n v="1.82317"/>
    <n v="1.7838499999999999"/>
    <n v="1.8360000000000001"/>
    <n v="1.809925"/>
    <n v="521.5"/>
  </r>
  <r>
    <x v="6"/>
    <x v="1"/>
    <x v="11"/>
    <n v="1.82317"/>
    <n v="1.7838499999999999"/>
    <n v="1.8360000000000001"/>
    <n v="1.809925"/>
    <n v="521.5"/>
  </r>
  <r>
    <x v="6"/>
    <x v="1"/>
    <x v="11"/>
    <n v="1.82317"/>
    <n v="1.7838499999999999"/>
    <n v="1.8360000000000001"/>
    <n v="1.809925"/>
    <n v="521.5"/>
  </r>
  <r>
    <x v="6"/>
    <x v="1"/>
    <x v="11"/>
    <n v="1.82317"/>
    <n v="1.7838499999999999"/>
    <n v="1.8360000000000001"/>
    <n v="1.809925"/>
    <n v="521.5"/>
  </r>
  <r>
    <x v="6"/>
    <x v="1"/>
    <x v="11"/>
    <n v="1.82317"/>
    <n v="1.7838499999999999"/>
    <n v="1.8360000000000001"/>
    <n v="1.809925"/>
    <n v="521.5"/>
  </r>
  <r>
    <x v="6"/>
    <x v="1"/>
    <x v="11"/>
    <n v="1.82317"/>
    <n v="1.7838499999999999"/>
    <n v="1.8360000000000001"/>
    <n v="1.809925"/>
    <n v="521.5"/>
  </r>
  <r>
    <x v="6"/>
    <x v="1"/>
    <x v="11"/>
    <n v="1.82317"/>
    <n v="1.7838499999999999"/>
    <n v="1.8360000000000001"/>
    <n v="1.809925"/>
    <n v="521.5"/>
  </r>
  <r>
    <x v="6"/>
    <x v="1"/>
    <x v="11"/>
    <n v="1.82317"/>
    <n v="1.7838499999999999"/>
    <n v="1.8360000000000001"/>
    <n v="1.809925"/>
    <n v="521.5"/>
  </r>
  <r>
    <x v="6"/>
    <x v="1"/>
    <x v="11"/>
    <n v="1.82317"/>
    <n v="1.7838499999999999"/>
    <n v="1.8360000000000001"/>
    <n v="1.809925"/>
    <n v="521.5"/>
  </r>
  <r>
    <x v="6"/>
    <x v="1"/>
    <x v="6"/>
    <n v="0.88095999999999997"/>
    <n v="0.84150000000000003"/>
    <n v="0.87961999999999996"/>
    <n v="0.86055999999999999"/>
    <n v="381.2"/>
  </r>
  <r>
    <x v="6"/>
    <x v="1"/>
    <x v="6"/>
    <n v="0.88095999999999997"/>
    <n v="0.84150000000000003"/>
    <n v="0.87961999999999996"/>
    <n v="0.86055999999999999"/>
    <n v="381.2"/>
  </r>
  <r>
    <x v="6"/>
    <x v="1"/>
    <x v="6"/>
    <n v="0.88095999999999997"/>
    <n v="0.84150000000000003"/>
    <n v="0.87961999999999996"/>
    <n v="0.86055999999999999"/>
    <n v="381.2"/>
  </r>
  <r>
    <x v="6"/>
    <x v="1"/>
    <x v="6"/>
    <n v="0.88095999999999997"/>
    <n v="0.84150000000000003"/>
    <n v="0.87961999999999996"/>
    <n v="0.86055999999999999"/>
    <n v="381.2"/>
  </r>
  <r>
    <x v="6"/>
    <x v="1"/>
    <x v="6"/>
    <n v="0.88095999999999997"/>
    <n v="0.84150000000000003"/>
    <n v="0.87961999999999996"/>
    <n v="0.86055999999999999"/>
    <n v="381.2"/>
  </r>
  <r>
    <x v="6"/>
    <x v="1"/>
    <x v="6"/>
    <n v="0.88095999999999997"/>
    <n v="0.84150000000000003"/>
    <n v="0.87961999999999996"/>
    <n v="0.86055999999999999"/>
    <n v="381.2"/>
  </r>
  <r>
    <x v="6"/>
    <x v="1"/>
    <x v="6"/>
    <n v="0.88095999999999997"/>
    <n v="0.84150000000000003"/>
    <n v="0.87961999999999996"/>
    <n v="0.86055999999999999"/>
    <n v="381.2"/>
  </r>
  <r>
    <x v="6"/>
    <x v="1"/>
    <x v="6"/>
    <n v="0.88095999999999997"/>
    <n v="0.84150000000000003"/>
    <n v="0.87961999999999996"/>
    <n v="0.86055999999999999"/>
    <n v="381.2"/>
  </r>
  <r>
    <x v="6"/>
    <x v="1"/>
    <x v="6"/>
    <n v="0.88095999999999997"/>
    <n v="0.84150000000000003"/>
    <n v="0.87961999999999996"/>
    <n v="0.86055999999999999"/>
    <n v="381.2"/>
  </r>
  <r>
    <x v="6"/>
    <x v="1"/>
    <x v="6"/>
    <n v="0.88095999999999997"/>
    <n v="0.84150000000000003"/>
    <n v="0.87961999999999996"/>
    <n v="0.86055999999999999"/>
    <n v="381.2"/>
  </r>
  <r>
    <x v="6"/>
    <x v="1"/>
    <x v="6"/>
    <n v="0.88095999999999997"/>
    <n v="0.84150000000000003"/>
    <n v="0.87961999999999996"/>
    <n v="0.86055999999999999"/>
    <n v="381.2"/>
  </r>
  <r>
    <x v="6"/>
    <x v="1"/>
    <x v="6"/>
    <n v="0.88095999999999997"/>
    <n v="0.84150000000000003"/>
    <n v="0.87961999999999996"/>
    <n v="0.86055999999999999"/>
    <n v="381.2"/>
  </r>
  <r>
    <x v="6"/>
    <x v="1"/>
    <x v="6"/>
    <n v="0.88095999999999997"/>
    <n v="0.84150000000000003"/>
    <n v="0.87961999999999996"/>
    <n v="0.86055999999999999"/>
    <n v="381.2"/>
  </r>
  <r>
    <x v="6"/>
    <x v="1"/>
    <x v="6"/>
    <n v="0.88095999999999997"/>
    <n v="0.84150000000000003"/>
    <n v="0.87961999999999996"/>
    <n v="0.86055999999999999"/>
    <n v="381.2"/>
  </r>
  <r>
    <x v="6"/>
    <x v="1"/>
    <x v="6"/>
    <n v="0.88095999999999997"/>
    <n v="0.84150000000000003"/>
    <n v="0.87961999999999996"/>
    <n v="0.86055999999999999"/>
    <n v="381.2"/>
  </r>
  <r>
    <x v="6"/>
    <x v="1"/>
    <x v="6"/>
    <n v="0.88095999999999997"/>
    <n v="0.84150000000000003"/>
    <n v="0.87961999999999996"/>
    <n v="0.86055999999999999"/>
    <n v="381.2"/>
  </r>
  <r>
    <x v="6"/>
    <x v="1"/>
    <x v="6"/>
    <n v="0.88095999999999997"/>
    <n v="0.84150000000000003"/>
    <n v="0.87961999999999996"/>
    <n v="0.86055999999999999"/>
    <n v="381.2"/>
  </r>
  <r>
    <x v="6"/>
    <x v="1"/>
    <x v="6"/>
    <n v="0.88095999999999997"/>
    <n v="0.84150000000000003"/>
    <n v="0.87961999999999996"/>
    <n v="0.86055999999999999"/>
    <n v="381.2"/>
  </r>
  <r>
    <x v="6"/>
    <x v="1"/>
    <x v="6"/>
    <n v="0.88095999999999997"/>
    <n v="0.84150000000000003"/>
    <n v="0.87961999999999996"/>
    <n v="0.86055999999999999"/>
    <n v="381.2"/>
  </r>
  <r>
    <x v="6"/>
    <x v="2"/>
    <x v="11"/>
    <n v="1.81776"/>
    <n v="1.7838499999999999"/>
    <n v="1.8360000000000001"/>
    <n v="1.809925"/>
    <n v="521.5"/>
  </r>
  <r>
    <x v="6"/>
    <x v="2"/>
    <x v="11"/>
    <n v="1.81776"/>
    <n v="1.7838499999999999"/>
    <n v="1.8360000000000001"/>
    <n v="1.809925"/>
    <n v="521.5"/>
  </r>
  <r>
    <x v="6"/>
    <x v="2"/>
    <x v="11"/>
    <n v="1.81776"/>
    <n v="1.7838499999999999"/>
    <n v="1.8360000000000001"/>
    <n v="1.809925"/>
    <n v="521.5"/>
  </r>
  <r>
    <x v="6"/>
    <x v="2"/>
    <x v="11"/>
    <n v="1.81776"/>
    <n v="1.7838499999999999"/>
    <n v="1.8360000000000001"/>
    <n v="1.809925"/>
    <n v="521.5"/>
  </r>
  <r>
    <x v="6"/>
    <x v="2"/>
    <x v="11"/>
    <n v="1.81776"/>
    <n v="1.7838499999999999"/>
    <n v="1.8360000000000001"/>
    <n v="1.809925"/>
    <n v="521.5"/>
  </r>
  <r>
    <x v="6"/>
    <x v="2"/>
    <x v="11"/>
    <n v="1.81776"/>
    <n v="1.7838499999999999"/>
    <n v="1.8360000000000001"/>
    <n v="1.809925"/>
    <n v="521.5"/>
  </r>
  <r>
    <x v="6"/>
    <x v="2"/>
    <x v="11"/>
    <n v="1.81776"/>
    <n v="1.7838499999999999"/>
    <n v="1.8360000000000001"/>
    <n v="1.809925"/>
    <n v="521.5"/>
  </r>
  <r>
    <x v="6"/>
    <x v="2"/>
    <x v="11"/>
    <n v="1.81776"/>
    <n v="1.7838499999999999"/>
    <n v="1.8360000000000001"/>
    <n v="1.809925"/>
    <n v="521.5"/>
  </r>
  <r>
    <x v="6"/>
    <x v="2"/>
    <x v="11"/>
    <n v="1.81776"/>
    <n v="1.7838499999999999"/>
    <n v="1.8360000000000001"/>
    <n v="1.809925"/>
    <n v="521.5"/>
  </r>
  <r>
    <x v="6"/>
    <x v="2"/>
    <x v="11"/>
    <n v="1.81776"/>
    <n v="1.7838499999999999"/>
    <n v="1.8360000000000001"/>
    <n v="1.809925"/>
    <n v="521.5"/>
  </r>
  <r>
    <x v="6"/>
    <x v="2"/>
    <x v="11"/>
    <n v="1.81776"/>
    <n v="1.7838499999999999"/>
    <n v="1.8360000000000001"/>
    <n v="1.809925"/>
    <n v="521.5"/>
  </r>
  <r>
    <x v="6"/>
    <x v="2"/>
    <x v="11"/>
    <n v="1.81776"/>
    <n v="1.7838499999999999"/>
    <n v="1.8360000000000001"/>
    <n v="1.809925"/>
    <n v="521.5"/>
  </r>
  <r>
    <x v="6"/>
    <x v="2"/>
    <x v="11"/>
    <n v="1.81776"/>
    <n v="1.7838499999999999"/>
    <n v="1.8360000000000001"/>
    <n v="1.809925"/>
    <n v="521.5"/>
  </r>
  <r>
    <x v="6"/>
    <x v="2"/>
    <x v="11"/>
    <n v="1.81776"/>
    <n v="1.7838499999999999"/>
    <n v="1.8360000000000001"/>
    <n v="1.809925"/>
    <n v="521.5"/>
  </r>
  <r>
    <x v="6"/>
    <x v="2"/>
    <x v="11"/>
    <n v="1.81776"/>
    <n v="1.7838499999999999"/>
    <n v="1.8360000000000001"/>
    <n v="1.809925"/>
    <n v="521.5"/>
  </r>
  <r>
    <x v="6"/>
    <x v="2"/>
    <x v="11"/>
    <n v="1.81776"/>
    <n v="1.7838499999999999"/>
    <n v="1.8360000000000001"/>
    <n v="1.809925"/>
    <n v="521.5"/>
  </r>
  <r>
    <x v="6"/>
    <x v="2"/>
    <x v="6"/>
    <n v="0.86792999999999998"/>
    <n v="0.84150000000000003"/>
    <n v="0.87961999999999996"/>
    <n v="0.86055999999999999"/>
    <n v="381.2"/>
  </r>
  <r>
    <x v="6"/>
    <x v="2"/>
    <x v="6"/>
    <n v="0.86792999999999998"/>
    <n v="0.84150000000000003"/>
    <n v="0.87961999999999996"/>
    <n v="0.86055999999999999"/>
    <n v="381.2"/>
  </r>
  <r>
    <x v="6"/>
    <x v="2"/>
    <x v="6"/>
    <n v="0.86792999999999998"/>
    <n v="0.84150000000000003"/>
    <n v="0.87961999999999996"/>
    <n v="0.86055999999999999"/>
    <n v="381.2"/>
  </r>
  <r>
    <x v="6"/>
    <x v="2"/>
    <x v="6"/>
    <n v="0.86792999999999998"/>
    <n v="0.84150000000000003"/>
    <n v="0.87961999999999996"/>
    <n v="0.86055999999999999"/>
    <n v="381.2"/>
  </r>
  <r>
    <x v="6"/>
    <x v="2"/>
    <x v="6"/>
    <n v="0.86792999999999998"/>
    <n v="0.84150000000000003"/>
    <n v="0.87961999999999996"/>
    <n v="0.86055999999999999"/>
    <n v="381.2"/>
  </r>
  <r>
    <x v="6"/>
    <x v="2"/>
    <x v="6"/>
    <n v="0.86792999999999998"/>
    <n v="0.84150000000000003"/>
    <n v="0.87961999999999996"/>
    <n v="0.86055999999999999"/>
    <n v="381.2"/>
  </r>
  <r>
    <x v="6"/>
    <x v="2"/>
    <x v="6"/>
    <n v="0.86792999999999998"/>
    <n v="0.84150000000000003"/>
    <n v="0.87961999999999996"/>
    <n v="0.86055999999999999"/>
    <n v="381.2"/>
  </r>
  <r>
    <x v="6"/>
    <x v="2"/>
    <x v="6"/>
    <n v="0.86792999999999998"/>
    <n v="0.84150000000000003"/>
    <n v="0.87961999999999996"/>
    <n v="0.86055999999999999"/>
    <n v="381.2"/>
  </r>
  <r>
    <x v="6"/>
    <x v="2"/>
    <x v="6"/>
    <n v="0.86792999999999998"/>
    <n v="0.84150000000000003"/>
    <n v="0.87961999999999996"/>
    <n v="0.86055999999999999"/>
    <n v="381.2"/>
  </r>
  <r>
    <x v="6"/>
    <x v="2"/>
    <x v="6"/>
    <n v="0.86792999999999998"/>
    <n v="0.84150000000000003"/>
    <n v="0.87961999999999996"/>
    <n v="0.86055999999999999"/>
    <n v="381.2"/>
  </r>
  <r>
    <x v="6"/>
    <x v="2"/>
    <x v="6"/>
    <n v="0.86792999999999998"/>
    <n v="0.84150000000000003"/>
    <n v="0.87961999999999996"/>
    <n v="0.86055999999999999"/>
    <n v="381.2"/>
  </r>
  <r>
    <x v="6"/>
    <x v="2"/>
    <x v="6"/>
    <n v="0.86792999999999998"/>
    <n v="0.84150000000000003"/>
    <n v="0.87961999999999996"/>
    <n v="0.86055999999999999"/>
    <n v="381.2"/>
  </r>
  <r>
    <x v="6"/>
    <x v="2"/>
    <x v="6"/>
    <n v="0.86792999999999998"/>
    <n v="0.84150000000000003"/>
    <n v="0.87961999999999996"/>
    <n v="0.86055999999999999"/>
    <n v="381.2"/>
  </r>
  <r>
    <x v="6"/>
    <x v="2"/>
    <x v="6"/>
    <n v="0.86792999999999998"/>
    <n v="0.84150000000000003"/>
    <n v="0.87961999999999996"/>
    <n v="0.86055999999999999"/>
    <n v="381.2"/>
  </r>
  <r>
    <x v="6"/>
    <x v="2"/>
    <x v="6"/>
    <n v="0.86792999999999998"/>
    <n v="0.84150000000000003"/>
    <n v="0.87961999999999996"/>
    <n v="0.86055999999999999"/>
    <n v="381.2"/>
  </r>
  <r>
    <x v="6"/>
    <x v="2"/>
    <x v="6"/>
    <n v="0.86792999999999998"/>
    <n v="0.84150000000000003"/>
    <n v="0.87961999999999996"/>
    <n v="0.86055999999999999"/>
    <n v="381.2"/>
  </r>
  <r>
    <x v="6"/>
    <x v="3"/>
    <x v="11"/>
    <n v="1.8059400000000001"/>
    <n v="1.7838499999999999"/>
    <n v="1.8360000000000001"/>
    <n v="1.809925"/>
    <n v="521.5"/>
  </r>
  <r>
    <x v="6"/>
    <x v="3"/>
    <x v="11"/>
    <n v="1.8059400000000001"/>
    <n v="1.7838499999999999"/>
    <n v="1.8360000000000001"/>
    <n v="1.809925"/>
    <n v="521.5"/>
  </r>
  <r>
    <x v="6"/>
    <x v="3"/>
    <x v="11"/>
    <n v="1.8059400000000001"/>
    <n v="1.7838499999999999"/>
    <n v="1.8360000000000001"/>
    <n v="1.809925"/>
    <n v="521.5"/>
  </r>
  <r>
    <x v="6"/>
    <x v="3"/>
    <x v="11"/>
    <n v="1.8059400000000001"/>
    <n v="1.7838499999999999"/>
    <n v="1.8360000000000001"/>
    <n v="1.809925"/>
    <n v="521.5"/>
  </r>
  <r>
    <x v="6"/>
    <x v="3"/>
    <x v="11"/>
    <n v="1.8059400000000001"/>
    <n v="1.7838499999999999"/>
    <n v="1.8360000000000001"/>
    <n v="1.809925"/>
    <n v="521.5"/>
  </r>
  <r>
    <x v="6"/>
    <x v="3"/>
    <x v="11"/>
    <n v="1.8059400000000001"/>
    <n v="1.7838499999999999"/>
    <n v="1.8360000000000001"/>
    <n v="1.809925"/>
    <n v="521.5"/>
  </r>
  <r>
    <x v="6"/>
    <x v="3"/>
    <x v="11"/>
    <n v="1.8059400000000001"/>
    <n v="1.7838499999999999"/>
    <n v="1.8360000000000001"/>
    <n v="1.809925"/>
    <n v="521.5"/>
  </r>
  <r>
    <x v="6"/>
    <x v="3"/>
    <x v="11"/>
    <n v="1.8059400000000001"/>
    <n v="1.7838499999999999"/>
    <n v="1.8360000000000001"/>
    <n v="1.809925"/>
    <n v="521.5"/>
  </r>
  <r>
    <x v="6"/>
    <x v="3"/>
    <x v="11"/>
    <n v="1.8059400000000001"/>
    <n v="1.7838499999999999"/>
    <n v="1.8360000000000001"/>
    <n v="1.809925"/>
    <n v="521.5"/>
  </r>
  <r>
    <x v="6"/>
    <x v="3"/>
    <x v="11"/>
    <n v="1.8059400000000001"/>
    <n v="1.7838499999999999"/>
    <n v="1.8360000000000001"/>
    <n v="1.809925"/>
    <n v="521.5"/>
  </r>
  <r>
    <x v="6"/>
    <x v="3"/>
    <x v="11"/>
    <n v="1.8059400000000001"/>
    <n v="1.7838499999999999"/>
    <n v="1.8360000000000001"/>
    <n v="1.809925"/>
    <n v="521.5"/>
  </r>
  <r>
    <x v="6"/>
    <x v="3"/>
    <x v="11"/>
    <n v="1.8059400000000001"/>
    <n v="1.7838499999999999"/>
    <n v="1.8360000000000001"/>
    <n v="1.809925"/>
    <n v="521.5"/>
  </r>
  <r>
    <x v="6"/>
    <x v="3"/>
    <x v="11"/>
    <n v="1.8059400000000001"/>
    <n v="1.7838499999999999"/>
    <n v="1.8360000000000001"/>
    <n v="1.809925"/>
    <n v="521.5"/>
  </r>
  <r>
    <x v="6"/>
    <x v="3"/>
    <x v="11"/>
    <n v="1.8059400000000001"/>
    <n v="1.7838499999999999"/>
    <n v="1.8360000000000001"/>
    <n v="1.809925"/>
    <n v="521.5"/>
  </r>
  <r>
    <x v="6"/>
    <x v="3"/>
    <x v="11"/>
    <n v="1.8059400000000001"/>
    <n v="1.7838499999999999"/>
    <n v="1.8360000000000001"/>
    <n v="1.809925"/>
    <n v="521.5"/>
  </r>
  <r>
    <x v="6"/>
    <x v="3"/>
    <x v="6"/>
    <n v="0.85507"/>
    <n v="0.84150000000000003"/>
    <n v="0.87961999999999996"/>
    <n v="0.86055999999999999"/>
    <n v="381.2"/>
  </r>
  <r>
    <x v="6"/>
    <x v="3"/>
    <x v="6"/>
    <n v="0.85507"/>
    <n v="0.84150000000000003"/>
    <n v="0.87961999999999996"/>
    <n v="0.86055999999999999"/>
    <n v="381.2"/>
  </r>
  <r>
    <x v="6"/>
    <x v="3"/>
    <x v="6"/>
    <n v="0.85507"/>
    <n v="0.84150000000000003"/>
    <n v="0.87961999999999996"/>
    <n v="0.86055999999999999"/>
    <n v="381.2"/>
  </r>
  <r>
    <x v="6"/>
    <x v="3"/>
    <x v="6"/>
    <n v="0.85507"/>
    <n v="0.84150000000000003"/>
    <n v="0.87961999999999996"/>
    <n v="0.86055999999999999"/>
    <n v="381.2"/>
  </r>
  <r>
    <x v="6"/>
    <x v="3"/>
    <x v="6"/>
    <n v="0.85507"/>
    <n v="0.84150000000000003"/>
    <n v="0.87961999999999996"/>
    <n v="0.86055999999999999"/>
    <n v="381.2"/>
  </r>
  <r>
    <x v="6"/>
    <x v="3"/>
    <x v="6"/>
    <n v="0.85507"/>
    <n v="0.84150000000000003"/>
    <n v="0.87961999999999996"/>
    <n v="0.86055999999999999"/>
    <n v="381.2"/>
  </r>
  <r>
    <x v="6"/>
    <x v="3"/>
    <x v="6"/>
    <n v="0.85507"/>
    <n v="0.84150000000000003"/>
    <n v="0.87961999999999996"/>
    <n v="0.86055999999999999"/>
    <n v="381.2"/>
  </r>
  <r>
    <x v="6"/>
    <x v="3"/>
    <x v="6"/>
    <n v="0.85507"/>
    <n v="0.84150000000000003"/>
    <n v="0.87961999999999996"/>
    <n v="0.86055999999999999"/>
    <n v="381.2"/>
  </r>
  <r>
    <x v="6"/>
    <x v="3"/>
    <x v="6"/>
    <n v="0.85507"/>
    <n v="0.84150000000000003"/>
    <n v="0.87961999999999996"/>
    <n v="0.86055999999999999"/>
    <n v="381.2"/>
  </r>
  <r>
    <x v="6"/>
    <x v="3"/>
    <x v="6"/>
    <n v="0.85507"/>
    <n v="0.84150000000000003"/>
    <n v="0.87961999999999996"/>
    <n v="0.86055999999999999"/>
    <n v="381.2"/>
  </r>
  <r>
    <x v="6"/>
    <x v="3"/>
    <x v="6"/>
    <n v="0.85507"/>
    <n v="0.84150000000000003"/>
    <n v="0.87961999999999996"/>
    <n v="0.86055999999999999"/>
    <n v="381.2"/>
  </r>
  <r>
    <x v="6"/>
    <x v="3"/>
    <x v="6"/>
    <n v="0.85507"/>
    <n v="0.84150000000000003"/>
    <n v="0.87961999999999996"/>
    <n v="0.86055999999999999"/>
    <n v="381.2"/>
  </r>
  <r>
    <x v="6"/>
    <x v="4"/>
    <x v="11"/>
    <n v="1.80528"/>
    <n v="1.7838499999999999"/>
    <n v="1.8360000000000001"/>
    <n v="1.809925"/>
    <n v="521.5"/>
  </r>
  <r>
    <x v="6"/>
    <x v="4"/>
    <x v="11"/>
    <n v="1.80528"/>
    <n v="1.7838499999999999"/>
    <n v="1.8360000000000001"/>
    <n v="1.809925"/>
    <n v="521.5"/>
  </r>
  <r>
    <x v="6"/>
    <x v="4"/>
    <x v="11"/>
    <n v="1.80528"/>
    <n v="1.7838499999999999"/>
    <n v="1.8360000000000001"/>
    <n v="1.809925"/>
    <n v="521.5"/>
  </r>
  <r>
    <x v="6"/>
    <x v="4"/>
    <x v="11"/>
    <n v="1.80528"/>
    <n v="1.7838499999999999"/>
    <n v="1.8360000000000001"/>
    <n v="1.809925"/>
    <n v="521.5"/>
  </r>
  <r>
    <x v="6"/>
    <x v="4"/>
    <x v="11"/>
    <n v="1.80528"/>
    <n v="1.7838499999999999"/>
    <n v="1.8360000000000001"/>
    <n v="1.809925"/>
    <n v="521.5"/>
  </r>
  <r>
    <x v="6"/>
    <x v="4"/>
    <x v="11"/>
    <n v="1.80528"/>
    <n v="1.7838499999999999"/>
    <n v="1.8360000000000001"/>
    <n v="1.809925"/>
    <n v="521.5"/>
  </r>
  <r>
    <x v="6"/>
    <x v="4"/>
    <x v="11"/>
    <n v="1.80528"/>
    <n v="1.7838499999999999"/>
    <n v="1.8360000000000001"/>
    <n v="1.809925"/>
    <n v="521.5"/>
  </r>
  <r>
    <x v="6"/>
    <x v="4"/>
    <x v="11"/>
    <n v="1.80528"/>
    <n v="1.7838499999999999"/>
    <n v="1.8360000000000001"/>
    <n v="1.809925"/>
    <n v="521.5"/>
  </r>
  <r>
    <x v="6"/>
    <x v="4"/>
    <x v="11"/>
    <n v="1.80528"/>
    <n v="1.7838499999999999"/>
    <n v="1.8360000000000001"/>
    <n v="1.809925"/>
    <n v="521.5"/>
  </r>
  <r>
    <x v="6"/>
    <x v="4"/>
    <x v="11"/>
    <n v="1.80528"/>
    <n v="1.7838499999999999"/>
    <n v="1.8360000000000001"/>
    <n v="1.809925"/>
    <n v="521.5"/>
  </r>
  <r>
    <x v="6"/>
    <x v="4"/>
    <x v="11"/>
    <n v="1.80528"/>
    <n v="1.7838499999999999"/>
    <n v="1.8360000000000001"/>
    <n v="1.809925"/>
    <n v="521.5"/>
  </r>
  <r>
    <x v="6"/>
    <x v="4"/>
    <x v="11"/>
    <n v="1.80528"/>
    <n v="1.7838499999999999"/>
    <n v="1.8360000000000001"/>
    <n v="1.809925"/>
    <n v="521.5"/>
  </r>
  <r>
    <x v="6"/>
    <x v="4"/>
    <x v="11"/>
    <n v="1.80528"/>
    <n v="1.7838499999999999"/>
    <n v="1.8360000000000001"/>
    <n v="1.809925"/>
    <n v="521.5"/>
  </r>
  <r>
    <x v="6"/>
    <x v="4"/>
    <x v="11"/>
    <n v="1.80528"/>
    <n v="1.7838499999999999"/>
    <n v="1.8360000000000001"/>
    <n v="1.809925"/>
    <n v="521.5"/>
  </r>
  <r>
    <x v="6"/>
    <x v="4"/>
    <x v="11"/>
    <n v="1.80528"/>
    <n v="1.7838499999999999"/>
    <n v="1.8360000000000001"/>
    <n v="1.809925"/>
    <n v="521.5"/>
  </r>
  <r>
    <x v="6"/>
    <x v="4"/>
    <x v="11"/>
    <n v="1.80528"/>
    <n v="1.7838499999999999"/>
    <n v="1.8360000000000001"/>
    <n v="1.809925"/>
    <n v="521.5"/>
  </r>
  <r>
    <x v="6"/>
    <x v="4"/>
    <x v="6"/>
    <n v="0.85089999999999999"/>
    <n v="0.84150000000000003"/>
    <n v="0.87961999999999996"/>
    <n v="0.86055999999999999"/>
    <n v="381.2"/>
  </r>
  <r>
    <x v="6"/>
    <x v="4"/>
    <x v="6"/>
    <n v="0.85089999999999999"/>
    <n v="0.84150000000000003"/>
    <n v="0.87961999999999996"/>
    <n v="0.86055999999999999"/>
    <n v="381.2"/>
  </r>
  <r>
    <x v="6"/>
    <x v="4"/>
    <x v="6"/>
    <n v="0.85089999999999999"/>
    <n v="0.84150000000000003"/>
    <n v="0.87961999999999996"/>
    <n v="0.86055999999999999"/>
    <n v="381.2"/>
  </r>
  <r>
    <x v="6"/>
    <x v="4"/>
    <x v="6"/>
    <n v="0.85089999999999999"/>
    <n v="0.84150000000000003"/>
    <n v="0.87961999999999996"/>
    <n v="0.86055999999999999"/>
    <n v="381.2"/>
  </r>
  <r>
    <x v="6"/>
    <x v="4"/>
    <x v="6"/>
    <n v="0.85089999999999999"/>
    <n v="0.84150000000000003"/>
    <n v="0.87961999999999996"/>
    <n v="0.86055999999999999"/>
    <n v="381.2"/>
  </r>
  <r>
    <x v="6"/>
    <x v="4"/>
    <x v="6"/>
    <n v="0.85089999999999999"/>
    <n v="0.84150000000000003"/>
    <n v="0.87961999999999996"/>
    <n v="0.86055999999999999"/>
    <n v="381.2"/>
  </r>
  <r>
    <x v="6"/>
    <x v="4"/>
    <x v="6"/>
    <n v="0.85089999999999999"/>
    <n v="0.84150000000000003"/>
    <n v="0.87961999999999996"/>
    <n v="0.86055999999999999"/>
    <n v="381.2"/>
  </r>
  <r>
    <x v="6"/>
    <x v="4"/>
    <x v="6"/>
    <n v="0.85089999999999999"/>
    <n v="0.84150000000000003"/>
    <n v="0.87961999999999996"/>
    <n v="0.86055999999999999"/>
    <n v="381.2"/>
  </r>
  <r>
    <x v="6"/>
    <x v="4"/>
    <x v="6"/>
    <n v="0.85089999999999999"/>
    <n v="0.84150000000000003"/>
    <n v="0.87961999999999996"/>
    <n v="0.86055999999999999"/>
    <n v="381.2"/>
  </r>
  <r>
    <x v="6"/>
    <x v="4"/>
    <x v="6"/>
    <n v="0.85089999999999999"/>
    <n v="0.84150000000000003"/>
    <n v="0.87961999999999996"/>
    <n v="0.86055999999999999"/>
    <n v="381.2"/>
  </r>
  <r>
    <x v="6"/>
    <x v="4"/>
    <x v="6"/>
    <n v="0.85089999999999999"/>
    <n v="0.84150000000000003"/>
    <n v="0.87961999999999996"/>
    <n v="0.86055999999999999"/>
    <n v="381.2"/>
  </r>
  <r>
    <x v="6"/>
    <x v="4"/>
    <x v="6"/>
    <n v="0.85089999999999999"/>
    <n v="0.84150000000000003"/>
    <n v="0.87961999999999996"/>
    <n v="0.86055999999999999"/>
    <n v="381.2"/>
  </r>
  <r>
    <x v="6"/>
    <x v="4"/>
    <x v="6"/>
    <n v="0.85089999999999999"/>
    <n v="0.84150000000000003"/>
    <n v="0.87961999999999996"/>
    <n v="0.86055999999999999"/>
    <n v="381.2"/>
  </r>
  <r>
    <x v="6"/>
    <x v="5"/>
    <x v="11"/>
    <n v="1.80759"/>
    <n v="1.7838499999999999"/>
    <n v="1.8360000000000001"/>
    <n v="1.809925"/>
    <n v="521.5"/>
  </r>
  <r>
    <x v="6"/>
    <x v="5"/>
    <x v="11"/>
    <n v="1.80759"/>
    <n v="1.7838499999999999"/>
    <n v="1.8360000000000001"/>
    <n v="1.809925"/>
    <n v="521.5"/>
  </r>
  <r>
    <x v="6"/>
    <x v="5"/>
    <x v="11"/>
    <n v="1.80759"/>
    <n v="1.7838499999999999"/>
    <n v="1.8360000000000001"/>
    <n v="1.809925"/>
    <n v="521.5"/>
  </r>
  <r>
    <x v="6"/>
    <x v="5"/>
    <x v="11"/>
    <n v="1.80759"/>
    <n v="1.7838499999999999"/>
    <n v="1.8360000000000001"/>
    <n v="1.809925"/>
    <n v="521.5"/>
  </r>
  <r>
    <x v="6"/>
    <x v="5"/>
    <x v="11"/>
    <n v="1.80759"/>
    <n v="1.7838499999999999"/>
    <n v="1.8360000000000001"/>
    <n v="1.809925"/>
    <n v="521.5"/>
  </r>
  <r>
    <x v="6"/>
    <x v="5"/>
    <x v="11"/>
    <n v="1.80759"/>
    <n v="1.7838499999999999"/>
    <n v="1.8360000000000001"/>
    <n v="1.809925"/>
    <n v="521.5"/>
  </r>
  <r>
    <x v="6"/>
    <x v="5"/>
    <x v="11"/>
    <n v="1.80759"/>
    <n v="1.7838499999999999"/>
    <n v="1.8360000000000001"/>
    <n v="1.809925"/>
    <n v="521.5"/>
  </r>
  <r>
    <x v="6"/>
    <x v="5"/>
    <x v="11"/>
    <n v="1.80759"/>
    <n v="1.7838499999999999"/>
    <n v="1.8360000000000001"/>
    <n v="1.809925"/>
    <n v="521.5"/>
  </r>
  <r>
    <x v="6"/>
    <x v="5"/>
    <x v="11"/>
    <n v="1.80759"/>
    <n v="1.7838499999999999"/>
    <n v="1.8360000000000001"/>
    <n v="1.809925"/>
    <n v="521.5"/>
  </r>
  <r>
    <x v="6"/>
    <x v="5"/>
    <x v="11"/>
    <n v="1.80759"/>
    <n v="1.7838499999999999"/>
    <n v="1.8360000000000001"/>
    <n v="1.809925"/>
    <n v="521.5"/>
  </r>
  <r>
    <x v="6"/>
    <x v="5"/>
    <x v="11"/>
    <n v="1.80759"/>
    <n v="1.7838499999999999"/>
    <n v="1.8360000000000001"/>
    <n v="1.809925"/>
    <n v="521.5"/>
  </r>
  <r>
    <x v="6"/>
    <x v="5"/>
    <x v="11"/>
    <n v="1.80759"/>
    <n v="1.7838499999999999"/>
    <n v="1.8360000000000001"/>
    <n v="1.809925"/>
    <n v="521.5"/>
  </r>
  <r>
    <x v="6"/>
    <x v="5"/>
    <x v="11"/>
    <n v="1.80759"/>
    <n v="1.7838499999999999"/>
    <n v="1.8360000000000001"/>
    <n v="1.809925"/>
    <n v="521.5"/>
  </r>
  <r>
    <x v="6"/>
    <x v="5"/>
    <x v="11"/>
    <n v="1.80759"/>
    <n v="1.7838499999999999"/>
    <n v="1.8360000000000001"/>
    <n v="1.809925"/>
    <n v="521.5"/>
  </r>
  <r>
    <x v="6"/>
    <x v="5"/>
    <x v="11"/>
    <n v="1.80759"/>
    <n v="1.7838499999999999"/>
    <n v="1.8360000000000001"/>
    <n v="1.809925"/>
    <n v="521.5"/>
  </r>
  <r>
    <x v="6"/>
    <x v="5"/>
    <x v="11"/>
    <n v="1.80759"/>
    <n v="1.7838499999999999"/>
    <n v="1.8360000000000001"/>
    <n v="1.809925"/>
    <n v="521.5"/>
  </r>
  <r>
    <x v="6"/>
    <x v="5"/>
    <x v="11"/>
    <n v="1.80759"/>
    <n v="1.7838499999999999"/>
    <n v="1.8360000000000001"/>
    <n v="1.809925"/>
    <n v="521.5"/>
  </r>
  <r>
    <x v="6"/>
    <x v="5"/>
    <x v="6"/>
    <n v="0.84545999999999999"/>
    <n v="0.84150000000000003"/>
    <n v="0.87961999999999996"/>
    <n v="0.86055999999999999"/>
    <n v="381.2"/>
  </r>
  <r>
    <x v="6"/>
    <x v="5"/>
    <x v="6"/>
    <n v="0.84545999999999999"/>
    <n v="0.84150000000000003"/>
    <n v="0.87961999999999996"/>
    <n v="0.86055999999999999"/>
    <n v="381.2"/>
  </r>
  <r>
    <x v="6"/>
    <x v="5"/>
    <x v="6"/>
    <n v="0.84545999999999999"/>
    <n v="0.84150000000000003"/>
    <n v="0.87961999999999996"/>
    <n v="0.86055999999999999"/>
    <n v="381.2"/>
  </r>
  <r>
    <x v="6"/>
    <x v="5"/>
    <x v="6"/>
    <n v="0.84545999999999999"/>
    <n v="0.84150000000000003"/>
    <n v="0.87961999999999996"/>
    <n v="0.86055999999999999"/>
    <n v="381.2"/>
  </r>
  <r>
    <x v="6"/>
    <x v="5"/>
    <x v="6"/>
    <n v="0.84545999999999999"/>
    <n v="0.84150000000000003"/>
    <n v="0.87961999999999996"/>
    <n v="0.86055999999999999"/>
    <n v="381.2"/>
  </r>
  <r>
    <x v="6"/>
    <x v="5"/>
    <x v="6"/>
    <n v="0.84545999999999999"/>
    <n v="0.84150000000000003"/>
    <n v="0.87961999999999996"/>
    <n v="0.86055999999999999"/>
    <n v="381.2"/>
  </r>
  <r>
    <x v="6"/>
    <x v="5"/>
    <x v="6"/>
    <n v="0.84545999999999999"/>
    <n v="0.84150000000000003"/>
    <n v="0.87961999999999996"/>
    <n v="0.86055999999999999"/>
    <n v="381.2"/>
  </r>
  <r>
    <x v="6"/>
    <x v="5"/>
    <x v="6"/>
    <n v="0.84545999999999999"/>
    <n v="0.84150000000000003"/>
    <n v="0.87961999999999996"/>
    <n v="0.86055999999999999"/>
    <n v="381.2"/>
  </r>
  <r>
    <x v="6"/>
    <x v="5"/>
    <x v="6"/>
    <n v="0.84545999999999999"/>
    <n v="0.84150000000000003"/>
    <n v="0.87961999999999996"/>
    <n v="0.86055999999999999"/>
    <n v="381.2"/>
  </r>
  <r>
    <x v="6"/>
    <x v="5"/>
    <x v="6"/>
    <n v="0.84545999999999999"/>
    <n v="0.84150000000000003"/>
    <n v="0.87961999999999996"/>
    <n v="0.86055999999999999"/>
    <n v="381.2"/>
  </r>
  <r>
    <x v="6"/>
    <x v="5"/>
    <x v="6"/>
    <n v="0.84545999999999999"/>
    <n v="0.84150000000000003"/>
    <n v="0.87961999999999996"/>
    <n v="0.86055999999999999"/>
    <n v="381.2"/>
  </r>
  <r>
    <x v="6"/>
    <x v="5"/>
    <x v="6"/>
    <n v="0.84545999999999999"/>
    <n v="0.84150000000000003"/>
    <n v="0.87961999999999996"/>
    <n v="0.86055999999999999"/>
    <n v="381.2"/>
  </r>
  <r>
    <x v="6"/>
    <x v="6"/>
    <x v="11"/>
    <n v="1.79264"/>
    <n v="1.7838499999999999"/>
    <n v="1.8360000000000001"/>
    <n v="1.809925"/>
    <n v="521.5"/>
  </r>
  <r>
    <x v="6"/>
    <x v="6"/>
    <x v="11"/>
    <n v="1.79264"/>
    <n v="1.7838499999999999"/>
    <n v="1.8360000000000001"/>
    <n v="1.809925"/>
    <n v="521.5"/>
  </r>
  <r>
    <x v="6"/>
    <x v="6"/>
    <x v="11"/>
    <n v="1.79264"/>
    <n v="1.7838499999999999"/>
    <n v="1.8360000000000001"/>
    <n v="1.809925"/>
    <n v="521.5"/>
  </r>
  <r>
    <x v="6"/>
    <x v="7"/>
    <x v="11"/>
    <n v="1.7782800000000001"/>
    <n v="1.77999"/>
    <n v="1.8360000000000001"/>
    <n v="1.807995"/>
    <n v="560.1"/>
  </r>
  <r>
    <x v="6"/>
    <x v="7"/>
    <x v="11"/>
    <n v="1.7782800000000001"/>
    <n v="1.77999"/>
    <n v="1.8360000000000001"/>
    <n v="1.807995"/>
    <n v="560.1"/>
  </r>
  <r>
    <x v="6"/>
    <x v="7"/>
    <x v="11"/>
    <n v="1.7782800000000001"/>
    <n v="1.77999"/>
    <n v="1.8360000000000001"/>
    <n v="1.807995"/>
    <n v="560.1"/>
  </r>
  <r>
    <x v="6"/>
    <x v="7"/>
    <x v="11"/>
    <n v="1.7782800000000001"/>
    <n v="1.77999"/>
    <n v="1.8360000000000001"/>
    <n v="1.807995"/>
    <n v="560.1"/>
  </r>
  <r>
    <x v="6"/>
    <x v="7"/>
    <x v="11"/>
    <n v="1.7782800000000001"/>
    <n v="1.77999"/>
    <n v="1.8360000000000001"/>
    <n v="1.807995"/>
    <n v="560.1"/>
  </r>
  <r>
    <x v="6"/>
    <x v="7"/>
    <x v="11"/>
    <n v="1.7782800000000001"/>
    <n v="1.77999"/>
    <n v="1.8360000000000001"/>
    <n v="1.807995"/>
    <n v="560.1"/>
  </r>
  <r>
    <x v="6"/>
    <x v="7"/>
    <x v="11"/>
    <n v="1.7782800000000001"/>
    <n v="1.77999"/>
    <n v="1.8360000000000001"/>
    <n v="1.807995"/>
    <n v="560.1"/>
  </r>
  <r>
    <x v="6"/>
    <x v="7"/>
    <x v="11"/>
    <n v="1.7782800000000001"/>
    <n v="1.77999"/>
    <n v="1.8360000000000001"/>
    <n v="1.807995"/>
    <n v="560.1"/>
  </r>
  <r>
    <x v="6"/>
    <x v="7"/>
    <x v="11"/>
    <n v="1.7782800000000001"/>
    <n v="1.77999"/>
    <n v="1.8360000000000001"/>
    <n v="1.807995"/>
    <n v="560.1"/>
  </r>
  <r>
    <x v="6"/>
    <x v="7"/>
    <x v="11"/>
    <n v="1.7782800000000001"/>
    <n v="1.77999"/>
    <n v="1.8360000000000001"/>
    <n v="1.807995"/>
    <n v="560.1"/>
  </r>
  <r>
    <x v="6"/>
    <x v="7"/>
    <x v="11"/>
    <n v="1.7782800000000001"/>
    <n v="1.77999"/>
    <n v="1.8360000000000001"/>
    <n v="1.807995"/>
    <n v="560.1"/>
  </r>
  <r>
    <x v="6"/>
    <x v="7"/>
    <x v="11"/>
    <n v="1.7782800000000001"/>
    <n v="1.77999"/>
    <n v="1.8360000000000001"/>
    <n v="1.807995"/>
    <n v="560.1"/>
  </r>
  <r>
    <x v="6"/>
    <x v="7"/>
    <x v="11"/>
    <n v="1.7782800000000001"/>
    <n v="1.77999"/>
    <n v="1.8360000000000001"/>
    <n v="1.807995"/>
    <n v="560.1"/>
  </r>
  <r>
    <x v="6"/>
    <x v="7"/>
    <x v="11"/>
    <n v="1.7782800000000001"/>
    <n v="1.77999"/>
    <n v="1.8360000000000001"/>
    <n v="1.807995"/>
    <n v="560.1"/>
  </r>
  <r>
    <x v="6"/>
    <x v="7"/>
    <x v="11"/>
    <n v="1.7782800000000001"/>
    <n v="1.77999"/>
    <n v="1.8360000000000001"/>
    <n v="1.807995"/>
    <n v="560.1"/>
  </r>
  <r>
    <x v="6"/>
    <x v="7"/>
    <x v="11"/>
    <n v="1.7782800000000001"/>
    <n v="1.77999"/>
    <n v="1.8360000000000001"/>
    <n v="1.807995"/>
    <n v="560.1"/>
  </r>
  <r>
    <x v="6"/>
    <x v="7"/>
    <x v="11"/>
    <n v="1.7782800000000001"/>
    <n v="1.77999"/>
    <n v="1.8360000000000001"/>
    <n v="1.807995"/>
    <n v="560.1"/>
  </r>
  <r>
    <x v="6"/>
    <x v="7"/>
    <x v="6"/>
    <n v="0.83782000000000001"/>
    <n v="0.83548"/>
    <n v="0.87961999999999996"/>
    <n v="0.85755000000000003"/>
    <n v="441.4"/>
  </r>
  <r>
    <x v="6"/>
    <x v="7"/>
    <x v="6"/>
    <n v="0.83782000000000001"/>
    <n v="0.83548"/>
    <n v="0.87961999999999996"/>
    <n v="0.85755000000000003"/>
    <n v="441.4"/>
  </r>
  <r>
    <x v="6"/>
    <x v="7"/>
    <x v="6"/>
    <n v="0.83782000000000001"/>
    <n v="0.83548"/>
    <n v="0.87961999999999996"/>
    <n v="0.85755000000000003"/>
    <n v="441.4"/>
  </r>
  <r>
    <x v="6"/>
    <x v="7"/>
    <x v="6"/>
    <n v="0.83782000000000001"/>
    <n v="0.83548"/>
    <n v="0.87961999999999996"/>
    <n v="0.85755000000000003"/>
    <n v="441.4"/>
  </r>
  <r>
    <x v="6"/>
    <x v="7"/>
    <x v="6"/>
    <n v="0.83782000000000001"/>
    <n v="0.83548"/>
    <n v="0.87961999999999996"/>
    <n v="0.85755000000000003"/>
    <n v="441.4"/>
  </r>
  <r>
    <x v="6"/>
    <x v="7"/>
    <x v="6"/>
    <n v="0.83782000000000001"/>
    <n v="0.83548"/>
    <n v="0.87961999999999996"/>
    <n v="0.85755000000000003"/>
    <n v="441.4"/>
  </r>
  <r>
    <x v="6"/>
    <x v="7"/>
    <x v="6"/>
    <n v="0.83782000000000001"/>
    <n v="0.83548"/>
    <n v="0.87961999999999996"/>
    <n v="0.85755000000000003"/>
    <n v="441.4"/>
  </r>
  <r>
    <x v="6"/>
    <x v="7"/>
    <x v="6"/>
    <n v="0.83782000000000001"/>
    <n v="0.83548"/>
    <n v="0.87961999999999996"/>
    <n v="0.85755000000000003"/>
    <n v="441.4"/>
  </r>
  <r>
    <x v="6"/>
    <x v="7"/>
    <x v="6"/>
    <n v="0.83782000000000001"/>
    <n v="0.83548"/>
    <n v="0.87961999999999996"/>
    <n v="0.85755000000000003"/>
    <n v="441.4"/>
  </r>
  <r>
    <x v="6"/>
    <x v="7"/>
    <x v="6"/>
    <n v="0.83782000000000001"/>
    <n v="0.83548"/>
    <n v="0.87961999999999996"/>
    <n v="0.85755000000000003"/>
    <n v="441.4"/>
  </r>
  <r>
    <x v="6"/>
    <x v="7"/>
    <x v="6"/>
    <n v="0.83782000000000001"/>
    <n v="0.83548"/>
    <n v="0.87961999999999996"/>
    <n v="0.85755000000000003"/>
    <n v="441.4"/>
  </r>
  <r>
    <x v="6"/>
    <x v="7"/>
    <x v="6"/>
    <n v="0.83782000000000001"/>
    <n v="0.83548"/>
    <n v="0.87961999999999996"/>
    <n v="0.85755000000000003"/>
    <n v="441.4"/>
  </r>
  <r>
    <x v="6"/>
    <x v="7"/>
    <x v="6"/>
    <n v="0.83782000000000001"/>
    <n v="0.83548"/>
    <n v="0.87961999999999996"/>
    <n v="0.85755000000000003"/>
    <n v="441.4"/>
  </r>
  <r>
    <x v="6"/>
    <x v="7"/>
    <x v="6"/>
    <n v="0.83782000000000001"/>
    <n v="0.83548"/>
    <n v="0.87961999999999996"/>
    <n v="0.85755000000000003"/>
    <n v="441.4"/>
  </r>
  <r>
    <x v="6"/>
    <x v="7"/>
    <x v="6"/>
    <n v="0.83782000000000001"/>
    <n v="0.83548"/>
    <n v="0.87961999999999996"/>
    <n v="0.85755000000000003"/>
    <n v="441.4"/>
  </r>
  <r>
    <x v="6"/>
    <x v="8"/>
    <x v="11"/>
    <n v="1.77701"/>
    <n v="1.7713300000000001"/>
    <n v="1.8360000000000001"/>
    <n v="1.8036650000000001"/>
    <n v="646.70000000000005"/>
  </r>
  <r>
    <x v="6"/>
    <x v="8"/>
    <x v="11"/>
    <n v="1.77701"/>
    <n v="1.7713300000000001"/>
    <n v="1.8360000000000001"/>
    <n v="1.8036650000000001"/>
    <n v="646.70000000000005"/>
  </r>
  <r>
    <x v="6"/>
    <x v="8"/>
    <x v="11"/>
    <n v="1.77701"/>
    <n v="1.7713300000000001"/>
    <n v="1.8360000000000001"/>
    <n v="1.8036650000000001"/>
    <n v="646.70000000000005"/>
  </r>
  <r>
    <x v="6"/>
    <x v="8"/>
    <x v="11"/>
    <n v="1.77701"/>
    <n v="1.7713300000000001"/>
    <n v="1.8360000000000001"/>
    <n v="1.8036650000000001"/>
    <n v="646.70000000000005"/>
  </r>
  <r>
    <x v="6"/>
    <x v="8"/>
    <x v="11"/>
    <n v="1.77701"/>
    <n v="1.7713300000000001"/>
    <n v="1.8360000000000001"/>
    <n v="1.8036650000000001"/>
    <n v="646.70000000000005"/>
  </r>
  <r>
    <x v="6"/>
    <x v="8"/>
    <x v="11"/>
    <n v="1.77701"/>
    <n v="1.7713300000000001"/>
    <n v="1.8360000000000001"/>
    <n v="1.8036650000000001"/>
    <n v="646.70000000000005"/>
  </r>
  <r>
    <x v="6"/>
    <x v="8"/>
    <x v="11"/>
    <n v="1.77701"/>
    <n v="1.7713300000000001"/>
    <n v="1.8360000000000001"/>
    <n v="1.8036650000000001"/>
    <n v="646.70000000000005"/>
  </r>
  <r>
    <x v="6"/>
    <x v="8"/>
    <x v="11"/>
    <n v="1.77701"/>
    <n v="1.7713300000000001"/>
    <n v="1.8360000000000001"/>
    <n v="1.8036650000000001"/>
    <n v="646.70000000000005"/>
  </r>
  <r>
    <x v="6"/>
    <x v="8"/>
    <x v="11"/>
    <n v="1.77701"/>
    <n v="1.7713300000000001"/>
    <n v="1.8360000000000001"/>
    <n v="1.8036650000000001"/>
    <n v="646.70000000000005"/>
  </r>
  <r>
    <x v="6"/>
    <x v="8"/>
    <x v="11"/>
    <n v="1.77701"/>
    <n v="1.7713300000000001"/>
    <n v="1.8360000000000001"/>
    <n v="1.8036650000000001"/>
    <n v="646.70000000000005"/>
  </r>
  <r>
    <x v="6"/>
    <x v="8"/>
    <x v="11"/>
    <n v="1.77701"/>
    <n v="1.7713300000000001"/>
    <n v="1.8360000000000001"/>
    <n v="1.8036650000000001"/>
    <n v="646.70000000000005"/>
  </r>
  <r>
    <x v="6"/>
    <x v="8"/>
    <x v="11"/>
    <n v="1.77701"/>
    <n v="1.7713300000000001"/>
    <n v="1.8360000000000001"/>
    <n v="1.8036650000000001"/>
    <n v="646.70000000000005"/>
  </r>
  <r>
    <x v="6"/>
    <x v="8"/>
    <x v="11"/>
    <n v="1.77701"/>
    <n v="1.7713300000000001"/>
    <n v="1.8360000000000001"/>
    <n v="1.8036650000000001"/>
    <n v="646.70000000000005"/>
  </r>
  <r>
    <x v="6"/>
    <x v="8"/>
    <x v="11"/>
    <n v="1.77701"/>
    <n v="1.7713300000000001"/>
    <n v="1.8360000000000001"/>
    <n v="1.8036650000000001"/>
    <n v="646.70000000000005"/>
  </r>
  <r>
    <x v="6"/>
    <x v="8"/>
    <x v="11"/>
    <n v="1.77701"/>
    <n v="1.7713300000000001"/>
    <n v="1.8360000000000001"/>
    <n v="1.8036650000000001"/>
    <n v="646.70000000000005"/>
  </r>
  <r>
    <x v="6"/>
    <x v="8"/>
    <x v="11"/>
    <n v="1.77701"/>
    <n v="1.7713300000000001"/>
    <n v="1.8360000000000001"/>
    <n v="1.8036650000000001"/>
    <n v="646.70000000000005"/>
  </r>
  <r>
    <x v="6"/>
    <x v="8"/>
    <x v="11"/>
    <n v="1.77701"/>
    <n v="1.7713300000000001"/>
    <n v="1.8360000000000001"/>
    <n v="1.8036650000000001"/>
    <n v="646.70000000000005"/>
  </r>
  <r>
    <x v="6"/>
    <x v="8"/>
    <x v="11"/>
    <n v="1.77701"/>
    <n v="1.7713300000000001"/>
    <n v="1.8360000000000001"/>
    <n v="1.8036650000000001"/>
    <n v="646.70000000000005"/>
  </r>
  <r>
    <x v="6"/>
    <x v="8"/>
    <x v="11"/>
    <n v="1.77701"/>
    <n v="1.7713300000000001"/>
    <n v="1.8360000000000001"/>
    <n v="1.8036650000000001"/>
    <n v="646.70000000000005"/>
  </r>
  <r>
    <x v="6"/>
    <x v="8"/>
    <x v="11"/>
    <n v="1.77701"/>
    <n v="1.7713300000000001"/>
    <n v="1.8360000000000001"/>
    <n v="1.8036650000000001"/>
    <n v="646.70000000000005"/>
  </r>
  <r>
    <x v="6"/>
    <x v="8"/>
    <x v="6"/>
    <n v="0.83352000000000004"/>
    <n v="0.83109999999999995"/>
    <n v="0.87961999999999996"/>
    <n v="0.85536000000000001"/>
    <n v="485.2"/>
  </r>
  <r>
    <x v="6"/>
    <x v="8"/>
    <x v="6"/>
    <n v="0.83352000000000004"/>
    <n v="0.83109999999999995"/>
    <n v="0.87961999999999996"/>
    <n v="0.85536000000000001"/>
    <n v="485.2"/>
  </r>
  <r>
    <x v="6"/>
    <x v="8"/>
    <x v="6"/>
    <n v="0.83352000000000004"/>
    <n v="0.83109999999999995"/>
    <n v="0.87961999999999996"/>
    <n v="0.85536000000000001"/>
    <n v="485.2"/>
  </r>
  <r>
    <x v="6"/>
    <x v="8"/>
    <x v="6"/>
    <n v="0.83352000000000004"/>
    <n v="0.83109999999999995"/>
    <n v="0.87961999999999996"/>
    <n v="0.85536000000000001"/>
    <n v="485.2"/>
  </r>
  <r>
    <x v="6"/>
    <x v="8"/>
    <x v="6"/>
    <n v="0.83352000000000004"/>
    <n v="0.83109999999999995"/>
    <n v="0.87961999999999996"/>
    <n v="0.85536000000000001"/>
    <n v="485.2"/>
  </r>
  <r>
    <x v="6"/>
    <x v="8"/>
    <x v="6"/>
    <n v="0.83352000000000004"/>
    <n v="0.83109999999999995"/>
    <n v="0.87961999999999996"/>
    <n v="0.85536000000000001"/>
    <n v="485.2"/>
  </r>
  <r>
    <x v="6"/>
    <x v="8"/>
    <x v="6"/>
    <n v="0.83352000000000004"/>
    <n v="0.83109999999999995"/>
    <n v="0.87961999999999996"/>
    <n v="0.85536000000000001"/>
    <n v="485.2"/>
  </r>
  <r>
    <x v="6"/>
    <x v="8"/>
    <x v="6"/>
    <n v="0.83352000000000004"/>
    <n v="0.83109999999999995"/>
    <n v="0.87961999999999996"/>
    <n v="0.85536000000000001"/>
    <n v="485.2"/>
  </r>
  <r>
    <x v="6"/>
    <x v="8"/>
    <x v="6"/>
    <n v="0.83352000000000004"/>
    <n v="0.83109999999999995"/>
    <n v="0.87961999999999996"/>
    <n v="0.85536000000000001"/>
    <n v="485.2"/>
  </r>
  <r>
    <x v="6"/>
    <x v="8"/>
    <x v="6"/>
    <n v="0.83352000000000004"/>
    <n v="0.83109999999999995"/>
    <n v="0.87961999999999996"/>
    <n v="0.85536000000000001"/>
    <n v="485.2"/>
  </r>
  <r>
    <x v="6"/>
    <x v="8"/>
    <x v="6"/>
    <n v="0.83352000000000004"/>
    <n v="0.83109999999999995"/>
    <n v="0.87961999999999996"/>
    <n v="0.85536000000000001"/>
    <n v="485.2"/>
  </r>
  <r>
    <x v="6"/>
    <x v="8"/>
    <x v="6"/>
    <n v="0.83352000000000004"/>
    <n v="0.83109999999999995"/>
    <n v="0.87961999999999996"/>
    <n v="0.85536000000000001"/>
    <n v="485.2"/>
  </r>
  <r>
    <x v="6"/>
    <x v="8"/>
    <x v="6"/>
    <n v="0.83352000000000004"/>
    <n v="0.83109999999999995"/>
    <n v="0.87961999999999996"/>
    <n v="0.85536000000000001"/>
    <n v="485.2"/>
  </r>
  <r>
    <x v="6"/>
    <x v="8"/>
    <x v="6"/>
    <n v="0.83352000000000004"/>
    <n v="0.83109999999999995"/>
    <n v="0.87961999999999996"/>
    <n v="0.85536000000000001"/>
    <n v="485.2"/>
  </r>
  <r>
    <x v="6"/>
    <x v="8"/>
    <x v="6"/>
    <n v="0.83352000000000004"/>
    <n v="0.83109999999999995"/>
    <n v="0.87961999999999996"/>
    <n v="0.85536000000000001"/>
    <n v="485.2"/>
  </r>
  <r>
    <x v="6"/>
    <x v="8"/>
    <x v="6"/>
    <n v="0.83352000000000004"/>
    <n v="0.83109999999999995"/>
    <n v="0.87961999999999996"/>
    <n v="0.85536000000000001"/>
    <n v="485.2"/>
  </r>
  <r>
    <x v="6"/>
    <x v="8"/>
    <x v="6"/>
    <n v="0.83352000000000004"/>
    <n v="0.83109999999999995"/>
    <n v="0.87961999999999996"/>
    <n v="0.85536000000000001"/>
    <n v="485.2"/>
  </r>
  <r>
    <x v="6"/>
    <x v="8"/>
    <x v="6"/>
    <n v="0.83352000000000004"/>
    <n v="0.83109999999999995"/>
    <n v="0.87961999999999996"/>
    <n v="0.85536000000000001"/>
    <n v="485.2"/>
  </r>
  <r>
    <x v="6"/>
    <x v="9"/>
    <x v="11"/>
    <n v="1.74041"/>
    <n v="1.75197"/>
    <n v="1.8360000000000001"/>
    <n v="1.7939849999999999"/>
    <n v="840.3"/>
  </r>
  <r>
    <x v="6"/>
    <x v="9"/>
    <x v="11"/>
    <n v="1.74041"/>
    <n v="1.75197"/>
    <n v="1.8360000000000001"/>
    <n v="1.7939849999999999"/>
    <n v="840.3"/>
  </r>
  <r>
    <x v="6"/>
    <x v="9"/>
    <x v="11"/>
    <n v="1.74041"/>
    <n v="1.75197"/>
    <n v="1.8360000000000001"/>
    <n v="1.7939849999999999"/>
    <n v="840.3"/>
  </r>
  <r>
    <x v="6"/>
    <x v="9"/>
    <x v="11"/>
    <n v="1.74041"/>
    <n v="1.75197"/>
    <n v="1.8360000000000001"/>
    <n v="1.7939849999999999"/>
    <n v="840.3"/>
  </r>
  <r>
    <x v="6"/>
    <x v="9"/>
    <x v="11"/>
    <n v="1.74041"/>
    <n v="1.75197"/>
    <n v="1.8360000000000001"/>
    <n v="1.7939849999999999"/>
    <n v="840.3"/>
  </r>
  <r>
    <x v="6"/>
    <x v="9"/>
    <x v="11"/>
    <n v="1.74041"/>
    <n v="1.75197"/>
    <n v="1.8360000000000001"/>
    <n v="1.7939849999999999"/>
    <n v="840.3"/>
  </r>
  <r>
    <x v="6"/>
    <x v="9"/>
    <x v="11"/>
    <n v="1.74041"/>
    <n v="1.75197"/>
    <n v="1.8360000000000001"/>
    <n v="1.7939849999999999"/>
    <n v="840.3"/>
  </r>
  <r>
    <x v="6"/>
    <x v="9"/>
    <x v="11"/>
    <n v="1.74041"/>
    <n v="1.75197"/>
    <n v="1.8360000000000001"/>
    <n v="1.7939849999999999"/>
    <n v="840.3"/>
  </r>
  <r>
    <x v="6"/>
    <x v="9"/>
    <x v="11"/>
    <n v="1.74041"/>
    <n v="1.75197"/>
    <n v="1.8360000000000001"/>
    <n v="1.7939849999999999"/>
    <n v="840.3"/>
  </r>
  <r>
    <x v="6"/>
    <x v="9"/>
    <x v="11"/>
    <n v="1.74041"/>
    <n v="1.75197"/>
    <n v="1.8360000000000001"/>
    <n v="1.7939849999999999"/>
    <n v="840.3"/>
  </r>
  <r>
    <x v="6"/>
    <x v="9"/>
    <x v="11"/>
    <n v="1.74041"/>
    <n v="1.75197"/>
    <n v="1.8360000000000001"/>
    <n v="1.7939849999999999"/>
    <n v="840.3"/>
  </r>
  <r>
    <x v="6"/>
    <x v="9"/>
    <x v="11"/>
    <n v="1.74041"/>
    <n v="1.75197"/>
    <n v="1.8360000000000001"/>
    <n v="1.7939849999999999"/>
    <n v="840.3"/>
  </r>
  <r>
    <x v="6"/>
    <x v="9"/>
    <x v="11"/>
    <n v="1.74041"/>
    <n v="1.75197"/>
    <n v="1.8360000000000001"/>
    <n v="1.7939849999999999"/>
    <n v="840.3"/>
  </r>
  <r>
    <x v="6"/>
    <x v="9"/>
    <x v="11"/>
    <n v="1.74041"/>
    <n v="1.75197"/>
    <n v="1.8360000000000001"/>
    <n v="1.7939849999999999"/>
    <n v="840.3"/>
  </r>
  <r>
    <x v="6"/>
    <x v="9"/>
    <x v="11"/>
    <n v="1.74041"/>
    <n v="1.75197"/>
    <n v="1.8360000000000001"/>
    <n v="1.7939849999999999"/>
    <n v="840.3"/>
  </r>
  <r>
    <x v="6"/>
    <x v="9"/>
    <x v="11"/>
    <n v="1.74041"/>
    <n v="1.75197"/>
    <n v="1.8360000000000001"/>
    <n v="1.7939849999999999"/>
    <n v="840.3"/>
  </r>
  <r>
    <x v="6"/>
    <x v="9"/>
    <x v="11"/>
    <n v="1.74041"/>
    <n v="1.75197"/>
    <n v="1.8360000000000001"/>
    <n v="1.7939849999999999"/>
    <n v="840.3"/>
  </r>
  <r>
    <x v="6"/>
    <x v="9"/>
    <x v="11"/>
    <n v="1.74041"/>
    <n v="1.75197"/>
    <n v="1.8360000000000001"/>
    <n v="1.7939849999999999"/>
    <n v="840.3"/>
  </r>
  <r>
    <x v="6"/>
    <x v="9"/>
    <x v="11"/>
    <n v="1.74041"/>
    <n v="1.75197"/>
    <n v="1.8360000000000001"/>
    <n v="1.7939849999999999"/>
    <n v="840.3"/>
  </r>
  <r>
    <x v="6"/>
    <x v="9"/>
    <x v="11"/>
    <n v="1.74041"/>
    <n v="1.75197"/>
    <n v="1.8360000000000001"/>
    <n v="1.7939849999999999"/>
    <n v="840.3"/>
  </r>
  <r>
    <x v="6"/>
    <x v="9"/>
    <x v="11"/>
    <n v="1.74041"/>
    <n v="1.75197"/>
    <n v="1.8360000000000001"/>
    <n v="1.7939849999999999"/>
    <n v="840.3"/>
  </r>
  <r>
    <x v="6"/>
    <x v="9"/>
    <x v="11"/>
    <n v="1.74041"/>
    <n v="1.75197"/>
    <n v="1.8360000000000001"/>
    <n v="1.7939849999999999"/>
    <n v="840.3"/>
  </r>
  <r>
    <x v="6"/>
    <x v="9"/>
    <x v="11"/>
    <n v="1.74041"/>
    <n v="1.75197"/>
    <n v="1.8360000000000001"/>
    <n v="1.7939849999999999"/>
    <n v="840.3"/>
  </r>
  <r>
    <x v="6"/>
    <x v="9"/>
    <x v="6"/>
    <n v="0.83267999999999998"/>
    <n v="0.83109999999999995"/>
    <n v="0.87961999999999996"/>
    <n v="0.85536000000000001"/>
    <n v="485.2"/>
  </r>
  <r>
    <x v="6"/>
    <x v="9"/>
    <x v="6"/>
    <n v="0.83267999999999998"/>
    <n v="0.83109999999999995"/>
    <n v="0.87961999999999996"/>
    <n v="0.85536000000000001"/>
    <n v="485.2"/>
  </r>
  <r>
    <x v="6"/>
    <x v="9"/>
    <x v="6"/>
    <n v="0.83267999999999998"/>
    <n v="0.83109999999999995"/>
    <n v="0.87961999999999996"/>
    <n v="0.85536000000000001"/>
    <n v="485.2"/>
  </r>
  <r>
    <x v="6"/>
    <x v="9"/>
    <x v="6"/>
    <n v="0.83267999999999998"/>
    <n v="0.83109999999999995"/>
    <n v="0.87961999999999996"/>
    <n v="0.85536000000000001"/>
    <n v="485.2"/>
  </r>
  <r>
    <x v="6"/>
    <x v="9"/>
    <x v="6"/>
    <n v="0.83267999999999998"/>
    <n v="0.83109999999999995"/>
    <n v="0.87961999999999996"/>
    <n v="0.85536000000000001"/>
    <n v="485.2"/>
  </r>
  <r>
    <x v="6"/>
    <x v="9"/>
    <x v="6"/>
    <n v="0.83267999999999998"/>
    <n v="0.83109999999999995"/>
    <n v="0.87961999999999996"/>
    <n v="0.85536000000000001"/>
    <n v="485.2"/>
  </r>
  <r>
    <x v="6"/>
    <x v="9"/>
    <x v="6"/>
    <n v="0.83267999999999998"/>
    <n v="0.83109999999999995"/>
    <n v="0.87961999999999996"/>
    <n v="0.85536000000000001"/>
    <n v="485.2"/>
  </r>
  <r>
    <x v="6"/>
    <x v="9"/>
    <x v="6"/>
    <n v="0.83267999999999998"/>
    <n v="0.83109999999999995"/>
    <n v="0.87961999999999996"/>
    <n v="0.85536000000000001"/>
    <n v="485.2"/>
  </r>
  <r>
    <x v="6"/>
    <x v="9"/>
    <x v="6"/>
    <n v="0.83267999999999998"/>
    <n v="0.83109999999999995"/>
    <n v="0.87961999999999996"/>
    <n v="0.85536000000000001"/>
    <n v="485.2"/>
  </r>
  <r>
    <x v="6"/>
    <x v="9"/>
    <x v="6"/>
    <n v="0.83267999999999998"/>
    <n v="0.83109999999999995"/>
    <n v="0.87961999999999996"/>
    <n v="0.85536000000000001"/>
    <n v="485.2"/>
  </r>
  <r>
    <x v="6"/>
    <x v="9"/>
    <x v="6"/>
    <n v="0.83267999999999998"/>
    <n v="0.83109999999999995"/>
    <n v="0.87961999999999996"/>
    <n v="0.85536000000000001"/>
    <n v="485.2"/>
  </r>
  <r>
    <x v="6"/>
    <x v="9"/>
    <x v="6"/>
    <n v="0.83267999999999998"/>
    <n v="0.83109999999999995"/>
    <n v="0.87961999999999996"/>
    <n v="0.85536000000000001"/>
    <n v="485.2"/>
  </r>
  <r>
    <x v="6"/>
    <x v="9"/>
    <x v="6"/>
    <n v="0.83267999999999998"/>
    <n v="0.83109999999999995"/>
    <n v="0.87961999999999996"/>
    <n v="0.85536000000000001"/>
    <n v="485.2"/>
  </r>
  <r>
    <x v="6"/>
    <x v="9"/>
    <x v="6"/>
    <n v="0.83267999999999998"/>
    <n v="0.83109999999999995"/>
    <n v="0.87961999999999996"/>
    <n v="0.85536000000000001"/>
    <n v="485.2"/>
  </r>
  <r>
    <x v="6"/>
    <x v="9"/>
    <x v="6"/>
    <n v="0.83267999999999998"/>
    <n v="0.83109999999999995"/>
    <n v="0.87961999999999996"/>
    <n v="0.85536000000000001"/>
    <n v="485.2"/>
  </r>
  <r>
    <x v="6"/>
    <x v="10"/>
    <x v="11"/>
    <n v="1.7990200000000001"/>
    <n v="1.7480199999999999"/>
    <n v="1.8360000000000001"/>
    <n v="1.7920100000000001"/>
    <n v="879.8"/>
  </r>
  <r>
    <x v="6"/>
    <x v="10"/>
    <x v="11"/>
    <n v="1.7990200000000001"/>
    <n v="1.7480199999999999"/>
    <n v="1.8360000000000001"/>
    <n v="1.7920100000000001"/>
    <n v="879.8"/>
  </r>
  <r>
    <x v="6"/>
    <x v="10"/>
    <x v="11"/>
    <n v="1.7990200000000001"/>
    <n v="1.7480199999999999"/>
    <n v="1.8360000000000001"/>
    <n v="1.7920100000000001"/>
    <n v="879.8"/>
  </r>
  <r>
    <x v="6"/>
    <x v="10"/>
    <x v="11"/>
    <n v="1.7990200000000001"/>
    <n v="1.7480199999999999"/>
    <n v="1.8360000000000001"/>
    <n v="1.7920100000000001"/>
    <n v="879.8"/>
  </r>
  <r>
    <x v="6"/>
    <x v="10"/>
    <x v="11"/>
    <n v="1.7990200000000001"/>
    <n v="1.7480199999999999"/>
    <n v="1.8360000000000001"/>
    <n v="1.7920100000000001"/>
    <n v="879.8"/>
  </r>
  <r>
    <x v="6"/>
    <x v="10"/>
    <x v="11"/>
    <n v="1.7990200000000001"/>
    <n v="1.7480199999999999"/>
    <n v="1.8360000000000001"/>
    <n v="1.7920100000000001"/>
    <n v="879.8"/>
  </r>
  <r>
    <x v="6"/>
    <x v="10"/>
    <x v="11"/>
    <n v="1.7990200000000001"/>
    <n v="1.7480199999999999"/>
    <n v="1.8360000000000001"/>
    <n v="1.7920100000000001"/>
    <n v="879.8"/>
  </r>
  <r>
    <x v="6"/>
    <x v="10"/>
    <x v="11"/>
    <n v="1.7990200000000001"/>
    <n v="1.7480199999999999"/>
    <n v="1.8360000000000001"/>
    <n v="1.7920100000000001"/>
    <n v="879.8"/>
  </r>
  <r>
    <x v="6"/>
    <x v="10"/>
    <x v="11"/>
    <n v="1.7990200000000001"/>
    <n v="1.7480199999999999"/>
    <n v="1.8360000000000001"/>
    <n v="1.7920100000000001"/>
    <n v="879.8"/>
  </r>
  <r>
    <x v="6"/>
    <x v="10"/>
    <x v="11"/>
    <n v="1.7990200000000001"/>
    <n v="1.7480199999999999"/>
    <n v="1.8360000000000001"/>
    <n v="1.7920100000000001"/>
    <n v="879.8"/>
  </r>
  <r>
    <x v="6"/>
    <x v="10"/>
    <x v="11"/>
    <n v="1.7990200000000001"/>
    <n v="1.7480199999999999"/>
    <n v="1.8360000000000001"/>
    <n v="1.7920100000000001"/>
    <n v="879.8"/>
  </r>
  <r>
    <x v="6"/>
    <x v="10"/>
    <x v="11"/>
    <n v="1.7990200000000001"/>
    <n v="1.7480199999999999"/>
    <n v="1.8360000000000001"/>
    <n v="1.7920100000000001"/>
    <n v="879.8"/>
  </r>
  <r>
    <x v="6"/>
    <x v="10"/>
    <x v="11"/>
    <n v="1.7990200000000001"/>
    <n v="1.7480199999999999"/>
    <n v="1.8360000000000001"/>
    <n v="1.7920100000000001"/>
    <n v="879.8"/>
  </r>
  <r>
    <x v="6"/>
    <x v="10"/>
    <x v="11"/>
    <n v="1.7990200000000001"/>
    <n v="1.7480199999999999"/>
    <n v="1.8360000000000001"/>
    <n v="1.7920100000000001"/>
    <n v="879.8"/>
  </r>
  <r>
    <x v="6"/>
    <x v="10"/>
    <x v="11"/>
    <n v="1.7990200000000001"/>
    <n v="1.7480199999999999"/>
    <n v="1.8360000000000001"/>
    <n v="1.7920100000000001"/>
    <n v="879.8"/>
  </r>
  <r>
    <x v="6"/>
    <x v="10"/>
    <x v="11"/>
    <n v="1.7990200000000001"/>
    <n v="1.7480199999999999"/>
    <n v="1.8360000000000001"/>
    <n v="1.7920100000000001"/>
    <n v="879.8"/>
  </r>
  <r>
    <x v="6"/>
    <x v="10"/>
    <x v="11"/>
    <n v="1.7990200000000001"/>
    <n v="1.7480199999999999"/>
    <n v="1.8360000000000001"/>
    <n v="1.7920100000000001"/>
    <n v="879.8"/>
  </r>
  <r>
    <x v="6"/>
    <x v="10"/>
    <x v="11"/>
    <n v="1.7990200000000001"/>
    <n v="1.7480199999999999"/>
    <n v="1.8360000000000001"/>
    <n v="1.7920100000000001"/>
    <n v="879.8"/>
  </r>
  <r>
    <x v="6"/>
    <x v="10"/>
    <x v="11"/>
    <n v="1.7990200000000001"/>
    <n v="1.7480199999999999"/>
    <n v="1.8360000000000001"/>
    <n v="1.7920100000000001"/>
    <n v="879.8"/>
  </r>
  <r>
    <x v="6"/>
    <x v="10"/>
    <x v="11"/>
    <n v="1.7990200000000001"/>
    <n v="1.7480199999999999"/>
    <n v="1.8360000000000001"/>
    <n v="1.7920100000000001"/>
    <n v="879.8"/>
  </r>
  <r>
    <x v="6"/>
    <x v="10"/>
    <x v="11"/>
    <n v="1.7990200000000001"/>
    <n v="1.7480199999999999"/>
    <n v="1.8360000000000001"/>
    <n v="1.7920100000000001"/>
    <n v="879.8"/>
  </r>
  <r>
    <x v="6"/>
    <x v="10"/>
    <x v="11"/>
    <n v="1.7990200000000001"/>
    <n v="1.7480199999999999"/>
    <n v="1.8360000000000001"/>
    <n v="1.7920100000000001"/>
    <n v="879.8"/>
  </r>
  <r>
    <x v="6"/>
    <x v="10"/>
    <x v="11"/>
    <n v="1.7990200000000001"/>
    <n v="1.7480199999999999"/>
    <n v="1.8360000000000001"/>
    <n v="1.7920100000000001"/>
    <n v="879.8"/>
  </r>
  <r>
    <x v="6"/>
    <x v="10"/>
    <x v="11"/>
    <n v="1.7990200000000001"/>
    <n v="1.7480199999999999"/>
    <n v="1.8360000000000001"/>
    <n v="1.7920100000000001"/>
    <n v="879.8"/>
  </r>
  <r>
    <x v="6"/>
    <x v="10"/>
    <x v="11"/>
    <n v="1.7990200000000001"/>
    <n v="1.7480199999999999"/>
    <n v="1.8360000000000001"/>
    <n v="1.7920100000000001"/>
    <n v="879.8"/>
  </r>
  <r>
    <x v="6"/>
    <x v="10"/>
    <x v="6"/>
    <n v="0.81306"/>
    <n v="0.81547000000000003"/>
    <n v="0.87961999999999996"/>
    <n v="0.84754499999999999"/>
    <n v="641.5"/>
  </r>
  <r>
    <x v="6"/>
    <x v="10"/>
    <x v="6"/>
    <n v="0.81306"/>
    <n v="0.81547000000000003"/>
    <n v="0.87961999999999996"/>
    <n v="0.84754499999999999"/>
    <n v="641.5"/>
  </r>
  <r>
    <x v="6"/>
    <x v="10"/>
    <x v="6"/>
    <n v="0.81306"/>
    <n v="0.81547000000000003"/>
    <n v="0.87961999999999996"/>
    <n v="0.84754499999999999"/>
    <n v="641.5"/>
  </r>
  <r>
    <x v="6"/>
    <x v="10"/>
    <x v="6"/>
    <n v="0.81306"/>
    <n v="0.81547000000000003"/>
    <n v="0.87961999999999996"/>
    <n v="0.84754499999999999"/>
    <n v="641.5"/>
  </r>
  <r>
    <x v="6"/>
    <x v="10"/>
    <x v="6"/>
    <n v="0.81306"/>
    <n v="0.81547000000000003"/>
    <n v="0.87961999999999996"/>
    <n v="0.84754499999999999"/>
    <n v="641.5"/>
  </r>
  <r>
    <x v="6"/>
    <x v="10"/>
    <x v="6"/>
    <n v="0.81306"/>
    <n v="0.81547000000000003"/>
    <n v="0.87961999999999996"/>
    <n v="0.84754499999999999"/>
    <n v="641.5"/>
  </r>
  <r>
    <x v="6"/>
    <x v="10"/>
    <x v="6"/>
    <n v="0.81306"/>
    <n v="0.81547000000000003"/>
    <n v="0.87961999999999996"/>
    <n v="0.84754499999999999"/>
    <n v="641.5"/>
  </r>
  <r>
    <x v="6"/>
    <x v="10"/>
    <x v="6"/>
    <n v="0.81306"/>
    <n v="0.81547000000000003"/>
    <n v="0.87961999999999996"/>
    <n v="0.84754499999999999"/>
    <n v="641.5"/>
  </r>
  <r>
    <x v="6"/>
    <x v="10"/>
    <x v="6"/>
    <n v="0.81306"/>
    <n v="0.81547000000000003"/>
    <n v="0.87961999999999996"/>
    <n v="0.84754499999999999"/>
    <n v="641.5"/>
  </r>
  <r>
    <x v="6"/>
    <x v="10"/>
    <x v="6"/>
    <n v="0.81306"/>
    <n v="0.81547000000000003"/>
    <n v="0.87961999999999996"/>
    <n v="0.84754499999999999"/>
    <n v="641.5"/>
  </r>
  <r>
    <x v="6"/>
    <x v="10"/>
    <x v="6"/>
    <n v="0.81306"/>
    <n v="0.81547000000000003"/>
    <n v="0.87961999999999996"/>
    <n v="0.84754499999999999"/>
    <n v="641.5"/>
  </r>
  <r>
    <x v="6"/>
    <x v="10"/>
    <x v="6"/>
    <n v="0.81306"/>
    <n v="0.81547000000000003"/>
    <n v="0.87961999999999996"/>
    <n v="0.84754499999999999"/>
    <n v="641.5"/>
  </r>
  <r>
    <x v="6"/>
    <x v="10"/>
    <x v="6"/>
    <n v="0.81306"/>
    <n v="0.81547000000000003"/>
    <n v="0.87961999999999996"/>
    <n v="0.84754499999999999"/>
    <n v="641.5"/>
  </r>
  <r>
    <x v="6"/>
    <x v="10"/>
    <x v="6"/>
    <n v="0.81306"/>
    <n v="0.81547000000000003"/>
    <n v="0.87961999999999996"/>
    <n v="0.84754499999999999"/>
    <n v="641.5"/>
  </r>
  <r>
    <x v="6"/>
    <x v="10"/>
    <x v="6"/>
    <n v="0.81306"/>
    <n v="0.81547000000000003"/>
    <n v="0.87961999999999996"/>
    <n v="0.84754499999999999"/>
    <n v="641.5"/>
  </r>
  <r>
    <x v="6"/>
    <x v="10"/>
    <x v="6"/>
    <n v="0.81306"/>
    <n v="0.81547000000000003"/>
    <n v="0.87961999999999996"/>
    <n v="0.84754499999999999"/>
    <n v="641.5"/>
  </r>
  <r>
    <x v="6"/>
    <x v="10"/>
    <x v="6"/>
    <n v="0.81306"/>
    <n v="0.81547000000000003"/>
    <n v="0.87961999999999996"/>
    <n v="0.84754499999999999"/>
    <n v="641.5"/>
  </r>
  <r>
    <x v="6"/>
    <x v="10"/>
    <x v="6"/>
    <n v="0.81306"/>
    <n v="0.81547000000000003"/>
    <n v="0.87961999999999996"/>
    <n v="0.84754499999999999"/>
    <n v="641.5"/>
  </r>
  <r>
    <x v="6"/>
    <x v="10"/>
    <x v="6"/>
    <n v="0.81306"/>
    <n v="0.81547000000000003"/>
    <n v="0.87961999999999996"/>
    <n v="0.84754499999999999"/>
    <n v="641.5"/>
  </r>
  <r>
    <x v="6"/>
    <x v="10"/>
    <x v="6"/>
    <n v="0.81306"/>
    <n v="0.81547000000000003"/>
    <n v="0.87961999999999996"/>
    <n v="0.84754499999999999"/>
    <n v="641.5"/>
  </r>
  <r>
    <x v="6"/>
    <x v="10"/>
    <x v="6"/>
    <n v="0.81306"/>
    <n v="0.81547000000000003"/>
    <n v="0.87961999999999996"/>
    <n v="0.84754499999999999"/>
    <n v="641.5"/>
  </r>
  <r>
    <x v="6"/>
    <x v="10"/>
    <x v="6"/>
    <n v="0.81306"/>
    <n v="0.81547000000000003"/>
    <n v="0.87961999999999996"/>
    <n v="0.84754499999999999"/>
    <n v="641.5"/>
  </r>
  <r>
    <x v="6"/>
    <x v="11"/>
    <x v="11"/>
    <n v="1.8239799999999999"/>
    <n v="1.7480199999999999"/>
    <n v="1.8360000000000001"/>
    <n v="1.7920100000000001"/>
    <n v="879.8"/>
  </r>
  <r>
    <x v="6"/>
    <x v="11"/>
    <x v="11"/>
    <n v="1.8239799999999999"/>
    <n v="1.7480199999999999"/>
    <n v="1.8360000000000001"/>
    <n v="1.7920100000000001"/>
    <n v="879.8"/>
  </r>
  <r>
    <x v="6"/>
    <x v="11"/>
    <x v="11"/>
    <n v="1.8239799999999999"/>
    <n v="1.7480199999999999"/>
    <n v="1.8360000000000001"/>
    <n v="1.7920100000000001"/>
    <n v="879.8"/>
  </r>
  <r>
    <x v="6"/>
    <x v="11"/>
    <x v="11"/>
    <n v="1.8239799999999999"/>
    <n v="1.7480199999999999"/>
    <n v="1.8360000000000001"/>
    <n v="1.7920100000000001"/>
    <n v="879.8"/>
  </r>
  <r>
    <x v="6"/>
    <x v="11"/>
    <x v="11"/>
    <n v="1.8239799999999999"/>
    <n v="1.7480199999999999"/>
    <n v="1.8360000000000001"/>
    <n v="1.7920100000000001"/>
    <n v="879.8"/>
  </r>
  <r>
    <x v="6"/>
    <x v="11"/>
    <x v="11"/>
    <n v="1.8239799999999999"/>
    <n v="1.7480199999999999"/>
    <n v="1.8360000000000001"/>
    <n v="1.7920100000000001"/>
    <n v="879.8"/>
  </r>
  <r>
    <x v="6"/>
    <x v="11"/>
    <x v="11"/>
    <n v="1.8239799999999999"/>
    <n v="1.7480199999999999"/>
    <n v="1.8360000000000001"/>
    <n v="1.7920100000000001"/>
    <n v="879.8"/>
  </r>
  <r>
    <x v="6"/>
    <x v="11"/>
    <x v="11"/>
    <n v="1.8239799999999999"/>
    <n v="1.7480199999999999"/>
    <n v="1.8360000000000001"/>
    <n v="1.7920100000000001"/>
    <n v="879.8"/>
  </r>
  <r>
    <x v="6"/>
    <x v="11"/>
    <x v="11"/>
    <n v="1.8239799999999999"/>
    <n v="1.7480199999999999"/>
    <n v="1.8360000000000001"/>
    <n v="1.7920100000000001"/>
    <n v="879.8"/>
  </r>
  <r>
    <x v="6"/>
    <x v="11"/>
    <x v="11"/>
    <n v="1.8239799999999999"/>
    <n v="1.7480199999999999"/>
    <n v="1.8360000000000001"/>
    <n v="1.7920100000000001"/>
    <n v="879.8"/>
  </r>
  <r>
    <x v="6"/>
    <x v="11"/>
    <x v="11"/>
    <n v="1.8239799999999999"/>
    <n v="1.7480199999999999"/>
    <n v="1.8360000000000001"/>
    <n v="1.7920100000000001"/>
    <n v="879.8"/>
  </r>
  <r>
    <x v="6"/>
    <x v="11"/>
    <x v="11"/>
    <n v="1.8239799999999999"/>
    <n v="1.7480199999999999"/>
    <n v="1.8360000000000001"/>
    <n v="1.7920100000000001"/>
    <n v="879.8"/>
  </r>
  <r>
    <x v="6"/>
    <x v="11"/>
    <x v="11"/>
    <n v="1.8239799999999999"/>
    <n v="1.7480199999999999"/>
    <n v="1.8360000000000001"/>
    <n v="1.7920100000000001"/>
    <n v="879.8"/>
  </r>
  <r>
    <x v="6"/>
    <x v="11"/>
    <x v="11"/>
    <n v="1.8239799999999999"/>
    <n v="1.7480199999999999"/>
    <n v="1.8360000000000001"/>
    <n v="1.7920100000000001"/>
    <n v="879.8"/>
  </r>
  <r>
    <x v="6"/>
    <x v="11"/>
    <x v="11"/>
    <n v="1.8239799999999999"/>
    <n v="1.7480199999999999"/>
    <n v="1.8360000000000001"/>
    <n v="1.7920100000000001"/>
    <n v="879.8"/>
  </r>
  <r>
    <x v="6"/>
    <x v="11"/>
    <x v="11"/>
    <n v="1.8239799999999999"/>
    <n v="1.7480199999999999"/>
    <n v="1.8360000000000001"/>
    <n v="1.7920100000000001"/>
    <n v="879.8"/>
  </r>
  <r>
    <x v="6"/>
    <x v="11"/>
    <x v="11"/>
    <n v="1.8239799999999999"/>
    <n v="1.7480199999999999"/>
    <n v="1.8360000000000001"/>
    <n v="1.7920100000000001"/>
    <n v="879.8"/>
  </r>
  <r>
    <x v="6"/>
    <x v="11"/>
    <x v="11"/>
    <n v="1.8239799999999999"/>
    <n v="1.7480199999999999"/>
    <n v="1.8360000000000001"/>
    <n v="1.7920100000000001"/>
    <n v="879.8"/>
  </r>
  <r>
    <x v="6"/>
    <x v="11"/>
    <x v="11"/>
    <n v="1.8239799999999999"/>
    <n v="1.7480199999999999"/>
    <n v="1.8360000000000001"/>
    <n v="1.7920100000000001"/>
    <n v="879.8"/>
  </r>
  <r>
    <x v="6"/>
    <x v="11"/>
    <x v="11"/>
    <n v="1.8239799999999999"/>
    <n v="1.7480199999999999"/>
    <n v="1.8360000000000001"/>
    <n v="1.7920100000000001"/>
    <n v="879.8"/>
  </r>
  <r>
    <x v="6"/>
    <x v="11"/>
    <x v="11"/>
    <n v="1.8239799999999999"/>
    <n v="1.7480199999999999"/>
    <n v="1.8360000000000001"/>
    <n v="1.7920100000000001"/>
    <n v="879.8"/>
  </r>
  <r>
    <x v="6"/>
    <x v="11"/>
    <x v="11"/>
    <n v="1.8239799999999999"/>
    <n v="1.7480199999999999"/>
    <n v="1.8360000000000001"/>
    <n v="1.7920100000000001"/>
    <n v="879.8"/>
  </r>
  <r>
    <x v="6"/>
    <x v="11"/>
    <x v="11"/>
    <n v="1.8239799999999999"/>
    <n v="1.7480199999999999"/>
    <n v="1.8360000000000001"/>
    <n v="1.7920100000000001"/>
    <n v="879.8"/>
  </r>
  <r>
    <x v="6"/>
    <x v="11"/>
    <x v="11"/>
    <n v="1.8239799999999999"/>
    <n v="1.7480199999999999"/>
    <n v="1.8360000000000001"/>
    <n v="1.7920100000000001"/>
    <n v="879.8"/>
  </r>
  <r>
    <x v="6"/>
    <x v="11"/>
    <x v="11"/>
    <n v="1.8239799999999999"/>
    <n v="1.7480199999999999"/>
    <n v="1.8360000000000001"/>
    <n v="1.7920100000000001"/>
    <n v="879.8"/>
  </r>
  <r>
    <x v="6"/>
    <x v="11"/>
    <x v="11"/>
    <n v="1.8239799999999999"/>
    <n v="1.7480199999999999"/>
    <n v="1.8360000000000001"/>
    <n v="1.7920100000000001"/>
    <n v="879.8"/>
  </r>
  <r>
    <x v="6"/>
    <x v="11"/>
    <x v="6"/>
    <n v="0.81125999999999998"/>
    <n v="0.80749000000000004"/>
    <n v="0.87961999999999996"/>
    <n v="0.84355500000000005"/>
    <n v="721.3"/>
  </r>
  <r>
    <x v="6"/>
    <x v="11"/>
    <x v="6"/>
    <n v="0.81125999999999998"/>
    <n v="0.80749000000000004"/>
    <n v="0.87961999999999996"/>
    <n v="0.84355500000000005"/>
    <n v="721.3"/>
  </r>
  <r>
    <x v="6"/>
    <x v="11"/>
    <x v="6"/>
    <n v="0.81125999999999998"/>
    <n v="0.80749000000000004"/>
    <n v="0.87961999999999996"/>
    <n v="0.84355500000000005"/>
    <n v="721.3"/>
  </r>
  <r>
    <x v="6"/>
    <x v="11"/>
    <x v="6"/>
    <n v="0.81125999999999998"/>
    <n v="0.80749000000000004"/>
    <n v="0.87961999999999996"/>
    <n v="0.84355500000000005"/>
    <n v="721.3"/>
  </r>
  <r>
    <x v="6"/>
    <x v="11"/>
    <x v="6"/>
    <n v="0.81125999999999998"/>
    <n v="0.80749000000000004"/>
    <n v="0.87961999999999996"/>
    <n v="0.84355500000000005"/>
    <n v="721.3"/>
  </r>
  <r>
    <x v="6"/>
    <x v="11"/>
    <x v="6"/>
    <n v="0.81125999999999998"/>
    <n v="0.80749000000000004"/>
    <n v="0.87961999999999996"/>
    <n v="0.84355500000000005"/>
    <n v="721.3"/>
  </r>
  <r>
    <x v="6"/>
    <x v="11"/>
    <x v="6"/>
    <n v="0.81125999999999998"/>
    <n v="0.80749000000000004"/>
    <n v="0.87961999999999996"/>
    <n v="0.84355500000000005"/>
    <n v="721.3"/>
  </r>
  <r>
    <x v="6"/>
    <x v="11"/>
    <x v="6"/>
    <n v="0.81125999999999998"/>
    <n v="0.80749000000000004"/>
    <n v="0.87961999999999996"/>
    <n v="0.84355500000000005"/>
    <n v="721.3"/>
  </r>
  <r>
    <x v="6"/>
    <x v="11"/>
    <x v="6"/>
    <n v="0.81125999999999998"/>
    <n v="0.80749000000000004"/>
    <n v="0.87961999999999996"/>
    <n v="0.84355500000000005"/>
    <n v="721.3"/>
  </r>
  <r>
    <x v="6"/>
    <x v="11"/>
    <x v="6"/>
    <n v="0.81125999999999998"/>
    <n v="0.80749000000000004"/>
    <n v="0.87961999999999996"/>
    <n v="0.84355500000000005"/>
    <n v="721.3"/>
  </r>
  <r>
    <x v="6"/>
    <x v="11"/>
    <x v="6"/>
    <n v="0.81125999999999998"/>
    <n v="0.80749000000000004"/>
    <n v="0.87961999999999996"/>
    <n v="0.84355500000000005"/>
    <n v="721.3"/>
  </r>
  <r>
    <x v="6"/>
    <x v="11"/>
    <x v="6"/>
    <n v="0.81125999999999998"/>
    <n v="0.80749000000000004"/>
    <n v="0.87961999999999996"/>
    <n v="0.84355500000000005"/>
    <n v="721.3"/>
  </r>
  <r>
    <x v="6"/>
    <x v="11"/>
    <x v="6"/>
    <n v="0.81125999999999998"/>
    <n v="0.80749000000000004"/>
    <n v="0.87961999999999996"/>
    <n v="0.84355500000000005"/>
    <n v="721.3"/>
  </r>
  <r>
    <x v="6"/>
    <x v="11"/>
    <x v="6"/>
    <n v="0.81125999999999998"/>
    <n v="0.80749000000000004"/>
    <n v="0.87961999999999996"/>
    <n v="0.84355500000000005"/>
    <n v="721.3"/>
  </r>
  <r>
    <x v="6"/>
    <x v="11"/>
    <x v="6"/>
    <n v="0.81125999999999998"/>
    <n v="0.80749000000000004"/>
    <n v="0.87961999999999996"/>
    <n v="0.84355500000000005"/>
    <n v="721.3"/>
  </r>
  <r>
    <x v="6"/>
    <x v="11"/>
    <x v="6"/>
    <n v="0.81125999999999998"/>
    <n v="0.80749000000000004"/>
    <n v="0.87961999999999996"/>
    <n v="0.84355500000000005"/>
    <n v="721.3"/>
  </r>
  <r>
    <x v="6"/>
    <x v="11"/>
    <x v="6"/>
    <n v="0.81125999999999998"/>
    <n v="0.80749000000000004"/>
    <n v="0.87961999999999996"/>
    <n v="0.84355500000000005"/>
    <n v="721.3"/>
  </r>
  <r>
    <x v="6"/>
    <x v="11"/>
    <x v="6"/>
    <n v="0.81125999999999998"/>
    <n v="0.80749000000000004"/>
    <n v="0.87961999999999996"/>
    <n v="0.84355500000000005"/>
    <n v="721.3"/>
  </r>
  <r>
    <x v="6"/>
    <x v="11"/>
    <x v="6"/>
    <n v="0.81125999999999998"/>
    <n v="0.80749000000000004"/>
    <n v="0.87961999999999996"/>
    <n v="0.84355500000000005"/>
    <n v="721.3"/>
  </r>
  <r>
    <x v="6"/>
    <x v="11"/>
    <x v="6"/>
    <n v="0.81125999999999998"/>
    <n v="0.80749000000000004"/>
    <n v="0.87961999999999996"/>
    <n v="0.84355500000000005"/>
    <n v="721.3"/>
  </r>
  <r>
    <x v="6"/>
    <x v="11"/>
    <x v="6"/>
    <n v="0.81125999999999998"/>
    <n v="0.80749000000000004"/>
    <n v="0.87961999999999996"/>
    <n v="0.84355500000000005"/>
    <n v="721.3"/>
  </r>
  <r>
    <x v="6"/>
    <x v="11"/>
    <x v="6"/>
    <n v="0.81125999999999998"/>
    <n v="0.80749000000000004"/>
    <n v="0.87961999999999996"/>
    <n v="0.84355500000000005"/>
    <n v="721.3"/>
  </r>
  <r>
    <x v="6"/>
    <x v="11"/>
    <x v="6"/>
    <n v="0.81125999999999998"/>
    <n v="0.80749000000000004"/>
    <n v="0.87961999999999996"/>
    <n v="0.84355500000000005"/>
    <n v="721.3"/>
  </r>
  <r>
    <x v="6"/>
    <x v="11"/>
    <x v="6"/>
    <n v="0.81125999999999998"/>
    <n v="0.80749000000000004"/>
    <n v="0.87961999999999996"/>
    <n v="0.84355500000000005"/>
    <n v="721.3"/>
  </r>
  <r>
    <x v="6"/>
    <x v="11"/>
    <x v="6"/>
    <n v="0.81125999999999998"/>
    <n v="0.80749000000000004"/>
    <n v="0.87961999999999996"/>
    <n v="0.84355500000000005"/>
    <n v="721.3"/>
  </r>
  <r>
    <x v="6"/>
    <x v="11"/>
    <x v="6"/>
    <n v="0.81125999999999998"/>
    <n v="0.80749000000000004"/>
    <n v="0.87961999999999996"/>
    <n v="0.84355500000000005"/>
    <n v="721.3"/>
  </r>
  <r>
    <x v="6"/>
    <x v="11"/>
    <x v="6"/>
    <n v="0.81125999999999998"/>
    <n v="0.80749000000000004"/>
    <n v="0.87961999999999996"/>
    <n v="0.84355500000000005"/>
    <n v="721.3"/>
  </r>
  <r>
    <x v="6"/>
    <x v="12"/>
    <x v="11"/>
    <n v="1.8517600000000001"/>
    <n v="1.7480199999999999"/>
    <n v="1.8360099999999999"/>
    <n v="1.7920149999999999"/>
    <n v="879.9"/>
  </r>
  <r>
    <x v="6"/>
    <x v="12"/>
    <x v="11"/>
    <n v="1.8517600000000001"/>
    <n v="1.7480199999999999"/>
    <n v="1.8360099999999999"/>
    <n v="1.7920149999999999"/>
    <n v="879.9"/>
  </r>
  <r>
    <x v="6"/>
    <x v="12"/>
    <x v="11"/>
    <n v="1.8517600000000001"/>
    <n v="1.7480199999999999"/>
    <n v="1.8360099999999999"/>
    <n v="1.7920149999999999"/>
    <n v="879.9"/>
  </r>
  <r>
    <x v="6"/>
    <x v="12"/>
    <x v="11"/>
    <n v="1.8517600000000001"/>
    <n v="1.7480199999999999"/>
    <n v="1.8360099999999999"/>
    <n v="1.7920149999999999"/>
    <n v="879.9"/>
  </r>
  <r>
    <x v="6"/>
    <x v="12"/>
    <x v="11"/>
    <n v="1.8517600000000001"/>
    <n v="1.7480199999999999"/>
    <n v="1.8360099999999999"/>
    <n v="1.7920149999999999"/>
    <n v="879.9"/>
  </r>
  <r>
    <x v="6"/>
    <x v="12"/>
    <x v="11"/>
    <n v="1.8517600000000001"/>
    <n v="1.7480199999999999"/>
    <n v="1.8360099999999999"/>
    <n v="1.7920149999999999"/>
    <n v="879.9"/>
  </r>
  <r>
    <x v="6"/>
    <x v="12"/>
    <x v="11"/>
    <n v="1.8517600000000001"/>
    <n v="1.7480199999999999"/>
    <n v="1.8360099999999999"/>
    <n v="1.7920149999999999"/>
    <n v="879.9"/>
  </r>
  <r>
    <x v="6"/>
    <x v="12"/>
    <x v="11"/>
    <n v="1.8517600000000001"/>
    <n v="1.7480199999999999"/>
    <n v="1.8360099999999999"/>
    <n v="1.7920149999999999"/>
    <n v="879.9"/>
  </r>
  <r>
    <x v="6"/>
    <x v="12"/>
    <x v="11"/>
    <n v="1.8517600000000001"/>
    <n v="1.7480199999999999"/>
    <n v="1.8360099999999999"/>
    <n v="1.7920149999999999"/>
    <n v="879.9"/>
  </r>
  <r>
    <x v="6"/>
    <x v="12"/>
    <x v="11"/>
    <n v="1.8517600000000001"/>
    <n v="1.7480199999999999"/>
    <n v="1.8360099999999999"/>
    <n v="1.7920149999999999"/>
    <n v="879.9"/>
  </r>
  <r>
    <x v="6"/>
    <x v="12"/>
    <x v="11"/>
    <n v="1.8517600000000001"/>
    <n v="1.7480199999999999"/>
    <n v="1.8360099999999999"/>
    <n v="1.7920149999999999"/>
    <n v="879.9"/>
  </r>
  <r>
    <x v="6"/>
    <x v="12"/>
    <x v="11"/>
    <n v="1.8517600000000001"/>
    <n v="1.7480199999999999"/>
    <n v="1.8360099999999999"/>
    <n v="1.7920149999999999"/>
    <n v="879.9"/>
  </r>
  <r>
    <x v="6"/>
    <x v="12"/>
    <x v="11"/>
    <n v="1.8517600000000001"/>
    <n v="1.7480199999999999"/>
    <n v="1.8360099999999999"/>
    <n v="1.7920149999999999"/>
    <n v="879.9"/>
  </r>
  <r>
    <x v="6"/>
    <x v="12"/>
    <x v="11"/>
    <n v="1.8517600000000001"/>
    <n v="1.7480199999999999"/>
    <n v="1.8360099999999999"/>
    <n v="1.7920149999999999"/>
    <n v="879.9"/>
  </r>
  <r>
    <x v="6"/>
    <x v="12"/>
    <x v="11"/>
    <n v="1.8517600000000001"/>
    <n v="1.7480199999999999"/>
    <n v="1.8360099999999999"/>
    <n v="1.7920149999999999"/>
    <n v="879.9"/>
  </r>
  <r>
    <x v="6"/>
    <x v="12"/>
    <x v="11"/>
    <n v="1.8517600000000001"/>
    <n v="1.7480199999999999"/>
    <n v="1.8360099999999999"/>
    <n v="1.7920149999999999"/>
    <n v="879.9"/>
  </r>
  <r>
    <x v="6"/>
    <x v="12"/>
    <x v="11"/>
    <n v="1.8517600000000001"/>
    <n v="1.7480199999999999"/>
    <n v="1.8360099999999999"/>
    <n v="1.7920149999999999"/>
    <n v="879.9"/>
  </r>
  <r>
    <x v="6"/>
    <x v="12"/>
    <x v="11"/>
    <n v="1.8517600000000001"/>
    <n v="1.7480199999999999"/>
    <n v="1.8360099999999999"/>
    <n v="1.7920149999999999"/>
    <n v="879.9"/>
  </r>
  <r>
    <x v="6"/>
    <x v="12"/>
    <x v="11"/>
    <n v="1.8517600000000001"/>
    <n v="1.7480199999999999"/>
    <n v="1.8360099999999999"/>
    <n v="1.7920149999999999"/>
    <n v="879.9"/>
  </r>
  <r>
    <x v="6"/>
    <x v="12"/>
    <x v="11"/>
    <n v="1.8517600000000001"/>
    <n v="1.7480199999999999"/>
    <n v="1.8360099999999999"/>
    <n v="1.7920149999999999"/>
    <n v="879.9"/>
  </r>
  <r>
    <x v="6"/>
    <x v="12"/>
    <x v="11"/>
    <n v="1.8517600000000001"/>
    <n v="1.7480199999999999"/>
    <n v="1.8360099999999999"/>
    <n v="1.7920149999999999"/>
    <n v="879.9"/>
  </r>
  <r>
    <x v="6"/>
    <x v="12"/>
    <x v="11"/>
    <n v="1.8517600000000001"/>
    <n v="1.7480199999999999"/>
    <n v="1.8360099999999999"/>
    <n v="1.7920149999999999"/>
    <n v="879.9"/>
  </r>
  <r>
    <x v="6"/>
    <x v="12"/>
    <x v="11"/>
    <n v="1.8517600000000001"/>
    <n v="1.7480199999999999"/>
    <n v="1.8360099999999999"/>
    <n v="1.7920149999999999"/>
    <n v="879.9"/>
  </r>
  <r>
    <x v="6"/>
    <x v="12"/>
    <x v="11"/>
    <n v="1.8517600000000001"/>
    <n v="1.7480199999999999"/>
    <n v="1.8360099999999999"/>
    <n v="1.7920149999999999"/>
    <n v="879.9"/>
  </r>
  <r>
    <x v="6"/>
    <x v="12"/>
    <x v="11"/>
    <n v="1.8517600000000001"/>
    <n v="1.7480199999999999"/>
    <n v="1.8360099999999999"/>
    <n v="1.7920149999999999"/>
    <n v="879.9"/>
  </r>
  <r>
    <x v="6"/>
    <x v="12"/>
    <x v="6"/>
    <n v="0.78600999999999999"/>
    <n v="0.80749000000000004"/>
    <n v="0.87961999999999996"/>
    <n v="0.84355500000000005"/>
    <n v="721.3"/>
  </r>
  <r>
    <x v="6"/>
    <x v="12"/>
    <x v="6"/>
    <n v="0.78600999999999999"/>
    <n v="0.80749000000000004"/>
    <n v="0.87961999999999996"/>
    <n v="0.84355500000000005"/>
    <n v="721.3"/>
  </r>
  <r>
    <x v="6"/>
    <x v="12"/>
    <x v="6"/>
    <n v="0.78600999999999999"/>
    <n v="0.80749000000000004"/>
    <n v="0.87961999999999996"/>
    <n v="0.84355500000000005"/>
    <n v="721.3"/>
  </r>
  <r>
    <x v="6"/>
    <x v="12"/>
    <x v="6"/>
    <n v="0.78600999999999999"/>
    <n v="0.80749000000000004"/>
    <n v="0.87961999999999996"/>
    <n v="0.84355500000000005"/>
    <n v="721.3"/>
  </r>
  <r>
    <x v="6"/>
    <x v="12"/>
    <x v="6"/>
    <n v="0.78600999999999999"/>
    <n v="0.80749000000000004"/>
    <n v="0.87961999999999996"/>
    <n v="0.84355500000000005"/>
    <n v="721.3"/>
  </r>
  <r>
    <x v="6"/>
    <x v="12"/>
    <x v="6"/>
    <n v="0.78600999999999999"/>
    <n v="0.80749000000000004"/>
    <n v="0.87961999999999996"/>
    <n v="0.84355500000000005"/>
    <n v="721.3"/>
  </r>
  <r>
    <x v="6"/>
    <x v="12"/>
    <x v="6"/>
    <n v="0.78600999999999999"/>
    <n v="0.80749000000000004"/>
    <n v="0.87961999999999996"/>
    <n v="0.84355500000000005"/>
    <n v="721.3"/>
  </r>
  <r>
    <x v="6"/>
    <x v="12"/>
    <x v="6"/>
    <n v="0.78600999999999999"/>
    <n v="0.80749000000000004"/>
    <n v="0.87961999999999996"/>
    <n v="0.84355500000000005"/>
    <n v="721.3"/>
  </r>
  <r>
    <x v="6"/>
    <x v="12"/>
    <x v="6"/>
    <n v="0.78600999999999999"/>
    <n v="0.80749000000000004"/>
    <n v="0.87961999999999996"/>
    <n v="0.84355500000000005"/>
    <n v="721.3"/>
  </r>
  <r>
    <x v="6"/>
    <x v="12"/>
    <x v="6"/>
    <n v="0.78600999999999999"/>
    <n v="0.80749000000000004"/>
    <n v="0.87961999999999996"/>
    <n v="0.84355500000000005"/>
    <n v="721.3"/>
  </r>
  <r>
    <x v="6"/>
    <x v="12"/>
    <x v="6"/>
    <n v="0.78600999999999999"/>
    <n v="0.80749000000000004"/>
    <n v="0.87961999999999996"/>
    <n v="0.84355500000000005"/>
    <n v="721.3"/>
  </r>
  <r>
    <x v="6"/>
    <x v="12"/>
    <x v="6"/>
    <n v="0.78600999999999999"/>
    <n v="0.80749000000000004"/>
    <n v="0.87961999999999996"/>
    <n v="0.84355500000000005"/>
    <n v="721.3"/>
  </r>
  <r>
    <x v="6"/>
    <x v="12"/>
    <x v="6"/>
    <n v="0.78600999999999999"/>
    <n v="0.80749000000000004"/>
    <n v="0.87961999999999996"/>
    <n v="0.84355500000000005"/>
    <n v="721.3"/>
  </r>
  <r>
    <x v="6"/>
    <x v="12"/>
    <x v="6"/>
    <n v="0.78600999999999999"/>
    <n v="0.80749000000000004"/>
    <n v="0.87961999999999996"/>
    <n v="0.84355500000000005"/>
    <n v="721.3"/>
  </r>
  <r>
    <x v="6"/>
    <x v="12"/>
    <x v="6"/>
    <n v="0.78600999999999999"/>
    <n v="0.80749000000000004"/>
    <n v="0.87961999999999996"/>
    <n v="0.84355500000000005"/>
    <n v="721.3"/>
  </r>
  <r>
    <x v="6"/>
    <x v="12"/>
    <x v="6"/>
    <n v="0.78600999999999999"/>
    <n v="0.80749000000000004"/>
    <n v="0.87961999999999996"/>
    <n v="0.84355500000000005"/>
    <n v="721.3"/>
  </r>
  <r>
    <x v="6"/>
    <x v="12"/>
    <x v="6"/>
    <n v="0.78600999999999999"/>
    <n v="0.80749000000000004"/>
    <n v="0.87961999999999996"/>
    <n v="0.84355500000000005"/>
    <n v="721.3"/>
  </r>
  <r>
    <x v="6"/>
    <x v="12"/>
    <x v="6"/>
    <n v="0.78600999999999999"/>
    <n v="0.80749000000000004"/>
    <n v="0.87961999999999996"/>
    <n v="0.84355500000000005"/>
    <n v="721.3"/>
  </r>
  <r>
    <x v="6"/>
    <x v="12"/>
    <x v="6"/>
    <n v="0.78600999999999999"/>
    <n v="0.80749000000000004"/>
    <n v="0.87961999999999996"/>
    <n v="0.84355500000000005"/>
    <n v="721.3"/>
  </r>
  <r>
    <x v="6"/>
    <x v="12"/>
    <x v="6"/>
    <n v="0.78600999999999999"/>
    <n v="0.80749000000000004"/>
    <n v="0.87961999999999996"/>
    <n v="0.84355500000000005"/>
    <n v="721.3"/>
  </r>
  <r>
    <x v="6"/>
    <x v="12"/>
    <x v="6"/>
    <n v="0.78600999999999999"/>
    <n v="0.80749000000000004"/>
    <n v="0.87961999999999996"/>
    <n v="0.84355500000000005"/>
    <n v="721.3"/>
  </r>
  <r>
    <x v="6"/>
    <x v="12"/>
    <x v="6"/>
    <n v="0.78600999999999999"/>
    <n v="0.80749000000000004"/>
    <n v="0.87961999999999996"/>
    <n v="0.84355500000000005"/>
    <n v="721.3"/>
  </r>
  <r>
    <x v="6"/>
    <x v="12"/>
    <x v="6"/>
    <n v="0.78600999999999999"/>
    <n v="0.80749000000000004"/>
    <n v="0.87961999999999996"/>
    <n v="0.84355500000000005"/>
    <n v="721.3"/>
  </r>
  <r>
    <x v="6"/>
    <x v="13"/>
    <x v="11"/>
    <n v="1.83948"/>
    <n v="1.7480199999999999"/>
    <n v="1.8360099999999999"/>
    <n v="1.7920149999999999"/>
    <n v="879.9"/>
  </r>
  <r>
    <x v="6"/>
    <x v="13"/>
    <x v="11"/>
    <n v="1.83948"/>
    <n v="1.7480199999999999"/>
    <n v="1.8360099999999999"/>
    <n v="1.7920149999999999"/>
    <n v="879.9"/>
  </r>
  <r>
    <x v="6"/>
    <x v="13"/>
    <x v="11"/>
    <n v="1.83948"/>
    <n v="1.7480199999999999"/>
    <n v="1.8360099999999999"/>
    <n v="1.7920149999999999"/>
    <n v="879.9"/>
  </r>
  <r>
    <x v="6"/>
    <x v="13"/>
    <x v="11"/>
    <n v="1.83948"/>
    <n v="1.7480199999999999"/>
    <n v="1.8360099999999999"/>
    <n v="1.7920149999999999"/>
    <n v="879.9"/>
  </r>
  <r>
    <x v="6"/>
    <x v="13"/>
    <x v="11"/>
    <n v="1.83948"/>
    <n v="1.7480199999999999"/>
    <n v="1.8360099999999999"/>
    <n v="1.7920149999999999"/>
    <n v="879.9"/>
  </r>
  <r>
    <x v="6"/>
    <x v="13"/>
    <x v="11"/>
    <n v="1.83948"/>
    <n v="1.7480199999999999"/>
    <n v="1.8360099999999999"/>
    <n v="1.7920149999999999"/>
    <n v="879.9"/>
  </r>
  <r>
    <x v="6"/>
    <x v="13"/>
    <x v="11"/>
    <n v="1.83948"/>
    <n v="1.7480199999999999"/>
    <n v="1.8360099999999999"/>
    <n v="1.7920149999999999"/>
    <n v="879.9"/>
  </r>
  <r>
    <x v="6"/>
    <x v="13"/>
    <x v="11"/>
    <n v="1.83948"/>
    <n v="1.7480199999999999"/>
    <n v="1.8360099999999999"/>
    <n v="1.7920149999999999"/>
    <n v="879.9"/>
  </r>
  <r>
    <x v="6"/>
    <x v="13"/>
    <x v="11"/>
    <n v="1.83948"/>
    <n v="1.7480199999999999"/>
    <n v="1.8360099999999999"/>
    <n v="1.7920149999999999"/>
    <n v="879.9"/>
  </r>
  <r>
    <x v="6"/>
    <x v="13"/>
    <x v="11"/>
    <n v="1.83948"/>
    <n v="1.7480199999999999"/>
    <n v="1.8360099999999999"/>
    <n v="1.7920149999999999"/>
    <n v="879.9"/>
  </r>
  <r>
    <x v="6"/>
    <x v="13"/>
    <x v="11"/>
    <n v="1.83948"/>
    <n v="1.7480199999999999"/>
    <n v="1.8360099999999999"/>
    <n v="1.7920149999999999"/>
    <n v="879.9"/>
  </r>
  <r>
    <x v="6"/>
    <x v="13"/>
    <x v="11"/>
    <n v="1.83948"/>
    <n v="1.7480199999999999"/>
    <n v="1.8360099999999999"/>
    <n v="1.7920149999999999"/>
    <n v="879.9"/>
  </r>
  <r>
    <x v="6"/>
    <x v="13"/>
    <x v="11"/>
    <n v="1.83948"/>
    <n v="1.7480199999999999"/>
    <n v="1.8360099999999999"/>
    <n v="1.7920149999999999"/>
    <n v="879.9"/>
  </r>
  <r>
    <x v="6"/>
    <x v="13"/>
    <x v="11"/>
    <n v="1.83948"/>
    <n v="1.7480199999999999"/>
    <n v="1.8360099999999999"/>
    <n v="1.7920149999999999"/>
    <n v="879.9"/>
  </r>
  <r>
    <x v="6"/>
    <x v="13"/>
    <x v="11"/>
    <n v="1.83948"/>
    <n v="1.7480199999999999"/>
    <n v="1.8360099999999999"/>
    <n v="1.7920149999999999"/>
    <n v="879.9"/>
  </r>
  <r>
    <x v="6"/>
    <x v="13"/>
    <x v="11"/>
    <n v="1.83948"/>
    <n v="1.7480199999999999"/>
    <n v="1.8360099999999999"/>
    <n v="1.7920149999999999"/>
    <n v="879.9"/>
  </r>
  <r>
    <x v="6"/>
    <x v="13"/>
    <x v="11"/>
    <n v="1.83948"/>
    <n v="1.7480199999999999"/>
    <n v="1.8360099999999999"/>
    <n v="1.7920149999999999"/>
    <n v="879.9"/>
  </r>
  <r>
    <x v="6"/>
    <x v="13"/>
    <x v="11"/>
    <n v="1.83948"/>
    <n v="1.7480199999999999"/>
    <n v="1.8360099999999999"/>
    <n v="1.7920149999999999"/>
    <n v="879.9"/>
  </r>
  <r>
    <x v="6"/>
    <x v="13"/>
    <x v="11"/>
    <n v="1.83948"/>
    <n v="1.7480199999999999"/>
    <n v="1.8360099999999999"/>
    <n v="1.7920149999999999"/>
    <n v="879.9"/>
  </r>
  <r>
    <x v="6"/>
    <x v="13"/>
    <x v="11"/>
    <n v="1.83948"/>
    <n v="1.7480199999999999"/>
    <n v="1.8360099999999999"/>
    <n v="1.7920149999999999"/>
    <n v="879.9"/>
  </r>
  <r>
    <x v="6"/>
    <x v="13"/>
    <x v="11"/>
    <n v="1.83948"/>
    <n v="1.7480199999999999"/>
    <n v="1.8360099999999999"/>
    <n v="1.7920149999999999"/>
    <n v="879.9"/>
  </r>
  <r>
    <x v="6"/>
    <x v="13"/>
    <x v="11"/>
    <n v="1.83948"/>
    <n v="1.7480199999999999"/>
    <n v="1.8360099999999999"/>
    <n v="1.7920149999999999"/>
    <n v="879.9"/>
  </r>
  <r>
    <x v="6"/>
    <x v="13"/>
    <x v="11"/>
    <n v="1.83948"/>
    <n v="1.7480199999999999"/>
    <n v="1.8360099999999999"/>
    <n v="1.7920149999999999"/>
    <n v="879.9"/>
  </r>
  <r>
    <x v="6"/>
    <x v="13"/>
    <x v="11"/>
    <n v="1.83948"/>
    <n v="1.7480199999999999"/>
    <n v="1.8360099999999999"/>
    <n v="1.7920149999999999"/>
    <n v="879.9"/>
  </r>
  <r>
    <x v="6"/>
    <x v="13"/>
    <x v="6"/>
    <n v="0.77566000000000002"/>
    <n v="0.80749000000000004"/>
    <n v="0.87961999999999996"/>
    <n v="0.84355500000000005"/>
    <n v="721.3"/>
  </r>
  <r>
    <x v="6"/>
    <x v="13"/>
    <x v="6"/>
    <n v="0.77566000000000002"/>
    <n v="0.80749000000000004"/>
    <n v="0.87961999999999996"/>
    <n v="0.84355500000000005"/>
    <n v="721.3"/>
  </r>
  <r>
    <x v="6"/>
    <x v="13"/>
    <x v="6"/>
    <n v="0.77566000000000002"/>
    <n v="0.80749000000000004"/>
    <n v="0.87961999999999996"/>
    <n v="0.84355500000000005"/>
    <n v="721.3"/>
  </r>
  <r>
    <x v="6"/>
    <x v="13"/>
    <x v="6"/>
    <n v="0.77566000000000002"/>
    <n v="0.80749000000000004"/>
    <n v="0.87961999999999996"/>
    <n v="0.84355500000000005"/>
    <n v="721.3"/>
  </r>
  <r>
    <x v="6"/>
    <x v="13"/>
    <x v="6"/>
    <n v="0.77566000000000002"/>
    <n v="0.80749000000000004"/>
    <n v="0.87961999999999996"/>
    <n v="0.84355500000000005"/>
    <n v="721.3"/>
  </r>
  <r>
    <x v="6"/>
    <x v="13"/>
    <x v="6"/>
    <n v="0.77566000000000002"/>
    <n v="0.80749000000000004"/>
    <n v="0.87961999999999996"/>
    <n v="0.84355500000000005"/>
    <n v="721.3"/>
  </r>
  <r>
    <x v="6"/>
    <x v="13"/>
    <x v="6"/>
    <n v="0.77566000000000002"/>
    <n v="0.80749000000000004"/>
    <n v="0.87961999999999996"/>
    <n v="0.84355500000000005"/>
    <n v="721.3"/>
  </r>
  <r>
    <x v="6"/>
    <x v="13"/>
    <x v="6"/>
    <n v="0.77566000000000002"/>
    <n v="0.80749000000000004"/>
    <n v="0.87961999999999996"/>
    <n v="0.84355500000000005"/>
    <n v="721.3"/>
  </r>
  <r>
    <x v="6"/>
    <x v="13"/>
    <x v="6"/>
    <n v="0.77566000000000002"/>
    <n v="0.80749000000000004"/>
    <n v="0.87961999999999996"/>
    <n v="0.84355500000000005"/>
    <n v="721.3"/>
  </r>
  <r>
    <x v="6"/>
    <x v="13"/>
    <x v="6"/>
    <n v="0.77566000000000002"/>
    <n v="0.80749000000000004"/>
    <n v="0.87961999999999996"/>
    <n v="0.84355500000000005"/>
    <n v="721.3"/>
  </r>
  <r>
    <x v="6"/>
    <x v="13"/>
    <x v="6"/>
    <n v="0.77566000000000002"/>
    <n v="0.80749000000000004"/>
    <n v="0.87961999999999996"/>
    <n v="0.84355500000000005"/>
    <n v="721.3"/>
  </r>
  <r>
    <x v="6"/>
    <x v="13"/>
    <x v="6"/>
    <n v="0.77566000000000002"/>
    <n v="0.80749000000000004"/>
    <n v="0.87961999999999996"/>
    <n v="0.84355500000000005"/>
    <n v="721.3"/>
  </r>
  <r>
    <x v="6"/>
    <x v="13"/>
    <x v="6"/>
    <n v="0.77566000000000002"/>
    <n v="0.80749000000000004"/>
    <n v="0.87961999999999996"/>
    <n v="0.84355500000000005"/>
    <n v="721.3"/>
  </r>
  <r>
    <x v="6"/>
    <x v="13"/>
    <x v="6"/>
    <n v="0.77566000000000002"/>
    <n v="0.80749000000000004"/>
    <n v="0.87961999999999996"/>
    <n v="0.84355500000000005"/>
    <n v="721.3"/>
  </r>
  <r>
    <x v="6"/>
    <x v="13"/>
    <x v="6"/>
    <n v="0.77566000000000002"/>
    <n v="0.80749000000000004"/>
    <n v="0.87961999999999996"/>
    <n v="0.84355500000000005"/>
    <n v="721.3"/>
  </r>
  <r>
    <x v="6"/>
    <x v="13"/>
    <x v="6"/>
    <n v="0.77566000000000002"/>
    <n v="0.80749000000000004"/>
    <n v="0.87961999999999996"/>
    <n v="0.84355500000000005"/>
    <n v="721.3"/>
  </r>
  <r>
    <x v="6"/>
    <x v="13"/>
    <x v="6"/>
    <n v="0.77566000000000002"/>
    <n v="0.80749000000000004"/>
    <n v="0.87961999999999996"/>
    <n v="0.84355500000000005"/>
    <n v="721.3"/>
  </r>
  <r>
    <x v="6"/>
    <x v="13"/>
    <x v="6"/>
    <n v="0.77566000000000002"/>
    <n v="0.80749000000000004"/>
    <n v="0.87961999999999996"/>
    <n v="0.84355500000000005"/>
    <n v="721.3"/>
  </r>
  <r>
    <x v="6"/>
    <x v="13"/>
    <x v="6"/>
    <n v="0.77566000000000002"/>
    <n v="0.80749000000000004"/>
    <n v="0.87961999999999996"/>
    <n v="0.84355500000000005"/>
    <n v="721.3"/>
  </r>
  <r>
    <x v="6"/>
    <x v="13"/>
    <x v="6"/>
    <n v="0.77566000000000002"/>
    <n v="0.80749000000000004"/>
    <n v="0.87961999999999996"/>
    <n v="0.84355500000000005"/>
    <n v="721.3"/>
  </r>
  <r>
    <x v="6"/>
    <x v="13"/>
    <x v="6"/>
    <n v="0.77566000000000002"/>
    <n v="0.80749000000000004"/>
    <n v="0.87961999999999996"/>
    <n v="0.84355500000000005"/>
    <n v="721.3"/>
  </r>
  <r>
    <x v="6"/>
    <x v="13"/>
    <x v="6"/>
    <n v="0.77566000000000002"/>
    <n v="0.80749000000000004"/>
    <n v="0.87961999999999996"/>
    <n v="0.84355500000000005"/>
    <n v="721.3"/>
  </r>
  <r>
    <x v="6"/>
    <x v="13"/>
    <x v="6"/>
    <n v="0.77566000000000002"/>
    <n v="0.80749000000000004"/>
    <n v="0.87961999999999996"/>
    <n v="0.84355500000000005"/>
    <n v="721.3"/>
  </r>
  <r>
    <x v="6"/>
    <x v="14"/>
    <x v="11"/>
    <n v="1.84964"/>
    <n v="1.7480199999999999"/>
    <n v="1.8360099999999999"/>
    <n v="1.7920149999999999"/>
    <n v="879.9"/>
  </r>
  <r>
    <x v="6"/>
    <x v="14"/>
    <x v="11"/>
    <n v="1.84964"/>
    <n v="1.7480199999999999"/>
    <n v="1.8360099999999999"/>
    <n v="1.7920149999999999"/>
    <n v="879.9"/>
  </r>
  <r>
    <x v="6"/>
    <x v="14"/>
    <x v="11"/>
    <n v="1.84964"/>
    <n v="1.7480199999999999"/>
    <n v="1.8360099999999999"/>
    <n v="1.7920149999999999"/>
    <n v="879.9"/>
  </r>
  <r>
    <x v="6"/>
    <x v="14"/>
    <x v="11"/>
    <n v="1.84964"/>
    <n v="1.7480199999999999"/>
    <n v="1.8360099999999999"/>
    <n v="1.7920149999999999"/>
    <n v="879.9"/>
  </r>
  <r>
    <x v="6"/>
    <x v="14"/>
    <x v="11"/>
    <n v="1.84964"/>
    <n v="1.7480199999999999"/>
    <n v="1.8360099999999999"/>
    <n v="1.7920149999999999"/>
    <n v="879.9"/>
  </r>
  <r>
    <x v="6"/>
    <x v="14"/>
    <x v="11"/>
    <n v="1.84964"/>
    <n v="1.7480199999999999"/>
    <n v="1.8360099999999999"/>
    <n v="1.7920149999999999"/>
    <n v="879.9"/>
  </r>
  <r>
    <x v="6"/>
    <x v="14"/>
    <x v="11"/>
    <n v="1.84964"/>
    <n v="1.7480199999999999"/>
    <n v="1.8360099999999999"/>
    <n v="1.7920149999999999"/>
    <n v="879.9"/>
  </r>
  <r>
    <x v="6"/>
    <x v="14"/>
    <x v="11"/>
    <n v="1.84964"/>
    <n v="1.7480199999999999"/>
    <n v="1.8360099999999999"/>
    <n v="1.7920149999999999"/>
    <n v="879.9"/>
  </r>
  <r>
    <x v="6"/>
    <x v="14"/>
    <x v="11"/>
    <n v="1.84964"/>
    <n v="1.7480199999999999"/>
    <n v="1.8360099999999999"/>
    <n v="1.7920149999999999"/>
    <n v="879.9"/>
  </r>
  <r>
    <x v="6"/>
    <x v="14"/>
    <x v="11"/>
    <n v="1.84964"/>
    <n v="1.7480199999999999"/>
    <n v="1.8360099999999999"/>
    <n v="1.7920149999999999"/>
    <n v="879.9"/>
  </r>
  <r>
    <x v="6"/>
    <x v="14"/>
    <x v="11"/>
    <n v="1.84964"/>
    <n v="1.7480199999999999"/>
    <n v="1.8360099999999999"/>
    <n v="1.7920149999999999"/>
    <n v="879.9"/>
  </r>
  <r>
    <x v="6"/>
    <x v="14"/>
    <x v="11"/>
    <n v="1.84964"/>
    <n v="1.7480199999999999"/>
    <n v="1.8360099999999999"/>
    <n v="1.7920149999999999"/>
    <n v="879.9"/>
  </r>
  <r>
    <x v="6"/>
    <x v="14"/>
    <x v="11"/>
    <n v="1.84964"/>
    <n v="1.7480199999999999"/>
    <n v="1.8360099999999999"/>
    <n v="1.7920149999999999"/>
    <n v="879.9"/>
  </r>
  <r>
    <x v="6"/>
    <x v="14"/>
    <x v="11"/>
    <n v="1.84964"/>
    <n v="1.7480199999999999"/>
    <n v="1.8360099999999999"/>
    <n v="1.7920149999999999"/>
    <n v="879.9"/>
  </r>
  <r>
    <x v="6"/>
    <x v="14"/>
    <x v="11"/>
    <n v="1.84964"/>
    <n v="1.7480199999999999"/>
    <n v="1.8360099999999999"/>
    <n v="1.7920149999999999"/>
    <n v="879.9"/>
  </r>
  <r>
    <x v="6"/>
    <x v="14"/>
    <x v="11"/>
    <n v="1.84964"/>
    <n v="1.7480199999999999"/>
    <n v="1.8360099999999999"/>
    <n v="1.7920149999999999"/>
    <n v="879.9"/>
  </r>
  <r>
    <x v="6"/>
    <x v="14"/>
    <x v="11"/>
    <n v="1.84964"/>
    <n v="1.7480199999999999"/>
    <n v="1.8360099999999999"/>
    <n v="1.7920149999999999"/>
    <n v="879.9"/>
  </r>
  <r>
    <x v="6"/>
    <x v="14"/>
    <x v="11"/>
    <n v="1.84964"/>
    <n v="1.7480199999999999"/>
    <n v="1.8360099999999999"/>
    <n v="1.7920149999999999"/>
    <n v="879.9"/>
  </r>
  <r>
    <x v="6"/>
    <x v="14"/>
    <x v="11"/>
    <n v="1.84964"/>
    <n v="1.7480199999999999"/>
    <n v="1.8360099999999999"/>
    <n v="1.7920149999999999"/>
    <n v="879.9"/>
  </r>
  <r>
    <x v="6"/>
    <x v="14"/>
    <x v="11"/>
    <n v="1.84964"/>
    <n v="1.7480199999999999"/>
    <n v="1.8360099999999999"/>
    <n v="1.7920149999999999"/>
    <n v="879.9"/>
  </r>
  <r>
    <x v="6"/>
    <x v="14"/>
    <x v="6"/>
    <n v="0.78112999999999999"/>
    <n v="0.79549999999999998"/>
    <n v="0.87961999999999996"/>
    <n v="0.83755999999999997"/>
    <n v="841.2"/>
  </r>
  <r>
    <x v="6"/>
    <x v="14"/>
    <x v="6"/>
    <n v="0.78112999999999999"/>
    <n v="0.79549999999999998"/>
    <n v="0.87961999999999996"/>
    <n v="0.83755999999999997"/>
    <n v="841.2"/>
  </r>
  <r>
    <x v="6"/>
    <x v="14"/>
    <x v="6"/>
    <n v="0.78112999999999999"/>
    <n v="0.79549999999999998"/>
    <n v="0.87961999999999996"/>
    <n v="0.83755999999999997"/>
    <n v="841.2"/>
  </r>
  <r>
    <x v="6"/>
    <x v="14"/>
    <x v="6"/>
    <n v="0.78112999999999999"/>
    <n v="0.79549999999999998"/>
    <n v="0.87961999999999996"/>
    <n v="0.83755999999999997"/>
    <n v="841.2"/>
  </r>
  <r>
    <x v="6"/>
    <x v="14"/>
    <x v="6"/>
    <n v="0.78112999999999999"/>
    <n v="0.79549999999999998"/>
    <n v="0.87961999999999996"/>
    <n v="0.83755999999999997"/>
    <n v="841.2"/>
  </r>
  <r>
    <x v="6"/>
    <x v="14"/>
    <x v="6"/>
    <n v="0.78112999999999999"/>
    <n v="0.79549999999999998"/>
    <n v="0.87961999999999996"/>
    <n v="0.83755999999999997"/>
    <n v="841.2"/>
  </r>
  <r>
    <x v="6"/>
    <x v="14"/>
    <x v="6"/>
    <n v="0.78112999999999999"/>
    <n v="0.79549999999999998"/>
    <n v="0.87961999999999996"/>
    <n v="0.83755999999999997"/>
    <n v="841.2"/>
  </r>
  <r>
    <x v="6"/>
    <x v="14"/>
    <x v="6"/>
    <n v="0.78112999999999999"/>
    <n v="0.79549999999999998"/>
    <n v="0.87961999999999996"/>
    <n v="0.83755999999999997"/>
    <n v="841.2"/>
  </r>
  <r>
    <x v="6"/>
    <x v="14"/>
    <x v="6"/>
    <n v="0.78112999999999999"/>
    <n v="0.79549999999999998"/>
    <n v="0.87961999999999996"/>
    <n v="0.83755999999999997"/>
    <n v="841.2"/>
  </r>
  <r>
    <x v="6"/>
    <x v="14"/>
    <x v="6"/>
    <n v="0.78112999999999999"/>
    <n v="0.79549999999999998"/>
    <n v="0.87961999999999996"/>
    <n v="0.83755999999999997"/>
    <n v="841.2"/>
  </r>
  <r>
    <x v="6"/>
    <x v="14"/>
    <x v="6"/>
    <n v="0.78112999999999999"/>
    <n v="0.79549999999999998"/>
    <n v="0.87961999999999996"/>
    <n v="0.83755999999999997"/>
    <n v="841.2"/>
  </r>
  <r>
    <x v="6"/>
    <x v="14"/>
    <x v="6"/>
    <n v="0.78112999999999999"/>
    <n v="0.79549999999999998"/>
    <n v="0.87961999999999996"/>
    <n v="0.83755999999999997"/>
    <n v="841.2"/>
  </r>
  <r>
    <x v="6"/>
    <x v="14"/>
    <x v="6"/>
    <n v="0.78112999999999999"/>
    <n v="0.79549999999999998"/>
    <n v="0.87961999999999996"/>
    <n v="0.83755999999999997"/>
    <n v="841.2"/>
  </r>
  <r>
    <x v="6"/>
    <x v="14"/>
    <x v="6"/>
    <n v="0.78112999999999999"/>
    <n v="0.79549999999999998"/>
    <n v="0.87961999999999996"/>
    <n v="0.83755999999999997"/>
    <n v="841.2"/>
  </r>
  <r>
    <x v="6"/>
    <x v="14"/>
    <x v="6"/>
    <n v="0.78112999999999999"/>
    <n v="0.79549999999999998"/>
    <n v="0.87961999999999996"/>
    <n v="0.83755999999999997"/>
    <n v="841.2"/>
  </r>
  <r>
    <x v="6"/>
    <x v="14"/>
    <x v="6"/>
    <n v="0.78112999999999999"/>
    <n v="0.79549999999999998"/>
    <n v="0.87961999999999996"/>
    <n v="0.83755999999999997"/>
    <n v="841.2"/>
  </r>
  <r>
    <x v="6"/>
    <x v="14"/>
    <x v="6"/>
    <n v="0.78112999999999999"/>
    <n v="0.79549999999999998"/>
    <n v="0.87961999999999996"/>
    <n v="0.83755999999999997"/>
    <n v="841.2"/>
  </r>
  <r>
    <x v="6"/>
    <x v="14"/>
    <x v="6"/>
    <n v="0.78112999999999999"/>
    <n v="0.79549999999999998"/>
    <n v="0.87961999999999996"/>
    <n v="0.83755999999999997"/>
    <n v="841.2"/>
  </r>
  <r>
    <x v="6"/>
    <x v="14"/>
    <x v="6"/>
    <n v="0.78112999999999999"/>
    <n v="0.79549999999999998"/>
    <n v="0.87961999999999996"/>
    <n v="0.83755999999999997"/>
    <n v="841.2"/>
  </r>
  <r>
    <x v="6"/>
    <x v="14"/>
    <x v="6"/>
    <n v="0.78112999999999999"/>
    <n v="0.79549999999999998"/>
    <n v="0.87961999999999996"/>
    <n v="0.83755999999999997"/>
    <n v="841.2"/>
  </r>
  <r>
    <x v="6"/>
    <x v="14"/>
    <x v="6"/>
    <n v="0.78112999999999999"/>
    <n v="0.79549999999999998"/>
    <n v="0.87961999999999996"/>
    <n v="0.83755999999999997"/>
    <n v="841.2"/>
  </r>
  <r>
    <x v="6"/>
    <x v="14"/>
    <x v="6"/>
    <n v="0.78112999999999999"/>
    <n v="0.79549999999999998"/>
    <n v="0.87961999999999996"/>
    <n v="0.83755999999999997"/>
    <n v="841.2"/>
  </r>
  <r>
    <x v="6"/>
    <x v="14"/>
    <x v="6"/>
    <n v="0.78112999999999999"/>
    <n v="0.79549999999999998"/>
    <n v="0.87961999999999996"/>
    <n v="0.83755999999999997"/>
    <n v="841.2"/>
  </r>
  <r>
    <x v="6"/>
    <x v="14"/>
    <x v="6"/>
    <n v="0.78112999999999999"/>
    <n v="0.79549999999999998"/>
    <n v="0.87961999999999996"/>
    <n v="0.83755999999999997"/>
    <n v="841.2"/>
  </r>
  <r>
    <x v="6"/>
    <x v="15"/>
    <x v="11"/>
    <n v="1.8386"/>
    <n v="1.7480199999999999"/>
    <n v="1.8360099999999999"/>
    <n v="1.7920149999999999"/>
    <n v="879.9"/>
  </r>
  <r>
    <x v="6"/>
    <x v="15"/>
    <x v="11"/>
    <n v="1.8386"/>
    <n v="1.7480199999999999"/>
    <n v="1.8360099999999999"/>
    <n v="1.7920149999999999"/>
    <n v="879.9"/>
  </r>
  <r>
    <x v="6"/>
    <x v="15"/>
    <x v="11"/>
    <n v="1.8386"/>
    <n v="1.7480199999999999"/>
    <n v="1.8360099999999999"/>
    <n v="1.7920149999999999"/>
    <n v="879.9"/>
  </r>
  <r>
    <x v="6"/>
    <x v="15"/>
    <x v="11"/>
    <n v="1.8386"/>
    <n v="1.7480199999999999"/>
    <n v="1.8360099999999999"/>
    <n v="1.7920149999999999"/>
    <n v="879.9"/>
  </r>
  <r>
    <x v="6"/>
    <x v="15"/>
    <x v="11"/>
    <n v="1.8386"/>
    <n v="1.7480199999999999"/>
    <n v="1.8360099999999999"/>
    <n v="1.7920149999999999"/>
    <n v="879.9"/>
  </r>
  <r>
    <x v="6"/>
    <x v="15"/>
    <x v="11"/>
    <n v="1.8386"/>
    <n v="1.7480199999999999"/>
    <n v="1.8360099999999999"/>
    <n v="1.7920149999999999"/>
    <n v="879.9"/>
  </r>
  <r>
    <x v="6"/>
    <x v="15"/>
    <x v="11"/>
    <n v="1.8386"/>
    <n v="1.7480199999999999"/>
    <n v="1.8360099999999999"/>
    <n v="1.7920149999999999"/>
    <n v="879.9"/>
  </r>
  <r>
    <x v="6"/>
    <x v="15"/>
    <x v="11"/>
    <n v="1.8386"/>
    <n v="1.7480199999999999"/>
    <n v="1.8360099999999999"/>
    <n v="1.7920149999999999"/>
    <n v="879.9"/>
  </r>
  <r>
    <x v="6"/>
    <x v="15"/>
    <x v="11"/>
    <n v="1.8386"/>
    <n v="1.7480199999999999"/>
    <n v="1.8360099999999999"/>
    <n v="1.7920149999999999"/>
    <n v="879.9"/>
  </r>
  <r>
    <x v="6"/>
    <x v="15"/>
    <x v="11"/>
    <n v="1.8386"/>
    <n v="1.7480199999999999"/>
    <n v="1.8360099999999999"/>
    <n v="1.7920149999999999"/>
    <n v="879.9"/>
  </r>
  <r>
    <x v="6"/>
    <x v="15"/>
    <x v="11"/>
    <n v="1.8386"/>
    <n v="1.7480199999999999"/>
    <n v="1.8360099999999999"/>
    <n v="1.7920149999999999"/>
    <n v="879.9"/>
  </r>
  <r>
    <x v="6"/>
    <x v="15"/>
    <x v="11"/>
    <n v="1.8386"/>
    <n v="1.7480199999999999"/>
    <n v="1.8360099999999999"/>
    <n v="1.7920149999999999"/>
    <n v="879.9"/>
  </r>
  <r>
    <x v="6"/>
    <x v="15"/>
    <x v="11"/>
    <n v="1.8386"/>
    <n v="1.7480199999999999"/>
    <n v="1.8360099999999999"/>
    <n v="1.7920149999999999"/>
    <n v="879.9"/>
  </r>
  <r>
    <x v="6"/>
    <x v="15"/>
    <x v="11"/>
    <n v="1.8386"/>
    <n v="1.7480199999999999"/>
    <n v="1.8360099999999999"/>
    <n v="1.7920149999999999"/>
    <n v="879.9"/>
  </r>
  <r>
    <x v="6"/>
    <x v="15"/>
    <x v="11"/>
    <n v="1.8386"/>
    <n v="1.7480199999999999"/>
    <n v="1.8360099999999999"/>
    <n v="1.7920149999999999"/>
    <n v="879.9"/>
  </r>
  <r>
    <x v="6"/>
    <x v="15"/>
    <x v="11"/>
    <n v="1.8386"/>
    <n v="1.7480199999999999"/>
    <n v="1.8360099999999999"/>
    <n v="1.7920149999999999"/>
    <n v="879.9"/>
  </r>
  <r>
    <x v="6"/>
    <x v="15"/>
    <x v="11"/>
    <n v="1.8386"/>
    <n v="1.7480199999999999"/>
    <n v="1.8360099999999999"/>
    <n v="1.7920149999999999"/>
    <n v="879.9"/>
  </r>
  <r>
    <x v="6"/>
    <x v="15"/>
    <x v="11"/>
    <n v="1.8386"/>
    <n v="1.7480199999999999"/>
    <n v="1.8360099999999999"/>
    <n v="1.7920149999999999"/>
    <n v="879.9"/>
  </r>
  <r>
    <x v="6"/>
    <x v="15"/>
    <x v="11"/>
    <n v="1.8386"/>
    <n v="1.7480199999999999"/>
    <n v="1.8360099999999999"/>
    <n v="1.7920149999999999"/>
    <n v="879.9"/>
  </r>
  <r>
    <x v="6"/>
    <x v="15"/>
    <x v="11"/>
    <n v="1.8386"/>
    <n v="1.7480199999999999"/>
    <n v="1.8360099999999999"/>
    <n v="1.7920149999999999"/>
    <n v="879.9"/>
  </r>
  <r>
    <x v="6"/>
    <x v="15"/>
    <x v="11"/>
    <n v="1.8386"/>
    <n v="1.7480199999999999"/>
    <n v="1.8360099999999999"/>
    <n v="1.7920149999999999"/>
    <n v="879.9"/>
  </r>
  <r>
    <x v="6"/>
    <x v="15"/>
    <x v="11"/>
    <n v="1.8386"/>
    <n v="1.7480199999999999"/>
    <n v="1.8360099999999999"/>
    <n v="1.7920149999999999"/>
    <n v="879.9"/>
  </r>
  <r>
    <x v="6"/>
    <x v="15"/>
    <x v="11"/>
    <n v="1.8386"/>
    <n v="1.7480199999999999"/>
    <n v="1.8360099999999999"/>
    <n v="1.7920149999999999"/>
    <n v="879.9"/>
  </r>
  <r>
    <x v="6"/>
    <x v="15"/>
    <x v="6"/>
    <n v="0.79078999999999999"/>
    <n v="0.78752999999999995"/>
    <n v="0.87961999999999996"/>
    <n v="0.83357499999999995"/>
    <n v="920.9"/>
  </r>
  <r>
    <x v="6"/>
    <x v="15"/>
    <x v="6"/>
    <n v="0.79078999999999999"/>
    <n v="0.78752999999999995"/>
    <n v="0.87961999999999996"/>
    <n v="0.83357499999999995"/>
    <n v="920.9"/>
  </r>
  <r>
    <x v="6"/>
    <x v="15"/>
    <x v="6"/>
    <n v="0.79078999999999999"/>
    <n v="0.78752999999999995"/>
    <n v="0.87961999999999996"/>
    <n v="0.83357499999999995"/>
    <n v="920.9"/>
  </r>
  <r>
    <x v="6"/>
    <x v="15"/>
    <x v="6"/>
    <n v="0.79078999999999999"/>
    <n v="0.78752999999999995"/>
    <n v="0.87961999999999996"/>
    <n v="0.83357499999999995"/>
    <n v="920.9"/>
  </r>
  <r>
    <x v="6"/>
    <x v="15"/>
    <x v="6"/>
    <n v="0.79078999999999999"/>
    <n v="0.78752999999999995"/>
    <n v="0.87961999999999996"/>
    <n v="0.83357499999999995"/>
    <n v="920.9"/>
  </r>
  <r>
    <x v="6"/>
    <x v="15"/>
    <x v="6"/>
    <n v="0.79078999999999999"/>
    <n v="0.78752999999999995"/>
    <n v="0.87961999999999996"/>
    <n v="0.83357499999999995"/>
    <n v="920.9"/>
  </r>
  <r>
    <x v="6"/>
    <x v="15"/>
    <x v="6"/>
    <n v="0.79078999999999999"/>
    <n v="0.78752999999999995"/>
    <n v="0.87961999999999996"/>
    <n v="0.83357499999999995"/>
    <n v="920.9"/>
  </r>
  <r>
    <x v="6"/>
    <x v="15"/>
    <x v="6"/>
    <n v="0.79078999999999999"/>
    <n v="0.78752999999999995"/>
    <n v="0.87961999999999996"/>
    <n v="0.83357499999999995"/>
    <n v="920.9"/>
  </r>
  <r>
    <x v="6"/>
    <x v="15"/>
    <x v="6"/>
    <n v="0.79078999999999999"/>
    <n v="0.78752999999999995"/>
    <n v="0.87961999999999996"/>
    <n v="0.83357499999999995"/>
    <n v="920.9"/>
  </r>
  <r>
    <x v="6"/>
    <x v="15"/>
    <x v="6"/>
    <n v="0.79078999999999999"/>
    <n v="0.78752999999999995"/>
    <n v="0.87961999999999996"/>
    <n v="0.83357499999999995"/>
    <n v="920.9"/>
  </r>
  <r>
    <x v="6"/>
    <x v="15"/>
    <x v="6"/>
    <n v="0.79078999999999999"/>
    <n v="0.78752999999999995"/>
    <n v="0.87961999999999996"/>
    <n v="0.83357499999999995"/>
    <n v="920.9"/>
  </r>
  <r>
    <x v="6"/>
    <x v="15"/>
    <x v="6"/>
    <n v="0.79078999999999999"/>
    <n v="0.78752999999999995"/>
    <n v="0.87961999999999996"/>
    <n v="0.83357499999999995"/>
    <n v="920.9"/>
  </r>
  <r>
    <x v="6"/>
    <x v="15"/>
    <x v="6"/>
    <n v="0.79078999999999999"/>
    <n v="0.78752999999999995"/>
    <n v="0.87961999999999996"/>
    <n v="0.83357499999999995"/>
    <n v="920.9"/>
  </r>
  <r>
    <x v="6"/>
    <x v="15"/>
    <x v="6"/>
    <n v="0.79078999999999999"/>
    <n v="0.78752999999999995"/>
    <n v="0.87961999999999996"/>
    <n v="0.83357499999999995"/>
    <n v="920.9"/>
  </r>
  <r>
    <x v="6"/>
    <x v="15"/>
    <x v="6"/>
    <n v="0.79078999999999999"/>
    <n v="0.78752999999999995"/>
    <n v="0.87961999999999996"/>
    <n v="0.83357499999999995"/>
    <n v="920.9"/>
  </r>
  <r>
    <x v="6"/>
    <x v="15"/>
    <x v="6"/>
    <n v="0.79078999999999999"/>
    <n v="0.78752999999999995"/>
    <n v="0.87961999999999996"/>
    <n v="0.83357499999999995"/>
    <n v="920.9"/>
  </r>
  <r>
    <x v="6"/>
    <x v="15"/>
    <x v="6"/>
    <n v="0.79078999999999999"/>
    <n v="0.78752999999999995"/>
    <n v="0.87961999999999996"/>
    <n v="0.83357499999999995"/>
    <n v="920.9"/>
  </r>
  <r>
    <x v="6"/>
    <x v="15"/>
    <x v="6"/>
    <n v="0.79078999999999999"/>
    <n v="0.78752999999999995"/>
    <n v="0.87961999999999996"/>
    <n v="0.83357499999999995"/>
    <n v="920.9"/>
  </r>
  <r>
    <x v="6"/>
    <x v="15"/>
    <x v="6"/>
    <n v="0.79078999999999999"/>
    <n v="0.78752999999999995"/>
    <n v="0.87961999999999996"/>
    <n v="0.83357499999999995"/>
    <n v="920.9"/>
  </r>
  <r>
    <x v="6"/>
    <x v="15"/>
    <x v="6"/>
    <n v="0.79078999999999999"/>
    <n v="0.78752999999999995"/>
    <n v="0.87961999999999996"/>
    <n v="0.83357499999999995"/>
    <n v="920.9"/>
  </r>
  <r>
    <x v="6"/>
    <x v="15"/>
    <x v="6"/>
    <n v="0.79078999999999999"/>
    <n v="0.78752999999999995"/>
    <n v="0.87961999999999996"/>
    <n v="0.83357499999999995"/>
    <n v="920.9"/>
  </r>
  <r>
    <x v="6"/>
    <x v="15"/>
    <x v="6"/>
    <n v="0.79078999999999999"/>
    <n v="0.78752999999999995"/>
    <n v="0.87961999999999996"/>
    <n v="0.83357499999999995"/>
    <n v="920.9"/>
  </r>
  <r>
    <x v="6"/>
    <x v="15"/>
    <x v="6"/>
    <n v="0.79078999999999999"/>
    <n v="0.78752999999999995"/>
    <n v="0.87961999999999996"/>
    <n v="0.83357499999999995"/>
    <n v="920.9"/>
  </r>
  <r>
    <x v="6"/>
    <x v="15"/>
    <x v="6"/>
    <n v="0.79078999999999999"/>
    <n v="0.78752999999999995"/>
    <n v="0.87961999999999996"/>
    <n v="0.83357499999999995"/>
    <n v="920.9"/>
  </r>
  <r>
    <x v="6"/>
    <x v="15"/>
    <x v="6"/>
    <n v="0.79078999999999999"/>
    <n v="0.78752999999999995"/>
    <n v="0.87961999999999996"/>
    <n v="0.83357499999999995"/>
    <n v="920.9"/>
  </r>
  <r>
    <x v="6"/>
    <x v="15"/>
    <x v="6"/>
    <n v="0.79078999999999999"/>
    <n v="0.78752999999999995"/>
    <n v="0.87961999999999996"/>
    <n v="0.83357499999999995"/>
    <n v="920.9"/>
  </r>
  <r>
    <x v="6"/>
    <x v="15"/>
    <x v="6"/>
    <n v="0.79078999999999999"/>
    <n v="0.78752999999999995"/>
    <n v="0.87961999999999996"/>
    <n v="0.83357499999999995"/>
    <n v="920.9"/>
  </r>
  <r>
    <x v="6"/>
    <x v="15"/>
    <x v="6"/>
    <n v="0.79078999999999999"/>
    <n v="0.78752999999999995"/>
    <n v="0.87961999999999996"/>
    <n v="0.83357499999999995"/>
    <n v="920.9"/>
  </r>
  <r>
    <x v="6"/>
    <x v="16"/>
    <x v="11"/>
    <n v="1.8288500000000001"/>
    <n v="1.7480199999999999"/>
    <n v="1.8360099999999999"/>
    <n v="1.7920149999999999"/>
    <n v="879.9"/>
  </r>
  <r>
    <x v="6"/>
    <x v="16"/>
    <x v="11"/>
    <n v="1.8288500000000001"/>
    <n v="1.7480199999999999"/>
    <n v="1.8360099999999999"/>
    <n v="1.7920149999999999"/>
    <n v="879.9"/>
  </r>
  <r>
    <x v="6"/>
    <x v="16"/>
    <x v="11"/>
    <n v="1.8288500000000001"/>
    <n v="1.7480199999999999"/>
    <n v="1.8360099999999999"/>
    <n v="1.7920149999999999"/>
    <n v="879.9"/>
  </r>
  <r>
    <x v="6"/>
    <x v="16"/>
    <x v="11"/>
    <n v="1.8288500000000001"/>
    <n v="1.7480199999999999"/>
    <n v="1.8360099999999999"/>
    <n v="1.7920149999999999"/>
    <n v="879.9"/>
  </r>
  <r>
    <x v="6"/>
    <x v="16"/>
    <x v="11"/>
    <n v="1.8288500000000001"/>
    <n v="1.7480199999999999"/>
    <n v="1.8360099999999999"/>
    <n v="1.7920149999999999"/>
    <n v="879.9"/>
  </r>
  <r>
    <x v="6"/>
    <x v="16"/>
    <x v="11"/>
    <n v="1.8288500000000001"/>
    <n v="1.7480199999999999"/>
    <n v="1.8360099999999999"/>
    <n v="1.7920149999999999"/>
    <n v="879.9"/>
  </r>
  <r>
    <x v="6"/>
    <x v="16"/>
    <x v="11"/>
    <n v="1.8288500000000001"/>
    <n v="1.7480199999999999"/>
    <n v="1.8360099999999999"/>
    <n v="1.7920149999999999"/>
    <n v="879.9"/>
  </r>
  <r>
    <x v="6"/>
    <x v="16"/>
    <x v="11"/>
    <n v="1.8288500000000001"/>
    <n v="1.7480199999999999"/>
    <n v="1.8360099999999999"/>
    <n v="1.7920149999999999"/>
    <n v="879.9"/>
  </r>
  <r>
    <x v="6"/>
    <x v="16"/>
    <x v="11"/>
    <n v="1.8288500000000001"/>
    <n v="1.7480199999999999"/>
    <n v="1.8360099999999999"/>
    <n v="1.7920149999999999"/>
    <n v="879.9"/>
  </r>
  <r>
    <x v="6"/>
    <x v="16"/>
    <x v="11"/>
    <n v="1.8288500000000001"/>
    <n v="1.7480199999999999"/>
    <n v="1.8360099999999999"/>
    <n v="1.7920149999999999"/>
    <n v="879.9"/>
  </r>
  <r>
    <x v="6"/>
    <x v="16"/>
    <x v="11"/>
    <n v="1.8288500000000001"/>
    <n v="1.7480199999999999"/>
    <n v="1.8360099999999999"/>
    <n v="1.7920149999999999"/>
    <n v="879.9"/>
  </r>
  <r>
    <x v="6"/>
    <x v="16"/>
    <x v="11"/>
    <n v="1.8288500000000001"/>
    <n v="1.7480199999999999"/>
    <n v="1.8360099999999999"/>
    <n v="1.7920149999999999"/>
    <n v="879.9"/>
  </r>
  <r>
    <x v="6"/>
    <x v="16"/>
    <x v="11"/>
    <n v="1.8288500000000001"/>
    <n v="1.7480199999999999"/>
    <n v="1.8360099999999999"/>
    <n v="1.7920149999999999"/>
    <n v="879.9"/>
  </r>
  <r>
    <x v="6"/>
    <x v="16"/>
    <x v="11"/>
    <n v="1.8288500000000001"/>
    <n v="1.7480199999999999"/>
    <n v="1.8360099999999999"/>
    <n v="1.7920149999999999"/>
    <n v="879.9"/>
  </r>
  <r>
    <x v="6"/>
    <x v="16"/>
    <x v="11"/>
    <n v="1.8288500000000001"/>
    <n v="1.7480199999999999"/>
    <n v="1.8360099999999999"/>
    <n v="1.7920149999999999"/>
    <n v="879.9"/>
  </r>
  <r>
    <x v="6"/>
    <x v="16"/>
    <x v="11"/>
    <n v="1.8288500000000001"/>
    <n v="1.7480199999999999"/>
    <n v="1.8360099999999999"/>
    <n v="1.7920149999999999"/>
    <n v="879.9"/>
  </r>
  <r>
    <x v="6"/>
    <x v="16"/>
    <x v="11"/>
    <n v="1.8288500000000001"/>
    <n v="1.7480199999999999"/>
    <n v="1.8360099999999999"/>
    <n v="1.7920149999999999"/>
    <n v="879.9"/>
  </r>
  <r>
    <x v="6"/>
    <x v="16"/>
    <x v="11"/>
    <n v="1.8288500000000001"/>
    <n v="1.7480199999999999"/>
    <n v="1.8360099999999999"/>
    <n v="1.7920149999999999"/>
    <n v="879.9"/>
  </r>
  <r>
    <x v="6"/>
    <x v="16"/>
    <x v="11"/>
    <n v="1.8288500000000001"/>
    <n v="1.7480199999999999"/>
    <n v="1.8360099999999999"/>
    <n v="1.7920149999999999"/>
    <n v="879.9"/>
  </r>
  <r>
    <x v="6"/>
    <x v="16"/>
    <x v="11"/>
    <n v="1.8288500000000001"/>
    <n v="1.7480199999999999"/>
    <n v="1.8360099999999999"/>
    <n v="1.7920149999999999"/>
    <n v="879.9"/>
  </r>
  <r>
    <x v="6"/>
    <x v="16"/>
    <x v="11"/>
    <n v="1.8288500000000001"/>
    <n v="1.7480199999999999"/>
    <n v="1.8360099999999999"/>
    <n v="1.7920149999999999"/>
    <n v="879.9"/>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6"/>
    <x v="6"/>
    <n v="0.78403999999999996"/>
    <n v="0.78551000000000004"/>
    <n v="0.87961999999999996"/>
    <n v="0.832565"/>
    <n v="941.1"/>
  </r>
  <r>
    <x v="6"/>
    <x v="17"/>
    <x v="11"/>
    <n v="1.81735"/>
    <n v="1.7480199999999999"/>
    <n v="1.8360099999999999"/>
    <n v="1.7920149999999999"/>
    <n v="879.9"/>
  </r>
  <r>
    <x v="6"/>
    <x v="17"/>
    <x v="11"/>
    <n v="1.81735"/>
    <n v="1.7480199999999999"/>
    <n v="1.8360099999999999"/>
    <n v="1.7920149999999999"/>
    <n v="879.9"/>
  </r>
  <r>
    <x v="6"/>
    <x v="17"/>
    <x v="11"/>
    <n v="1.81735"/>
    <n v="1.7480199999999999"/>
    <n v="1.8360099999999999"/>
    <n v="1.7920149999999999"/>
    <n v="879.9"/>
  </r>
  <r>
    <x v="6"/>
    <x v="17"/>
    <x v="11"/>
    <n v="1.81735"/>
    <n v="1.7480199999999999"/>
    <n v="1.8360099999999999"/>
    <n v="1.7920149999999999"/>
    <n v="879.9"/>
  </r>
  <r>
    <x v="6"/>
    <x v="17"/>
    <x v="11"/>
    <n v="1.81735"/>
    <n v="1.7480199999999999"/>
    <n v="1.8360099999999999"/>
    <n v="1.7920149999999999"/>
    <n v="879.9"/>
  </r>
  <r>
    <x v="6"/>
    <x v="17"/>
    <x v="11"/>
    <n v="1.81735"/>
    <n v="1.7480199999999999"/>
    <n v="1.8360099999999999"/>
    <n v="1.7920149999999999"/>
    <n v="879.9"/>
  </r>
  <r>
    <x v="6"/>
    <x v="17"/>
    <x v="11"/>
    <n v="1.81735"/>
    <n v="1.7480199999999999"/>
    <n v="1.8360099999999999"/>
    <n v="1.7920149999999999"/>
    <n v="879.9"/>
  </r>
  <r>
    <x v="6"/>
    <x v="17"/>
    <x v="11"/>
    <n v="1.81735"/>
    <n v="1.7480199999999999"/>
    <n v="1.8360099999999999"/>
    <n v="1.7920149999999999"/>
    <n v="879.9"/>
  </r>
  <r>
    <x v="6"/>
    <x v="17"/>
    <x v="11"/>
    <n v="1.81735"/>
    <n v="1.7480199999999999"/>
    <n v="1.8360099999999999"/>
    <n v="1.7920149999999999"/>
    <n v="879.9"/>
  </r>
  <r>
    <x v="6"/>
    <x v="17"/>
    <x v="11"/>
    <n v="1.81735"/>
    <n v="1.7480199999999999"/>
    <n v="1.8360099999999999"/>
    <n v="1.7920149999999999"/>
    <n v="879.9"/>
  </r>
  <r>
    <x v="6"/>
    <x v="17"/>
    <x v="11"/>
    <n v="1.81735"/>
    <n v="1.7480199999999999"/>
    <n v="1.8360099999999999"/>
    <n v="1.7920149999999999"/>
    <n v="879.9"/>
  </r>
  <r>
    <x v="6"/>
    <x v="17"/>
    <x v="11"/>
    <n v="1.81735"/>
    <n v="1.7480199999999999"/>
    <n v="1.8360099999999999"/>
    <n v="1.7920149999999999"/>
    <n v="879.9"/>
  </r>
  <r>
    <x v="6"/>
    <x v="17"/>
    <x v="11"/>
    <n v="1.81735"/>
    <n v="1.7480199999999999"/>
    <n v="1.8360099999999999"/>
    <n v="1.7920149999999999"/>
    <n v="879.9"/>
  </r>
  <r>
    <x v="6"/>
    <x v="17"/>
    <x v="11"/>
    <n v="1.81735"/>
    <n v="1.7480199999999999"/>
    <n v="1.8360099999999999"/>
    <n v="1.7920149999999999"/>
    <n v="879.9"/>
  </r>
  <r>
    <x v="6"/>
    <x v="17"/>
    <x v="11"/>
    <n v="1.81735"/>
    <n v="1.7480199999999999"/>
    <n v="1.8360099999999999"/>
    <n v="1.7920149999999999"/>
    <n v="879.9"/>
  </r>
  <r>
    <x v="6"/>
    <x v="17"/>
    <x v="11"/>
    <n v="1.81735"/>
    <n v="1.7480199999999999"/>
    <n v="1.8360099999999999"/>
    <n v="1.7920149999999999"/>
    <n v="879.9"/>
  </r>
  <r>
    <x v="6"/>
    <x v="17"/>
    <x v="11"/>
    <n v="1.81735"/>
    <n v="1.7480199999999999"/>
    <n v="1.8360099999999999"/>
    <n v="1.7920149999999999"/>
    <n v="879.9"/>
  </r>
  <r>
    <x v="6"/>
    <x v="17"/>
    <x v="11"/>
    <n v="1.81735"/>
    <n v="1.7480199999999999"/>
    <n v="1.8360099999999999"/>
    <n v="1.7920149999999999"/>
    <n v="879.9"/>
  </r>
  <r>
    <x v="6"/>
    <x v="17"/>
    <x v="11"/>
    <n v="1.81735"/>
    <n v="1.7480199999999999"/>
    <n v="1.8360099999999999"/>
    <n v="1.7920149999999999"/>
    <n v="879.9"/>
  </r>
  <r>
    <x v="6"/>
    <x v="17"/>
    <x v="11"/>
    <n v="1.81735"/>
    <n v="1.7480199999999999"/>
    <n v="1.8360099999999999"/>
    <n v="1.7920149999999999"/>
    <n v="879.9"/>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7"/>
    <x v="6"/>
    <n v="0.77807999999999999"/>
    <n v="0.78159000000000001"/>
    <n v="0.87961999999999996"/>
    <n v="0.83060500000000004"/>
    <n v="980.3"/>
  </r>
  <r>
    <x v="6"/>
    <x v="18"/>
    <x v="11"/>
    <n v="1.83754"/>
    <n v="1.7480199999999999"/>
    <n v="1.8360099999999999"/>
    <n v="1.7920149999999999"/>
    <n v="879.9"/>
  </r>
  <r>
    <x v="6"/>
    <x v="18"/>
    <x v="11"/>
    <n v="1.83754"/>
    <n v="1.7480199999999999"/>
    <n v="1.8360099999999999"/>
    <n v="1.7920149999999999"/>
    <n v="879.9"/>
  </r>
  <r>
    <x v="6"/>
    <x v="18"/>
    <x v="11"/>
    <n v="1.83754"/>
    <n v="1.7480199999999999"/>
    <n v="1.8360099999999999"/>
    <n v="1.7920149999999999"/>
    <n v="879.9"/>
  </r>
  <r>
    <x v="6"/>
    <x v="18"/>
    <x v="11"/>
    <n v="1.83754"/>
    <n v="1.7480199999999999"/>
    <n v="1.8360099999999999"/>
    <n v="1.7920149999999999"/>
    <n v="879.9"/>
  </r>
  <r>
    <x v="6"/>
    <x v="18"/>
    <x v="11"/>
    <n v="1.83754"/>
    <n v="1.7480199999999999"/>
    <n v="1.8360099999999999"/>
    <n v="1.7920149999999999"/>
    <n v="879.9"/>
  </r>
  <r>
    <x v="6"/>
    <x v="18"/>
    <x v="11"/>
    <n v="1.83754"/>
    <n v="1.7480199999999999"/>
    <n v="1.8360099999999999"/>
    <n v="1.7920149999999999"/>
    <n v="879.9"/>
  </r>
  <r>
    <x v="6"/>
    <x v="18"/>
    <x v="11"/>
    <n v="1.83754"/>
    <n v="1.7480199999999999"/>
    <n v="1.8360099999999999"/>
    <n v="1.7920149999999999"/>
    <n v="879.9"/>
  </r>
  <r>
    <x v="6"/>
    <x v="18"/>
    <x v="11"/>
    <n v="1.83754"/>
    <n v="1.7480199999999999"/>
    <n v="1.8360099999999999"/>
    <n v="1.7920149999999999"/>
    <n v="879.9"/>
  </r>
  <r>
    <x v="6"/>
    <x v="18"/>
    <x v="11"/>
    <n v="1.83754"/>
    <n v="1.7480199999999999"/>
    <n v="1.8360099999999999"/>
    <n v="1.7920149999999999"/>
    <n v="879.9"/>
  </r>
  <r>
    <x v="6"/>
    <x v="18"/>
    <x v="11"/>
    <n v="1.83754"/>
    <n v="1.7480199999999999"/>
    <n v="1.8360099999999999"/>
    <n v="1.7920149999999999"/>
    <n v="879.9"/>
  </r>
  <r>
    <x v="6"/>
    <x v="18"/>
    <x v="11"/>
    <n v="1.83754"/>
    <n v="1.7480199999999999"/>
    <n v="1.8360099999999999"/>
    <n v="1.7920149999999999"/>
    <n v="879.9"/>
  </r>
  <r>
    <x v="6"/>
    <x v="18"/>
    <x v="11"/>
    <n v="1.83754"/>
    <n v="1.7480199999999999"/>
    <n v="1.8360099999999999"/>
    <n v="1.7920149999999999"/>
    <n v="879.9"/>
  </r>
  <r>
    <x v="6"/>
    <x v="18"/>
    <x v="11"/>
    <n v="1.83754"/>
    <n v="1.7480199999999999"/>
    <n v="1.8360099999999999"/>
    <n v="1.7920149999999999"/>
    <n v="879.9"/>
  </r>
  <r>
    <x v="6"/>
    <x v="18"/>
    <x v="11"/>
    <n v="1.83754"/>
    <n v="1.7480199999999999"/>
    <n v="1.8360099999999999"/>
    <n v="1.7920149999999999"/>
    <n v="879.9"/>
  </r>
  <r>
    <x v="6"/>
    <x v="18"/>
    <x v="11"/>
    <n v="1.83754"/>
    <n v="1.7480199999999999"/>
    <n v="1.8360099999999999"/>
    <n v="1.7920149999999999"/>
    <n v="879.9"/>
  </r>
  <r>
    <x v="6"/>
    <x v="18"/>
    <x v="11"/>
    <n v="1.83754"/>
    <n v="1.7480199999999999"/>
    <n v="1.8360099999999999"/>
    <n v="1.7920149999999999"/>
    <n v="879.9"/>
  </r>
  <r>
    <x v="6"/>
    <x v="18"/>
    <x v="11"/>
    <n v="1.83754"/>
    <n v="1.7480199999999999"/>
    <n v="1.8360099999999999"/>
    <n v="1.7920149999999999"/>
    <n v="879.9"/>
  </r>
  <r>
    <x v="6"/>
    <x v="18"/>
    <x v="11"/>
    <n v="1.83754"/>
    <n v="1.7480199999999999"/>
    <n v="1.8360099999999999"/>
    <n v="1.7920149999999999"/>
    <n v="879.9"/>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8"/>
    <x v="6"/>
    <n v="0.77478999999999998"/>
    <n v="0.78159000000000001"/>
    <n v="0.87961999999999996"/>
    <n v="0.83060500000000004"/>
    <n v="980.3"/>
  </r>
  <r>
    <x v="6"/>
    <x v="19"/>
    <x v="11"/>
    <n v="1.7900700000000001"/>
    <n v="1.7480199999999999"/>
    <n v="1.8360099999999999"/>
    <n v="1.7920149999999999"/>
    <n v="879.9"/>
  </r>
  <r>
    <x v="6"/>
    <x v="19"/>
    <x v="11"/>
    <n v="1.7900700000000001"/>
    <n v="1.7480199999999999"/>
    <n v="1.8360099999999999"/>
    <n v="1.7920149999999999"/>
    <n v="879.9"/>
  </r>
  <r>
    <x v="6"/>
    <x v="19"/>
    <x v="11"/>
    <n v="1.7900700000000001"/>
    <n v="1.7480199999999999"/>
    <n v="1.8360099999999999"/>
    <n v="1.7920149999999999"/>
    <n v="879.9"/>
  </r>
  <r>
    <x v="6"/>
    <x v="19"/>
    <x v="11"/>
    <n v="1.7900700000000001"/>
    <n v="1.7480199999999999"/>
    <n v="1.8360099999999999"/>
    <n v="1.7920149999999999"/>
    <n v="879.9"/>
  </r>
  <r>
    <x v="6"/>
    <x v="19"/>
    <x v="11"/>
    <n v="1.7900700000000001"/>
    <n v="1.7480199999999999"/>
    <n v="1.8360099999999999"/>
    <n v="1.7920149999999999"/>
    <n v="879.9"/>
  </r>
  <r>
    <x v="6"/>
    <x v="19"/>
    <x v="11"/>
    <n v="1.7900700000000001"/>
    <n v="1.7480199999999999"/>
    <n v="1.8360099999999999"/>
    <n v="1.7920149999999999"/>
    <n v="879.9"/>
  </r>
  <r>
    <x v="6"/>
    <x v="19"/>
    <x v="11"/>
    <n v="1.7900700000000001"/>
    <n v="1.7480199999999999"/>
    <n v="1.8360099999999999"/>
    <n v="1.7920149999999999"/>
    <n v="879.9"/>
  </r>
  <r>
    <x v="6"/>
    <x v="19"/>
    <x v="11"/>
    <n v="1.7900700000000001"/>
    <n v="1.7480199999999999"/>
    <n v="1.8360099999999999"/>
    <n v="1.7920149999999999"/>
    <n v="879.9"/>
  </r>
  <r>
    <x v="6"/>
    <x v="19"/>
    <x v="11"/>
    <n v="1.7900700000000001"/>
    <n v="1.7480199999999999"/>
    <n v="1.8360099999999999"/>
    <n v="1.7920149999999999"/>
    <n v="879.9"/>
  </r>
  <r>
    <x v="6"/>
    <x v="19"/>
    <x v="11"/>
    <n v="1.7900700000000001"/>
    <n v="1.7480199999999999"/>
    <n v="1.8360099999999999"/>
    <n v="1.7920149999999999"/>
    <n v="879.9"/>
  </r>
  <r>
    <x v="6"/>
    <x v="19"/>
    <x v="11"/>
    <n v="1.7900700000000001"/>
    <n v="1.7480199999999999"/>
    <n v="1.8360099999999999"/>
    <n v="1.7920149999999999"/>
    <n v="879.9"/>
  </r>
  <r>
    <x v="6"/>
    <x v="19"/>
    <x v="11"/>
    <n v="1.7900700000000001"/>
    <n v="1.7480199999999999"/>
    <n v="1.8360099999999999"/>
    <n v="1.7920149999999999"/>
    <n v="879.9"/>
  </r>
  <r>
    <x v="6"/>
    <x v="19"/>
    <x v="11"/>
    <n v="1.7900700000000001"/>
    <n v="1.7480199999999999"/>
    <n v="1.8360099999999999"/>
    <n v="1.7920149999999999"/>
    <n v="879.9"/>
  </r>
  <r>
    <x v="6"/>
    <x v="19"/>
    <x v="11"/>
    <n v="1.7900700000000001"/>
    <n v="1.7480199999999999"/>
    <n v="1.8360099999999999"/>
    <n v="1.7920149999999999"/>
    <n v="879.9"/>
  </r>
  <r>
    <x v="6"/>
    <x v="19"/>
    <x v="11"/>
    <n v="1.7900700000000001"/>
    <n v="1.7480199999999999"/>
    <n v="1.8360099999999999"/>
    <n v="1.7920149999999999"/>
    <n v="879.9"/>
  </r>
  <r>
    <x v="6"/>
    <x v="19"/>
    <x v="11"/>
    <n v="1.7900700000000001"/>
    <n v="1.7480199999999999"/>
    <n v="1.8360099999999999"/>
    <n v="1.7920149999999999"/>
    <n v="879.9"/>
  </r>
  <r>
    <x v="6"/>
    <x v="19"/>
    <x v="11"/>
    <n v="1.7900700000000001"/>
    <n v="1.7480199999999999"/>
    <n v="1.8360099999999999"/>
    <n v="1.7920149999999999"/>
    <n v="879.9"/>
  </r>
  <r>
    <x v="6"/>
    <x v="19"/>
    <x v="11"/>
    <n v="1.7900700000000001"/>
    <n v="1.7480199999999999"/>
    <n v="1.8360099999999999"/>
    <n v="1.7920149999999999"/>
    <n v="879.9"/>
  </r>
  <r>
    <x v="6"/>
    <x v="19"/>
    <x v="11"/>
    <n v="1.7900700000000001"/>
    <n v="1.7480199999999999"/>
    <n v="1.8360099999999999"/>
    <n v="1.7920149999999999"/>
    <n v="879.9"/>
  </r>
  <r>
    <x v="6"/>
    <x v="19"/>
    <x v="11"/>
    <n v="1.7900700000000001"/>
    <n v="1.7480199999999999"/>
    <n v="1.8360099999999999"/>
    <n v="1.7920149999999999"/>
    <n v="879.9"/>
  </r>
  <r>
    <x v="6"/>
    <x v="19"/>
    <x v="11"/>
    <n v="1.7900700000000001"/>
    <n v="1.7480199999999999"/>
    <n v="1.8360099999999999"/>
    <n v="1.7920149999999999"/>
    <n v="879.9"/>
  </r>
  <r>
    <x v="6"/>
    <x v="19"/>
    <x v="11"/>
    <n v="1.7900700000000001"/>
    <n v="1.7480199999999999"/>
    <n v="1.8360099999999999"/>
    <n v="1.7920149999999999"/>
    <n v="879.9"/>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19"/>
    <x v="6"/>
    <n v="0.78974"/>
    <n v="0.78159000000000001"/>
    <n v="0.87961999999999996"/>
    <n v="0.83060500000000004"/>
    <n v="980.3"/>
  </r>
  <r>
    <x v="6"/>
    <x v="20"/>
    <x v="11"/>
    <n v="1.80467"/>
    <n v="1.7480199999999999"/>
    <n v="1.8360099999999999"/>
    <n v="1.7920149999999999"/>
    <n v="879.9"/>
  </r>
  <r>
    <x v="6"/>
    <x v="20"/>
    <x v="11"/>
    <n v="1.80467"/>
    <n v="1.7480199999999999"/>
    <n v="1.8360099999999999"/>
    <n v="1.7920149999999999"/>
    <n v="879.9"/>
  </r>
  <r>
    <x v="6"/>
    <x v="20"/>
    <x v="11"/>
    <n v="1.80467"/>
    <n v="1.7480199999999999"/>
    <n v="1.8360099999999999"/>
    <n v="1.7920149999999999"/>
    <n v="879.9"/>
  </r>
  <r>
    <x v="6"/>
    <x v="20"/>
    <x v="11"/>
    <n v="1.80467"/>
    <n v="1.7480199999999999"/>
    <n v="1.8360099999999999"/>
    <n v="1.7920149999999999"/>
    <n v="879.9"/>
  </r>
  <r>
    <x v="6"/>
    <x v="20"/>
    <x v="11"/>
    <n v="1.80467"/>
    <n v="1.7480199999999999"/>
    <n v="1.8360099999999999"/>
    <n v="1.7920149999999999"/>
    <n v="879.9"/>
  </r>
  <r>
    <x v="6"/>
    <x v="20"/>
    <x v="11"/>
    <n v="1.80467"/>
    <n v="1.7480199999999999"/>
    <n v="1.8360099999999999"/>
    <n v="1.7920149999999999"/>
    <n v="879.9"/>
  </r>
  <r>
    <x v="6"/>
    <x v="20"/>
    <x v="11"/>
    <n v="1.80467"/>
    <n v="1.7480199999999999"/>
    <n v="1.8360099999999999"/>
    <n v="1.7920149999999999"/>
    <n v="879.9"/>
  </r>
  <r>
    <x v="6"/>
    <x v="20"/>
    <x v="11"/>
    <n v="1.80467"/>
    <n v="1.7480199999999999"/>
    <n v="1.8360099999999999"/>
    <n v="1.7920149999999999"/>
    <n v="879.9"/>
  </r>
  <r>
    <x v="6"/>
    <x v="20"/>
    <x v="11"/>
    <n v="1.80467"/>
    <n v="1.7480199999999999"/>
    <n v="1.8360099999999999"/>
    <n v="1.7920149999999999"/>
    <n v="879.9"/>
  </r>
  <r>
    <x v="6"/>
    <x v="20"/>
    <x v="11"/>
    <n v="1.80467"/>
    <n v="1.7480199999999999"/>
    <n v="1.8360099999999999"/>
    <n v="1.7920149999999999"/>
    <n v="879.9"/>
  </r>
  <r>
    <x v="6"/>
    <x v="20"/>
    <x v="11"/>
    <n v="1.80467"/>
    <n v="1.7480199999999999"/>
    <n v="1.8360099999999999"/>
    <n v="1.7920149999999999"/>
    <n v="879.9"/>
  </r>
  <r>
    <x v="6"/>
    <x v="20"/>
    <x v="11"/>
    <n v="1.80467"/>
    <n v="1.7480199999999999"/>
    <n v="1.8360099999999999"/>
    <n v="1.7920149999999999"/>
    <n v="879.9"/>
  </r>
  <r>
    <x v="6"/>
    <x v="20"/>
    <x v="11"/>
    <n v="1.80467"/>
    <n v="1.7480199999999999"/>
    <n v="1.8360099999999999"/>
    <n v="1.7920149999999999"/>
    <n v="879.9"/>
  </r>
  <r>
    <x v="6"/>
    <x v="20"/>
    <x v="11"/>
    <n v="1.80467"/>
    <n v="1.7480199999999999"/>
    <n v="1.8360099999999999"/>
    <n v="1.7920149999999999"/>
    <n v="879.9"/>
  </r>
  <r>
    <x v="6"/>
    <x v="20"/>
    <x v="11"/>
    <n v="1.80467"/>
    <n v="1.7480199999999999"/>
    <n v="1.8360099999999999"/>
    <n v="1.7920149999999999"/>
    <n v="879.9"/>
  </r>
  <r>
    <x v="6"/>
    <x v="20"/>
    <x v="11"/>
    <n v="1.80467"/>
    <n v="1.7480199999999999"/>
    <n v="1.8360099999999999"/>
    <n v="1.7920149999999999"/>
    <n v="879.9"/>
  </r>
  <r>
    <x v="6"/>
    <x v="20"/>
    <x v="11"/>
    <n v="1.80467"/>
    <n v="1.7480199999999999"/>
    <n v="1.8360099999999999"/>
    <n v="1.7920149999999999"/>
    <n v="879.9"/>
  </r>
  <r>
    <x v="6"/>
    <x v="20"/>
    <x v="11"/>
    <n v="1.80467"/>
    <n v="1.7480199999999999"/>
    <n v="1.8360099999999999"/>
    <n v="1.7920149999999999"/>
    <n v="879.9"/>
  </r>
  <r>
    <x v="6"/>
    <x v="20"/>
    <x v="11"/>
    <n v="1.80467"/>
    <n v="1.7480199999999999"/>
    <n v="1.8360099999999999"/>
    <n v="1.7920149999999999"/>
    <n v="879.9"/>
  </r>
  <r>
    <x v="6"/>
    <x v="20"/>
    <x v="11"/>
    <n v="1.80467"/>
    <n v="1.7480199999999999"/>
    <n v="1.8360099999999999"/>
    <n v="1.7920149999999999"/>
    <n v="879.9"/>
  </r>
  <r>
    <x v="6"/>
    <x v="20"/>
    <x v="11"/>
    <n v="1.80467"/>
    <n v="1.7480199999999999"/>
    <n v="1.8360099999999999"/>
    <n v="1.7920149999999999"/>
    <n v="879.9"/>
  </r>
  <r>
    <x v="6"/>
    <x v="20"/>
    <x v="11"/>
    <n v="1.80467"/>
    <n v="1.7480199999999999"/>
    <n v="1.8360099999999999"/>
    <n v="1.7920149999999999"/>
    <n v="879.9"/>
  </r>
  <r>
    <x v="6"/>
    <x v="20"/>
    <x v="11"/>
    <n v="1.80467"/>
    <n v="1.7480199999999999"/>
    <n v="1.8360099999999999"/>
    <n v="1.7920149999999999"/>
    <n v="879.9"/>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0"/>
    <x v="6"/>
    <n v="0.78695000000000004"/>
    <n v="0.78147"/>
    <n v="0.87961999999999996"/>
    <n v="0.83054499999999998"/>
    <n v="981.5"/>
  </r>
  <r>
    <x v="6"/>
    <x v="21"/>
    <x v="11"/>
    <n v="1.8379300000000001"/>
    <n v="1.7480199999999999"/>
    <n v="1.8479699999999999"/>
    <n v="1.797995"/>
    <n v="999.5"/>
  </r>
  <r>
    <x v="6"/>
    <x v="21"/>
    <x v="11"/>
    <n v="1.8379300000000001"/>
    <n v="1.7480199999999999"/>
    <n v="1.8479699999999999"/>
    <n v="1.797995"/>
    <n v="999.5"/>
  </r>
  <r>
    <x v="6"/>
    <x v="21"/>
    <x v="11"/>
    <n v="1.8379300000000001"/>
    <n v="1.7480199999999999"/>
    <n v="1.8479699999999999"/>
    <n v="1.797995"/>
    <n v="999.5"/>
  </r>
  <r>
    <x v="6"/>
    <x v="21"/>
    <x v="11"/>
    <n v="1.8379300000000001"/>
    <n v="1.7480199999999999"/>
    <n v="1.8479699999999999"/>
    <n v="1.797995"/>
    <n v="999.5"/>
  </r>
  <r>
    <x v="6"/>
    <x v="21"/>
    <x v="11"/>
    <n v="1.8379300000000001"/>
    <n v="1.7480199999999999"/>
    <n v="1.8479699999999999"/>
    <n v="1.797995"/>
    <n v="999.5"/>
  </r>
  <r>
    <x v="6"/>
    <x v="21"/>
    <x v="11"/>
    <n v="1.8379300000000001"/>
    <n v="1.7480199999999999"/>
    <n v="1.8479699999999999"/>
    <n v="1.797995"/>
    <n v="999.5"/>
  </r>
  <r>
    <x v="6"/>
    <x v="21"/>
    <x v="11"/>
    <n v="1.8379300000000001"/>
    <n v="1.7480199999999999"/>
    <n v="1.8479699999999999"/>
    <n v="1.797995"/>
    <n v="999.5"/>
  </r>
  <r>
    <x v="6"/>
    <x v="21"/>
    <x v="11"/>
    <n v="1.8379300000000001"/>
    <n v="1.7480199999999999"/>
    <n v="1.8479699999999999"/>
    <n v="1.797995"/>
    <n v="999.5"/>
  </r>
  <r>
    <x v="6"/>
    <x v="21"/>
    <x v="11"/>
    <n v="1.8379300000000001"/>
    <n v="1.7480199999999999"/>
    <n v="1.8479699999999999"/>
    <n v="1.797995"/>
    <n v="999.5"/>
  </r>
  <r>
    <x v="6"/>
    <x v="21"/>
    <x v="11"/>
    <n v="1.8379300000000001"/>
    <n v="1.7480199999999999"/>
    <n v="1.8479699999999999"/>
    <n v="1.797995"/>
    <n v="999.5"/>
  </r>
  <r>
    <x v="6"/>
    <x v="21"/>
    <x v="11"/>
    <n v="1.8379300000000001"/>
    <n v="1.7480199999999999"/>
    <n v="1.8479699999999999"/>
    <n v="1.797995"/>
    <n v="999.5"/>
  </r>
  <r>
    <x v="6"/>
    <x v="21"/>
    <x v="11"/>
    <n v="1.8379300000000001"/>
    <n v="1.7480199999999999"/>
    <n v="1.8479699999999999"/>
    <n v="1.797995"/>
    <n v="999.5"/>
  </r>
  <r>
    <x v="6"/>
    <x v="21"/>
    <x v="11"/>
    <n v="1.8379300000000001"/>
    <n v="1.7480199999999999"/>
    <n v="1.8479699999999999"/>
    <n v="1.797995"/>
    <n v="999.5"/>
  </r>
  <r>
    <x v="6"/>
    <x v="21"/>
    <x v="11"/>
    <n v="1.8379300000000001"/>
    <n v="1.7480199999999999"/>
    <n v="1.8479699999999999"/>
    <n v="1.797995"/>
    <n v="999.5"/>
  </r>
  <r>
    <x v="6"/>
    <x v="21"/>
    <x v="11"/>
    <n v="1.8379300000000001"/>
    <n v="1.7480199999999999"/>
    <n v="1.8479699999999999"/>
    <n v="1.797995"/>
    <n v="999.5"/>
  </r>
  <r>
    <x v="6"/>
    <x v="21"/>
    <x v="11"/>
    <n v="1.8379300000000001"/>
    <n v="1.7480199999999999"/>
    <n v="1.8479699999999999"/>
    <n v="1.797995"/>
    <n v="999.5"/>
  </r>
  <r>
    <x v="6"/>
    <x v="21"/>
    <x v="11"/>
    <n v="1.8379300000000001"/>
    <n v="1.7480199999999999"/>
    <n v="1.8479699999999999"/>
    <n v="1.797995"/>
    <n v="999.5"/>
  </r>
  <r>
    <x v="6"/>
    <x v="21"/>
    <x v="11"/>
    <n v="1.8379300000000001"/>
    <n v="1.7480199999999999"/>
    <n v="1.8479699999999999"/>
    <n v="1.797995"/>
    <n v="999.5"/>
  </r>
  <r>
    <x v="6"/>
    <x v="21"/>
    <x v="11"/>
    <n v="1.8379300000000001"/>
    <n v="1.7480199999999999"/>
    <n v="1.8479699999999999"/>
    <n v="1.797995"/>
    <n v="999.5"/>
  </r>
  <r>
    <x v="6"/>
    <x v="21"/>
    <x v="11"/>
    <n v="1.8379300000000001"/>
    <n v="1.7480199999999999"/>
    <n v="1.8479699999999999"/>
    <n v="1.797995"/>
    <n v="999.5"/>
  </r>
  <r>
    <x v="6"/>
    <x v="21"/>
    <x v="11"/>
    <n v="1.8379300000000001"/>
    <n v="1.7480199999999999"/>
    <n v="1.8479699999999999"/>
    <n v="1.797995"/>
    <n v="999.5"/>
  </r>
  <r>
    <x v="6"/>
    <x v="21"/>
    <x v="11"/>
    <n v="1.8379300000000001"/>
    <n v="1.7480199999999999"/>
    <n v="1.8479699999999999"/>
    <n v="1.797995"/>
    <n v="999.5"/>
  </r>
  <r>
    <x v="6"/>
    <x v="21"/>
    <x v="11"/>
    <n v="1.8379300000000001"/>
    <n v="1.7480199999999999"/>
    <n v="1.8479699999999999"/>
    <n v="1.797995"/>
    <n v="999.5"/>
  </r>
  <r>
    <x v="6"/>
    <x v="21"/>
    <x v="11"/>
    <n v="1.8379300000000001"/>
    <n v="1.7480199999999999"/>
    <n v="1.8479699999999999"/>
    <n v="1.797995"/>
    <n v="999.5"/>
  </r>
  <r>
    <x v="6"/>
    <x v="21"/>
    <x v="11"/>
    <n v="1.8379300000000001"/>
    <n v="1.7480199999999999"/>
    <n v="1.8479699999999999"/>
    <n v="1.797995"/>
    <n v="999.5"/>
  </r>
  <r>
    <x v="6"/>
    <x v="21"/>
    <x v="11"/>
    <n v="1.8379300000000001"/>
    <n v="1.7480199999999999"/>
    <n v="1.8479699999999999"/>
    <n v="1.797995"/>
    <n v="999.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1"/>
    <x v="6"/>
    <n v="0.78186999999999995"/>
    <n v="0.78147"/>
    <n v="0.87961999999999996"/>
    <n v="0.83054499999999998"/>
    <n v="981.5"/>
  </r>
  <r>
    <x v="6"/>
    <x v="22"/>
    <x v="11"/>
    <n v="1.8707400000000001"/>
    <n v="1.7480199999999999"/>
    <n v="1.8479699999999999"/>
    <n v="1.797995"/>
    <n v="999.5"/>
  </r>
  <r>
    <x v="6"/>
    <x v="22"/>
    <x v="11"/>
    <n v="1.8707400000000001"/>
    <n v="1.7480199999999999"/>
    <n v="1.8479699999999999"/>
    <n v="1.797995"/>
    <n v="999.5"/>
  </r>
  <r>
    <x v="6"/>
    <x v="22"/>
    <x v="11"/>
    <n v="1.8707400000000001"/>
    <n v="1.7480199999999999"/>
    <n v="1.8479699999999999"/>
    <n v="1.797995"/>
    <n v="999.5"/>
  </r>
  <r>
    <x v="6"/>
    <x v="22"/>
    <x v="11"/>
    <n v="1.8707400000000001"/>
    <n v="1.7480199999999999"/>
    <n v="1.8479699999999999"/>
    <n v="1.797995"/>
    <n v="999.5"/>
  </r>
  <r>
    <x v="6"/>
    <x v="22"/>
    <x v="11"/>
    <n v="1.8707400000000001"/>
    <n v="1.7480199999999999"/>
    <n v="1.8479699999999999"/>
    <n v="1.797995"/>
    <n v="999.5"/>
  </r>
  <r>
    <x v="6"/>
    <x v="22"/>
    <x v="11"/>
    <n v="1.8707400000000001"/>
    <n v="1.7480199999999999"/>
    <n v="1.8479699999999999"/>
    <n v="1.797995"/>
    <n v="999.5"/>
  </r>
  <r>
    <x v="6"/>
    <x v="22"/>
    <x v="11"/>
    <n v="1.8707400000000001"/>
    <n v="1.7480199999999999"/>
    <n v="1.8479699999999999"/>
    <n v="1.797995"/>
    <n v="999.5"/>
  </r>
  <r>
    <x v="6"/>
    <x v="22"/>
    <x v="11"/>
    <n v="1.8707400000000001"/>
    <n v="1.7480199999999999"/>
    <n v="1.8479699999999999"/>
    <n v="1.797995"/>
    <n v="999.5"/>
  </r>
  <r>
    <x v="6"/>
    <x v="22"/>
    <x v="11"/>
    <n v="1.8707400000000001"/>
    <n v="1.7480199999999999"/>
    <n v="1.8479699999999999"/>
    <n v="1.797995"/>
    <n v="999.5"/>
  </r>
  <r>
    <x v="6"/>
    <x v="22"/>
    <x v="11"/>
    <n v="1.8707400000000001"/>
    <n v="1.7480199999999999"/>
    <n v="1.8479699999999999"/>
    <n v="1.797995"/>
    <n v="999.5"/>
  </r>
  <r>
    <x v="6"/>
    <x v="22"/>
    <x v="11"/>
    <n v="1.8707400000000001"/>
    <n v="1.7480199999999999"/>
    <n v="1.8479699999999999"/>
    <n v="1.797995"/>
    <n v="999.5"/>
  </r>
  <r>
    <x v="6"/>
    <x v="22"/>
    <x v="11"/>
    <n v="1.8707400000000001"/>
    <n v="1.7480199999999999"/>
    <n v="1.8479699999999999"/>
    <n v="1.797995"/>
    <n v="999.5"/>
  </r>
  <r>
    <x v="6"/>
    <x v="22"/>
    <x v="11"/>
    <n v="1.8707400000000001"/>
    <n v="1.7480199999999999"/>
    <n v="1.8479699999999999"/>
    <n v="1.797995"/>
    <n v="999.5"/>
  </r>
  <r>
    <x v="6"/>
    <x v="22"/>
    <x v="11"/>
    <n v="1.8707400000000001"/>
    <n v="1.7480199999999999"/>
    <n v="1.8479699999999999"/>
    <n v="1.797995"/>
    <n v="999.5"/>
  </r>
  <r>
    <x v="6"/>
    <x v="22"/>
    <x v="11"/>
    <n v="1.8707400000000001"/>
    <n v="1.7480199999999999"/>
    <n v="1.8479699999999999"/>
    <n v="1.797995"/>
    <n v="999.5"/>
  </r>
  <r>
    <x v="6"/>
    <x v="22"/>
    <x v="11"/>
    <n v="1.8707400000000001"/>
    <n v="1.7480199999999999"/>
    <n v="1.8479699999999999"/>
    <n v="1.797995"/>
    <n v="999.5"/>
  </r>
  <r>
    <x v="6"/>
    <x v="22"/>
    <x v="11"/>
    <n v="1.8707400000000001"/>
    <n v="1.7480199999999999"/>
    <n v="1.8479699999999999"/>
    <n v="1.797995"/>
    <n v="999.5"/>
  </r>
  <r>
    <x v="6"/>
    <x v="22"/>
    <x v="11"/>
    <n v="1.8707400000000001"/>
    <n v="1.7480199999999999"/>
    <n v="1.8479699999999999"/>
    <n v="1.797995"/>
    <n v="999.5"/>
  </r>
  <r>
    <x v="6"/>
    <x v="22"/>
    <x v="11"/>
    <n v="1.8707400000000001"/>
    <n v="1.7480199999999999"/>
    <n v="1.8479699999999999"/>
    <n v="1.797995"/>
    <n v="999.5"/>
  </r>
  <r>
    <x v="6"/>
    <x v="22"/>
    <x v="11"/>
    <n v="1.8707400000000001"/>
    <n v="1.7480199999999999"/>
    <n v="1.8479699999999999"/>
    <n v="1.797995"/>
    <n v="999.5"/>
  </r>
  <r>
    <x v="6"/>
    <x v="22"/>
    <x v="11"/>
    <n v="1.8707400000000001"/>
    <n v="1.7480199999999999"/>
    <n v="1.8479699999999999"/>
    <n v="1.797995"/>
    <n v="999.5"/>
  </r>
  <r>
    <x v="6"/>
    <x v="22"/>
    <x v="11"/>
    <n v="1.8707400000000001"/>
    <n v="1.7480199999999999"/>
    <n v="1.8479699999999999"/>
    <n v="1.797995"/>
    <n v="999.5"/>
  </r>
  <r>
    <x v="6"/>
    <x v="22"/>
    <x v="11"/>
    <n v="1.8707400000000001"/>
    <n v="1.7480199999999999"/>
    <n v="1.8479699999999999"/>
    <n v="1.797995"/>
    <n v="999.5"/>
  </r>
  <r>
    <x v="6"/>
    <x v="22"/>
    <x v="11"/>
    <n v="1.8707400000000001"/>
    <n v="1.7480199999999999"/>
    <n v="1.8479699999999999"/>
    <n v="1.797995"/>
    <n v="999.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2"/>
    <x v="6"/>
    <n v="0.77076999999999996"/>
    <n v="0.78147"/>
    <n v="0.87961999999999996"/>
    <n v="0.83054499999999998"/>
    <n v="981.5"/>
  </r>
  <r>
    <x v="6"/>
    <x v="23"/>
    <x v="11"/>
    <n v="1.9049799999999999"/>
    <n v="1.7480199999999999"/>
    <n v="1.8479699999999999"/>
    <n v="1.797995"/>
    <n v="999.5"/>
  </r>
  <r>
    <x v="6"/>
    <x v="23"/>
    <x v="11"/>
    <n v="1.9049799999999999"/>
    <n v="1.7480199999999999"/>
    <n v="1.8479699999999999"/>
    <n v="1.797995"/>
    <n v="999.5"/>
  </r>
  <r>
    <x v="6"/>
    <x v="23"/>
    <x v="11"/>
    <n v="1.9049799999999999"/>
    <n v="1.7480199999999999"/>
    <n v="1.8479699999999999"/>
    <n v="1.797995"/>
    <n v="999.5"/>
  </r>
  <r>
    <x v="6"/>
    <x v="23"/>
    <x v="11"/>
    <n v="1.9049799999999999"/>
    <n v="1.7480199999999999"/>
    <n v="1.8479699999999999"/>
    <n v="1.797995"/>
    <n v="999.5"/>
  </r>
  <r>
    <x v="6"/>
    <x v="23"/>
    <x v="11"/>
    <n v="1.9049799999999999"/>
    <n v="1.7480199999999999"/>
    <n v="1.8479699999999999"/>
    <n v="1.797995"/>
    <n v="999.5"/>
  </r>
  <r>
    <x v="6"/>
    <x v="23"/>
    <x v="11"/>
    <n v="1.9049799999999999"/>
    <n v="1.7480199999999999"/>
    <n v="1.8479699999999999"/>
    <n v="1.797995"/>
    <n v="999.5"/>
  </r>
  <r>
    <x v="6"/>
    <x v="23"/>
    <x v="11"/>
    <n v="1.9049799999999999"/>
    <n v="1.7480199999999999"/>
    <n v="1.8479699999999999"/>
    <n v="1.797995"/>
    <n v="999.5"/>
  </r>
  <r>
    <x v="6"/>
    <x v="23"/>
    <x v="11"/>
    <n v="1.9049799999999999"/>
    <n v="1.7480199999999999"/>
    <n v="1.8479699999999999"/>
    <n v="1.797995"/>
    <n v="999.5"/>
  </r>
  <r>
    <x v="6"/>
    <x v="23"/>
    <x v="11"/>
    <n v="1.9049799999999999"/>
    <n v="1.7480199999999999"/>
    <n v="1.8479699999999999"/>
    <n v="1.797995"/>
    <n v="999.5"/>
  </r>
  <r>
    <x v="6"/>
    <x v="23"/>
    <x v="11"/>
    <n v="1.9049799999999999"/>
    <n v="1.7480199999999999"/>
    <n v="1.8479699999999999"/>
    <n v="1.797995"/>
    <n v="999.5"/>
  </r>
  <r>
    <x v="6"/>
    <x v="23"/>
    <x v="11"/>
    <n v="1.9049799999999999"/>
    <n v="1.7480199999999999"/>
    <n v="1.8479699999999999"/>
    <n v="1.797995"/>
    <n v="999.5"/>
  </r>
  <r>
    <x v="6"/>
    <x v="23"/>
    <x v="11"/>
    <n v="1.9049799999999999"/>
    <n v="1.7480199999999999"/>
    <n v="1.8479699999999999"/>
    <n v="1.797995"/>
    <n v="999.5"/>
  </r>
  <r>
    <x v="6"/>
    <x v="23"/>
    <x v="11"/>
    <n v="1.9049799999999999"/>
    <n v="1.7480199999999999"/>
    <n v="1.8479699999999999"/>
    <n v="1.797995"/>
    <n v="999.5"/>
  </r>
  <r>
    <x v="6"/>
    <x v="23"/>
    <x v="11"/>
    <n v="1.9049799999999999"/>
    <n v="1.7480199999999999"/>
    <n v="1.8479699999999999"/>
    <n v="1.797995"/>
    <n v="999.5"/>
  </r>
  <r>
    <x v="6"/>
    <x v="23"/>
    <x v="11"/>
    <n v="1.9049799999999999"/>
    <n v="1.7480199999999999"/>
    <n v="1.8479699999999999"/>
    <n v="1.797995"/>
    <n v="999.5"/>
  </r>
  <r>
    <x v="6"/>
    <x v="23"/>
    <x v="11"/>
    <n v="1.9049799999999999"/>
    <n v="1.7480199999999999"/>
    <n v="1.8479699999999999"/>
    <n v="1.797995"/>
    <n v="999.5"/>
  </r>
  <r>
    <x v="6"/>
    <x v="23"/>
    <x v="11"/>
    <n v="1.9049799999999999"/>
    <n v="1.7480199999999999"/>
    <n v="1.8479699999999999"/>
    <n v="1.797995"/>
    <n v="999.5"/>
  </r>
  <r>
    <x v="6"/>
    <x v="23"/>
    <x v="11"/>
    <n v="1.9049799999999999"/>
    <n v="1.7480199999999999"/>
    <n v="1.8479699999999999"/>
    <n v="1.797995"/>
    <n v="999.5"/>
  </r>
  <r>
    <x v="6"/>
    <x v="23"/>
    <x v="11"/>
    <n v="1.9049799999999999"/>
    <n v="1.7480199999999999"/>
    <n v="1.8479699999999999"/>
    <n v="1.797995"/>
    <n v="999.5"/>
  </r>
  <r>
    <x v="6"/>
    <x v="23"/>
    <x v="11"/>
    <n v="1.9049799999999999"/>
    <n v="1.7480199999999999"/>
    <n v="1.8479699999999999"/>
    <n v="1.797995"/>
    <n v="999.5"/>
  </r>
  <r>
    <x v="6"/>
    <x v="23"/>
    <x v="11"/>
    <n v="1.9049799999999999"/>
    <n v="1.7480199999999999"/>
    <n v="1.8479699999999999"/>
    <n v="1.797995"/>
    <n v="999.5"/>
  </r>
  <r>
    <x v="6"/>
    <x v="23"/>
    <x v="11"/>
    <n v="1.9049799999999999"/>
    <n v="1.7480199999999999"/>
    <n v="1.8479699999999999"/>
    <n v="1.797995"/>
    <n v="999.5"/>
  </r>
  <r>
    <x v="6"/>
    <x v="23"/>
    <x v="11"/>
    <n v="1.9049799999999999"/>
    <n v="1.7480199999999999"/>
    <n v="1.8479699999999999"/>
    <n v="1.797995"/>
    <n v="999.5"/>
  </r>
  <r>
    <x v="6"/>
    <x v="23"/>
    <x v="11"/>
    <n v="1.9049799999999999"/>
    <n v="1.7480199999999999"/>
    <n v="1.8479699999999999"/>
    <n v="1.797995"/>
    <n v="999.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3"/>
    <x v="6"/>
    <n v="0.77754999999999996"/>
    <n v="0.78147"/>
    <n v="0.87961999999999996"/>
    <n v="0.83054499999999998"/>
    <n v="981.5"/>
  </r>
  <r>
    <x v="6"/>
    <x v="24"/>
    <x v="11"/>
    <n v="1.90307"/>
    <n v="1.7480199999999999"/>
    <n v="1.8479699999999999"/>
    <n v="1.797995"/>
    <n v="999.5"/>
  </r>
  <r>
    <x v="6"/>
    <x v="24"/>
    <x v="11"/>
    <n v="1.90307"/>
    <n v="1.7480199999999999"/>
    <n v="1.8479699999999999"/>
    <n v="1.797995"/>
    <n v="999.5"/>
  </r>
  <r>
    <x v="6"/>
    <x v="24"/>
    <x v="11"/>
    <n v="1.90307"/>
    <n v="1.7480199999999999"/>
    <n v="1.8479699999999999"/>
    <n v="1.797995"/>
    <n v="999.5"/>
  </r>
  <r>
    <x v="6"/>
    <x v="24"/>
    <x v="11"/>
    <n v="1.90307"/>
    <n v="1.7480199999999999"/>
    <n v="1.8479699999999999"/>
    <n v="1.797995"/>
    <n v="999.5"/>
  </r>
  <r>
    <x v="6"/>
    <x v="24"/>
    <x v="11"/>
    <n v="1.90307"/>
    <n v="1.7480199999999999"/>
    <n v="1.8479699999999999"/>
    <n v="1.797995"/>
    <n v="999.5"/>
  </r>
  <r>
    <x v="6"/>
    <x v="24"/>
    <x v="11"/>
    <n v="1.90307"/>
    <n v="1.7480199999999999"/>
    <n v="1.8479699999999999"/>
    <n v="1.797995"/>
    <n v="999.5"/>
  </r>
  <r>
    <x v="6"/>
    <x v="24"/>
    <x v="11"/>
    <n v="1.90307"/>
    <n v="1.7480199999999999"/>
    <n v="1.8479699999999999"/>
    <n v="1.797995"/>
    <n v="999.5"/>
  </r>
  <r>
    <x v="6"/>
    <x v="24"/>
    <x v="11"/>
    <n v="1.90307"/>
    <n v="1.7480199999999999"/>
    <n v="1.8479699999999999"/>
    <n v="1.797995"/>
    <n v="999.5"/>
  </r>
  <r>
    <x v="6"/>
    <x v="24"/>
    <x v="11"/>
    <n v="1.90307"/>
    <n v="1.7480199999999999"/>
    <n v="1.8479699999999999"/>
    <n v="1.797995"/>
    <n v="999.5"/>
  </r>
  <r>
    <x v="6"/>
    <x v="24"/>
    <x v="11"/>
    <n v="1.90307"/>
    <n v="1.7480199999999999"/>
    <n v="1.8479699999999999"/>
    <n v="1.797995"/>
    <n v="999.5"/>
  </r>
  <r>
    <x v="6"/>
    <x v="24"/>
    <x v="11"/>
    <n v="1.90307"/>
    <n v="1.7480199999999999"/>
    <n v="1.8479699999999999"/>
    <n v="1.797995"/>
    <n v="999.5"/>
  </r>
  <r>
    <x v="6"/>
    <x v="24"/>
    <x v="11"/>
    <n v="1.90307"/>
    <n v="1.7480199999999999"/>
    <n v="1.8479699999999999"/>
    <n v="1.797995"/>
    <n v="999.5"/>
  </r>
  <r>
    <x v="6"/>
    <x v="24"/>
    <x v="11"/>
    <n v="1.90307"/>
    <n v="1.7480199999999999"/>
    <n v="1.8479699999999999"/>
    <n v="1.797995"/>
    <n v="999.5"/>
  </r>
  <r>
    <x v="6"/>
    <x v="24"/>
    <x v="11"/>
    <n v="1.90307"/>
    <n v="1.7480199999999999"/>
    <n v="1.8479699999999999"/>
    <n v="1.797995"/>
    <n v="999.5"/>
  </r>
  <r>
    <x v="6"/>
    <x v="24"/>
    <x v="11"/>
    <n v="1.90307"/>
    <n v="1.7480199999999999"/>
    <n v="1.8479699999999999"/>
    <n v="1.797995"/>
    <n v="999.5"/>
  </r>
  <r>
    <x v="6"/>
    <x v="24"/>
    <x v="11"/>
    <n v="1.90307"/>
    <n v="1.7480199999999999"/>
    <n v="1.8479699999999999"/>
    <n v="1.797995"/>
    <n v="999.5"/>
  </r>
  <r>
    <x v="6"/>
    <x v="24"/>
    <x v="11"/>
    <n v="1.90307"/>
    <n v="1.7480199999999999"/>
    <n v="1.8479699999999999"/>
    <n v="1.797995"/>
    <n v="999.5"/>
  </r>
  <r>
    <x v="6"/>
    <x v="24"/>
    <x v="11"/>
    <n v="1.90307"/>
    <n v="1.7480199999999999"/>
    <n v="1.8479699999999999"/>
    <n v="1.797995"/>
    <n v="999.5"/>
  </r>
  <r>
    <x v="6"/>
    <x v="24"/>
    <x v="11"/>
    <n v="1.90307"/>
    <n v="1.7480199999999999"/>
    <n v="1.8479699999999999"/>
    <n v="1.797995"/>
    <n v="999.5"/>
  </r>
  <r>
    <x v="6"/>
    <x v="24"/>
    <x v="11"/>
    <n v="1.90307"/>
    <n v="1.7480199999999999"/>
    <n v="1.8479699999999999"/>
    <n v="1.797995"/>
    <n v="999.5"/>
  </r>
  <r>
    <x v="6"/>
    <x v="24"/>
    <x v="11"/>
    <n v="1.90307"/>
    <n v="1.7480199999999999"/>
    <n v="1.8479699999999999"/>
    <n v="1.797995"/>
    <n v="999.5"/>
  </r>
  <r>
    <x v="6"/>
    <x v="24"/>
    <x v="11"/>
    <n v="1.90307"/>
    <n v="1.7480199999999999"/>
    <n v="1.8479699999999999"/>
    <n v="1.797995"/>
    <n v="999.5"/>
  </r>
  <r>
    <x v="6"/>
    <x v="24"/>
    <x v="11"/>
    <n v="1.90307"/>
    <n v="1.7480199999999999"/>
    <n v="1.8479699999999999"/>
    <n v="1.797995"/>
    <n v="999.5"/>
  </r>
  <r>
    <x v="6"/>
    <x v="24"/>
    <x v="11"/>
    <n v="1.90307"/>
    <n v="1.7480199999999999"/>
    <n v="1.8479699999999999"/>
    <n v="1.797995"/>
    <n v="999.5"/>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6"/>
    <x v="24"/>
    <x v="6"/>
    <n v="0.77410000000000001"/>
    <n v="0.77349999999999997"/>
    <n v="0.87961999999999996"/>
    <n v="0.82655999999999996"/>
    <n v="1061.2"/>
  </r>
  <r>
    <x v="7"/>
    <x v="31"/>
    <x v="6"/>
    <m/>
    <n v="0.8327"/>
    <n v="0.83499999999999996"/>
    <n v="0.83384999999999998"/>
    <n v="23"/>
  </r>
  <r>
    <x v="7"/>
    <x v="31"/>
    <x v="6"/>
    <m/>
    <n v="0.8327"/>
    <n v="0.83499999999999996"/>
    <n v="0.83384999999999998"/>
    <n v="23"/>
  </r>
  <r>
    <x v="7"/>
    <x v="31"/>
    <x v="6"/>
    <m/>
    <n v="0.8327"/>
    <n v="0.83499999999999996"/>
    <n v="0.83384999999999998"/>
    <n v="23"/>
  </r>
  <r>
    <x v="7"/>
    <x v="31"/>
    <x v="6"/>
    <m/>
    <n v="0.8327"/>
    <n v="0.83499999999999996"/>
    <n v="0.83384999999999998"/>
    <n v="23"/>
  </r>
  <r>
    <x v="7"/>
    <x v="31"/>
    <x v="6"/>
    <m/>
    <n v="0.8327"/>
    <n v="0.83499999999999996"/>
    <n v="0.83384999999999998"/>
    <n v="23"/>
  </r>
  <r>
    <x v="7"/>
    <x v="31"/>
    <x v="6"/>
    <m/>
    <n v="0.8327"/>
    <n v="0.83499999999999996"/>
    <n v="0.83384999999999998"/>
    <n v="23"/>
  </r>
  <r>
    <x v="7"/>
    <x v="31"/>
    <x v="4"/>
    <m/>
    <n v="93.802999999999997"/>
    <n v="93.927000000000007"/>
    <n v="93.864999999999995"/>
    <n v="12.4"/>
  </r>
  <r>
    <x v="7"/>
    <x v="31"/>
    <x v="3"/>
    <m/>
    <n v="1.3494200000000001"/>
    <n v="1.34972"/>
    <n v="1.3495699999999999"/>
    <n v="3"/>
  </r>
  <r>
    <x v="7"/>
    <x v="31"/>
    <x v="3"/>
    <m/>
    <n v="1.3494200000000001"/>
    <n v="1.34972"/>
    <n v="1.3495699999999999"/>
    <n v="3"/>
  </r>
  <r>
    <x v="7"/>
    <x v="31"/>
    <x v="4"/>
    <m/>
    <n v="93.802999999999997"/>
    <n v="93.927000000000007"/>
    <n v="93.864999999999995"/>
    <n v="12.4"/>
  </r>
  <r>
    <x v="7"/>
    <x v="31"/>
    <x v="4"/>
    <m/>
    <n v="93.802999999999997"/>
    <n v="93.927000000000007"/>
    <n v="93.864999999999995"/>
    <n v="12.4"/>
  </r>
  <r>
    <x v="7"/>
    <x v="31"/>
    <x v="4"/>
    <m/>
    <n v="93.802999999999997"/>
    <n v="93.927000000000007"/>
    <n v="93.864999999999995"/>
    <n v="12.4"/>
  </r>
  <r>
    <x v="7"/>
    <x v="31"/>
    <x v="3"/>
    <m/>
    <n v="1.3494200000000001"/>
    <n v="1.34972"/>
    <n v="1.3495699999999999"/>
    <n v="3"/>
  </r>
  <r>
    <x v="7"/>
    <x v="32"/>
    <x v="6"/>
    <m/>
    <n v="0.81852000000000003"/>
    <n v="0.83499999999999996"/>
    <n v="0.82676000000000005"/>
    <n v="164.8"/>
  </r>
  <r>
    <x v="7"/>
    <x v="32"/>
    <x v="4"/>
    <m/>
    <n v="92.802999999999997"/>
    <n v="93.927000000000007"/>
    <n v="93.364999999999995"/>
    <n v="112.4"/>
  </r>
  <r>
    <x v="7"/>
    <x v="32"/>
    <x v="6"/>
    <m/>
    <n v="0.81852000000000003"/>
    <n v="0.83499999999999996"/>
    <n v="0.82676000000000005"/>
    <n v="164.8"/>
  </r>
  <r>
    <x v="7"/>
    <x v="32"/>
    <x v="6"/>
    <m/>
    <n v="0.81852000000000003"/>
    <n v="0.83499999999999996"/>
    <n v="0.82676000000000005"/>
    <n v="164.8"/>
  </r>
  <r>
    <x v="7"/>
    <x v="32"/>
    <x v="6"/>
    <m/>
    <n v="0.81852000000000003"/>
    <n v="0.83499999999999996"/>
    <n v="0.82676000000000005"/>
    <n v="164.8"/>
  </r>
  <r>
    <x v="7"/>
    <x v="32"/>
    <x v="6"/>
    <m/>
    <n v="0.81852000000000003"/>
    <n v="0.83499999999999996"/>
    <n v="0.82676000000000005"/>
    <n v="164.8"/>
  </r>
  <r>
    <x v="7"/>
    <x v="32"/>
    <x v="6"/>
    <m/>
    <n v="0.81852000000000003"/>
    <n v="0.83499999999999996"/>
    <n v="0.82676000000000005"/>
    <n v="164.8"/>
  </r>
  <r>
    <x v="7"/>
    <x v="32"/>
    <x v="6"/>
    <m/>
    <n v="0.81852000000000003"/>
    <n v="0.83499999999999996"/>
    <n v="0.82676000000000005"/>
    <n v="164.8"/>
  </r>
  <r>
    <x v="7"/>
    <x v="32"/>
    <x v="6"/>
    <m/>
    <n v="0.81852000000000003"/>
    <n v="0.83499999999999996"/>
    <n v="0.82676000000000005"/>
    <n v="164.8"/>
  </r>
  <r>
    <x v="7"/>
    <x v="32"/>
    <x v="6"/>
    <m/>
    <n v="0.81852000000000003"/>
    <n v="0.83499999999999996"/>
    <n v="0.82676000000000005"/>
    <n v="164.8"/>
  </r>
  <r>
    <x v="7"/>
    <x v="32"/>
    <x v="6"/>
    <m/>
    <n v="0.81852000000000003"/>
    <n v="0.83499999999999996"/>
    <n v="0.82676000000000005"/>
    <n v="164.8"/>
  </r>
  <r>
    <x v="7"/>
    <x v="32"/>
    <x v="6"/>
    <m/>
    <n v="0.81852000000000003"/>
    <n v="0.83499999999999996"/>
    <n v="0.82676000000000005"/>
    <n v="164.8"/>
  </r>
  <r>
    <x v="7"/>
    <x v="32"/>
    <x v="6"/>
    <m/>
    <n v="0.81852000000000003"/>
    <n v="0.83499999999999996"/>
    <n v="0.82676000000000005"/>
    <n v="164.8"/>
  </r>
  <r>
    <x v="7"/>
    <x v="32"/>
    <x v="6"/>
    <m/>
    <n v="0.81852000000000003"/>
    <n v="0.83499999999999996"/>
    <n v="0.82676000000000005"/>
    <n v="164.8"/>
  </r>
  <r>
    <x v="7"/>
    <x v="32"/>
    <x v="6"/>
    <m/>
    <n v="0.81852000000000003"/>
    <n v="0.83499999999999996"/>
    <n v="0.82676000000000005"/>
    <n v="164.8"/>
  </r>
  <r>
    <x v="7"/>
    <x v="32"/>
    <x v="6"/>
    <m/>
    <n v="0.81852000000000003"/>
    <n v="0.83499999999999996"/>
    <n v="0.82676000000000005"/>
    <n v="164.8"/>
  </r>
  <r>
    <x v="7"/>
    <x v="32"/>
    <x v="6"/>
    <m/>
    <n v="0.81852000000000003"/>
    <n v="0.83499999999999996"/>
    <n v="0.82676000000000005"/>
    <n v="164.8"/>
  </r>
  <r>
    <x v="7"/>
    <x v="32"/>
    <x v="6"/>
    <m/>
    <n v="0.81852000000000003"/>
    <n v="0.83499999999999996"/>
    <n v="0.82676000000000005"/>
    <n v="164.8"/>
  </r>
  <r>
    <x v="7"/>
    <x v="32"/>
    <x v="6"/>
    <m/>
    <n v="0.81852000000000003"/>
    <n v="0.83499999999999996"/>
    <n v="0.82676000000000005"/>
    <n v="164.8"/>
  </r>
  <r>
    <x v="7"/>
    <x v="32"/>
    <x v="3"/>
    <m/>
    <n v="1.3494200000000001"/>
    <n v="1.3558600000000001"/>
    <n v="1.3526400000000001"/>
    <n v="64.400000000000006"/>
  </r>
  <r>
    <x v="7"/>
    <x v="32"/>
    <x v="3"/>
    <m/>
    <n v="1.3494200000000001"/>
    <n v="1.3558600000000001"/>
    <n v="1.3526400000000001"/>
    <n v="64.400000000000006"/>
  </r>
  <r>
    <x v="7"/>
    <x v="32"/>
    <x v="3"/>
    <m/>
    <n v="1.3494200000000001"/>
    <n v="1.3558600000000001"/>
    <n v="1.3526400000000001"/>
    <n v="64.400000000000006"/>
  </r>
  <r>
    <x v="7"/>
    <x v="32"/>
    <x v="3"/>
    <m/>
    <n v="1.3494200000000001"/>
    <n v="1.3558600000000001"/>
    <n v="1.3526400000000001"/>
    <n v="64.400000000000006"/>
  </r>
  <r>
    <x v="7"/>
    <x v="32"/>
    <x v="3"/>
    <m/>
    <n v="1.3494200000000001"/>
    <n v="1.3558600000000001"/>
    <n v="1.3526400000000001"/>
    <n v="64.400000000000006"/>
  </r>
  <r>
    <x v="7"/>
    <x v="32"/>
    <x v="3"/>
    <m/>
    <n v="1.3494200000000001"/>
    <n v="1.3558600000000001"/>
    <n v="1.3526400000000001"/>
    <n v="64.400000000000006"/>
  </r>
  <r>
    <x v="7"/>
    <x v="32"/>
    <x v="3"/>
    <m/>
    <n v="1.3494200000000001"/>
    <n v="1.3558600000000001"/>
    <n v="1.3526400000000001"/>
    <n v="64.400000000000006"/>
  </r>
  <r>
    <x v="7"/>
    <x v="32"/>
    <x v="3"/>
    <m/>
    <n v="1.3494200000000001"/>
    <n v="1.3558600000000001"/>
    <n v="1.3526400000000001"/>
    <n v="64.400000000000006"/>
  </r>
  <r>
    <x v="7"/>
    <x v="32"/>
    <x v="3"/>
    <m/>
    <n v="1.3494200000000001"/>
    <n v="1.3558600000000001"/>
    <n v="1.3526400000000001"/>
    <n v="64.400000000000006"/>
  </r>
  <r>
    <x v="7"/>
    <x v="32"/>
    <x v="4"/>
    <m/>
    <n v="92.802999999999997"/>
    <n v="93.927000000000007"/>
    <n v="93.364999999999995"/>
    <n v="112.4"/>
  </r>
  <r>
    <x v="7"/>
    <x v="32"/>
    <x v="4"/>
    <m/>
    <n v="92.802999999999997"/>
    <n v="93.927000000000007"/>
    <n v="93.364999999999995"/>
    <n v="112.4"/>
  </r>
  <r>
    <x v="7"/>
    <x v="32"/>
    <x v="4"/>
    <m/>
    <n v="92.802999999999997"/>
    <n v="93.927000000000007"/>
    <n v="93.364999999999995"/>
    <n v="112.4"/>
  </r>
  <r>
    <x v="7"/>
    <x v="32"/>
    <x v="4"/>
    <m/>
    <n v="92.802999999999997"/>
    <n v="93.927000000000007"/>
    <n v="93.364999999999995"/>
    <n v="112.4"/>
  </r>
  <r>
    <x v="7"/>
    <x v="32"/>
    <x v="4"/>
    <m/>
    <n v="92.802999999999997"/>
    <n v="93.927000000000007"/>
    <n v="93.364999999999995"/>
    <n v="112.4"/>
  </r>
  <r>
    <x v="7"/>
    <x v="32"/>
    <x v="4"/>
    <m/>
    <n v="92.802999999999997"/>
    <n v="93.927000000000007"/>
    <n v="93.364999999999995"/>
    <n v="112.4"/>
  </r>
  <r>
    <x v="7"/>
    <x v="32"/>
    <x v="4"/>
    <m/>
    <n v="92.802999999999997"/>
    <n v="93.927000000000007"/>
    <n v="93.364999999999995"/>
    <n v="112.4"/>
  </r>
  <r>
    <x v="7"/>
    <x v="32"/>
    <x v="4"/>
    <m/>
    <n v="92.802999999999997"/>
    <n v="93.927000000000007"/>
    <n v="93.364999999999995"/>
    <n v="112.4"/>
  </r>
  <r>
    <x v="7"/>
    <x v="32"/>
    <x v="4"/>
    <m/>
    <n v="92.802999999999997"/>
    <n v="93.927000000000007"/>
    <n v="93.364999999999995"/>
    <n v="112.4"/>
  </r>
  <r>
    <x v="7"/>
    <x v="32"/>
    <x v="4"/>
    <m/>
    <n v="92.802999999999997"/>
    <n v="93.927000000000007"/>
    <n v="93.364999999999995"/>
    <n v="112.4"/>
  </r>
  <r>
    <x v="7"/>
    <x v="32"/>
    <x v="6"/>
    <m/>
    <n v="0.81852000000000003"/>
    <n v="0.83499999999999996"/>
    <n v="0.82676000000000005"/>
    <n v="164.8"/>
  </r>
  <r>
    <x v="7"/>
    <x v="33"/>
    <x v="6"/>
    <m/>
    <n v="0.81223000000000001"/>
    <n v="0.83499999999999996"/>
    <n v="0.82361499999999999"/>
    <n v="227.7"/>
  </r>
  <r>
    <x v="7"/>
    <x v="33"/>
    <x v="4"/>
    <m/>
    <n v="92.802999999999997"/>
    <n v="93.927000000000007"/>
    <n v="93.364999999999995"/>
    <n v="112.4"/>
  </r>
  <r>
    <x v="7"/>
    <x v="33"/>
    <x v="6"/>
    <m/>
    <n v="0.81223000000000001"/>
    <n v="0.83499999999999996"/>
    <n v="0.82361499999999999"/>
    <n v="227.7"/>
  </r>
  <r>
    <x v="7"/>
    <x v="33"/>
    <x v="6"/>
    <m/>
    <n v="0.81223000000000001"/>
    <n v="0.83499999999999996"/>
    <n v="0.82361499999999999"/>
    <n v="227.7"/>
  </r>
  <r>
    <x v="7"/>
    <x v="33"/>
    <x v="6"/>
    <m/>
    <n v="0.81223000000000001"/>
    <n v="0.83499999999999996"/>
    <n v="0.82361499999999999"/>
    <n v="227.7"/>
  </r>
  <r>
    <x v="7"/>
    <x v="33"/>
    <x v="6"/>
    <m/>
    <n v="0.81223000000000001"/>
    <n v="0.83499999999999996"/>
    <n v="0.82361499999999999"/>
    <n v="227.7"/>
  </r>
  <r>
    <x v="7"/>
    <x v="33"/>
    <x v="6"/>
    <m/>
    <n v="0.81223000000000001"/>
    <n v="0.83499999999999996"/>
    <n v="0.82361499999999999"/>
    <n v="227.7"/>
  </r>
  <r>
    <x v="7"/>
    <x v="33"/>
    <x v="6"/>
    <m/>
    <n v="0.81223000000000001"/>
    <n v="0.83499999999999996"/>
    <n v="0.82361499999999999"/>
    <n v="227.7"/>
  </r>
  <r>
    <x v="7"/>
    <x v="33"/>
    <x v="6"/>
    <m/>
    <n v="0.81223000000000001"/>
    <n v="0.83499999999999996"/>
    <n v="0.82361499999999999"/>
    <n v="227.7"/>
  </r>
  <r>
    <x v="7"/>
    <x v="33"/>
    <x v="6"/>
    <m/>
    <n v="0.81223000000000001"/>
    <n v="0.83499999999999996"/>
    <n v="0.82361499999999999"/>
    <n v="227.7"/>
  </r>
  <r>
    <x v="7"/>
    <x v="33"/>
    <x v="6"/>
    <m/>
    <n v="0.81223000000000001"/>
    <n v="0.83499999999999996"/>
    <n v="0.82361499999999999"/>
    <n v="227.7"/>
  </r>
  <r>
    <x v="7"/>
    <x v="33"/>
    <x v="6"/>
    <m/>
    <n v="0.81223000000000001"/>
    <n v="0.83499999999999996"/>
    <n v="0.82361499999999999"/>
    <n v="227.7"/>
  </r>
  <r>
    <x v="7"/>
    <x v="33"/>
    <x v="6"/>
    <m/>
    <n v="0.81223000000000001"/>
    <n v="0.83499999999999996"/>
    <n v="0.82361499999999999"/>
    <n v="227.7"/>
  </r>
  <r>
    <x v="7"/>
    <x v="33"/>
    <x v="6"/>
    <m/>
    <n v="0.81223000000000001"/>
    <n v="0.83499999999999996"/>
    <n v="0.82361499999999999"/>
    <n v="227.7"/>
  </r>
  <r>
    <x v="7"/>
    <x v="33"/>
    <x v="6"/>
    <m/>
    <n v="0.81223000000000001"/>
    <n v="0.83499999999999996"/>
    <n v="0.82361499999999999"/>
    <n v="227.7"/>
  </r>
  <r>
    <x v="7"/>
    <x v="33"/>
    <x v="6"/>
    <m/>
    <n v="0.81223000000000001"/>
    <n v="0.83499999999999996"/>
    <n v="0.82361499999999999"/>
    <n v="227.7"/>
  </r>
  <r>
    <x v="7"/>
    <x v="33"/>
    <x v="6"/>
    <m/>
    <n v="0.81223000000000001"/>
    <n v="0.83499999999999996"/>
    <n v="0.82361499999999999"/>
    <n v="227.7"/>
  </r>
  <r>
    <x v="7"/>
    <x v="33"/>
    <x v="6"/>
    <m/>
    <n v="0.81223000000000001"/>
    <n v="0.83499999999999996"/>
    <n v="0.82361499999999999"/>
    <n v="227.7"/>
  </r>
  <r>
    <x v="7"/>
    <x v="33"/>
    <x v="6"/>
    <m/>
    <n v="0.81223000000000001"/>
    <n v="0.83499999999999996"/>
    <n v="0.82361499999999999"/>
    <n v="227.7"/>
  </r>
  <r>
    <x v="7"/>
    <x v="33"/>
    <x v="6"/>
    <m/>
    <n v="0.81223000000000001"/>
    <n v="0.83499999999999996"/>
    <n v="0.82361499999999999"/>
    <n v="227.7"/>
  </r>
  <r>
    <x v="7"/>
    <x v="33"/>
    <x v="6"/>
    <m/>
    <n v="0.81223000000000001"/>
    <n v="0.83499999999999996"/>
    <n v="0.82361499999999999"/>
    <n v="227.7"/>
  </r>
  <r>
    <x v="7"/>
    <x v="33"/>
    <x v="3"/>
    <m/>
    <n v="1.3494200000000001"/>
    <n v="1.35921"/>
    <n v="1.3543149999999999"/>
    <n v="97.9"/>
  </r>
  <r>
    <x v="7"/>
    <x v="33"/>
    <x v="3"/>
    <m/>
    <n v="1.3494200000000001"/>
    <n v="1.35921"/>
    <n v="1.3543149999999999"/>
    <n v="97.9"/>
  </r>
  <r>
    <x v="7"/>
    <x v="33"/>
    <x v="3"/>
    <m/>
    <n v="1.3494200000000001"/>
    <n v="1.35921"/>
    <n v="1.3543149999999999"/>
    <n v="97.9"/>
  </r>
  <r>
    <x v="7"/>
    <x v="33"/>
    <x v="3"/>
    <m/>
    <n v="1.3494200000000001"/>
    <n v="1.35921"/>
    <n v="1.3543149999999999"/>
    <n v="97.9"/>
  </r>
  <r>
    <x v="7"/>
    <x v="33"/>
    <x v="3"/>
    <m/>
    <n v="1.3494200000000001"/>
    <n v="1.35921"/>
    <n v="1.3543149999999999"/>
    <n v="97.9"/>
  </r>
  <r>
    <x v="7"/>
    <x v="33"/>
    <x v="3"/>
    <m/>
    <n v="1.3494200000000001"/>
    <n v="1.35921"/>
    <n v="1.3543149999999999"/>
    <n v="97.9"/>
  </r>
  <r>
    <x v="7"/>
    <x v="33"/>
    <x v="3"/>
    <m/>
    <n v="1.3494200000000001"/>
    <n v="1.35921"/>
    <n v="1.3543149999999999"/>
    <n v="97.9"/>
  </r>
  <r>
    <x v="7"/>
    <x v="33"/>
    <x v="3"/>
    <m/>
    <n v="1.3494200000000001"/>
    <n v="1.35921"/>
    <n v="1.3543149999999999"/>
    <n v="97.9"/>
  </r>
  <r>
    <x v="7"/>
    <x v="33"/>
    <x v="3"/>
    <m/>
    <n v="1.3494200000000001"/>
    <n v="1.35921"/>
    <n v="1.3543149999999999"/>
    <n v="97.9"/>
  </r>
  <r>
    <x v="7"/>
    <x v="33"/>
    <x v="4"/>
    <m/>
    <n v="92.802999999999997"/>
    <n v="93.927000000000007"/>
    <n v="93.364999999999995"/>
    <n v="112.4"/>
  </r>
  <r>
    <x v="7"/>
    <x v="33"/>
    <x v="4"/>
    <m/>
    <n v="92.802999999999997"/>
    <n v="93.927000000000007"/>
    <n v="93.364999999999995"/>
    <n v="112.4"/>
  </r>
  <r>
    <x v="7"/>
    <x v="33"/>
    <x v="4"/>
    <m/>
    <n v="92.802999999999997"/>
    <n v="93.927000000000007"/>
    <n v="93.364999999999995"/>
    <n v="112.4"/>
  </r>
  <r>
    <x v="7"/>
    <x v="33"/>
    <x v="4"/>
    <m/>
    <n v="92.802999999999997"/>
    <n v="93.927000000000007"/>
    <n v="93.364999999999995"/>
    <n v="112.4"/>
  </r>
  <r>
    <x v="7"/>
    <x v="33"/>
    <x v="4"/>
    <m/>
    <n v="92.802999999999997"/>
    <n v="93.927000000000007"/>
    <n v="93.364999999999995"/>
    <n v="112.4"/>
  </r>
  <r>
    <x v="7"/>
    <x v="33"/>
    <x v="4"/>
    <m/>
    <n v="92.802999999999997"/>
    <n v="93.927000000000007"/>
    <n v="93.364999999999995"/>
    <n v="112.4"/>
  </r>
  <r>
    <x v="7"/>
    <x v="33"/>
    <x v="4"/>
    <m/>
    <n v="92.802999999999997"/>
    <n v="93.927000000000007"/>
    <n v="93.364999999999995"/>
    <n v="112.4"/>
  </r>
  <r>
    <x v="7"/>
    <x v="33"/>
    <x v="4"/>
    <m/>
    <n v="92.802999999999997"/>
    <n v="93.927000000000007"/>
    <n v="93.364999999999995"/>
    <n v="112.4"/>
  </r>
  <r>
    <x v="7"/>
    <x v="33"/>
    <x v="4"/>
    <m/>
    <n v="92.802999999999997"/>
    <n v="93.927000000000007"/>
    <n v="93.364999999999995"/>
    <n v="112.4"/>
  </r>
  <r>
    <x v="7"/>
    <x v="33"/>
    <x v="4"/>
    <m/>
    <n v="92.802999999999997"/>
    <n v="93.927000000000007"/>
    <n v="93.364999999999995"/>
    <n v="112.4"/>
  </r>
  <r>
    <x v="7"/>
    <x v="33"/>
    <x v="4"/>
    <m/>
    <n v="92.802999999999997"/>
    <n v="93.927000000000007"/>
    <n v="93.364999999999995"/>
    <n v="112.4"/>
  </r>
  <r>
    <x v="7"/>
    <x v="33"/>
    <x v="6"/>
    <m/>
    <n v="0.81223000000000001"/>
    <n v="0.83499999999999996"/>
    <n v="0.82361499999999999"/>
    <n v="227.7"/>
  </r>
  <r>
    <x v="7"/>
    <x v="34"/>
    <x v="6"/>
    <m/>
    <n v="0.81223000000000001"/>
    <n v="0.83499999999999996"/>
    <n v="0.82361499999999999"/>
    <n v="227.7"/>
  </r>
  <r>
    <x v="7"/>
    <x v="34"/>
    <x v="6"/>
    <m/>
    <n v="0.81223000000000001"/>
    <n v="0.83499999999999996"/>
    <n v="0.82361499999999999"/>
    <n v="227.7"/>
  </r>
  <r>
    <x v="7"/>
    <x v="34"/>
    <x v="6"/>
    <m/>
    <n v="0.81223000000000001"/>
    <n v="0.83499999999999996"/>
    <n v="0.82361499999999999"/>
    <n v="227.7"/>
  </r>
  <r>
    <x v="7"/>
    <x v="34"/>
    <x v="6"/>
    <m/>
    <n v="0.81223000000000001"/>
    <n v="0.83499999999999996"/>
    <n v="0.82361499999999999"/>
    <n v="227.7"/>
  </r>
  <r>
    <x v="7"/>
    <x v="34"/>
    <x v="6"/>
    <m/>
    <n v="0.81223000000000001"/>
    <n v="0.83499999999999996"/>
    <n v="0.82361499999999999"/>
    <n v="227.7"/>
  </r>
  <r>
    <x v="7"/>
    <x v="34"/>
    <x v="6"/>
    <m/>
    <n v="0.81223000000000001"/>
    <n v="0.83499999999999996"/>
    <n v="0.82361499999999999"/>
    <n v="227.7"/>
  </r>
  <r>
    <x v="7"/>
    <x v="34"/>
    <x v="6"/>
    <m/>
    <n v="0.81223000000000001"/>
    <n v="0.83499999999999996"/>
    <n v="0.82361499999999999"/>
    <n v="227.7"/>
  </r>
  <r>
    <x v="7"/>
    <x v="34"/>
    <x v="6"/>
    <m/>
    <n v="0.81223000000000001"/>
    <n v="0.83499999999999996"/>
    <n v="0.82361499999999999"/>
    <n v="227.7"/>
  </r>
  <r>
    <x v="7"/>
    <x v="34"/>
    <x v="6"/>
    <m/>
    <n v="0.81223000000000001"/>
    <n v="0.83499999999999996"/>
    <n v="0.82361499999999999"/>
    <n v="227.7"/>
  </r>
  <r>
    <x v="7"/>
    <x v="34"/>
    <x v="6"/>
    <m/>
    <n v="0.81223000000000001"/>
    <n v="0.83499999999999996"/>
    <n v="0.82361499999999999"/>
    <n v="227.7"/>
  </r>
  <r>
    <x v="7"/>
    <x v="34"/>
    <x v="6"/>
    <m/>
    <n v="0.81223000000000001"/>
    <n v="0.83499999999999996"/>
    <n v="0.82361499999999999"/>
    <n v="227.7"/>
  </r>
  <r>
    <x v="7"/>
    <x v="34"/>
    <x v="6"/>
    <m/>
    <n v="0.81223000000000001"/>
    <n v="0.83499999999999996"/>
    <n v="0.82361499999999999"/>
    <n v="227.7"/>
  </r>
  <r>
    <x v="7"/>
    <x v="34"/>
    <x v="6"/>
    <m/>
    <n v="0.81223000000000001"/>
    <n v="0.83499999999999996"/>
    <n v="0.82361499999999999"/>
    <n v="227.7"/>
  </r>
  <r>
    <x v="7"/>
    <x v="34"/>
    <x v="6"/>
    <m/>
    <n v="0.81223000000000001"/>
    <n v="0.83499999999999996"/>
    <n v="0.82361499999999999"/>
    <n v="227.7"/>
  </r>
  <r>
    <x v="7"/>
    <x v="34"/>
    <x v="6"/>
    <m/>
    <n v="0.81223000000000001"/>
    <n v="0.83499999999999996"/>
    <n v="0.82361499999999999"/>
    <n v="227.7"/>
  </r>
  <r>
    <x v="7"/>
    <x v="34"/>
    <x v="6"/>
    <m/>
    <n v="0.81223000000000001"/>
    <n v="0.83499999999999996"/>
    <n v="0.82361499999999999"/>
    <n v="227.7"/>
  </r>
  <r>
    <x v="7"/>
    <x v="34"/>
    <x v="6"/>
    <m/>
    <n v="0.81223000000000001"/>
    <n v="0.83499999999999996"/>
    <n v="0.82361499999999999"/>
    <n v="227.7"/>
  </r>
  <r>
    <x v="7"/>
    <x v="34"/>
    <x v="6"/>
    <m/>
    <n v="0.81223000000000001"/>
    <n v="0.83499999999999996"/>
    <n v="0.82361499999999999"/>
    <n v="227.7"/>
  </r>
  <r>
    <x v="7"/>
    <x v="34"/>
    <x v="6"/>
    <m/>
    <n v="0.81223000000000001"/>
    <n v="0.83499999999999996"/>
    <n v="0.82361499999999999"/>
    <n v="227.7"/>
  </r>
  <r>
    <x v="7"/>
    <x v="34"/>
    <x v="6"/>
    <m/>
    <n v="0.81223000000000001"/>
    <n v="0.83499999999999996"/>
    <n v="0.82361499999999999"/>
    <n v="227.7"/>
  </r>
  <r>
    <x v="7"/>
    <x v="34"/>
    <x v="6"/>
    <m/>
    <n v="0.81223000000000001"/>
    <n v="0.83499999999999996"/>
    <n v="0.82361499999999999"/>
    <n v="227.7"/>
  </r>
  <r>
    <x v="7"/>
    <x v="34"/>
    <x v="4"/>
    <m/>
    <n v="92.802999999999997"/>
    <n v="93.927000000000007"/>
    <n v="93.364999999999995"/>
    <n v="112.4"/>
  </r>
  <r>
    <x v="7"/>
    <x v="34"/>
    <x v="4"/>
    <m/>
    <n v="92.802999999999997"/>
    <n v="93.927000000000007"/>
    <n v="93.364999999999995"/>
    <n v="112.4"/>
  </r>
  <r>
    <x v="7"/>
    <x v="34"/>
    <x v="4"/>
    <m/>
    <n v="92.802999999999997"/>
    <n v="93.927000000000007"/>
    <n v="93.364999999999995"/>
    <n v="112.4"/>
  </r>
  <r>
    <x v="7"/>
    <x v="34"/>
    <x v="4"/>
    <m/>
    <n v="92.802999999999997"/>
    <n v="93.927000000000007"/>
    <n v="93.364999999999995"/>
    <n v="112.4"/>
  </r>
  <r>
    <x v="7"/>
    <x v="34"/>
    <x v="4"/>
    <m/>
    <n v="92.802999999999997"/>
    <n v="93.927000000000007"/>
    <n v="93.364999999999995"/>
    <n v="112.4"/>
  </r>
  <r>
    <x v="7"/>
    <x v="34"/>
    <x v="4"/>
    <m/>
    <n v="92.802999999999997"/>
    <n v="93.927000000000007"/>
    <n v="93.364999999999995"/>
    <n v="112.4"/>
  </r>
  <r>
    <x v="7"/>
    <x v="34"/>
    <x v="4"/>
    <m/>
    <n v="92.802999999999997"/>
    <n v="93.927000000000007"/>
    <n v="93.364999999999995"/>
    <n v="112.4"/>
  </r>
  <r>
    <x v="7"/>
    <x v="34"/>
    <x v="4"/>
    <m/>
    <n v="92.802999999999997"/>
    <n v="93.927000000000007"/>
    <n v="93.364999999999995"/>
    <n v="112.4"/>
  </r>
  <r>
    <x v="7"/>
    <x v="34"/>
    <x v="4"/>
    <m/>
    <n v="92.802999999999997"/>
    <n v="93.927000000000007"/>
    <n v="93.364999999999995"/>
    <n v="112.4"/>
  </r>
  <r>
    <x v="7"/>
    <x v="34"/>
    <x v="3"/>
    <m/>
    <n v="1.3494200000000001"/>
    <n v="1.37083"/>
    <n v="1.360125"/>
    <n v="214.1"/>
  </r>
  <r>
    <x v="7"/>
    <x v="34"/>
    <x v="3"/>
    <m/>
    <n v="1.3494200000000001"/>
    <n v="1.37083"/>
    <n v="1.360125"/>
    <n v="214.1"/>
  </r>
  <r>
    <x v="7"/>
    <x v="34"/>
    <x v="3"/>
    <m/>
    <n v="1.3494200000000001"/>
    <n v="1.37083"/>
    <n v="1.360125"/>
    <n v="214.1"/>
  </r>
  <r>
    <x v="7"/>
    <x v="34"/>
    <x v="3"/>
    <m/>
    <n v="1.3494200000000001"/>
    <n v="1.37083"/>
    <n v="1.360125"/>
    <n v="214.1"/>
  </r>
  <r>
    <x v="7"/>
    <x v="34"/>
    <x v="3"/>
    <m/>
    <n v="1.3494200000000001"/>
    <n v="1.37083"/>
    <n v="1.360125"/>
    <n v="214.1"/>
  </r>
  <r>
    <x v="7"/>
    <x v="34"/>
    <x v="3"/>
    <m/>
    <n v="1.3494200000000001"/>
    <n v="1.37083"/>
    <n v="1.360125"/>
    <n v="214.1"/>
  </r>
  <r>
    <x v="7"/>
    <x v="34"/>
    <x v="3"/>
    <m/>
    <n v="1.3494200000000001"/>
    <n v="1.37083"/>
    <n v="1.360125"/>
    <n v="214.1"/>
  </r>
  <r>
    <x v="7"/>
    <x v="34"/>
    <x v="3"/>
    <m/>
    <n v="1.3494200000000001"/>
    <n v="1.37083"/>
    <n v="1.360125"/>
    <n v="214.1"/>
  </r>
  <r>
    <x v="7"/>
    <x v="34"/>
    <x v="3"/>
    <m/>
    <n v="1.3494200000000001"/>
    <n v="1.37083"/>
    <n v="1.360125"/>
    <n v="214.1"/>
  </r>
  <r>
    <x v="7"/>
    <x v="34"/>
    <x v="3"/>
    <m/>
    <n v="1.3494200000000001"/>
    <n v="1.37083"/>
    <n v="1.360125"/>
    <n v="214.1"/>
  </r>
  <r>
    <x v="7"/>
    <x v="34"/>
    <x v="3"/>
    <m/>
    <n v="1.3494200000000001"/>
    <n v="1.37083"/>
    <n v="1.360125"/>
    <n v="214.1"/>
  </r>
  <r>
    <x v="7"/>
    <x v="34"/>
    <x v="3"/>
    <m/>
    <n v="1.3494200000000001"/>
    <n v="1.37083"/>
    <n v="1.360125"/>
    <n v="214.1"/>
  </r>
  <r>
    <x v="7"/>
    <x v="34"/>
    <x v="4"/>
    <m/>
    <n v="92.802999999999997"/>
    <n v="93.927000000000007"/>
    <n v="93.364999999999995"/>
    <n v="112.4"/>
  </r>
  <r>
    <x v="7"/>
    <x v="34"/>
    <x v="4"/>
    <m/>
    <n v="92.802999999999997"/>
    <n v="93.927000000000007"/>
    <n v="93.364999999999995"/>
    <n v="112.4"/>
  </r>
  <r>
    <x v="7"/>
    <x v="34"/>
    <x v="4"/>
    <m/>
    <n v="92.802999999999997"/>
    <n v="93.927000000000007"/>
    <n v="93.364999999999995"/>
    <n v="112.4"/>
  </r>
  <r>
    <x v="7"/>
    <x v="34"/>
    <x v="4"/>
    <m/>
    <n v="92.802999999999997"/>
    <n v="93.927000000000007"/>
    <n v="93.364999999999995"/>
    <n v="112.4"/>
  </r>
  <r>
    <x v="7"/>
    <x v="34"/>
    <x v="4"/>
    <m/>
    <n v="92.802999999999997"/>
    <n v="93.927000000000007"/>
    <n v="93.364999999999995"/>
    <n v="112.4"/>
  </r>
  <r>
    <x v="7"/>
    <x v="34"/>
    <x v="4"/>
    <m/>
    <n v="92.802999999999997"/>
    <n v="93.927000000000007"/>
    <n v="93.364999999999995"/>
    <n v="112.4"/>
  </r>
  <r>
    <x v="7"/>
    <x v="35"/>
    <x v="6"/>
    <m/>
    <n v="0.81223000000000001"/>
    <n v="0.83499999999999996"/>
    <n v="0.82361499999999999"/>
    <n v="227.7"/>
  </r>
  <r>
    <x v="7"/>
    <x v="35"/>
    <x v="4"/>
    <m/>
    <n v="92.471000000000004"/>
    <n v="93.927000000000007"/>
    <n v="93.198999999999998"/>
    <n v="145.6"/>
  </r>
  <r>
    <x v="7"/>
    <x v="35"/>
    <x v="6"/>
    <m/>
    <n v="0.81223000000000001"/>
    <n v="0.83499999999999996"/>
    <n v="0.82361499999999999"/>
    <n v="227.7"/>
  </r>
  <r>
    <x v="7"/>
    <x v="35"/>
    <x v="6"/>
    <m/>
    <n v="0.81223000000000001"/>
    <n v="0.83499999999999996"/>
    <n v="0.82361499999999999"/>
    <n v="227.7"/>
  </r>
  <r>
    <x v="7"/>
    <x v="35"/>
    <x v="6"/>
    <m/>
    <n v="0.81223000000000001"/>
    <n v="0.83499999999999996"/>
    <n v="0.82361499999999999"/>
    <n v="227.7"/>
  </r>
  <r>
    <x v="7"/>
    <x v="35"/>
    <x v="6"/>
    <m/>
    <n v="0.81223000000000001"/>
    <n v="0.83499999999999996"/>
    <n v="0.82361499999999999"/>
    <n v="227.7"/>
  </r>
  <r>
    <x v="7"/>
    <x v="35"/>
    <x v="6"/>
    <m/>
    <n v="0.81223000000000001"/>
    <n v="0.83499999999999996"/>
    <n v="0.82361499999999999"/>
    <n v="227.7"/>
  </r>
  <r>
    <x v="7"/>
    <x v="35"/>
    <x v="6"/>
    <m/>
    <n v="0.81223000000000001"/>
    <n v="0.83499999999999996"/>
    <n v="0.82361499999999999"/>
    <n v="227.7"/>
  </r>
  <r>
    <x v="7"/>
    <x v="35"/>
    <x v="6"/>
    <m/>
    <n v="0.81223000000000001"/>
    <n v="0.83499999999999996"/>
    <n v="0.82361499999999999"/>
    <n v="227.7"/>
  </r>
  <r>
    <x v="7"/>
    <x v="35"/>
    <x v="6"/>
    <m/>
    <n v="0.81223000000000001"/>
    <n v="0.83499999999999996"/>
    <n v="0.82361499999999999"/>
    <n v="227.7"/>
  </r>
  <r>
    <x v="7"/>
    <x v="35"/>
    <x v="6"/>
    <m/>
    <n v="0.81223000000000001"/>
    <n v="0.83499999999999996"/>
    <n v="0.82361499999999999"/>
    <n v="227.7"/>
  </r>
  <r>
    <x v="7"/>
    <x v="35"/>
    <x v="6"/>
    <m/>
    <n v="0.81223000000000001"/>
    <n v="0.83499999999999996"/>
    <n v="0.82361499999999999"/>
    <n v="227.7"/>
  </r>
  <r>
    <x v="7"/>
    <x v="35"/>
    <x v="6"/>
    <m/>
    <n v="0.81223000000000001"/>
    <n v="0.83499999999999996"/>
    <n v="0.82361499999999999"/>
    <n v="227.7"/>
  </r>
  <r>
    <x v="7"/>
    <x v="35"/>
    <x v="6"/>
    <m/>
    <n v="0.81223000000000001"/>
    <n v="0.83499999999999996"/>
    <n v="0.82361499999999999"/>
    <n v="227.7"/>
  </r>
  <r>
    <x v="7"/>
    <x v="35"/>
    <x v="6"/>
    <m/>
    <n v="0.81223000000000001"/>
    <n v="0.83499999999999996"/>
    <n v="0.82361499999999999"/>
    <n v="227.7"/>
  </r>
  <r>
    <x v="7"/>
    <x v="35"/>
    <x v="6"/>
    <m/>
    <n v="0.81223000000000001"/>
    <n v="0.83499999999999996"/>
    <n v="0.82361499999999999"/>
    <n v="227.7"/>
  </r>
  <r>
    <x v="7"/>
    <x v="35"/>
    <x v="6"/>
    <m/>
    <n v="0.81223000000000001"/>
    <n v="0.83499999999999996"/>
    <n v="0.82361499999999999"/>
    <n v="227.7"/>
  </r>
  <r>
    <x v="7"/>
    <x v="35"/>
    <x v="6"/>
    <m/>
    <n v="0.81223000000000001"/>
    <n v="0.83499999999999996"/>
    <n v="0.82361499999999999"/>
    <n v="227.7"/>
  </r>
  <r>
    <x v="7"/>
    <x v="35"/>
    <x v="6"/>
    <m/>
    <n v="0.81223000000000001"/>
    <n v="0.83499999999999996"/>
    <n v="0.82361499999999999"/>
    <n v="227.7"/>
  </r>
  <r>
    <x v="7"/>
    <x v="35"/>
    <x v="6"/>
    <m/>
    <n v="0.81223000000000001"/>
    <n v="0.83499999999999996"/>
    <n v="0.82361499999999999"/>
    <n v="227.7"/>
  </r>
  <r>
    <x v="7"/>
    <x v="35"/>
    <x v="6"/>
    <m/>
    <n v="0.81223000000000001"/>
    <n v="0.83499999999999996"/>
    <n v="0.82361499999999999"/>
    <n v="227.7"/>
  </r>
  <r>
    <x v="7"/>
    <x v="35"/>
    <x v="4"/>
    <m/>
    <n v="92.471000000000004"/>
    <n v="93.927000000000007"/>
    <n v="93.198999999999998"/>
    <n v="145.6"/>
  </r>
  <r>
    <x v="7"/>
    <x v="35"/>
    <x v="4"/>
    <m/>
    <n v="92.471000000000004"/>
    <n v="93.927000000000007"/>
    <n v="93.198999999999998"/>
    <n v="145.6"/>
  </r>
  <r>
    <x v="7"/>
    <x v="35"/>
    <x v="4"/>
    <m/>
    <n v="92.471000000000004"/>
    <n v="93.927000000000007"/>
    <n v="93.198999999999998"/>
    <n v="145.6"/>
  </r>
  <r>
    <x v="7"/>
    <x v="35"/>
    <x v="4"/>
    <m/>
    <n v="92.471000000000004"/>
    <n v="93.927000000000007"/>
    <n v="93.198999999999998"/>
    <n v="145.6"/>
  </r>
  <r>
    <x v="7"/>
    <x v="35"/>
    <x v="3"/>
    <m/>
    <n v="1.3494200000000001"/>
    <n v="1.37459"/>
    <n v="1.3620049999999999"/>
    <n v="251.7"/>
  </r>
  <r>
    <x v="7"/>
    <x v="35"/>
    <x v="3"/>
    <m/>
    <n v="1.3494200000000001"/>
    <n v="1.37459"/>
    <n v="1.3620049999999999"/>
    <n v="251.7"/>
  </r>
  <r>
    <x v="7"/>
    <x v="35"/>
    <x v="3"/>
    <m/>
    <n v="1.3494200000000001"/>
    <n v="1.37459"/>
    <n v="1.3620049999999999"/>
    <n v="251.7"/>
  </r>
  <r>
    <x v="7"/>
    <x v="35"/>
    <x v="3"/>
    <m/>
    <n v="1.3494200000000001"/>
    <n v="1.37459"/>
    <n v="1.3620049999999999"/>
    <n v="251.7"/>
  </r>
  <r>
    <x v="7"/>
    <x v="35"/>
    <x v="3"/>
    <m/>
    <n v="1.3494200000000001"/>
    <n v="1.37459"/>
    <n v="1.3620049999999999"/>
    <n v="251.7"/>
  </r>
  <r>
    <x v="7"/>
    <x v="35"/>
    <x v="3"/>
    <m/>
    <n v="1.3494200000000001"/>
    <n v="1.37459"/>
    <n v="1.3620049999999999"/>
    <n v="251.7"/>
  </r>
  <r>
    <x v="7"/>
    <x v="35"/>
    <x v="3"/>
    <m/>
    <n v="1.3494200000000001"/>
    <n v="1.37459"/>
    <n v="1.3620049999999999"/>
    <n v="251.7"/>
  </r>
  <r>
    <x v="7"/>
    <x v="35"/>
    <x v="3"/>
    <m/>
    <n v="1.3494200000000001"/>
    <n v="1.37459"/>
    <n v="1.3620049999999999"/>
    <n v="251.7"/>
  </r>
  <r>
    <x v="7"/>
    <x v="35"/>
    <x v="3"/>
    <m/>
    <n v="1.3494200000000001"/>
    <n v="1.37459"/>
    <n v="1.3620049999999999"/>
    <n v="251.7"/>
  </r>
  <r>
    <x v="7"/>
    <x v="35"/>
    <x v="3"/>
    <m/>
    <n v="1.3494200000000001"/>
    <n v="1.37459"/>
    <n v="1.3620049999999999"/>
    <n v="251.7"/>
  </r>
  <r>
    <x v="7"/>
    <x v="35"/>
    <x v="3"/>
    <m/>
    <n v="1.3494200000000001"/>
    <n v="1.37459"/>
    <n v="1.3620049999999999"/>
    <n v="251.7"/>
  </r>
  <r>
    <x v="7"/>
    <x v="35"/>
    <x v="3"/>
    <m/>
    <n v="1.3494200000000001"/>
    <n v="1.37459"/>
    <n v="1.3620049999999999"/>
    <n v="251.7"/>
  </r>
  <r>
    <x v="7"/>
    <x v="35"/>
    <x v="3"/>
    <m/>
    <n v="1.3494200000000001"/>
    <n v="1.37459"/>
    <n v="1.3620049999999999"/>
    <n v="251.7"/>
  </r>
  <r>
    <x v="7"/>
    <x v="35"/>
    <x v="3"/>
    <m/>
    <n v="1.3494200000000001"/>
    <n v="1.37459"/>
    <n v="1.3620049999999999"/>
    <n v="251.7"/>
  </r>
  <r>
    <x v="7"/>
    <x v="35"/>
    <x v="3"/>
    <m/>
    <n v="1.3494200000000001"/>
    <n v="1.37459"/>
    <n v="1.3620049999999999"/>
    <n v="251.7"/>
  </r>
  <r>
    <x v="7"/>
    <x v="35"/>
    <x v="4"/>
    <m/>
    <n v="92.471000000000004"/>
    <n v="93.927000000000007"/>
    <n v="93.198999999999998"/>
    <n v="145.6"/>
  </r>
  <r>
    <x v="7"/>
    <x v="35"/>
    <x v="4"/>
    <m/>
    <n v="92.471000000000004"/>
    <n v="93.927000000000007"/>
    <n v="93.198999999999998"/>
    <n v="145.6"/>
  </r>
  <r>
    <x v="7"/>
    <x v="35"/>
    <x v="4"/>
    <m/>
    <n v="92.471000000000004"/>
    <n v="93.927000000000007"/>
    <n v="93.198999999999998"/>
    <n v="145.6"/>
  </r>
  <r>
    <x v="7"/>
    <x v="35"/>
    <x v="4"/>
    <m/>
    <n v="92.471000000000004"/>
    <n v="93.927000000000007"/>
    <n v="93.198999999999998"/>
    <n v="145.6"/>
  </r>
  <r>
    <x v="7"/>
    <x v="35"/>
    <x v="4"/>
    <m/>
    <n v="92.471000000000004"/>
    <n v="93.927000000000007"/>
    <n v="93.198999999999998"/>
    <n v="145.6"/>
  </r>
  <r>
    <x v="7"/>
    <x v="35"/>
    <x v="4"/>
    <m/>
    <n v="92.471000000000004"/>
    <n v="93.927000000000007"/>
    <n v="93.198999999999998"/>
    <n v="145.6"/>
  </r>
  <r>
    <x v="7"/>
    <x v="35"/>
    <x v="4"/>
    <m/>
    <n v="92.471000000000004"/>
    <n v="93.927000000000007"/>
    <n v="93.198999999999998"/>
    <n v="145.6"/>
  </r>
  <r>
    <x v="7"/>
    <x v="35"/>
    <x v="4"/>
    <m/>
    <n v="92.471000000000004"/>
    <n v="93.927000000000007"/>
    <n v="93.198999999999998"/>
    <n v="145.6"/>
  </r>
  <r>
    <x v="7"/>
    <x v="35"/>
    <x v="4"/>
    <m/>
    <n v="92.471000000000004"/>
    <n v="93.927000000000007"/>
    <n v="93.198999999999998"/>
    <n v="145.6"/>
  </r>
  <r>
    <x v="7"/>
    <x v="35"/>
    <x v="4"/>
    <m/>
    <n v="92.471000000000004"/>
    <n v="93.927000000000007"/>
    <n v="93.198999999999998"/>
    <n v="145.6"/>
  </r>
  <r>
    <x v="7"/>
    <x v="35"/>
    <x v="4"/>
    <m/>
    <n v="92.471000000000004"/>
    <n v="93.927000000000007"/>
    <n v="93.198999999999998"/>
    <n v="145.6"/>
  </r>
  <r>
    <x v="7"/>
    <x v="35"/>
    <x v="6"/>
    <m/>
    <n v="0.81223000000000001"/>
    <n v="0.83499999999999996"/>
    <n v="0.82361499999999999"/>
    <n v="227.7"/>
  </r>
  <r>
    <x v="7"/>
    <x v="36"/>
    <x v="6"/>
    <m/>
    <n v="0.81223000000000001"/>
    <n v="0.83499999999999996"/>
    <n v="0.82361499999999999"/>
    <n v="227.7"/>
  </r>
  <r>
    <x v="7"/>
    <x v="36"/>
    <x v="4"/>
    <m/>
    <n v="92.471000000000004"/>
    <n v="93.927000000000007"/>
    <n v="93.198999999999998"/>
    <n v="145.6"/>
  </r>
  <r>
    <x v="7"/>
    <x v="36"/>
    <x v="6"/>
    <m/>
    <n v="0.81223000000000001"/>
    <n v="0.83499999999999996"/>
    <n v="0.82361499999999999"/>
    <n v="227.7"/>
  </r>
  <r>
    <x v="7"/>
    <x v="36"/>
    <x v="3"/>
    <m/>
    <n v="1.3494200000000001"/>
    <n v="1.37459"/>
    <n v="1.3620049999999999"/>
    <n v="251.7"/>
  </r>
  <r>
    <x v="7"/>
    <x v="36"/>
    <x v="3"/>
    <m/>
    <n v="1.3494200000000001"/>
    <n v="1.37459"/>
    <n v="1.3620049999999999"/>
    <n v="251.7"/>
  </r>
  <r>
    <x v="7"/>
    <x v="36"/>
    <x v="3"/>
    <m/>
    <n v="1.3494200000000001"/>
    <n v="1.37459"/>
    <n v="1.3620049999999999"/>
    <n v="251.7"/>
  </r>
  <r>
    <x v="7"/>
    <x v="36"/>
    <x v="3"/>
    <m/>
    <n v="1.3494200000000001"/>
    <n v="1.37459"/>
    <n v="1.3620049999999999"/>
    <n v="251.7"/>
  </r>
  <r>
    <x v="7"/>
    <x v="36"/>
    <x v="3"/>
    <m/>
    <n v="1.3494200000000001"/>
    <n v="1.37459"/>
    <n v="1.3620049999999999"/>
    <n v="251.7"/>
  </r>
  <r>
    <x v="7"/>
    <x v="36"/>
    <x v="3"/>
    <m/>
    <n v="1.3494200000000001"/>
    <n v="1.37459"/>
    <n v="1.3620049999999999"/>
    <n v="251.7"/>
  </r>
  <r>
    <x v="7"/>
    <x v="36"/>
    <x v="3"/>
    <m/>
    <n v="1.3494200000000001"/>
    <n v="1.37459"/>
    <n v="1.3620049999999999"/>
    <n v="251.7"/>
  </r>
  <r>
    <x v="7"/>
    <x v="36"/>
    <x v="3"/>
    <m/>
    <n v="1.3494200000000001"/>
    <n v="1.37459"/>
    <n v="1.3620049999999999"/>
    <n v="251.7"/>
  </r>
  <r>
    <x v="7"/>
    <x v="36"/>
    <x v="3"/>
    <m/>
    <n v="1.3494200000000001"/>
    <n v="1.37459"/>
    <n v="1.3620049999999999"/>
    <n v="251.7"/>
  </r>
  <r>
    <x v="7"/>
    <x v="36"/>
    <x v="3"/>
    <m/>
    <n v="1.3494200000000001"/>
    <n v="1.37459"/>
    <n v="1.3620049999999999"/>
    <n v="251.7"/>
  </r>
  <r>
    <x v="7"/>
    <x v="36"/>
    <x v="3"/>
    <m/>
    <n v="1.3494200000000001"/>
    <n v="1.37459"/>
    <n v="1.3620049999999999"/>
    <n v="251.7"/>
  </r>
  <r>
    <x v="7"/>
    <x v="36"/>
    <x v="3"/>
    <m/>
    <n v="1.3494200000000001"/>
    <n v="1.37459"/>
    <n v="1.3620049999999999"/>
    <n v="251.7"/>
  </r>
  <r>
    <x v="7"/>
    <x v="36"/>
    <x v="3"/>
    <m/>
    <n v="1.3494200000000001"/>
    <n v="1.37459"/>
    <n v="1.3620049999999999"/>
    <n v="251.7"/>
  </r>
  <r>
    <x v="7"/>
    <x v="36"/>
    <x v="6"/>
    <m/>
    <n v="0.81223000000000001"/>
    <n v="0.83499999999999996"/>
    <n v="0.82361499999999999"/>
    <n v="227.7"/>
  </r>
  <r>
    <x v="7"/>
    <x v="36"/>
    <x v="6"/>
    <m/>
    <n v="0.81223000000000001"/>
    <n v="0.83499999999999996"/>
    <n v="0.82361499999999999"/>
    <n v="227.7"/>
  </r>
  <r>
    <x v="7"/>
    <x v="36"/>
    <x v="6"/>
    <m/>
    <n v="0.81223000000000001"/>
    <n v="0.83499999999999996"/>
    <n v="0.82361499999999999"/>
    <n v="227.7"/>
  </r>
  <r>
    <x v="7"/>
    <x v="36"/>
    <x v="6"/>
    <m/>
    <n v="0.81223000000000001"/>
    <n v="0.83499999999999996"/>
    <n v="0.82361499999999999"/>
    <n v="227.7"/>
  </r>
  <r>
    <x v="7"/>
    <x v="36"/>
    <x v="6"/>
    <m/>
    <n v="0.81223000000000001"/>
    <n v="0.83499999999999996"/>
    <n v="0.82361499999999999"/>
    <n v="227.7"/>
  </r>
  <r>
    <x v="7"/>
    <x v="36"/>
    <x v="6"/>
    <m/>
    <n v="0.81223000000000001"/>
    <n v="0.83499999999999996"/>
    <n v="0.82361499999999999"/>
    <n v="227.7"/>
  </r>
  <r>
    <x v="7"/>
    <x v="36"/>
    <x v="6"/>
    <m/>
    <n v="0.81223000000000001"/>
    <n v="0.83499999999999996"/>
    <n v="0.82361499999999999"/>
    <n v="227.7"/>
  </r>
  <r>
    <x v="7"/>
    <x v="36"/>
    <x v="6"/>
    <m/>
    <n v="0.81223000000000001"/>
    <n v="0.83499999999999996"/>
    <n v="0.82361499999999999"/>
    <n v="227.7"/>
  </r>
  <r>
    <x v="7"/>
    <x v="36"/>
    <x v="6"/>
    <m/>
    <n v="0.81223000000000001"/>
    <n v="0.83499999999999996"/>
    <n v="0.82361499999999999"/>
    <n v="227.7"/>
  </r>
  <r>
    <x v="7"/>
    <x v="36"/>
    <x v="6"/>
    <m/>
    <n v="0.81223000000000001"/>
    <n v="0.83499999999999996"/>
    <n v="0.82361499999999999"/>
    <n v="227.7"/>
  </r>
  <r>
    <x v="7"/>
    <x v="36"/>
    <x v="6"/>
    <m/>
    <n v="0.81223000000000001"/>
    <n v="0.83499999999999996"/>
    <n v="0.82361499999999999"/>
    <n v="227.7"/>
  </r>
  <r>
    <x v="7"/>
    <x v="36"/>
    <x v="6"/>
    <m/>
    <n v="0.81223000000000001"/>
    <n v="0.83499999999999996"/>
    <n v="0.82361499999999999"/>
    <n v="227.7"/>
  </r>
  <r>
    <x v="7"/>
    <x v="36"/>
    <x v="6"/>
    <m/>
    <n v="0.81223000000000001"/>
    <n v="0.83499999999999996"/>
    <n v="0.82361499999999999"/>
    <n v="227.7"/>
  </r>
  <r>
    <x v="7"/>
    <x v="36"/>
    <x v="6"/>
    <m/>
    <n v="0.81223000000000001"/>
    <n v="0.83499999999999996"/>
    <n v="0.82361499999999999"/>
    <n v="227.7"/>
  </r>
  <r>
    <x v="7"/>
    <x v="36"/>
    <x v="6"/>
    <m/>
    <n v="0.81223000000000001"/>
    <n v="0.83499999999999996"/>
    <n v="0.82361499999999999"/>
    <n v="227.7"/>
  </r>
  <r>
    <x v="7"/>
    <x v="36"/>
    <x v="6"/>
    <m/>
    <n v="0.81223000000000001"/>
    <n v="0.83499999999999996"/>
    <n v="0.82361499999999999"/>
    <n v="227.7"/>
  </r>
  <r>
    <x v="7"/>
    <x v="36"/>
    <x v="6"/>
    <m/>
    <n v="0.81223000000000001"/>
    <n v="0.83499999999999996"/>
    <n v="0.82361499999999999"/>
    <n v="227.7"/>
  </r>
  <r>
    <x v="7"/>
    <x v="36"/>
    <x v="6"/>
    <m/>
    <n v="0.81223000000000001"/>
    <n v="0.83499999999999996"/>
    <n v="0.82361499999999999"/>
    <n v="227.7"/>
  </r>
  <r>
    <x v="7"/>
    <x v="36"/>
    <x v="3"/>
    <m/>
    <n v="1.3494200000000001"/>
    <n v="1.37459"/>
    <n v="1.3620049999999999"/>
    <n v="251.7"/>
  </r>
  <r>
    <x v="7"/>
    <x v="36"/>
    <x v="3"/>
    <m/>
    <n v="1.3494200000000001"/>
    <n v="1.37459"/>
    <n v="1.3620049999999999"/>
    <n v="251.7"/>
  </r>
  <r>
    <x v="7"/>
    <x v="36"/>
    <x v="3"/>
    <m/>
    <n v="1.3494200000000001"/>
    <n v="1.37459"/>
    <n v="1.3620049999999999"/>
    <n v="251.7"/>
  </r>
  <r>
    <x v="7"/>
    <x v="36"/>
    <x v="4"/>
    <m/>
    <n v="92.471000000000004"/>
    <n v="93.927000000000007"/>
    <n v="93.198999999999998"/>
    <n v="145.6"/>
  </r>
  <r>
    <x v="7"/>
    <x v="36"/>
    <x v="4"/>
    <m/>
    <n v="92.471000000000004"/>
    <n v="93.927000000000007"/>
    <n v="93.198999999999998"/>
    <n v="145.6"/>
  </r>
  <r>
    <x v="7"/>
    <x v="36"/>
    <x v="4"/>
    <m/>
    <n v="92.471000000000004"/>
    <n v="93.927000000000007"/>
    <n v="93.198999999999998"/>
    <n v="145.6"/>
  </r>
  <r>
    <x v="7"/>
    <x v="36"/>
    <x v="4"/>
    <m/>
    <n v="92.471000000000004"/>
    <n v="93.927000000000007"/>
    <n v="93.198999999999998"/>
    <n v="145.6"/>
  </r>
  <r>
    <x v="7"/>
    <x v="36"/>
    <x v="4"/>
    <m/>
    <n v="92.471000000000004"/>
    <n v="93.927000000000007"/>
    <n v="93.198999999999998"/>
    <n v="145.6"/>
  </r>
  <r>
    <x v="7"/>
    <x v="36"/>
    <x v="4"/>
    <m/>
    <n v="92.471000000000004"/>
    <n v="93.927000000000007"/>
    <n v="93.198999999999998"/>
    <n v="145.6"/>
  </r>
  <r>
    <x v="7"/>
    <x v="36"/>
    <x v="4"/>
    <m/>
    <n v="92.471000000000004"/>
    <n v="93.927000000000007"/>
    <n v="93.198999999999998"/>
    <n v="145.6"/>
  </r>
  <r>
    <x v="7"/>
    <x v="36"/>
    <x v="4"/>
    <m/>
    <n v="92.471000000000004"/>
    <n v="93.927000000000007"/>
    <n v="93.198999999999998"/>
    <n v="145.6"/>
  </r>
  <r>
    <x v="7"/>
    <x v="36"/>
    <x v="4"/>
    <m/>
    <n v="92.471000000000004"/>
    <n v="93.927000000000007"/>
    <n v="93.198999999999998"/>
    <n v="145.6"/>
  </r>
  <r>
    <x v="7"/>
    <x v="36"/>
    <x v="4"/>
    <m/>
    <n v="92.471000000000004"/>
    <n v="93.927000000000007"/>
    <n v="93.198999999999998"/>
    <n v="145.6"/>
  </r>
  <r>
    <x v="7"/>
    <x v="36"/>
    <x v="4"/>
    <m/>
    <n v="92.471000000000004"/>
    <n v="93.927000000000007"/>
    <n v="93.198999999999998"/>
    <n v="145.6"/>
  </r>
  <r>
    <x v="7"/>
    <x v="36"/>
    <x v="4"/>
    <m/>
    <n v="92.471000000000004"/>
    <n v="93.927000000000007"/>
    <n v="93.198999999999998"/>
    <n v="145.6"/>
  </r>
  <r>
    <x v="7"/>
    <x v="36"/>
    <x v="4"/>
    <m/>
    <n v="92.471000000000004"/>
    <n v="93.927000000000007"/>
    <n v="93.198999999999998"/>
    <n v="145.6"/>
  </r>
  <r>
    <x v="7"/>
    <x v="36"/>
    <x v="4"/>
    <m/>
    <n v="92.471000000000004"/>
    <n v="93.927000000000007"/>
    <n v="93.198999999999998"/>
    <n v="145.6"/>
  </r>
  <r>
    <x v="7"/>
    <x v="36"/>
    <x v="4"/>
    <m/>
    <n v="92.471000000000004"/>
    <n v="93.927000000000007"/>
    <n v="93.198999999999998"/>
    <n v="145.6"/>
  </r>
  <r>
    <x v="7"/>
    <x v="36"/>
    <x v="4"/>
    <m/>
    <n v="92.471000000000004"/>
    <n v="93.927000000000007"/>
    <n v="93.198999999999998"/>
    <n v="145.6"/>
  </r>
  <r>
    <x v="7"/>
    <x v="36"/>
    <x v="4"/>
    <m/>
    <n v="92.471000000000004"/>
    <n v="93.927000000000007"/>
    <n v="93.198999999999998"/>
    <n v="145.6"/>
  </r>
  <r>
    <x v="7"/>
    <x v="36"/>
    <x v="4"/>
    <m/>
    <n v="92.471000000000004"/>
    <n v="93.927000000000007"/>
    <n v="93.198999999999998"/>
    <n v="145.6"/>
  </r>
  <r>
    <x v="7"/>
    <x v="36"/>
    <x v="6"/>
    <m/>
    <n v="0.81223000000000001"/>
    <n v="0.83499999999999996"/>
    <n v="0.82361499999999999"/>
    <n v="227.7"/>
  </r>
  <r>
    <x v="7"/>
    <x v="37"/>
    <x v="6"/>
    <m/>
    <n v="0.81223000000000001"/>
    <n v="0.83499999999999996"/>
    <n v="0.82361499999999999"/>
    <n v="227.7"/>
  </r>
  <r>
    <x v="7"/>
    <x v="37"/>
    <x v="4"/>
    <m/>
    <n v="92.471000000000004"/>
    <n v="93.927000000000007"/>
    <n v="93.198999999999998"/>
    <n v="145.6"/>
  </r>
  <r>
    <x v="7"/>
    <x v="37"/>
    <x v="6"/>
    <m/>
    <n v="0.81223000000000001"/>
    <n v="0.83499999999999996"/>
    <n v="0.82361499999999999"/>
    <n v="227.7"/>
  </r>
  <r>
    <x v="7"/>
    <x v="37"/>
    <x v="6"/>
    <m/>
    <n v="0.81223000000000001"/>
    <n v="0.83499999999999996"/>
    <n v="0.82361499999999999"/>
    <n v="227.7"/>
  </r>
  <r>
    <x v="7"/>
    <x v="37"/>
    <x v="6"/>
    <m/>
    <n v="0.81223000000000001"/>
    <n v="0.83499999999999996"/>
    <n v="0.82361499999999999"/>
    <n v="227.7"/>
  </r>
  <r>
    <x v="7"/>
    <x v="37"/>
    <x v="6"/>
    <m/>
    <n v="0.81223000000000001"/>
    <n v="0.83499999999999996"/>
    <n v="0.82361499999999999"/>
    <n v="227.7"/>
  </r>
  <r>
    <x v="7"/>
    <x v="37"/>
    <x v="6"/>
    <m/>
    <n v="0.81223000000000001"/>
    <n v="0.83499999999999996"/>
    <n v="0.82361499999999999"/>
    <n v="227.7"/>
  </r>
  <r>
    <x v="7"/>
    <x v="37"/>
    <x v="6"/>
    <m/>
    <n v="0.81223000000000001"/>
    <n v="0.83499999999999996"/>
    <n v="0.82361499999999999"/>
    <n v="227.7"/>
  </r>
  <r>
    <x v="7"/>
    <x v="37"/>
    <x v="6"/>
    <m/>
    <n v="0.81223000000000001"/>
    <n v="0.83499999999999996"/>
    <n v="0.82361499999999999"/>
    <n v="227.7"/>
  </r>
  <r>
    <x v="7"/>
    <x v="37"/>
    <x v="6"/>
    <m/>
    <n v="0.81223000000000001"/>
    <n v="0.83499999999999996"/>
    <n v="0.82361499999999999"/>
    <n v="227.7"/>
  </r>
  <r>
    <x v="7"/>
    <x v="37"/>
    <x v="6"/>
    <m/>
    <n v="0.81223000000000001"/>
    <n v="0.83499999999999996"/>
    <n v="0.82361499999999999"/>
    <n v="227.7"/>
  </r>
  <r>
    <x v="7"/>
    <x v="37"/>
    <x v="6"/>
    <m/>
    <n v="0.81223000000000001"/>
    <n v="0.83499999999999996"/>
    <n v="0.82361499999999999"/>
    <n v="227.7"/>
  </r>
  <r>
    <x v="7"/>
    <x v="37"/>
    <x v="6"/>
    <m/>
    <n v="0.81223000000000001"/>
    <n v="0.83499999999999996"/>
    <n v="0.82361499999999999"/>
    <n v="227.7"/>
  </r>
  <r>
    <x v="7"/>
    <x v="37"/>
    <x v="6"/>
    <m/>
    <n v="0.81223000000000001"/>
    <n v="0.83499999999999996"/>
    <n v="0.82361499999999999"/>
    <n v="227.7"/>
  </r>
  <r>
    <x v="7"/>
    <x v="37"/>
    <x v="6"/>
    <m/>
    <n v="0.81223000000000001"/>
    <n v="0.83499999999999996"/>
    <n v="0.82361499999999999"/>
    <n v="227.7"/>
  </r>
  <r>
    <x v="7"/>
    <x v="37"/>
    <x v="6"/>
    <m/>
    <n v="0.81223000000000001"/>
    <n v="0.83499999999999996"/>
    <n v="0.82361499999999999"/>
    <n v="227.7"/>
  </r>
  <r>
    <x v="7"/>
    <x v="37"/>
    <x v="6"/>
    <m/>
    <n v="0.81223000000000001"/>
    <n v="0.83499999999999996"/>
    <n v="0.82361499999999999"/>
    <n v="227.7"/>
  </r>
  <r>
    <x v="7"/>
    <x v="37"/>
    <x v="6"/>
    <m/>
    <n v="0.81223000000000001"/>
    <n v="0.83499999999999996"/>
    <n v="0.82361499999999999"/>
    <n v="227.7"/>
  </r>
  <r>
    <x v="7"/>
    <x v="37"/>
    <x v="6"/>
    <m/>
    <n v="0.81223000000000001"/>
    <n v="0.83499999999999996"/>
    <n v="0.82361499999999999"/>
    <n v="227.7"/>
  </r>
  <r>
    <x v="7"/>
    <x v="37"/>
    <x v="6"/>
    <m/>
    <n v="0.81223000000000001"/>
    <n v="0.83499999999999996"/>
    <n v="0.82361499999999999"/>
    <n v="227.7"/>
  </r>
  <r>
    <x v="7"/>
    <x v="37"/>
    <x v="6"/>
    <m/>
    <n v="0.81223000000000001"/>
    <n v="0.83499999999999996"/>
    <n v="0.82361499999999999"/>
    <n v="227.7"/>
  </r>
  <r>
    <x v="7"/>
    <x v="37"/>
    <x v="3"/>
    <m/>
    <n v="1.3494200000000001"/>
    <n v="1.37459"/>
    <n v="1.3620049999999999"/>
    <n v="251.7"/>
  </r>
  <r>
    <x v="7"/>
    <x v="37"/>
    <x v="3"/>
    <m/>
    <n v="1.3494200000000001"/>
    <n v="1.37459"/>
    <n v="1.3620049999999999"/>
    <n v="251.7"/>
  </r>
  <r>
    <x v="7"/>
    <x v="37"/>
    <x v="3"/>
    <m/>
    <n v="1.3494200000000001"/>
    <n v="1.37459"/>
    <n v="1.3620049999999999"/>
    <n v="251.7"/>
  </r>
  <r>
    <x v="7"/>
    <x v="37"/>
    <x v="3"/>
    <m/>
    <n v="1.3494200000000001"/>
    <n v="1.37459"/>
    <n v="1.3620049999999999"/>
    <n v="251.7"/>
  </r>
  <r>
    <x v="7"/>
    <x v="37"/>
    <x v="3"/>
    <m/>
    <n v="1.3494200000000001"/>
    <n v="1.37459"/>
    <n v="1.3620049999999999"/>
    <n v="251.7"/>
  </r>
  <r>
    <x v="7"/>
    <x v="37"/>
    <x v="3"/>
    <m/>
    <n v="1.3494200000000001"/>
    <n v="1.37459"/>
    <n v="1.3620049999999999"/>
    <n v="251.7"/>
  </r>
  <r>
    <x v="7"/>
    <x v="37"/>
    <x v="3"/>
    <m/>
    <n v="1.3494200000000001"/>
    <n v="1.37459"/>
    <n v="1.3620049999999999"/>
    <n v="251.7"/>
  </r>
  <r>
    <x v="7"/>
    <x v="37"/>
    <x v="3"/>
    <m/>
    <n v="1.3494200000000001"/>
    <n v="1.37459"/>
    <n v="1.3620049999999999"/>
    <n v="251.7"/>
  </r>
  <r>
    <x v="7"/>
    <x v="37"/>
    <x v="3"/>
    <m/>
    <n v="1.3494200000000001"/>
    <n v="1.37459"/>
    <n v="1.3620049999999999"/>
    <n v="251.7"/>
  </r>
  <r>
    <x v="7"/>
    <x v="37"/>
    <x v="3"/>
    <m/>
    <n v="1.3494200000000001"/>
    <n v="1.37459"/>
    <n v="1.3620049999999999"/>
    <n v="251.7"/>
  </r>
  <r>
    <x v="7"/>
    <x v="37"/>
    <x v="3"/>
    <m/>
    <n v="1.3494200000000001"/>
    <n v="1.37459"/>
    <n v="1.3620049999999999"/>
    <n v="251.7"/>
  </r>
  <r>
    <x v="7"/>
    <x v="37"/>
    <x v="3"/>
    <m/>
    <n v="1.3494200000000001"/>
    <n v="1.37459"/>
    <n v="1.3620049999999999"/>
    <n v="251.7"/>
  </r>
  <r>
    <x v="7"/>
    <x v="37"/>
    <x v="3"/>
    <m/>
    <n v="1.3494200000000001"/>
    <n v="1.37459"/>
    <n v="1.3620049999999999"/>
    <n v="251.7"/>
  </r>
  <r>
    <x v="7"/>
    <x v="37"/>
    <x v="3"/>
    <m/>
    <n v="1.3494200000000001"/>
    <n v="1.37459"/>
    <n v="1.3620049999999999"/>
    <n v="251.7"/>
  </r>
  <r>
    <x v="7"/>
    <x v="37"/>
    <x v="3"/>
    <m/>
    <n v="1.3494200000000001"/>
    <n v="1.37459"/>
    <n v="1.3620049999999999"/>
    <n v="251.7"/>
  </r>
  <r>
    <x v="7"/>
    <x v="37"/>
    <x v="3"/>
    <m/>
    <n v="1.3494200000000001"/>
    <n v="1.37459"/>
    <n v="1.3620049999999999"/>
    <n v="251.7"/>
  </r>
  <r>
    <x v="7"/>
    <x v="37"/>
    <x v="3"/>
    <m/>
    <n v="1.3494200000000001"/>
    <n v="1.37459"/>
    <n v="1.3620049999999999"/>
    <n v="251.7"/>
  </r>
  <r>
    <x v="7"/>
    <x v="37"/>
    <x v="3"/>
    <m/>
    <n v="1.3494200000000001"/>
    <n v="1.37459"/>
    <n v="1.3620049999999999"/>
    <n v="251.7"/>
  </r>
  <r>
    <x v="7"/>
    <x v="37"/>
    <x v="4"/>
    <m/>
    <n v="92.471000000000004"/>
    <n v="93.927000000000007"/>
    <n v="93.198999999999998"/>
    <n v="145.6"/>
  </r>
  <r>
    <x v="7"/>
    <x v="37"/>
    <x v="4"/>
    <m/>
    <n v="92.471000000000004"/>
    <n v="93.927000000000007"/>
    <n v="93.198999999999998"/>
    <n v="145.6"/>
  </r>
  <r>
    <x v="7"/>
    <x v="37"/>
    <x v="4"/>
    <m/>
    <n v="92.471000000000004"/>
    <n v="93.927000000000007"/>
    <n v="93.198999999999998"/>
    <n v="145.6"/>
  </r>
  <r>
    <x v="7"/>
    <x v="37"/>
    <x v="4"/>
    <m/>
    <n v="92.471000000000004"/>
    <n v="93.927000000000007"/>
    <n v="93.198999999999998"/>
    <n v="145.6"/>
  </r>
  <r>
    <x v="7"/>
    <x v="37"/>
    <x v="4"/>
    <m/>
    <n v="92.471000000000004"/>
    <n v="93.927000000000007"/>
    <n v="93.198999999999998"/>
    <n v="145.6"/>
  </r>
  <r>
    <x v="7"/>
    <x v="37"/>
    <x v="4"/>
    <m/>
    <n v="92.471000000000004"/>
    <n v="93.927000000000007"/>
    <n v="93.198999999999998"/>
    <n v="145.6"/>
  </r>
  <r>
    <x v="7"/>
    <x v="37"/>
    <x v="4"/>
    <m/>
    <n v="92.471000000000004"/>
    <n v="93.927000000000007"/>
    <n v="93.198999999999998"/>
    <n v="145.6"/>
  </r>
  <r>
    <x v="7"/>
    <x v="37"/>
    <x v="4"/>
    <m/>
    <n v="92.471000000000004"/>
    <n v="93.927000000000007"/>
    <n v="93.198999999999998"/>
    <n v="145.6"/>
  </r>
  <r>
    <x v="7"/>
    <x v="37"/>
    <x v="4"/>
    <m/>
    <n v="92.471000000000004"/>
    <n v="93.927000000000007"/>
    <n v="93.198999999999998"/>
    <n v="145.6"/>
  </r>
  <r>
    <x v="7"/>
    <x v="37"/>
    <x v="4"/>
    <m/>
    <n v="92.471000000000004"/>
    <n v="93.927000000000007"/>
    <n v="93.198999999999998"/>
    <n v="145.6"/>
  </r>
  <r>
    <x v="7"/>
    <x v="37"/>
    <x v="4"/>
    <m/>
    <n v="92.471000000000004"/>
    <n v="93.927000000000007"/>
    <n v="93.198999999999998"/>
    <n v="145.6"/>
  </r>
  <r>
    <x v="7"/>
    <x v="37"/>
    <x v="4"/>
    <m/>
    <n v="92.471000000000004"/>
    <n v="93.927000000000007"/>
    <n v="93.198999999999998"/>
    <n v="145.6"/>
  </r>
  <r>
    <x v="7"/>
    <x v="37"/>
    <x v="4"/>
    <m/>
    <n v="92.471000000000004"/>
    <n v="93.927000000000007"/>
    <n v="93.198999999999998"/>
    <n v="145.6"/>
  </r>
  <r>
    <x v="7"/>
    <x v="37"/>
    <x v="4"/>
    <m/>
    <n v="92.471000000000004"/>
    <n v="93.927000000000007"/>
    <n v="93.198999999999998"/>
    <n v="145.6"/>
  </r>
  <r>
    <x v="7"/>
    <x v="37"/>
    <x v="4"/>
    <m/>
    <n v="92.471000000000004"/>
    <n v="93.927000000000007"/>
    <n v="93.198999999999998"/>
    <n v="145.6"/>
  </r>
  <r>
    <x v="7"/>
    <x v="37"/>
    <x v="4"/>
    <m/>
    <n v="92.471000000000004"/>
    <n v="93.927000000000007"/>
    <n v="93.198999999999998"/>
    <n v="145.6"/>
  </r>
  <r>
    <x v="7"/>
    <x v="37"/>
    <x v="4"/>
    <m/>
    <n v="92.471000000000004"/>
    <n v="93.927000000000007"/>
    <n v="93.198999999999998"/>
    <n v="145.6"/>
  </r>
  <r>
    <x v="7"/>
    <x v="37"/>
    <x v="4"/>
    <m/>
    <n v="92.471000000000004"/>
    <n v="93.927000000000007"/>
    <n v="93.198999999999998"/>
    <n v="145.6"/>
  </r>
  <r>
    <x v="7"/>
    <x v="37"/>
    <x v="6"/>
    <m/>
    <n v="0.81223000000000001"/>
    <n v="0.83499999999999996"/>
    <n v="0.82361499999999999"/>
    <n v="227.7"/>
  </r>
  <r>
    <x v="7"/>
    <x v="39"/>
    <x v="6"/>
    <m/>
    <n v="0.81223000000000001"/>
    <n v="0.83499999999999996"/>
    <n v="0.82361499999999999"/>
    <n v="227.7"/>
  </r>
  <r>
    <x v="7"/>
    <x v="39"/>
    <x v="4"/>
    <m/>
    <n v="91.555999999999997"/>
    <n v="93.927000000000007"/>
    <n v="92.741500000000002"/>
    <n v="237.1"/>
  </r>
  <r>
    <x v="7"/>
    <x v="39"/>
    <x v="6"/>
    <m/>
    <n v="0.81223000000000001"/>
    <n v="0.83499999999999996"/>
    <n v="0.82361499999999999"/>
    <n v="227.7"/>
  </r>
  <r>
    <x v="7"/>
    <x v="39"/>
    <x v="6"/>
    <m/>
    <n v="0.81223000000000001"/>
    <n v="0.83499999999999996"/>
    <n v="0.82361499999999999"/>
    <n v="227.7"/>
  </r>
  <r>
    <x v="7"/>
    <x v="39"/>
    <x v="6"/>
    <m/>
    <n v="0.81223000000000001"/>
    <n v="0.83499999999999996"/>
    <n v="0.82361499999999999"/>
    <n v="227.7"/>
  </r>
  <r>
    <x v="7"/>
    <x v="39"/>
    <x v="6"/>
    <m/>
    <n v="0.81223000000000001"/>
    <n v="0.83499999999999996"/>
    <n v="0.82361499999999999"/>
    <n v="227.7"/>
  </r>
  <r>
    <x v="7"/>
    <x v="39"/>
    <x v="6"/>
    <m/>
    <n v="0.81223000000000001"/>
    <n v="0.83499999999999996"/>
    <n v="0.82361499999999999"/>
    <n v="227.7"/>
  </r>
  <r>
    <x v="7"/>
    <x v="39"/>
    <x v="6"/>
    <m/>
    <n v="0.81223000000000001"/>
    <n v="0.83499999999999996"/>
    <n v="0.82361499999999999"/>
    <n v="227.7"/>
  </r>
  <r>
    <x v="7"/>
    <x v="39"/>
    <x v="6"/>
    <m/>
    <n v="0.81223000000000001"/>
    <n v="0.83499999999999996"/>
    <n v="0.82361499999999999"/>
    <n v="227.7"/>
  </r>
  <r>
    <x v="7"/>
    <x v="39"/>
    <x v="6"/>
    <m/>
    <n v="0.81223000000000001"/>
    <n v="0.83499999999999996"/>
    <n v="0.82361499999999999"/>
    <n v="227.7"/>
  </r>
  <r>
    <x v="7"/>
    <x v="39"/>
    <x v="6"/>
    <m/>
    <n v="0.81223000000000001"/>
    <n v="0.83499999999999996"/>
    <n v="0.82361499999999999"/>
    <n v="227.7"/>
  </r>
  <r>
    <x v="7"/>
    <x v="39"/>
    <x v="6"/>
    <m/>
    <n v="0.81223000000000001"/>
    <n v="0.83499999999999996"/>
    <n v="0.82361499999999999"/>
    <n v="227.7"/>
  </r>
  <r>
    <x v="7"/>
    <x v="39"/>
    <x v="6"/>
    <m/>
    <n v="0.81223000000000001"/>
    <n v="0.83499999999999996"/>
    <n v="0.82361499999999999"/>
    <n v="227.7"/>
  </r>
  <r>
    <x v="7"/>
    <x v="39"/>
    <x v="6"/>
    <m/>
    <n v="0.81223000000000001"/>
    <n v="0.83499999999999996"/>
    <n v="0.82361499999999999"/>
    <n v="227.7"/>
  </r>
  <r>
    <x v="7"/>
    <x v="39"/>
    <x v="6"/>
    <m/>
    <n v="0.81223000000000001"/>
    <n v="0.83499999999999996"/>
    <n v="0.82361499999999999"/>
    <n v="227.7"/>
  </r>
  <r>
    <x v="7"/>
    <x v="39"/>
    <x v="6"/>
    <m/>
    <n v="0.81223000000000001"/>
    <n v="0.83499999999999996"/>
    <n v="0.82361499999999999"/>
    <n v="227.7"/>
  </r>
  <r>
    <x v="7"/>
    <x v="39"/>
    <x v="6"/>
    <m/>
    <n v="0.81223000000000001"/>
    <n v="0.83499999999999996"/>
    <n v="0.82361499999999999"/>
    <n v="227.7"/>
  </r>
  <r>
    <x v="7"/>
    <x v="39"/>
    <x v="6"/>
    <m/>
    <n v="0.81223000000000001"/>
    <n v="0.83499999999999996"/>
    <n v="0.82361499999999999"/>
    <n v="227.7"/>
  </r>
  <r>
    <x v="7"/>
    <x v="39"/>
    <x v="6"/>
    <m/>
    <n v="0.81223000000000001"/>
    <n v="0.83499999999999996"/>
    <n v="0.82361499999999999"/>
    <n v="227.7"/>
  </r>
  <r>
    <x v="7"/>
    <x v="39"/>
    <x v="3"/>
    <m/>
    <n v="1.3494200000000001"/>
    <n v="1.37459"/>
    <n v="1.3620049999999999"/>
    <n v="251.7"/>
  </r>
  <r>
    <x v="7"/>
    <x v="39"/>
    <x v="3"/>
    <m/>
    <n v="1.3494200000000001"/>
    <n v="1.37459"/>
    <n v="1.3620049999999999"/>
    <n v="251.7"/>
  </r>
  <r>
    <x v="7"/>
    <x v="39"/>
    <x v="3"/>
    <m/>
    <n v="1.3494200000000001"/>
    <n v="1.37459"/>
    <n v="1.3620049999999999"/>
    <n v="251.7"/>
  </r>
  <r>
    <x v="7"/>
    <x v="39"/>
    <x v="3"/>
    <m/>
    <n v="1.3494200000000001"/>
    <n v="1.37459"/>
    <n v="1.3620049999999999"/>
    <n v="251.7"/>
  </r>
  <r>
    <x v="7"/>
    <x v="39"/>
    <x v="3"/>
    <m/>
    <n v="1.3494200000000001"/>
    <n v="1.37459"/>
    <n v="1.3620049999999999"/>
    <n v="251.7"/>
  </r>
  <r>
    <x v="7"/>
    <x v="39"/>
    <x v="3"/>
    <m/>
    <n v="1.3494200000000001"/>
    <n v="1.37459"/>
    <n v="1.3620049999999999"/>
    <n v="251.7"/>
  </r>
  <r>
    <x v="7"/>
    <x v="39"/>
    <x v="3"/>
    <m/>
    <n v="1.3494200000000001"/>
    <n v="1.37459"/>
    <n v="1.3620049999999999"/>
    <n v="251.7"/>
  </r>
  <r>
    <x v="7"/>
    <x v="39"/>
    <x v="3"/>
    <m/>
    <n v="1.3494200000000001"/>
    <n v="1.37459"/>
    <n v="1.3620049999999999"/>
    <n v="251.7"/>
  </r>
  <r>
    <x v="7"/>
    <x v="39"/>
    <x v="3"/>
    <m/>
    <n v="1.3494200000000001"/>
    <n v="1.37459"/>
    <n v="1.3620049999999999"/>
    <n v="251.7"/>
  </r>
  <r>
    <x v="7"/>
    <x v="39"/>
    <x v="3"/>
    <m/>
    <n v="1.3494200000000001"/>
    <n v="1.37459"/>
    <n v="1.3620049999999999"/>
    <n v="251.7"/>
  </r>
  <r>
    <x v="7"/>
    <x v="39"/>
    <x v="3"/>
    <m/>
    <n v="1.3494200000000001"/>
    <n v="1.37459"/>
    <n v="1.3620049999999999"/>
    <n v="251.7"/>
  </r>
  <r>
    <x v="7"/>
    <x v="39"/>
    <x v="3"/>
    <m/>
    <n v="1.3494200000000001"/>
    <n v="1.37459"/>
    <n v="1.3620049999999999"/>
    <n v="251.7"/>
  </r>
  <r>
    <x v="7"/>
    <x v="39"/>
    <x v="3"/>
    <m/>
    <n v="1.3494200000000001"/>
    <n v="1.37459"/>
    <n v="1.3620049999999999"/>
    <n v="251.7"/>
  </r>
  <r>
    <x v="7"/>
    <x v="39"/>
    <x v="3"/>
    <m/>
    <n v="1.3494200000000001"/>
    <n v="1.37459"/>
    <n v="1.3620049999999999"/>
    <n v="251.7"/>
  </r>
  <r>
    <x v="7"/>
    <x v="39"/>
    <x v="3"/>
    <m/>
    <n v="1.3494200000000001"/>
    <n v="1.37459"/>
    <n v="1.3620049999999999"/>
    <n v="251.7"/>
  </r>
  <r>
    <x v="7"/>
    <x v="39"/>
    <x v="3"/>
    <m/>
    <n v="1.3494200000000001"/>
    <n v="1.37459"/>
    <n v="1.3620049999999999"/>
    <n v="251.7"/>
  </r>
  <r>
    <x v="7"/>
    <x v="39"/>
    <x v="3"/>
    <m/>
    <n v="1.3494200000000001"/>
    <n v="1.37459"/>
    <n v="1.3620049999999999"/>
    <n v="251.7"/>
  </r>
  <r>
    <x v="7"/>
    <x v="39"/>
    <x v="3"/>
    <m/>
    <n v="1.3494200000000001"/>
    <n v="1.37459"/>
    <n v="1.3620049999999999"/>
    <n v="251.7"/>
  </r>
  <r>
    <x v="7"/>
    <x v="39"/>
    <x v="4"/>
    <m/>
    <n v="91.555999999999997"/>
    <n v="93.927000000000007"/>
    <n v="92.741500000000002"/>
    <n v="237.1"/>
  </r>
  <r>
    <x v="7"/>
    <x v="39"/>
    <x v="4"/>
    <m/>
    <n v="91.555999999999997"/>
    <n v="93.927000000000007"/>
    <n v="92.741500000000002"/>
    <n v="237.1"/>
  </r>
  <r>
    <x v="7"/>
    <x v="39"/>
    <x v="4"/>
    <m/>
    <n v="91.555999999999997"/>
    <n v="93.927000000000007"/>
    <n v="92.741500000000002"/>
    <n v="237.1"/>
  </r>
  <r>
    <x v="7"/>
    <x v="39"/>
    <x v="4"/>
    <m/>
    <n v="91.555999999999997"/>
    <n v="93.927000000000007"/>
    <n v="92.741500000000002"/>
    <n v="237.1"/>
  </r>
  <r>
    <x v="7"/>
    <x v="39"/>
    <x v="4"/>
    <m/>
    <n v="91.555999999999997"/>
    <n v="93.927000000000007"/>
    <n v="92.741500000000002"/>
    <n v="237.1"/>
  </r>
  <r>
    <x v="7"/>
    <x v="39"/>
    <x v="4"/>
    <m/>
    <n v="91.555999999999997"/>
    <n v="93.927000000000007"/>
    <n v="92.741500000000002"/>
    <n v="237.1"/>
  </r>
  <r>
    <x v="7"/>
    <x v="39"/>
    <x v="4"/>
    <m/>
    <n v="91.555999999999997"/>
    <n v="93.927000000000007"/>
    <n v="92.741500000000002"/>
    <n v="237.1"/>
  </r>
  <r>
    <x v="7"/>
    <x v="39"/>
    <x v="4"/>
    <m/>
    <n v="91.555999999999997"/>
    <n v="93.927000000000007"/>
    <n v="92.741500000000002"/>
    <n v="237.1"/>
  </r>
  <r>
    <x v="7"/>
    <x v="39"/>
    <x v="4"/>
    <m/>
    <n v="91.555999999999997"/>
    <n v="93.927000000000007"/>
    <n v="92.741500000000002"/>
    <n v="237.1"/>
  </r>
  <r>
    <x v="7"/>
    <x v="39"/>
    <x v="4"/>
    <m/>
    <n v="91.555999999999997"/>
    <n v="93.927000000000007"/>
    <n v="92.741500000000002"/>
    <n v="237.1"/>
  </r>
  <r>
    <x v="7"/>
    <x v="39"/>
    <x v="4"/>
    <m/>
    <n v="91.555999999999997"/>
    <n v="93.927000000000007"/>
    <n v="92.741500000000002"/>
    <n v="237.1"/>
  </r>
  <r>
    <x v="7"/>
    <x v="39"/>
    <x v="4"/>
    <m/>
    <n v="91.555999999999997"/>
    <n v="93.927000000000007"/>
    <n v="92.741500000000002"/>
    <n v="237.1"/>
  </r>
  <r>
    <x v="7"/>
    <x v="39"/>
    <x v="4"/>
    <m/>
    <n v="91.555999999999997"/>
    <n v="93.927000000000007"/>
    <n v="92.741500000000002"/>
    <n v="237.1"/>
  </r>
  <r>
    <x v="7"/>
    <x v="39"/>
    <x v="4"/>
    <m/>
    <n v="91.555999999999997"/>
    <n v="93.927000000000007"/>
    <n v="92.741500000000002"/>
    <n v="237.1"/>
  </r>
  <r>
    <x v="7"/>
    <x v="39"/>
    <x v="4"/>
    <m/>
    <n v="91.555999999999997"/>
    <n v="93.927000000000007"/>
    <n v="92.741500000000002"/>
    <n v="237.1"/>
  </r>
  <r>
    <x v="7"/>
    <x v="39"/>
    <x v="4"/>
    <m/>
    <n v="91.555999999999997"/>
    <n v="93.927000000000007"/>
    <n v="92.741500000000002"/>
    <n v="237.1"/>
  </r>
  <r>
    <x v="7"/>
    <x v="39"/>
    <x v="4"/>
    <m/>
    <n v="91.555999999999997"/>
    <n v="93.927000000000007"/>
    <n v="92.741500000000002"/>
    <n v="237.1"/>
  </r>
  <r>
    <x v="7"/>
    <x v="39"/>
    <x v="6"/>
    <m/>
    <n v="0.81223000000000001"/>
    <n v="0.83499999999999996"/>
    <n v="0.82361499999999999"/>
    <n v="227.7"/>
  </r>
  <r>
    <x v="7"/>
    <x v="40"/>
    <x v="4"/>
    <m/>
    <n v="88.756"/>
    <n v="93.927000000000007"/>
    <n v="91.341499999999996"/>
    <n v="517.1"/>
  </r>
  <r>
    <x v="7"/>
    <x v="40"/>
    <x v="4"/>
    <m/>
    <n v="88.756"/>
    <n v="93.927000000000007"/>
    <n v="91.341499999999996"/>
    <n v="517.1"/>
  </r>
  <r>
    <x v="7"/>
    <x v="40"/>
    <x v="4"/>
    <m/>
    <n v="88.756"/>
    <n v="93.927000000000007"/>
    <n v="91.341499999999996"/>
    <n v="517.1"/>
  </r>
  <r>
    <x v="7"/>
    <x v="40"/>
    <x v="4"/>
    <m/>
    <n v="88.756"/>
    <n v="93.927000000000007"/>
    <n v="91.341499999999996"/>
    <n v="517.1"/>
  </r>
  <r>
    <x v="7"/>
    <x v="40"/>
    <x v="4"/>
    <m/>
    <n v="88.756"/>
    <n v="93.927000000000007"/>
    <n v="91.341499999999996"/>
    <n v="517.1"/>
  </r>
  <r>
    <x v="7"/>
    <x v="40"/>
    <x v="4"/>
    <m/>
    <n v="88.756"/>
    <n v="93.927000000000007"/>
    <n v="91.341499999999996"/>
    <n v="517.1"/>
  </r>
  <r>
    <x v="7"/>
    <x v="40"/>
    <x v="6"/>
    <m/>
    <n v="0.81223000000000001"/>
    <n v="0.83499999999999996"/>
    <n v="0.82361499999999999"/>
    <n v="227.7"/>
  </r>
  <r>
    <x v="7"/>
    <x v="40"/>
    <x v="6"/>
    <m/>
    <n v="0.81223000000000001"/>
    <n v="0.83499999999999996"/>
    <n v="0.82361499999999999"/>
    <n v="227.7"/>
  </r>
  <r>
    <x v="7"/>
    <x v="40"/>
    <x v="6"/>
    <m/>
    <n v="0.81223000000000001"/>
    <n v="0.83499999999999996"/>
    <n v="0.82361499999999999"/>
    <n v="227.7"/>
  </r>
  <r>
    <x v="7"/>
    <x v="40"/>
    <x v="6"/>
    <m/>
    <n v="0.81223000000000001"/>
    <n v="0.83499999999999996"/>
    <n v="0.82361499999999999"/>
    <n v="227.7"/>
  </r>
  <r>
    <x v="7"/>
    <x v="40"/>
    <x v="6"/>
    <m/>
    <n v="0.81223000000000001"/>
    <n v="0.83499999999999996"/>
    <n v="0.82361499999999999"/>
    <n v="227.7"/>
  </r>
  <r>
    <x v="7"/>
    <x v="40"/>
    <x v="6"/>
    <m/>
    <n v="0.81223000000000001"/>
    <n v="0.83499999999999996"/>
    <n v="0.82361499999999999"/>
    <n v="227.7"/>
  </r>
  <r>
    <x v="7"/>
    <x v="40"/>
    <x v="6"/>
    <m/>
    <n v="0.81223000000000001"/>
    <n v="0.83499999999999996"/>
    <n v="0.82361499999999999"/>
    <n v="227.7"/>
  </r>
  <r>
    <x v="7"/>
    <x v="40"/>
    <x v="6"/>
    <m/>
    <n v="0.81223000000000001"/>
    <n v="0.83499999999999996"/>
    <n v="0.82361499999999999"/>
    <n v="227.7"/>
  </r>
  <r>
    <x v="7"/>
    <x v="40"/>
    <x v="6"/>
    <m/>
    <n v="0.81223000000000001"/>
    <n v="0.83499999999999996"/>
    <n v="0.82361499999999999"/>
    <n v="227.7"/>
  </r>
  <r>
    <x v="7"/>
    <x v="40"/>
    <x v="6"/>
    <m/>
    <n v="0.81223000000000001"/>
    <n v="0.83499999999999996"/>
    <n v="0.82361499999999999"/>
    <n v="227.7"/>
  </r>
  <r>
    <x v="7"/>
    <x v="40"/>
    <x v="6"/>
    <m/>
    <n v="0.81223000000000001"/>
    <n v="0.83499999999999996"/>
    <n v="0.82361499999999999"/>
    <n v="227.7"/>
  </r>
  <r>
    <x v="7"/>
    <x v="40"/>
    <x v="6"/>
    <m/>
    <n v="0.81223000000000001"/>
    <n v="0.83499999999999996"/>
    <n v="0.82361499999999999"/>
    <n v="227.7"/>
  </r>
  <r>
    <x v="7"/>
    <x v="40"/>
    <x v="6"/>
    <m/>
    <n v="0.81223000000000001"/>
    <n v="0.83499999999999996"/>
    <n v="0.82361499999999999"/>
    <n v="227.7"/>
  </r>
  <r>
    <x v="7"/>
    <x v="40"/>
    <x v="6"/>
    <m/>
    <n v="0.81223000000000001"/>
    <n v="0.83499999999999996"/>
    <n v="0.82361499999999999"/>
    <n v="227.7"/>
  </r>
  <r>
    <x v="7"/>
    <x v="40"/>
    <x v="6"/>
    <m/>
    <n v="0.81223000000000001"/>
    <n v="0.83499999999999996"/>
    <n v="0.82361499999999999"/>
    <n v="227.7"/>
  </r>
  <r>
    <x v="7"/>
    <x v="40"/>
    <x v="6"/>
    <m/>
    <n v="0.81223000000000001"/>
    <n v="0.83499999999999996"/>
    <n v="0.82361499999999999"/>
    <n v="227.7"/>
  </r>
  <r>
    <x v="7"/>
    <x v="40"/>
    <x v="6"/>
    <m/>
    <n v="0.81223000000000001"/>
    <n v="0.83499999999999996"/>
    <n v="0.82361499999999999"/>
    <n v="227.7"/>
  </r>
  <r>
    <x v="7"/>
    <x v="40"/>
    <x v="6"/>
    <m/>
    <n v="0.81223000000000001"/>
    <n v="0.83499999999999996"/>
    <n v="0.82361499999999999"/>
    <n v="227.7"/>
  </r>
  <r>
    <x v="7"/>
    <x v="40"/>
    <x v="6"/>
    <m/>
    <n v="0.81223000000000001"/>
    <n v="0.83499999999999996"/>
    <n v="0.82361499999999999"/>
    <n v="227.7"/>
  </r>
  <r>
    <x v="7"/>
    <x v="40"/>
    <x v="6"/>
    <m/>
    <n v="0.81223000000000001"/>
    <n v="0.83499999999999996"/>
    <n v="0.82361499999999999"/>
    <n v="227.7"/>
  </r>
  <r>
    <x v="7"/>
    <x v="40"/>
    <x v="6"/>
    <m/>
    <n v="0.81223000000000001"/>
    <n v="0.83499999999999996"/>
    <n v="0.82361499999999999"/>
    <n v="227.7"/>
  </r>
  <r>
    <x v="7"/>
    <x v="40"/>
    <x v="3"/>
    <m/>
    <n v="1.3494200000000001"/>
    <n v="1.37459"/>
    <n v="1.3620049999999999"/>
    <n v="251.7"/>
  </r>
  <r>
    <x v="7"/>
    <x v="40"/>
    <x v="3"/>
    <m/>
    <n v="1.3494200000000001"/>
    <n v="1.37459"/>
    <n v="1.3620049999999999"/>
    <n v="251.7"/>
  </r>
  <r>
    <x v="7"/>
    <x v="40"/>
    <x v="3"/>
    <m/>
    <n v="1.3494200000000001"/>
    <n v="1.37459"/>
    <n v="1.3620049999999999"/>
    <n v="251.7"/>
  </r>
  <r>
    <x v="7"/>
    <x v="40"/>
    <x v="3"/>
    <m/>
    <n v="1.3494200000000001"/>
    <n v="1.37459"/>
    <n v="1.3620049999999999"/>
    <n v="251.7"/>
  </r>
  <r>
    <x v="7"/>
    <x v="40"/>
    <x v="3"/>
    <m/>
    <n v="1.3494200000000001"/>
    <n v="1.37459"/>
    <n v="1.3620049999999999"/>
    <n v="251.7"/>
  </r>
  <r>
    <x v="7"/>
    <x v="40"/>
    <x v="3"/>
    <m/>
    <n v="1.3494200000000001"/>
    <n v="1.37459"/>
    <n v="1.3620049999999999"/>
    <n v="251.7"/>
  </r>
  <r>
    <x v="7"/>
    <x v="40"/>
    <x v="3"/>
    <m/>
    <n v="1.3494200000000001"/>
    <n v="1.37459"/>
    <n v="1.3620049999999999"/>
    <n v="251.7"/>
  </r>
  <r>
    <x v="7"/>
    <x v="40"/>
    <x v="3"/>
    <m/>
    <n v="1.3494200000000001"/>
    <n v="1.37459"/>
    <n v="1.3620049999999999"/>
    <n v="251.7"/>
  </r>
  <r>
    <x v="7"/>
    <x v="40"/>
    <x v="3"/>
    <m/>
    <n v="1.3494200000000001"/>
    <n v="1.37459"/>
    <n v="1.3620049999999999"/>
    <n v="251.7"/>
  </r>
  <r>
    <x v="7"/>
    <x v="40"/>
    <x v="3"/>
    <m/>
    <n v="1.3494200000000001"/>
    <n v="1.37459"/>
    <n v="1.3620049999999999"/>
    <n v="251.7"/>
  </r>
  <r>
    <x v="7"/>
    <x v="40"/>
    <x v="3"/>
    <m/>
    <n v="1.3494200000000001"/>
    <n v="1.37459"/>
    <n v="1.3620049999999999"/>
    <n v="251.7"/>
  </r>
  <r>
    <x v="7"/>
    <x v="40"/>
    <x v="3"/>
    <m/>
    <n v="1.3494200000000001"/>
    <n v="1.37459"/>
    <n v="1.3620049999999999"/>
    <n v="251.7"/>
  </r>
  <r>
    <x v="7"/>
    <x v="40"/>
    <x v="3"/>
    <m/>
    <n v="1.3494200000000001"/>
    <n v="1.37459"/>
    <n v="1.3620049999999999"/>
    <n v="251.7"/>
  </r>
  <r>
    <x v="7"/>
    <x v="40"/>
    <x v="3"/>
    <m/>
    <n v="1.3494200000000001"/>
    <n v="1.37459"/>
    <n v="1.3620049999999999"/>
    <n v="251.7"/>
  </r>
  <r>
    <x v="7"/>
    <x v="40"/>
    <x v="3"/>
    <m/>
    <n v="1.3494200000000001"/>
    <n v="1.37459"/>
    <n v="1.3620049999999999"/>
    <n v="251.7"/>
  </r>
  <r>
    <x v="7"/>
    <x v="40"/>
    <x v="3"/>
    <m/>
    <n v="1.3494200000000001"/>
    <n v="1.37459"/>
    <n v="1.3620049999999999"/>
    <n v="251.7"/>
  </r>
  <r>
    <x v="7"/>
    <x v="40"/>
    <x v="3"/>
    <m/>
    <n v="1.3494200000000001"/>
    <n v="1.37459"/>
    <n v="1.3620049999999999"/>
    <n v="251.7"/>
  </r>
  <r>
    <x v="7"/>
    <x v="40"/>
    <x v="3"/>
    <m/>
    <n v="1.3494200000000001"/>
    <n v="1.37459"/>
    <n v="1.3620049999999999"/>
    <n v="251.7"/>
  </r>
  <r>
    <x v="7"/>
    <x v="40"/>
    <x v="4"/>
    <m/>
    <n v="88.756"/>
    <n v="93.927000000000007"/>
    <n v="91.341499999999996"/>
    <n v="517.1"/>
  </r>
  <r>
    <x v="7"/>
    <x v="40"/>
    <x v="4"/>
    <m/>
    <n v="88.756"/>
    <n v="93.927000000000007"/>
    <n v="91.341499999999996"/>
    <n v="517.1"/>
  </r>
  <r>
    <x v="7"/>
    <x v="40"/>
    <x v="4"/>
    <m/>
    <n v="88.756"/>
    <n v="93.927000000000007"/>
    <n v="91.341499999999996"/>
    <n v="517.1"/>
  </r>
  <r>
    <x v="7"/>
    <x v="40"/>
    <x v="4"/>
    <m/>
    <n v="88.756"/>
    <n v="93.927000000000007"/>
    <n v="91.341499999999996"/>
    <n v="517.1"/>
  </r>
  <r>
    <x v="7"/>
    <x v="40"/>
    <x v="4"/>
    <m/>
    <n v="88.756"/>
    <n v="93.927000000000007"/>
    <n v="91.341499999999996"/>
    <n v="517.1"/>
  </r>
  <r>
    <x v="7"/>
    <x v="40"/>
    <x v="4"/>
    <m/>
    <n v="88.756"/>
    <n v="93.927000000000007"/>
    <n v="91.341499999999996"/>
    <n v="517.1"/>
  </r>
  <r>
    <x v="7"/>
    <x v="40"/>
    <x v="4"/>
    <m/>
    <n v="88.756"/>
    <n v="93.927000000000007"/>
    <n v="91.341499999999996"/>
    <n v="517.1"/>
  </r>
  <r>
    <x v="7"/>
    <x v="40"/>
    <x v="4"/>
    <m/>
    <n v="88.756"/>
    <n v="93.927000000000007"/>
    <n v="91.341499999999996"/>
    <n v="517.1"/>
  </r>
  <r>
    <x v="7"/>
    <x v="40"/>
    <x v="4"/>
    <m/>
    <n v="88.756"/>
    <n v="93.927000000000007"/>
    <n v="91.341499999999996"/>
    <n v="517.1"/>
  </r>
  <r>
    <x v="7"/>
    <x v="40"/>
    <x v="4"/>
    <m/>
    <n v="88.756"/>
    <n v="93.927000000000007"/>
    <n v="91.341499999999996"/>
    <n v="517.1"/>
  </r>
  <r>
    <x v="7"/>
    <x v="40"/>
    <x v="4"/>
    <m/>
    <n v="88.756"/>
    <n v="93.927000000000007"/>
    <n v="91.341499999999996"/>
    <n v="517.1"/>
  </r>
  <r>
    <x v="7"/>
    <x v="40"/>
    <x v="4"/>
    <m/>
    <n v="88.756"/>
    <n v="93.927000000000007"/>
    <n v="91.341499999999996"/>
    <n v="517.1"/>
  </r>
  <r>
    <x v="7"/>
    <x v="40"/>
    <x v="4"/>
    <m/>
    <n v="88.756"/>
    <n v="93.927000000000007"/>
    <n v="91.341499999999996"/>
    <n v="517.1"/>
  </r>
  <r>
    <x v="7"/>
    <x v="40"/>
    <x v="4"/>
    <m/>
    <n v="88.756"/>
    <n v="93.927000000000007"/>
    <n v="91.341499999999996"/>
    <n v="517.1"/>
  </r>
  <r>
    <x v="7"/>
    <x v="40"/>
    <x v="4"/>
    <m/>
    <n v="88.756"/>
    <n v="93.927000000000007"/>
    <n v="91.341499999999996"/>
    <n v="517.1"/>
  </r>
  <r>
    <x v="7"/>
    <x v="40"/>
    <x v="4"/>
    <m/>
    <n v="88.756"/>
    <n v="93.927000000000007"/>
    <n v="91.341499999999996"/>
    <n v="517.1"/>
  </r>
  <r>
    <x v="7"/>
    <x v="40"/>
    <x v="4"/>
    <m/>
    <n v="88.756"/>
    <n v="93.927000000000007"/>
    <n v="91.341499999999996"/>
    <n v="517.1"/>
  </r>
  <r>
    <x v="7"/>
    <x v="40"/>
    <x v="4"/>
    <m/>
    <n v="88.756"/>
    <n v="93.927000000000007"/>
    <n v="91.341499999999996"/>
    <n v="517.1"/>
  </r>
  <r>
    <x v="7"/>
    <x v="40"/>
    <x v="4"/>
    <m/>
    <n v="88.756"/>
    <n v="93.927000000000007"/>
    <n v="91.341499999999996"/>
    <n v="517.1"/>
  </r>
  <r>
    <x v="7"/>
    <x v="40"/>
    <x v="4"/>
    <m/>
    <n v="88.756"/>
    <n v="93.927000000000007"/>
    <n v="91.341499999999996"/>
    <n v="517.1"/>
  </r>
  <r>
    <x v="7"/>
    <x v="40"/>
    <x v="4"/>
    <m/>
    <n v="88.756"/>
    <n v="93.927000000000007"/>
    <n v="91.341499999999996"/>
    <n v="517.1"/>
  </r>
  <r>
    <x v="7"/>
    <x v="40"/>
    <x v="4"/>
    <m/>
    <n v="88.756"/>
    <n v="93.927000000000007"/>
    <n v="91.341499999999996"/>
    <n v="517.1"/>
  </r>
  <r>
    <x v="7"/>
    <x v="40"/>
    <x v="4"/>
    <m/>
    <n v="88.756"/>
    <n v="93.927000000000007"/>
    <n v="91.341499999999996"/>
    <n v="517.1"/>
  </r>
  <r>
    <x v="7"/>
    <x v="40"/>
    <x v="4"/>
    <m/>
    <n v="88.756"/>
    <n v="93.927000000000007"/>
    <n v="91.341499999999996"/>
    <n v="517.1"/>
  </r>
  <r>
    <x v="7"/>
    <x v="40"/>
    <x v="4"/>
    <m/>
    <n v="88.756"/>
    <n v="93.927000000000007"/>
    <n v="91.341499999999996"/>
    <n v="517.1"/>
  </r>
  <r>
    <x v="7"/>
    <x v="41"/>
    <x v="4"/>
    <m/>
    <n v="88.756"/>
    <n v="93.927000000000007"/>
    <n v="91.341499999999996"/>
    <n v="517.1"/>
  </r>
  <r>
    <x v="7"/>
    <x v="41"/>
    <x v="4"/>
    <m/>
    <n v="88.756"/>
    <n v="93.927000000000007"/>
    <n v="91.341499999999996"/>
    <n v="517.1"/>
  </r>
  <r>
    <x v="7"/>
    <x v="41"/>
    <x v="4"/>
    <m/>
    <n v="88.756"/>
    <n v="93.927000000000007"/>
    <n v="91.341499999999996"/>
    <n v="517.1"/>
  </r>
  <r>
    <x v="7"/>
    <x v="41"/>
    <x v="4"/>
    <m/>
    <n v="88.756"/>
    <n v="93.927000000000007"/>
    <n v="91.341499999999996"/>
    <n v="517.1"/>
  </r>
  <r>
    <x v="7"/>
    <x v="41"/>
    <x v="4"/>
    <m/>
    <n v="88.756"/>
    <n v="93.927000000000007"/>
    <n v="91.341499999999996"/>
    <n v="517.1"/>
  </r>
  <r>
    <x v="7"/>
    <x v="41"/>
    <x v="6"/>
    <m/>
    <n v="0.80779999999999996"/>
    <n v="0.83499999999999996"/>
    <n v="0.82140000000000002"/>
    <n v="272"/>
  </r>
  <r>
    <x v="7"/>
    <x v="41"/>
    <x v="6"/>
    <m/>
    <n v="0.80779999999999996"/>
    <n v="0.83499999999999996"/>
    <n v="0.82140000000000002"/>
    <n v="272"/>
  </r>
  <r>
    <x v="7"/>
    <x v="41"/>
    <x v="6"/>
    <m/>
    <n v="0.80779999999999996"/>
    <n v="0.83499999999999996"/>
    <n v="0.82140000000000002"/>
    <n v="272"/>
  </r>
  <r>
    <x v="7"/>
    <x v="41"/>
    <x v="6"/>
    <m/>
    <n v="0.80779999999999996"/>
    <n v="0.83499999999999996"/>
    <n v="0.82140000000000002"/>
    <n v="272"/>
  </r>
  <r>
    <x v="7"/>
    <x v="41"/>
    <x v="6"/>
    <m/>
    <n v="0.80779999999999996"/>
    <n v="0.83499999999999996"/>
    <n v="0.82140000000000002"/>
    <n v="272"/>
  </r>
  <r>
    <x v="7"/>
    <x v="41"/>
    <x v="6"/>
    <m/>
    <n v="0.80779999999999996"/>
    <n v="0.83499999999999996"/>
    <n v="0.82140000000000002"/>
    <n v="272"/>
  </r>
  <r>
    <x v="7"/>
    <x v="41"/>
    <x v="6"/>
    <m/>
    <n v="0.80779999999999996"/>
    <n v="0.83499999999999996"/>
    <n v="0.82140000000000002"/>
    <n v="272"/>
  </r>
  <r>
    <x v="7"/>
    <x v="41"/>
    <x v="6"/>
    <m/>
    <n v="0.80779999999999996"/>
    <n v="0.83499999999999996"/>
    <n v="0.82140000000000002"/>
    <n v="272"/>
  </r>
  <r>
    <x v="7"/>
    <x v="41"/>
    <x v="6"/>
    <m/>
    <n v="0.80779999999999996"/>
    <n v="0.83499999999999996"/>
    <n v="0.82140000000000002"/>
    <n v="272"/>
  </r>
  <r>
    <x v="7"/>
    <x v="41"/>
    <x v="6"/>
    <m/>
    <n v="0.80779999999999996"/>
    <n v="0.83499999999999996"/>
    <n v="0.82140000000000002"/>
    <n v="272"/>
  </r>
  <r>
    <x v="7"/>
    <x v="41"/>
    <x v="6"/>
    <m/>
    <n v="0.80779999999999996"/>
    <n v="0.83499999999999996"/>
    <n v="0.82140000000000002"/>
    <n v="272"/>
  </r>
  <r>
    <x v="7"/>
    <x v="41"/>
    <x v="6"/>
    <m/>
    <n v="0.80779999999999996"/>
    <n v="0.83499999999999996"/>
    <n v="0.82140000000000002"/>
    <n v="272"/>
  </r>
  <r>
    <x v="7"/>
    <x v="41"/>
    <x v="6"/>
    <m/>
    <n v="0.80779999999999996"/>
    <n v="0.83499999999999996"/>
    <n v="0.82140000000000002"/>
    <n v="272"/>
  </r>
  <r>
    <x v="7"/>
    <x v="41"/>
    <x v="6"/>
    <m/>
    <n v="0.80779999999999996"/>
    <n v="0.83499999999999996"/>
    <n v="0.82140000000000002"/>
    <n v="272"/>
  </r>
  <r>
    <x v="7"/>
    <x v="41"/>
    <x v="6"/>
    <m/>
    <n v="0.80779999999999996"/>
    <n v="0.83499999999999996"/>
    <n v="0.82140000000000002"/>
    <n v="272"/>
  </r>
  <r>
    <x v="7"/>
    <x v="41"/>
    <x v="6"/>
    <m/>
    <n v="0.80779999999999996"/>
    <n v="0.83499999999999996"/>
    <n v="0.82140000000000002"/>
    <n v="272"/>
  </r>
  <r>
    <x v="7"/>
    <x v="41"/>
    <x v="6"/>
    <m/>
    <n v="0.80779999999999996"/>
    <n v="0.83499999999999996"/>
    <n v="0.82140000000000002"/>
    <n v="272"/>
  </r>
  <r>
    <x v="7"/>
    <x v="41"/>
    <x v="6"/>
    <m/>
    <n v="0.80779999999999996"/>
    <n v="0.83499999999999996"/>
    <n v="0.82140000000000002"/>
    <n v="272"/>
  </r>
  <r>
    <x v="7"/>
    <x v="41"/>
    <x v="6"/>
    <m/>
    <n v="0.80779999999999996"/>
    <n v="0.83499999999999996"/>
    <n v="0.82140000000000002"/>
    <n v="272"/>
  </r>
  <r>
    <x v="7"/>
    <x v="41"/>
    <x v="3"/>
    <m/>
    <n v="1.3484100000000001"/>
    <n v="1.37459"/>
    <n v="1.3614999999999999"/>
    <n v="261.8"/>
  </r>
  <r>
    <x v="7"/>
    <x v="41"/>
    <x v="3"/>
    <m/>
    <n v="1.3484100000000001"/>
    <n v="1.37459"/>
    <n v="1.3614999999999999"/>
    <n v="261.8"/>
  </r>
  <r>
    <x v="7"/>
    <x v="41"/>
    <x v="3"/>
    <m/>
    <n v="1.3484100000000001"/>
    <n v="1.37459"/>
    <n v="1.3614999999999999"/>
    <n v="261.8"/>
  </r>
  <r>
    <x v="7"/>
    <x v="41"/>
    <x v="3"/>
    <m/>
    <n v="1.3484100000000001"/>
    <n v="1.37459"/>
    <n v="1.3614999999999999"/>
    <n v="261.8"/>
  </r>
  <r>
    <x v="7"/>
    <x v="41"/>
    <x v="3"/>
    <m/>
    <n v="1.3484100000000001"/>
    <n v="1.37459"/>
    <n v="1.3614999999999999"/>
    <n v="261.8"/>
  </r>
  <r>
    <x v="7"/>
    <x v="41"/>
    <x v="3"/>
    <m/>
    <n v="1.3484100000000001"/>
    <n v="1.37459"/>
    <n v="1.3614999999999999"/>
    <n v="261.8"/>
  </r>
  <r>
    <x v="7"/>
    <x v="41"/>
    <x v="3"/>
    <m/>
    <n v="1.3484100000000001"/>
    <n v="1.37459"/>
    <n v="1.3614999999999999"/>
    <n v="261.8"/>
  </r>
  <r>
    <x v="7"/>
    <x v="41"/>
    <x v="3"/>
    <m/>
    <n v="1.3484100000000001"/>
    <n v="1.37459"/>
    <n v="1.3614999999999999"/>
    <n v="261.8"/>
  </r>
  <r>
    <x v="7"/>
    <x v="41"/>
    <x v="3"/>
    <m/>
    <n v="1.3484100000000001"/>
    <n v="1.37459"/>
    <n v="1.3614999999999999"/>
    <n v="261.8"/>
  </r>
  <r>
    <x v="7"/>
    <x v="41"/>
    <x v="3"/>
    <m/>
    <n v="1.3484100000000001"/>
    <n v="1.37459"/>
    <n v="1.3614999999999999"/>
    <n v="261.8"/>
  </r>
  <r>
    <x v="7"/>
    <x v="41"/>
    <x v="3"/>
    <m/>
    <n v="1.3484100000000001"/>
    <n v="1.37459"/>
    <n v="1.3614999999999999"/>
    <n v="261.8"/>
  </r>
  <r>
    <x v="7"/>
    <x v="41"/>
    <x v="3"/>
    <m/>
    <n v="1.3484100000000001"/>
    <n v="1.37459"/>
    <n v="1.3614999999999999"/>
    <n v="261.8"/>
  </r>
  <r>
    <x v="7"/>
    <x v="41"/>
    <x v="3"/>
    <m/>
    <n v="1.3484100000000001"/>
    <n v="1.37459"/>
    <n v="1.3614999999999999"/>
    <n v="261.8"/>
  </r>
  <r>
    <x v="7"/>
    <x v="41"/>
    <x v="3"/>
    <m/>
    <n v="1.3484100000000001"/>
    <n v="1.37459"/>
    <n v="1.3614999999999999"/>
    <n v="261.8"/>
  </r>
  <r>
    <x v="7"/>
    <x v="41"/>
    <x v="3"/>
    <m/>
    <n v="1.3484100000000001"/>
    <n v="1.37459"/>
    <n v="1.3614999999999999"/>
    <n v="261.8"/>
  </r>
  <r>
    <x v="7"/>
    <x v="41"/>
    <x v="3"/>
    <m/>
    <n v="1.3484100000000001"/>
    <n v="1.37459"/>
    <n v="1.3614999999999999"/>
    <n v="261.8"/>
  </r>
  <r>
    <x v="7"/>
    <x v="41"/>
    <x v="3"/>
    <m/>
    <n v="1.3484100000000001"/>
    <n v="1.37459"/>
    <n v="1.3614999999999999"/>
    <n v="261.8"/>
  </r>
  <r>
    <x v="7"/>
    <x v="41"/>
    <x v="3"/>
    <m/>
    <n v="1.3484100000000001"/>
    <n v="1.37459"/>
    <n v="1.3614999999999999"/>
    <n v="261.8"/>
  </r>
  <r>
    <x v="7"/>
    <x v="41"/>
    <x v="4"/>
    <m/>
    <n v="88.756"/>
    <n v="93.927000000000007"/>
    <n v="91.341499999999996"/>
    <n v="517.1"/>
  </r>
  <r>
    <x v="7"/>
    <x v="41"/>
    <x v="4"/>
    <m/>
    <n v="88.756"/>
    <n v="93.927000000000007"/>
    <n v="91.341499999999996"/>
    <n v="517.1"/>
  </r>
  <r>
    <x v="7"/>
    <x v="41"/>
    <x v="4"/>
    <m/>
    <n v="88.756"/>
    <n v="93.927000000000007"/>
    <n v="91.341499999999996"/>
    <n v="517.1"/>
  </r>
  <r>
    <x v="7"/>
    <x v="41"/>
    <x v="4"/>
    <m/>
    <n v="88.756"/>
    <n v="93.927000000000007"/>
    <n v="91.341499999999996"/>
    <n v="517.1"/>
  </r>
  <r>
    <x v="7"/>
    <x v="41"/>
    <x v="4"/>
    <m/>
    <n v="88.756"/>
    <n v="93.927000000000007"/>
    <n v="91.341499999999996"/>
    <n v="517.1"/>
  </r>
  <r>
    <x v="7"/>
    <x v="41"/>
    <x v="4"/>
    <m/>
    <n v="88.756"/>
    <n v="93.927000000000007"/>
    <n v="91.341499999999996"/>
    <n v="517.1"/>
  </r>
  <r>
    <x v="7"/>
    <x v="41"/>
    <x v="4"/>
    <m/>
    <n v="88.756"/>
    <n v="93.927000000000007"/>
    <n v="91.341499999999996"/>
    <n v="517.1"/>
  </r>
  <r>
    <x v="7"/>
    <x v="41"/>
    <x v="4"/>
    <m/>
    <n v="88.756"/>
    <n v="93.927000000000007"/>
    <n v="91.341499999999996"/>
    <n v="517.1"/>
  </r>
  <r>
    <x v="7"/>
    <x v="41"/>
    <x v="4"/>
    <m/>
    <n v="88.756"/>
    <n v="93.927000000000007"/>
    <n v="91.341499999999996"/>
    <n v="517.1"/>
  </r>
  <r>
    <x v="7"/>
    <x v="41"/>
    <x v="4"/>
    <m/>
    <n v="88.756"/>
    <n v="93.927000000000007"/>
    <n v="91.341499999999996"/>
    <n v="517.1"/>
  </r>
  <r>
    <x v="7"/>
    <x v="41"/>
    <x v="4"/>
    <m/>
    <n v="88.756"/>
    <n v="93.927000000000007"/>
    <n v="91.341499999999996"/>
    <n v="517.1"/>
  </r>
  <r>
    <x v="7"/>
    <x v="41"/>
    <x v="4"/>
    <m/>
    <n v="88.756"/>
    <n v="93.927000000000007"/>
    <n v="91.341499999999996"/>
    <n v="517.1"/>
  </r>
  <r>
    <x v="7"/>
    <x v="41"/>
    <x v="4"/>
    <m/>
    <n v="88.756"/>
    <n v="93.927000000000007"/>
    <n v="91.341499999999996"/>
    <n v="517.1"/>
  </r>
  <r>
    <x v="7"/>
    <x v="41"/>
    <x v="4"/>
    <m/>
    <n v="88.756"/>
    <n v="93.927000000000007"/>
    <n v="91.341499999999996"/>
    <n v="517.1"/>
  </r>
  <r>
    <x v="7"/>
    <x v="41"/>
    <x v="4"/>
    <m/>
    <n v="88.756"/>
    <n v="93.927000000000007"/>
    <n v="91.341499999999996"/>
    <n v="517.1"/>
  </r>
  <r>
    <x v="7"/>
    <x v="41"/>
    <x v="4"/>
    <m/>
    <n v="88.756"/>
    <n v="93.927000000000007"/>
    <n v="91.341499999999996"/>
    <n v="517.1"/>
  </r>
  <r>
    <x v="7"/>
    <x v="41"/>
    <x v="4"/>
    <m/>
    <n v="88.756"/>
    <n v="93.927000000000007"/>
    <n v="91.341499999999996"/>
    <n v="517.1"/>
  </r>
  <r>
    <x v="7"/>
    <x v="41"/>
    <x v="4"/>
    <m/>
    <n v="88.756"/>
    <n v="93.927000000000007"/>
    <n v="91.341499999999996"/>
    <n v="517.1"/>
  </r>
  <r>
    <x v="7"/>
    <x v="41"/>
    <x v="4"/>
    <m/>
    <n v="88.756"/>
    <n v="93.927000000000007"/>
    <n v="91.341499999999996"/>
    <n v="517.1"/>
  </r>
  <r>
    <x v="7"/>
    <x v="41"/>
    <x v="4"/>
    <m/>
    <n v="88.756"/>
    <n v="93.927000000000007"/>
    <n v="91.341499999999996"/>
    <n v="517.1"/>
  </r>
  <r>
    <x v="7"/>
    <x v="41"/>
    <x v="4"/>
    <m/>
    <n v="88.756"/>
    <n v="93.927000000000007"/>
    <n v="91.341499999999996"/>
    <n v="517.1"/>
  </r>
  <r>
    <x v="7"/>
    <x v="41"/>
    <x v="4"/>
    <m/>
    <n v="88.756"/>
    <n v="93.927000000000007"/>
    <n v="91.341499999999996"/>
    <n v="517.1"/>
  </r>
  <r>
    <x v="7"/>
    <x v="41"/>
    <x v="4"/>
    <m/>
    <n v="88.756"/>
    <n v="93.927000000000007"/>
    <n v="91.341499999999996"/>
    <n v="517.1"/>
  </r>
  <r>
    <x v="7"/>
    <x v="41"/>
    <x v="4"/>
    <m/>
    <n v="88.756"/>
    <n v="93.927000000000007"/>
    <n v="91.341499999999996"/>
    <n v="517.1"/>
  </r>
  <r>
    <x v="7"/>
    <x v="41"/>
    <x v="4"/>
    <m/>
    <n v="88.756"/>
    <n v="93.927000000000007"/>
    <n v="91.341499999999996"/>
    <n v="517.1"/>
  </r>
  <r>
    <x v="7"/>
    <x v="41"/>
    <x v="4"/>
    <m/>
    <n v="88.756"/>
    <n v="93.927000000000007"/>
    <n v="91.341499999999996"/>
    <n v="517.1"/>
  </r>
  <r>
    <x v="7"/>
    <x v="41"/>
    <x v="4"/>
    <m/>
    <n v="88.756"/>
    <n v="93.927000000000007"/>
    <n v="91.341499999999996"/>
    <n v="517.1"/>
  </r>
  <r>
    <x v="7"/>
    <x v="42"/>
    <x v="6"/>
    <m/>
    <n v="0.80779999999999996"/>
    <n v="0.83499999999999996"/>
    <n v="0.82140000000000002"/>
    <n v="272"/>
  </r>
  <r>
    <x v="7"/>
    <x v="42"/>
    <x v="6"/>
    <m/>
    <n v="0.80779999999999996"/>
    <n v="0.83499999999999996"/>
    <n v="0.82140000000000002"/>
    <n v="272"/>
  </r>
  <r>
    <x v="7"/>
    <x v="42"/>
    <x v="6"/>
    <m/>
    <n v="0.80779999999999996"/>
    <n v="0.83499999999999996"/>
    <n v="0.82140000000000002"/>
    <n v="272"/>
  </r>
  <r>
    <x v="7"/>
    <x v="42"/>
    <x v="6"/>
    <m/>
    <n v="0.80779999999999996"/>
    <n v="0.83499999999999996"/>
    <n v="0.82140000000000002"/>
    <n v="272"/>
  </r>
  <r>
    <x v="7"/>
    <x v="42"/>
    <x v="6"/>
    <m/>
    <n v="0.80779999999999996"/>
    <n v="0.83499999999999996"/>
    <n v="0.82140000000000002"/>
    <n v="272"/>
  </r>
  <r>
    <x v="7"/>
    <x v="42"/>
    <x v="6"/>
    <m/>
    <n v="0.80779999999999996"/>
    <n v="0.83499999999999996"/>
    <n v="0.82140000000000002"/>
    <n v="272"/>
  </r>
  <r>
    <x v="7"/>
    <x v="42"/>
    <x v="6"/>
    <m/>
    <n v="0.80779999999999996"/>
    <n v="0.83499999999999996"/>
    <n v="0.82140000000000002"/>
    <n v="272"/>
  </r>
  <r>
    <x v="7"/>
    <x v="42"/>
    <x v="6"/>
    <m/>
    <n v="0.80779999999999996"/>
    <n v="0.83499999999999996"/>
    <n v="0.82140000000000002"/>
    <n v="272"/>
  </r>
  <r>
    <x v="7"/>
    <x v="42"/>
    <x v="6"/>
    <m/>
    <n v="0.80779999999999996"/>
    <n v="0.83499999999999996"/>
    <n v="0.82140000000000002"/>
    <n v="272"/>
  </r>
  <r>
    <x v="7"/>
    <x v="42"/>
    <x v="6"/>
    <m/>
    <n v="0.80779999999999996"/>
    <n v="0.83499999999999996"/>
    <n v="0.82140000000000002"/>
    <n v="272"/>
  </r>
  <r>
    <x v="7"/>
    <x v="42"/>
    <x v="6"/>
    <m/>
    <n v="0.80779999999999996"/>
    <n v="0.83499999999999996"/>
    <n v="0.82140000000000002"/>
    <n v="272"/>
  </r>
  <r>
    <x v="7"/>
    <x v="42"/>
    <x v="6"/>
    <m/>
    <n v="0.80779999999999996"/>
    <n v="0.83499999999999996"/>
    <n v="0.82140000000000002"/>
    <n v="272"/>
  </r>
  <r>
    <x v="7"/>
    <x v="42"/>
    <x v="6"/>
    <m/>
    <n v="0.80779999999999996"/>
    <n v="0.83499999999999996"/>
    <n v="0.82140000000000002"/>
    <n v="272"/>
  </r>
  <r>
    <x v="7"/>
    <x v="42"/>
    <x v="6"/>
    <m/>
    <n v="0.80779999999999996"/>
    <n v="0.83499999999999996"/>
    <n v="0.82140000000000002"/>
    <n v="272"/>
  </r>
  <r>
    <x v="7"/>
    <x v="42"/>
    <x v="6"/>
    <m/>
    <n v="0.80779999999999996"/>
    <n v="0.83499999999999996"/>
    <n v="0.82140000000000002"/>
    <n v="272"/>
  </r>
  <r>
    <x v="7"/>
    <x v="42"/>
    <x v="6"/>
    <m/>
    <n v="0.80779999999999996"/>
    <n v="0.83499999999999996"/>
    <n v="0.82140000000000002"/>
    <n v="272"/>
  </r>
  <r>
    <x v="7"/>
    <x v="42"/>
    <x v="6"/>
    <m/>
    <n v="0.80779999999999996"/>
    <n v="0.83499999999999996"/>
    <n v="0.82140000000000002"/>
    <n v="272"/>
  </r>
  <r>
    <x v="7"/>
    <x v="42"/>
    <x v="6"/>
    <m/>
    <n v="0.80779999999999996"/>
    <n v="0.83499999999999996"/>
    <n v="0.82140000000000002"/>
    <n v="272"/>
  </r>
  <r>
    <x v="7"/>
    <x v="42"/>
    <x v="6"/>
    <m/>
    <n v="0.80779999999999996"/>
    <n v="0.83499999999999996"/>
    <n v="0.82140000000000002"/>
    <n v="272"/>
  </r>
  <r>
    <x v="7"/>
    <x v="42"/>
    <x v="6"/>
    <m/>
    <n v="0.80779999999999996"/>
    <n v="0.83499999999999996"/>
    <n v="0.82140000000000002"/>
    <n v="272"/>
  </r>
  <r>
    <x v="7"/>
    <x v="42"/>
    <x v="6"/>
    <m/>
    <n v="0.80779999999999996"/>
    <n v="0.83499999999999996"/>
    <n v="0.82140000000000002"/>
    <n v="272"/>
  </r>
  <r>
    <x v="7"/>
    <x v="42"/>
    <x v="6"/>
    <m/>
    <n v="0.80779999999999996"/>
    <n v="0.83499999999999996"/>
    <n v="0.82140000000000002"/>
    <n v="272"/>
  </r>
  <r>
    <x v="7"/>
    <x v="42"/>
    <x v="6"/>
    <m/>
    <n v="0.80779999999999996"/>
    <n v="0.83499999999999996"/>
    <n v="0.82140000000000002"/>
    <n v="272"/>
  </r>
  <r>
    <x v="7"/>
    <x v="42"/>
    <x v="6"/>
    <m/>
    <n v="0.80779999999999996"/>
    <n v="0.83499999999999996"/>
    <n v="0.82140000000000002"/>
    <n v="272"/>
  </r>
  <r>
    <x v="7"/>
    <x v="42"/>
    <x v="3"/>
    <m/>
    <n v="1.3484100000000001"/>
    <n v="1.37459"/>
    <n v="1.3614999999999999"/>
    <n v="261.8"/>
  </r>
  <r>
    <x v="7"/>
    <x v="42"/>
    <x v="3"/>
    <m/>
    <n v="1.3484100000000001"/>
    <n v="1.37459"/>
    <n v="1.3614999999999999"/>
    <n v="261.8"/>
  </r>
  <r>
    <x v="7"/>
    <x v="42"/>
    <x v="3"/>
    <m/>
    <n v="1.3484100000000001"/>
    <n v="1.37459"/>
    <n v="1.3614999999999999"/>
    <n v="261.8"/>
  </r>
  <r>
    <x v="7"/>
    <x v="42"/>
    <x v="3"/>
    <m/>
    <n v="1.3484100000000001"/>
    <n v="1.37459"/>
    <n v="1.3614999999999999"/>
    <n v="261.8"/>
  </r>
  <r>
    <x v="7"/>
    <x v="42"/>
    <x v="3"/>
    <m/>
    <n v="1.3484100000000001"/>
    <n v="1.37459"/>
    <n v="1.3614999999999999"/>
    <n v="261.8"/>
  </r>
  <r>
    <x v="7"/>
    <x v="42"/>
    <x v="3"/>
    <m/>
    <n v="1.3484100000000001"/>
    <n v="1.37459"/>
    <n v="1.3614999999999999"/>
    <n v="261.8"/>
  </r>
  <r>
    <x v="7"/>
    <x v="42"/>
    <x v="3"/>
    <m/>
    <n v="1.3484100000000001"/>
    <n v="1.37459"/>
    <n v="1.3614999999999999"/>
    <n v="261.8"/>
  </r>
  <r>
    <x v="7"/>
    <x v="42"/>
    <x v="3"/>
    <m/>
    <n v="1.3484100000000001"/>
    <n v="1.37459"/>
    <n v="1.3614999999999999"/>
    <n v="261.8"/>
  </r>
  <r>
    <x v="7"/>
    <x v="42"/>
    <x v="3"/>
    <m/>
    <n v="1.3484100000000001"/>
    <n v="1.37459"/>
    <n v="1.3614999999999999"/>
    <n v="261.8"/>
  </r>
  <r>
    <x v="7"/>
    <x v="42"/>
    <x v="3"/>
    <m/>
    <n v="1.3484100000000001"/>
    <n v="1.37459"/>
    <n v="1.3614999999999999"/>
    <n v="261.8"/>
  </r>
  <r>
    <x v="7"/>
    <x v="42"/>
    <x v="3"/>
    <m/>
    <n v="1.3484100000000001"/>
    <n v="1.37459"/>
    <n v="1.3614999999999999"/>
    <n v="261.8"/>
  </r>
  <r>
    <x v="7"/>
    <x v="42"/>
    <x v="3"/>
    <m/>
    <n v="1.3484100000000001"/>
    <n v="1.37459"/>
    <n v="1.3614999999999999"/>
    <n v="261.8"/>
  </r>
  <r>
    <x v="7"/>
    <x v="42"/>
    <x v="3"/>
    <m/>
    <n v="1.3484100000000001"/>
    <n v="1.37459"/>
    <n v="1.3614999999999999"/>
    <n v="261.8"/>
  </r>
  <r>
    <x v="7"/>
    <x v="42"/>
    <x v="3"/>
    <m/>
    <n v="1.3484100000000001"/>
    <n v="1.37459"/>
    <n v="1.3614999999999999"/>
    <n v="261.8"/>
  </r>
  <r>
    <x v="7"/>
    <x v="42"/>
    <x v="3"/>
    <m/>
    <n v="1.3484100000000001"/>
    <n v="1.37459"/>
    <n v="1.3614999999999999"/>
    <n v="261.8"/>
  </r>
  <r>
    <x v="7"/>
    <x v="42"/>
    <x v="3"/>
    <m/>
    <n v="1.3484100000000001"/>
    <n v="1.37459"/>
    <n v="1.3614999999999999"/>
    <n v="261.8"/>
  </r>
  <r>
    <x v="7"/>
    <x v="42"/>
    <x v="3"/>
    <m/>
    <n v="1.3484100000000001"/>
    <n v="1.37459"/>
    <n v="1.3614999999999999"/>
    <n v="261.8"/>
  </r>
  <r>
    <x v="7"/>
    <x v="42"/>
    <x v="3"/>
    <m/>
    <n v="1.3484100000000001"/>
    <n v="1.37459"/>
    <n v="1.3614999999999999"/>
    <n v="261.8"/>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2"/>
    <x v="4"/>
    <m/>
    <n v="88.756"/>
    <n v="93.927000000000007"/>
    <n v="91.341499999999996"/>
    <n v="517.1"/>
  </r>
  <r>
    <x v="7"/>
    <x v="43"/>
    <x v="4"/>
    <m/>
    <n v="88.756"/>
    <n v="93.927000000000007"/>
    <n v="91.341499999999996"/>
    <n v="517.1"/>
  </r>
  <r>
    <x v="7"/>
    <x v="43"/>
    <x v="4"/>
    <m/>
    <n v="88.756"/>
    <n v="93.927000000000007"/>
    <n v="91.341499999999996"/>
    <n v="517.1"/>
  </r>
  <r>
    <x v="7"/>
    <x v="43"/>
    <x v="4"/>
    <m/>
    <n v="88.756"/>
    <n v="93.927000000000007"/>
    <n v="91.341499999999996"/>
    <n v="517.1"/>
  </r>
  <r>
    <x v="7"/>
    <x v="43"/>
    <x v="4"/>
    <m/>
    <n v="88.756"/>
    <n v="93.927000000000007"/>
    <n v="91.341499999999996"/>
    <n v="517.1"/>
  </r>
  <r>
    <x v="7"/>
    <x v="43"/>
    <x v="4"/>
    <m/>
    <n v="88.756"/>
    <n v="93.927000000000007"/>
    <n v="91.341499999999996"/>
    <n v="517.1"/>
  </r>
  <r>
    <x v="7"/>
    <x v="43"/>
    <x v="4"/>
    <m/>
    <n v="88.756"/>
    <n v="93.927000000000007"/>
    <n v="91.341499999999996"/>
    <n v="517.1"/>
  </r>
  <r>
    <x v="7"/>
    <x v="43"/>
    <x v="4"/>
    <m/>
    <n v="88.756"/>
    <n v="93.927000000000007"/>
    <n v="91.341499999999996"/>
    <n v="517.1"/>
  </r>
  <r>
    <x v="7"/>
    <x v="43"/>
    <x v="4"/>
    <m/>
    <n v="88.756"/>
    <n v="93.927000000000007"/>
    <n v="91.341499999999996"/>
    <n v="517.1"/>
  </r>
  <r>
    <x v="7"/>
    <x v="43"/>
    <x v="4"/>
    <m/>
    <n v="88.756"/>
    <n v="93.927000000000007"/>
    <n v="91.341499999999996"/>
    <n v="517.1"/>
  </r>
  <r>
    <x v="7"/>
    <x v="43"/>
    <x v="6"/>
    <m/>
    <n v="0.80779999999999996"/>
    <n v="0.83809999999999996"/>
    <n v="0.82294999999999996"/>
    <n v="303"/>
  </r>
  <r>
    <x v="7"/>
    <x v="43"/>
    <x v="6"/>
    <m/>
    <n v="0.80779999999999996"/>
    <n v="0.83809999999999996"/>
    <n v="0.82294999999999996"/>
    <n v="303"/>
  </r>
  <r>
    <x v="7"/>
    <x v="43"/>
    <x v="6"/>
    <m/>
    <n v="0.80779999999999996"/>
    <n v="0.83809999999999996"/>
    <n v="0.82294999999999996"/>
    <n v="303"/>
  </r>
  <r>
    <x v="7"/>
    <x v="43"/>
    <x v="6"/>
    <m/>
    <n v="0.80779999999999996"/>
    <n v="0.83809999999999996"/>
    <n v="0.82294999999999996"/>
    <n v="303"/>
  </r>
  <r>
    <x v="7"/>
    <x v="43"/>
    <x v="6"/>
    <m/>
    <n v="0.80779999999999996"/>
    <n v="0.83809999999999996"/>
    <n v="0.82294999999999996"/>
    <n v="303"/>
  </r>
  <r>
    <x v="7"/>
    <x v="43"/>
    <x v="6"/>
    <m/>
    <n v="0.80779999999999996"/>
    <n v="0.83809999999999996"/>
    <n v="0.82294999999999996"/>
    <n v="303"/>
  </r>
  <r>
    <x v="7"/>
    <x v="43"/>
    <x v="6"/>
    <m/>
    <n v="0.80779999999999996"/>
    <n v="0.83809999999999996"/>
    <n v="0.82294999999999996"/>
    <n v="303"/>
  </r>
  <r>
    <x v="7"/>
    <x v="43"/>
    <x v="6"/>
    <m/>
    <n v="0.80779999999999996"/>
    <n v="0.83809999999999996"/>
    <n v="0.82294999999999996"/>
    <n v="303"/>
  </r>
  <r>
    <x v="7"/>
    <x v="43"/>
    <x v="6"/>
    <m/>
    <n v="0.80779999999999996"/>
    <n v="0.83809999999999996"/>
    <n v="0.82294999999999996"/>
    <n v="303"/>
  </r>
  <r>
    <x v="7"/>
    <x v="43"/>
    <x v="6"/>
    <m/>
    <n v="0.80779999999999996"/>
    <n v="0.83809999999999996"/>
    <n v="0.82294999999999996"/>
    <n v="303"/>
  </r>
  <r>
    <x v="7"/>
    <x v="43"/>
    <x v="6"/>
    <m/>
    <n v="0.80779999999999996"/>
    <n v="0.83809999999999996"/>
    <n v="0.82294999999999996"/>
    <n v="303"/>
  </r>
  <r>
    <x v="7"/>
    <x v="43"/>
    <x v="6"/>
    <m/>
    <n v="0.80779999999999996"/>
    <n v="0.83809999999999996"/>
    <n v="0.82294999999999996"/>
    <n v="303"/>
  </r>
  <r>
    <x v="7"/>
    <x v="43"/>
    <x v="6"/>
    <m/>
    <n v="0.80779999999999996"/>
    <n v="0.83809999999999996"/>
    <n v="0.82294999999999996"/>
    <n v="303"/>
  </r>
  <r>
    <x v="7"/>
    <x v="43"/>
    <x v="6"/>
    <m/>
    <n v="0.80779999999999996"/>
    <n v="0.83809999999999996"/>
    <n v="0.82294999999999996"/>
    <n v="303"/>
  </r>
  <r>
    <x v="7"/>
    <x v="43"/>
    <x v="6"/>
    <m/>
    <n v="0.80779999999999996"/>
    <n v="0.83809999999999996"/>
    <n v="0.82294999999999996"/>
    <n v="303"/>
  </r>
  <r>
    <x v="7"/>
    <x v="43"/>
    <x v="6"/>
    <m/>
    <n v="0.80779999999999996"/>
    <n v="0.83809999999999996"/>
    <n v="0.82294999999999996"/>
    <n v="303"/>
  </r>
  <r>
    <x v="7"/>
    <x v="43"/>
    <x v="6"/>
    <m/>
    <n v="0.80779999999999996"/>
    <n v="0.83809999999999996"/>
    <n v="0.82294999999999996"/>
    <n v="303"/>
  </r>
  <r>
    <x v="7"/>
    <x v="43"/>
    <x v="6"/>
    <m/>
    <n v="0.80779999999999996"/>
    <n v="0.83809999999999996"/>
    <n v="0.82294999999999996"/>
    <n v="303"/>
  </r>
  <r>
    <x v="7"/>
    <x v="43"/>
    <x v="6"/>
    <m/>
    <n v="0.80779999999999996"/>
    <n v="0.83809999999999996"/>
    <n v="0.82294999999999996"/>
    <n v="303"/>
  </r>
  <r>
    <x v="7"/>
    <x v="43"/>
    <x v="6"/>
    <m/>
    <n v="0.80779999999999996"/>
    <n v="0.83809999999999996"/>
    <n v="0.82294999999999996"/>
    <n v="303"/>
  </r>
  <r>
    <x v="7"/>
    <x v="43"/>
    <x v="6"/>
    <m/>
    <n v="0.80779999999999996"/>
    <n v="0.83809999999999996"/>
    <n v="0.82294999999999996"/>
    <n v="303"/>
  </r>
  <r>
    <x v="7"/>
    <x v="43"/>
    <x v="6"/>
    <m/>
    <n v="0.80779999999999996"/>
    <n v="0.83809999999999996"/>
    <n v="0.82294999999999996"/>
    <n v="303"/>
  </r>
  <r>
    <x v="7"/>
    <x v="43"/>
    <x v="6"/>
    <m/>
    <n v="0.80779999999999996"/>
    <n v="0.83809999999999996"/>
    <n v="0.82294999999999996"/>
    <n v="303"/>
  </r>
  <r>
    <x v="7"/>
    <x v="43"/>
    <x v="3"/>
    <m/>
    <n v="1.3484100000000001"/>
    <n v="1.37459"/>
    <n v="1.3614999999999999"/>
    <n v="261.8"/>
  </r>
  <r>
    <x v="7"/>
    <x v="43"/>
    <x v="3"/>
    <m/>
    <n v="1.3484100000000001"/>
    <n v="1.37459"/>
    <n v="1.3614999999999999"/>
    <n v="261.8"/>
  </r>
  <r>
    <x v="7"/>
    <x v="43"/>
    <x v="3"/>
    <m/>
    <n v="1.3484100000000001"/>
    <n v="1.37459"/>
    <n v="1.3614999999999999"/>
    <n v="261.8"/>
  </r>
  <r>
    <x v="7"/>
    <x v="43"/>
    <x v="3"/>
    <m/>
    <n v="1.3484100000000001"/>
    <n v="1.37459"/>
    <n v="1.3614999999999999"/>
    <n v="261.8"/>
  </r>
  <r>
    <x v="7"/>
    <x v="43"/>
    <x v="3"/>
    <m/>
    <n v="1.3484100000000001"/>
    <n v="1.37459"/>
    <n v="1.3614999999999999"/>
    <n v="261.8"/>
  </r>
  <r>
    <x v="7"/>
    <x v="43"/>
    <x v="3"/>
    <m/>
    <n v="1.3484100000000001"/>
    <n v="1.37459"/>
    <n v="1.3614999999999999"/>
    <n v="261.8"/>
  </r>
  <r>
    <x v="7"/>
    <x v="43"/>
    <x v="3"/>
    <m/>
    <n v="1.3484100000000001"/>
    <n v="1.37459"/>
    <n v="1.3614999999999999"/>
    <n v="261.8"/>
  </r>
  <r>
    <x v="7"/>
    <x v="43"/>
    <x v="3"/>
    <m/>
    <n v="1.3484100000000001"/>
    <n v="1.37459"/>
    <n v="1.3614999999999999"/>
    <n v="261.8"/>
  </r>
  <r>
    <x v="7"/>
    <x v="43"/>
    <x v="3"/>
    <m/>
    <n v="1.3484100000000001"/>
    <n v="1.37459"/>
    <n v="1.3614999999999999"/>
    <n v="261.8"/>
  </r>
  <r>
    <x v="7"/>
    <x v="43"/>
    <x v="4"/>
    <m/>
    <n v="88.756"/>
    <n v="93.927000000000007"/>
    <n v="91.341499999999996"/>
    <n v="517.1"/>
  </r>
  <r>
    <x v="7"/>
    <x v="43"/>
    <x v="4"/>
    <m/>
    <n v="88.756"/>
    <n v="93.927000000000007"/>
    <n v="91.341499999999996"/>
    <n v="517.1"/>
  </r>
  <r>
    <x v="7"/>
    <x v="43"/>
    <x v="4"/>
    <m/>
    <n v="88.756"/>
    <n v="93.927000000000007"/>
    <n v="91.341499999999996"/>
    <n v="517.1"/>
  </r>
  <r>
    <x v="7"/>
    <x v="43"/>
    <x v="4"/>
    <m/>
    <n v="88.756"/>
    <n v="93.927000000000007"/>
    <n v="91.341499999999996"/>
    <n v="517.1"/>
  </r>
  <r>
    <x v="7"/>
    <x v="43"/>
    <x v="4"/>
    <m/>
    <n v="88.756"/>
    <n v="93.927000000000007"/>
    <n v="91.341499999999996"/>
    <n v="517.1"/>
  </r>
  <r>
    <x v="7"/>
    <x v="43"/>
    <x v="4"/>
    <m/>
    <n v="88.756"/>
    <n v="93.927000000000007"/>
    <n v="91.341499999999996"/>
    <n v="517.1"/>
  </r>
  <r>
    <x v="7"/>
    <x v="43"/>
    <x v="4"/>
    <m/>
    <n v="88.756"/>
    <n v="93.927000000000007"/>
    <n v="91.341499999999996"/>
    <n v="517.1"/>
  </r>
  <r>
    <x v="7"/>
    <x v="43"/>
    <x v="4"/>
    <m/>
    <n v="88.756"/>
    <n v="93.927000000000007"/>
    <n v="91.341499999999996"/>
    <n v="517.1"/>
  </r>
  <r>
    <x v="7"/>
    <x v="43"/>
    <x v="3"/>
    <m/>
    <n v="1.3484100000000001"/>
    <n v="1.37459"/>
    <n v="1.3614999999999999"/>
    <n v="261.8"/>
  </r>
  <r>
    <x v="7"/>
    <x v="43"/>
    <x v="3"/>
    <m/>
    <n v="1.3484100000000001"/>
    <n v="1.37459"/>
    <n v="1.3614999999999999"/>
    <n v="261.8"/>
  </r>
  <r>
    <x v="7"/>
    <x v="43"/>
    <x v="3"/>
    <m/>
    <n v="1.3484100000000001"/>
    <n v="1.37459"/>
    <n v="1.3614999999999999"/>
    <n v="261.8"/>
  </r>
  <r>
    <x v="7"/>
    <x v="43"/>
    <x v="3"/>
    <m/>
    <n v="1.3484100000000001"/>
    <n v="1.37459"/>
    <n v="1.3614999999999999"/>
    <n v="261.8"/>
  </r>
  <r>
    <x v="7"/>
    <x v="43"/>
    <x v="3"/>
    <m/>
    <n v="1.3484100000000001"/>
    <n v="1.37459"/>
    <n v="1.3614999999999999"/>
    <n v="261.8"/>
  </r>
  <r>
    <x v="7"/>
    <x v="43"/>
    <x v="3"/>
    <m/>
    <n v="1.3484100000000001"/>
    <n v="1.37459"/>
    <n v="1.3614999999999999"/>
    <n v="261.8"/>
  </r>
  <r>
    <x v="7"/>
    <x v="43"/>
    <x v="3"/>
    <m/>
    <n v="1.3484100000000001"/>
    <n v="1.37459"/>
    <n v="1.3614999999999999"/>
    <n v="261.8"/>
  </r>
  <r>
    <x v="7"/>
    <x v="43"/>
    <x v="3"/>
    <m/>
    <n v="1.3484100000000001"/>
    <n v="1.37459"/>
    <n v="1.3614999999999999"/>
    <n v="261.8"/>
  </r>
  <r>
    <x v="7"/>
    <x v="43"/>
    <x v="3"/>
    <m/>
    <n v="1.3484100000000001"/>
    <n v="1.37459"/>
    <n v="1.3614999999999999"/>
    <n v="261.8"/>
  </r>
  <r>
    <x v="7"/>
    <x v="43"/>
    <x v="4"/>
    <m/>
    <n v="88.756"/>
    <n v="93.927000000000007"/>
    <n v="91.341499999999996"/>
    <n v="517.1"/>
  </r>
  <r>
    <x v="7"/>
    <x v="43"/>
    <x v="4"/>
    <m/>
    <n v="88.756"/>
    <n v="93.927000000000007"/>
    <n v="91.341499999999996"/>
    <n v="517.1"/>
  </r>
  <r>
    <x v="7"/>
    <x v="43"/>
    <x v="4"/>
    <m/>
    <n v="88.756"/>
    <n v="93.927000000000007"/>
    <n v="91.341499999999996"/>
    <n v="517.1"/>
  </r>
  <r>
    <x v="7"/>
    <x v="43"/>
    <x v="4"/>
    <m/>
    <n v="88.756"/>
    <n v="93.927000000000007"/>
    <n v="91.341499999999996"/>
    <n v="517.1"/>
  </r>
  <r>
    <x v="7"/>
    <x v="43"/>
    <x v="4"/>
    <m/>
    <n v="88.756"/>
    <n v="93.927000000000007"/>
    <n v="91.341499999999996"/>
    <n v="517.1"/>
  </r>
  <r>
    <x v="7"/>
    <x v="43"/>
    <x v="4"/>
    <m/>
    <n v="88.756"/>
    <n v="93.927000000000007"/>
    <n v="91.341499999999996"/>
    <n v="517.1"/>
  </r>
  <r>
    <x v="7"/>
    <x v="43"/>
    <x v="4"/>
    <m/>
    <n v="88.756"/>
    <n v="93.927000000000007"/>
    <n v="91.341499999999996"/>
    <n v="517.1"/>
  </r>
  <r>
    <x v="7"/>
    <x v="43"/>
    <x v="4"/>
    <m/>
    <n v="88.756"/>
    <n v="93.927000000000007"/>
    <n v="91.341499999999996"/>
    <n v="517.1"/>
  </r>
  <r>
    <x v="7"/>
    <x v="43"/>
    <x v="4"/>
    <m/>
    <n v="88.756"/>
    <n v="93.927000000000007"/>
    <n v="91.341499999999996"/>
    <n v="517.1"/>
  </r>
  <r>
    <x v="7"/>
    <x v="43"/>
    <x v="4"/>
    <m/>
    <n v="88.756"/>
    <n v="93.927000000000007"/>
    <n v="91.341499999999996"/>
    <n v="517.1"/>
  </r>
  <r>
    <x v="7"/>
    <x v="43"/>
    <x v="4"/>
    <m/>
    <n v="88.756"/>
    <n v="93.927000000000007"/>
    <n v="91.341499999999996"/>
    <n v="517.1"/>
  </r>
  <r>
    <x v="7"/>
    <x v="43"/>
    <x v="4"/>
    <m/>
    <n v="88.756"/>
    <n v="93.927000000000007"/>
    <n v="91.341499999999996"/>
    <n v="517.1"/>
  </r>
  <r>
    <x v="7"/>
    <x v="43"/>
    <x v="4"/>
    <m/>
    <n v="88.756"/>
    <n v="93.927000000000007"/>
    <n v="91.341499999999996"/>
    <n v="517.1"/>
  </r>
  <r>
    <x v="7"/>
    <x v="43"/>
    <x v="4"/>
    <m/>
    <n v="88.756"/>
    <n v="93.927000000000007"/>
    <n v="91.341499999999996"/>
    <n v="517.1"/>
  </r>
  <r>
    <x v="7"/>
    <x v="43"/>
    <x v="4"/>
    <m/>
    <n v="88.756"/>
    <n v="93.927000000000007"/>
    <n v="91.341499999999996"/>
    <n v="517.1"/>
  </r>
  <r>
    <x v="7"/>
    <x v="44"/>
    <x v="6"/>
    <m/>
    <n v="0.80779999999999996"/>
    <n v="0.83809999999999996"/>
    <n v="0.82294999999999996"/>
    <n v="303"/>
  </r>
  <r>
    <x v="7"/>
    <x v="44"/>
    <x v="4"/>
    <m/>
    <n v="88.756"/>
    <n v="93.927000000000007"/>
    <n v="91.341499999999996"/>
    <n v="517.1"/>
  </r>
  <r>
    <x v="7"/>
    <x v="44"/>
    <x v="4"/>
    <m/>
    <n v="88.756"/>
    <n v="93.927000000000007"/>
    <n v="91.341499999999996"/>
    <n v="517.1"/>
  </r>
  <r>
    <x v="7"/>
    <x v="44"/>
    <x v="6"/>
    <m/>
    <n v="0.80779999999999996"/>
    <n v="0.83809999999999996"/>
    <n v="0.82294999999999996"/>
    <n v="303"/>
  </r>
  <r>
    <x v="7"/>
    <x v="45"/>
    <x v="6"/>
    <m/>
    <n v="0.80779999999999996"/>
    <n v="0.83936999999999995"/>
    <n v="0.82358500000000001"/>
    <n v="315.7"/>
  </r>
  <r>
    <x v="7"/>
    <x v="45"/>
    <x v="4"/>
    <m/>
    <n v="88.756"/>
    <n v="93.927000000000007"/>
    <n v="91.341499999999996"/>
    <n v="517.1"/>
  </r>
  <r>
    <x v="7"/>
    <x v="45"/>
    <x v="6"/>
    <m/>
    <n v="0.80779999999999996"/>
    <n v="0.83936999999999995"/>
    <n v="0.82358500000000001"/>
    <n v="315.7"/>
  </r>
  <r>
    <x v="7"/>
    <x v="45"/>
    <x v="6"/>
    <m/>
    <n v="0.80779999999999996"/>
    <n v="0.83936999999999995"/>
    <n v="0.82358500000000001"/>
    <n v="315.7"/>
  </r>
  <r>
    <x v="7"/>
    <x v="45"/>
    <x v="6"/>
    <m/>
    <n v="0.80779999999999996"/>
    <n v="0.83936999999999995"/>
    <n v="0.82358500000000001"/>
    <n v="315.7"/>
  </r>
  <r>
    <x v="7"/>
    <x v="45"/>
    <x v="6"/>
    <m/>
    <n v="0.80779999999999996"/>
    <n v="0.83936999999999995"/>
    <n v="0.82358500000000001"/>
    <n v="315.7"/>
  </r>
  <r>
    <x v="7"/>
    <x v="45"/>
    <x v="6"/>
    <m/>
    <n v="0.80779999999999996"/>
    <n v="0.83936999999999995"/>
    <n v="0.82358500000000001"/>
    <n v="315.7"/>
  </r>
  <r>
    <x v="7"/>
    <x v="45"/>
    <x v="6"/>
    <m/>
    <n v="0.80779999999999996"/>
    <n v="0.83936999999999995"/>
    <n v="0.82358500000000001"/>
    <n v="315.7"/>
  </r>
  <r>
    <x v="7"/>
    <x v="45"/>
    <x v="6"/>
    <m/>
    <n v="0.80779999999999996"/>
    <n v="0.83936999999999995"/>
    <n v="0.82358500000000001"/>
    <n v="315.7"/>
  </r>
  <r>
    <x v="7"/>
    <x v="45"/>
    <x v="6"/>
    <m/>
    <n v="0.80779999999999996"/>
    <n v="0.83936999999999995"/>
    <n v="0.82358500000000001"/>
    <n v="315.7"/>
  </r>
  <r>
    <x v="7"/>
    <x v="45"/>
    <x v="6"/>
    <m/>
    <n v="0.80779999999999996"/>
    <n v="0.83936999999999995"/>
    <n v="0.82358500000000001"/>
    <n v="315.7"/>
  </r>
  <r>
    <x v="7"/>
    <x v="45"/>
    <x v="6"/>
    <m/>
    <n v="0.80779999999999996"/>
    <n v="0.83936999999999995"/>
    <n v="0.82358500000000001"/>
    <n v="315.7"/>
  </r>
  <r>
    <x v="7"/>
    <x v="45"/>
    <x v="3"/>
    <m/>
    <n v="1.3484100000000001"/>
    <n v="1.38045"/>
    <n v="1.36443"/>
    <n v="320.39999999999998"/>
  </r>
  <r>
    <x v="7"/>
    <x v="45"/>
    <x v="3"/>
    <m/>
    <n v="1.3484100000000001"/>
    <n v="1.38045"/>
    <n v="1.36443"/>
    <n v="320.39999999999998"/>
  </r>
  <r>
    <x v="7"/>
    <x v="45"/>
    <x v="3"/>
    <m/>
    <n v="1.3484100000000001"/>
    <n v="1.38045"/>
    <n v="1.36443"/>
    <n v="320.39999999999998"/>
  </r>
  <r>
    <x v="7"/>
    <x v="45"/>
    <x v="3"/>
    <m/>
    <n v="1.3484100000000001"/>
    <n v="1.38045"/>
    <n v="1.36443"/>
    <n v="320.39999999999998"/>
  </r>
  <r>
    <x v="7"/>
    <x v="45"/>
    <x v="3"/>
    <m/>
    <n v="1.3484100000000001"/>
    <n v="1.38045"/>
    <n v="1.36443"/>
    <n v="320.39999999999998"/>
  </r>
  <r>
    <x v="7"/>
    <x v="45"/>
    <x v="3"/>
    <m/>
    <n v="1.3484100000000001"/>
    <n v="1.38045"/>
    <n v="1.36443"/>
    <n v="320.39999999999998"/>
  </r>
  <r>
    <x v="7"/>
    <x v="45"/>
    <x v="3"/>
    <m/>
    <n v="1.3484100000000001"/>
    <n v="1.38045"/>
    <n v="1.36443"/>
    <n v="320.39999999999998"/>
  </r>
  <r>
    <x v="7"/>
    <x v="45"/>
    <x v="3"/>
    <m/>
    <n v="1.3484100000000001"/>
    <n v="1.38045"/>
    <n v="1.36443"/>
    <n v="320.39999999999998"/>
  </r>
  <r>
    <x v="7"/>
    <x v="45"/>
    <x v="4"/>
    <m/>
    <n v="88.756"/>
    <n v="93.927000000000007"/>
    <n v="91.341499999999996"/>
    <n v="517.1"/>
  </r>
  <r>
    <x v="7"/>
    <x v="45"/>
    <x v="4"/>
    <m/>
    <n v="88.756"/>
    <n v="93.927000000000007"/>
    <n v="91.341499999999996"/>
    <n v="517.1"/>
  </r>
  <r>
    <x v="7"/>
    <x v="45"/>
    <x v="4"/>
    <m/>
    <n v="88.756"/>
    <n v="93.927000000000007"/>
    <n v="91.341499999999996"/>
    <n v="517.1"/>
  </r>
  <r>
    <x v="7"/>
    <x v="45"/>
    <x v="4"/>
    <m/>
    <n v="88.756"/>
    <n v="93.927000000000007"/>
    <n v="91.341499999999996"/>
    <n v="517.1"/>
  </r>
  <r>
    <x v="7"/>
    <x v="45"/>
    <x v="4"/>
    <m/>
    <n v="88.756"/>
    <n v="93.927000000000007"/>
    <n v="91.341499999999996"/>
    <n v="517.1"/>
  </r>
  <r>
    <x v="7"/>
    <x v="45"/>
    <x v="4"/>
    <m/>
    <n v="88.756"/>
    <n v="93.927000000000007"/>
    <n v="91.341499999999996"/>
    <n v="517.1"/>
  </r>
  <r>
    <x v="7"/>
    <x v="45"/>
    <x v="4"/>
    <m/>
    <n v="88.756"/>
    <n v="93.927000000000007"/>
    <n v="91.341499999999996"/>
    <n v="517.1"/>
  </r>
  <r>
    <x v="7"/>
    <x v="45"/>
    <x v="4"/>
    <m/>
    <n v="88.756"/>
    <n v="93.927000000000007"/>
    <n v="91.341499999999996"/>
    <n v="517.1"/>
  </r>
  <r>
    <x v="7"/>
    <x v="45"/>
    <x v="4"/>
    <m/>
    <n v="88.756"/>
    <n v="93.927000000000007"/>
    <n v="91.341499999999996"/>
    <n v="517.1"/>
  </r>
  <r>
    <x v="7"/>
    <x v="45"/>
    <x v="4"/>
    <m/>
    <n v="88.756"/>
    <n v="93.927000000000007"/>
    <n v="91.341499999999996"/>
    <n v="517.1"/>
  </r>
  <r>
    <x v="7"/>
    <x v="45"/>
    <x v="4"/>
    <m/>
    <n v="88.756"/>
    <n v="93.927000000000007"/>
    <n v="91.341499999999996"/>
    <n v="517.1"/>
  </r>
  <r>
    <x v="7"/>
    <x v="45"/>
    <x v="4"/>
    <m/>
    <n v="88.756"/>
    <n v="93.927000000000007"/>
    <n v="91.341499999999996"/>
    <n v="517.1"/>
  </r>
  <r>
    <x v="7"/>
    <x v="45"/>
    <x v="6"/>
    <m/>
    <n v="0.80779999999999996"/>
    <n v="0.83936999999999995"/>
    <n v="0.82358500000000001"/>
    <n v="315.7"/>
  </r>
  <r>
    <x v="7"/>
    <x v="46"/>
    <x v="6"/>
    <m/>
    <n v="0.80779999999999996"/>
    <n v="0.84752000000000005"/>
    <n v="0.82765999999999995"/>
    <n v="397.2"/>
  </r>
  <r>
    <x v="7"/>
    <x v="46"/>
    <x v="4"/>
    <m/>
    <n v="88.756"/>
    <n v="93.927000000000007"/>
    <n v="91.341499999999996"/>
    <n v="517.1"/>
  </r>
  <r>
    <x v="7"/>
    <x v="46"/>
    <x v="6"/>
    <m/>
    <n v="0.80779999999999996"/>
    <n v="0.84752000000000005"/>
    <n v="0.82765999999999995"/>
    <n v="397.2"/>
  </r>
  <r>
    <x v="7"/>
    <x v="46"/>
    <x v="6"/>
    <m/>
    <n v="0.80779999999999996"/>
    <n v="0.84752000000000005"/>
    <n v="0.82765999999999995"/>
    <n v="397.2"/>
  </r>
  <r>
    <x v="7"/>
    <x v="46"/>
    <x v="6"/>
    <m/>
    <n v="0.80779999999999996"/>
    <n v="0.84752000000000005"/>
    <n v="0.82765999999999995"/>
    <n v="397.2"/>
  </r>
  <r>
    <x v="7"/>
    <x v="46"/>
    <x v="6"/>
    <m/>
    <n v="0.80779999999999996"/>
    <n v="0.84752000000000005"/>
    <n v="0.82765999999999995"/>
    <n v="397.2"/>
  </r>
  <r>
    <x v="7"/>
    <x v="46"/>
    <x v="6"/>
    <m/>
    <n v="0.80779999999999996"/>
    <n v="0.84752000000000005"/>
    <n v="0.82765999999999995"/>
    <n v="397.2"/>
  </r>
  <r>
    <x v="7"/>
    <x v="46"/>
    <x v="6"/>
    <m/>
    <n v="0.80779999999999996"/>
    <n v="0.84752000000000005"/>
    <n v="0.82765999999999995"/>
    <n v="397.2"/>
  </r>
  <r>
    <x v="7"/>
    <x v="46"/>
    <x v="6"/>
    <m/>
    <n v="0.80779999999999996"/>
    <n v="0.84752000000000005"/>
    <n v="0.82765999999999995"/>
    <n v="397.2"/>
  </r>
  <r>
    <x v="7"/>
    <x v="46"/>
    <x v="6"/>
    <m/>
    <n v="0.80779999999999996"/>
    <n v="0.84752000000000005"/>
    <n v="0.82765999999999995"/>
    <n v="397.2"/>
  </r>
  <r>
    <x v="7"/>
    <x v="46"/>
    <x v="6"/>
    <m/>
    <n v="0.80779999999999996"/>
    <n v="0.84752000000000005"/>
    <n v="0.82765999999999995"/>
    <n v="397.2"/>
  </r>
  <r>
    <x v="7"/>
    <x v="46"/>
    <x v="6"/>
    <m/>
    <n v="0.80779999999999996"/>
    <n v="0.84752000000000005"/>
    <n v="0.82765999999999995"/>
    <n v="397.2"/>
  </r>
  <r>
    <x v="7"/>
    <x v="46"/>
    <x v="6"/>
    <m/>
    <n v="0.80779999999999996"/>
    <n v="0.84752000000000005"/>
    <n v="0.82765999999999995"/>
    <n v="397.2"/>
  </r>
  <r>
    <x v="7"/>
    <x v="46"/>
    <x v="6"/>
    <m/>
    <n v="0.80779999999999996"/>
    <n v="0.84752000000000005"/>
    <n v="0.82765999999999995"/>
    <n v="397.2"/>
  </r>
  <r>
    <x v="7"/>
    <x v="46"/>
    <x v="6"/>
    <m/>
    <n v="0.80779999999999996"/>
    <n v="0.84752000000000005"/>
    <n v="0.82765999999999995"/>
    <n v="397.2"/>
  </r>
  <r>
    <x v="7"/>
    <x v="46"/>
    <x v="6"/>
    <m/>
    <n v="0.80779999999999996"/>
    <n v="0.84752000000000005"/>
    <n v="0.82765999999999995"/>
    <n v="397.2"/>
  </r>
  <r>
    <x v="7"/>
    <x v="46"/>
    <x v="3"/>
    <m/>
    <n v="1.3484100000000001"/>
    <n v="1.3877900000000001"/>
    <n v="1.3681000000000001"/>
    <n v="393.8"/>
  </r>
  <r>
    <x v="7"/>
    <x v="46"/>
    <x v="3"/>
    <m/>
    <n v="1.3484100000000001"/>
    <n v="1.3877900000000001"/>
    <n v="1.3681000000000001"/>
    <n v="393.8"/>
  </r>
  <r>
    <x v="7"/>
    <x v="46"/>
    <x v="3"/>
    <m/>
    <n v="1.3484100000000001"/>
    <n v="1.3877900000000001"/>
    <n v="1.3681000000000001"/>
    <n v="393.8"/>
  </r>
  <r>
    <x v="7"/>
    <x v="46"/>
    <x v="3"/>
    <m/>
    <n v="1.3484100000000001"/>
    <n v="1.3877900000000001"/>
    <n v="1.3681000000000001"/>
    <n v="393.8"/>
  </r>
  <r>
    <x v="7"/>
    <x v="46"/>
    <x v="3"/>
    <m/>
    <n v="1.3484100000000001"/>
    <n v="1.3877900000000001"/>
    <n v="1.3681000000000001"/>
    <n v="393.8"/>
  </r>
  <r>
    <x v="7"/>
    <x v="46"/>
    <x v="3"/>
    <m/>
    <n v="1.3484100000000001"/>
    <n v="1.3877900000000001"/>
    <n v="1.3681000000000001"/>
    <n v="393.8"/>
  </r>
  <r>
    <x v="7"/>
    <x v="46"/>
    <x v="3"/>
    <m/>
    <n v="1.3484100000000001"/>
    <n v="1.3877900000000001"/>
    <n v="1.3681000000000001"/>
    <n v="393.8"/>
  </r>
  <r>
    <x v="7"/>
    <x v="46"/>
    <x v="3"/>
    <m/>
    <n v="1.3484100000000001"/>
    <n v="1.3877900000000001"/>
    <n v="1.3681000000000001"/>
    <n v="393.8"/>
  </r>
  <r>
    <x v="7"/>
    <x v="46"/>
    <x v="3"/>
    <m/>
    <n v="1.3484100000000001"/>
    <n v="1.3877900000000001"/>
    <n v="1.3681000000000001"/>
    <n v="393.8"/>
  </r>
  <r>
    <x v="7"/>
    <x v="46"/>
    <x v="3"/>
    <m/>
    <n v="1.3484100000000001"/>
    <n v="1.3877900000000001"/>
    <n v="1.3681000000000001"/>
    <n v="393.8"/>
  </r>
  <r>
    <x v="7"/>
    <x v="46"/>
    <x v="3"/>
    <m/>
    <n v="1.3484100000000001"/>
    <n v="1.3877900000000001"/>
    <n v="1.3681000000000001"/>
    <n v="393.8"/>
  </r>
  <r>
    <x v="7"/>
    <x v="46"/>
    <x v="4"/>
    <m/>
    <n v="88.756"/>
    <n v="93.927000000000007"/>
    <n v="91.341499999999996"/>
    <n v="517.1"/>
  </r>
  <r>
    <x v="7"/>
    <x v="46"/>
    <x v="4"/>
    <m/>
    <n v="88.756"/>
    <n v="93.927000000000007"/>
    <n v="91.341499999999996"/>
    <n v="517.1"/>
  </r>
  <r>
    <x v="7"/>
    <x v="46"/>
    <x v="4"/>
    <m/>
    <n v="88.756"/>
    <n v="93.927000000000007"/>
    <n v="91.341499999999996"/>
    <n v="517.1"/>
  </r>
  <r>
    <x v="7"/>
    <x v="46"/>
    <x v="4"/>
    <m/>
    <n v="88.756"/>
    <n v="93.927000000000007"/>
    <n v="91.341499999999996"/>
    <n v="517.1"/>
  </r>
  <r>
    <x v="7"/>
    <x v="46"/>
    <x v="4"/>
    <m/>
    <n v="88.756"/>
    <n v="93.927000000000007"/>
    <n v="91.341499999999996"/>
    <n v="517.1"/>
  </r>
  <r>
    <x v="7"/>
    <x v="46"/>
    <x v="4"/>
    <m/>
    <n v="88.756"/>
    <n v="93.927000000000007"/>
    <n v="91.341499999999996"/>
    <n v="517.1"/>
  </r>
  <r>
    <x v="7"/>
    <x v="46"/>
    <x v="4"/>
    <m/>
    <n v="88.756"/>
    <n v="93.927000000000007"/>
    <n v="91.341499999999996"/>
    <n v="517.1"/>
  </r>
  <r>
    <x v="7"/>
    <x v="46"/>
    <x v="4"/>
    <m/>
    <n v="88.756"/>
    <n v="93.927000000000007"/>
    <n v="91.341499999999996"/>
    <n v="517.1"/>
  </r>
  <r>
    <x v="7"/>
    <x v="46"/>
    <x v="4"/>
    <m/>
    <n v="88.756"/>
    <n v="93.927000000000007"/>
    <n v="91.341499999999996"/>
    <n v="517.1"/>
  </r>
  <r>
    <x v="7"/>
    <x v="46"/>
    <x v="4"/>
    <m/>
    <n v="88.756"/>
    <n v="93.927000000000007"/>
    <n v="91.341499999999996"/>
    <n v="517.1"/>
  </r>
  <r>
    <x v="7"/>
    <x v="46"/>
    <x v="4"/>
    <m/>
    <n v="88.756"/>
    <n v="93.927000000000007"/>
    <n v="91.341499999999996"/>
    <n v="517.1"/>
  </r>
  <r>
    <x v="7"/>
    <x v="46"/>
    <x v="4"/>
    <m/>
    <n v="88.756"/>
    <n v="93.927000000000007"/>
    <n v="91.341499999999996"/>
    <n v="517.1"/>
  </r>
  <r>
    <x v="7"/>
    <x v="46"/>
    <x v="4"/>
    <m/>
    <n v="88.756"/>
    <n v="93.927000000000007"/>
    <n v="91.341499999999996"/>
    <n v="517.1"/>
  </r>
  <r>
    <x v="7"/>
    <x v="46"/>
    <x v="4"/>
    <m/>
    <n v="88.756"/>
    <n v="93.927000000000007"/>
    <n v="91.341499999999996"/>
    <n v="517.1"/>
  </r>
  <r>
    <x v="7"/>
    <x v="46"/>
    <x v="4"/>
    <m/>
    <n v="88.756"/>
    <n v="93.927000000000007"/>
    <n v="91.341499999999996"/>
    <n v="517.1"/>
  </r>
  <r>
    <x v="7"/>
    <x v="46"/>
    <x v="4"/>
    <m/>
    <n v="88.756"/>
    <n v="93.927000000000007"/>
    <n v="91.341499999999996"/>
    <n v="517.1"/>
  </r>
  <r>
    <x v="7"/>
    <x v="46"/>
    <x v="4"/>
    <m/>
    <n v="88.756"/>
    <n v="93.927000000000007"/>
    <n v="91.341499999999996"/>
    <n v="517.1"/>
  </r>
  <r>
    <x v="7"/>
    <x v="46"/>
    <x v="4"/>
    <m/>
    <n v="88.756"/>
    <n v="93.927000000000007"/>
    <n v="91.341499999999996"/>
    <n v="517.1"/>
  </r>
  <r>
    <x v="7"/>
    <x v="46"/>
    <x v="4"/>
    <m/>
    <n v="88.756"/>
    <n v="93.927000000000007"/>
    <n v="91.341499999999996"/>
    <n v="517.1"/>
  </r>
  <r>
    <x v="7"/>
    <x v="46"/>
    <x v="4"/>
    <m/>
    <n v="88.756"/>
    <n v="93.927000000000007"/>
    <n v="91.341499999999996"/>
    <n v="517.1"/>
  </r>
  <r>
    <x v="7"/>
    <x v="46"/>
    <x v="4"/>
    <m/>
    <n v="88.756"/>
    <n v="93.927000000000007"/>
    <n v="91.341499999999996"/>
    <n v="517.1"/>
  </r>
  <r>
    <x v="7"/>
    <x v="46"/>
    <x v="4"/>
    <m/>
    <n v="88.756"/>
    <n v="93.927000000000007"/>
    <n v="91.341499999999996"/>
    <n v="517.1"/>
  </r>
  <r>
    <x v="7"/>
    <x v="46"/>
    <x v="6"/>
    <m/>
    <n v="0.80779999999999996"/>
    <n v="0.84752000000000005"/>
    <n v="0.82765999999999995"/>
    <n v="397.2"/>
  </r>
  <r>
    <x v="7"/>
    <x v="47"/>
    <x v="4"/>
    <m/>
    <n v="88.756"/>
    <n v="93.927000000000007"/>
    <n v="91.341499999999996"/>
    <n v="517.1"/>
  </r>
  <r>
    <x v="7"/>
    <x v="47"/>
    <x v="4"/>
    <m/>
    <n v="88.756"/>
    <n v="93.927000000000007"/>
    <n v="91.341499999999996"/>
    <n v="517.1"/>
  </r>
  <r>
    <x v="7"/>
    <x v="47"/>
    <x v="4"/>
    <m/>
    <n v="88.756"/>
    <n v="93.927000000000007"/>
    <n v="91.341499999999996"/>
    <n v="517.1"/>
  </r>
  <r>
    <x v="7"/>
    <x v="47"/>
    <x v="4"/>
    <m/>
    <n v="88.756"/>
    <n v="93.927000000000007"/>
    <n v="91.341499999999996"/>
    <n v="517.1"/>
  </r>
  <r>
    <x v="7"/>
    <x v="47"/>
    <x v="4"/>
    <m/>
    <n v="88.756"/>
    <n v="93.927000000000007"/>
    <n v="91.341499999999996"/>
    <n v="517.1"/>
  </r>
  <r>
    <x v="7"/>
    <x v="47"/>
    <x v="4"/>
    <m/>
    <n v="88.756"/>
    <n v="93.927000000000007"/>
    <n v="91.341499999999996"/>
    <n v="517.1"/>
  </r>
  <r>
    <x v="7"/>
    <x v="47"/>
    <x v="4"/>
    <m/>
    <n v="88.756"/>
    <n v="93.927000000000007"/>
    <n v="91.341499999999996"/>
    <n v="517.1"/>
  </r>
  <r>
    <x v="7"/>
    <x v="47"/>
    <x v="4"/>
    <m/>
    <n v="88.756"/>
    <n v="93.927000000000007"/>
    <n v="91.341499999999996"/>
    <n v="517.1"/>
  </r>
  <r>
    <x v="7"/>
    <x v="47"/>
    <x v="4"/>
    <m/>
    <n v="88.756"/>
    <n v="93.927000000000007"/>
    <n v="91.341499999999996"/>
    <n v="517.1"/>
  </r>
  <r>
    <x v="7"/>
    <x v="47"/>
    <x v="4"/>
    <m/>
    <n v="88.756"/>
    <n v="93.927000000000007"/>
    <n v="91.341499999999996"/>
    <n v="517.1"/>
  </r>
  <r>
    <x v="7"/>
    <x v="47"/>
    <x v="4"/>
    <m/>
    <n v="88.756"/>
    <n v="93.927000000000007"/>
    <n v="91.341499999999996"/>
    <n v="517.1"/>
  </r>
  <r>
    <x v="7"/>
    <x v="47"/>
    <x v="4"/>
    <m/>
    <n v="88.756"/>
    <n v="93.927000000000007"/>
    <n v="91.341499999999996"/>
    <n v="517.1"/>
  </r>
  <r>
    <x v="7"/>
    <x v="47"/>
    <x v="4"/>
    <m/>
    <n v="88.756"/>
    <n v="93.927000000000007"/>
    <n v="91.341499999999996"/>
    <n v="517.1"/>
  </r>
  <r>
    <x v="7"/>
    <x v="47"/>
    <x v="4"/>
    <m/>
    <n v="88.756"/>
    <n v="93.927000000000007"/>
    <n v="91.341499999999996"/>
    <n v="517.1"/>
  </r>
  <r>
    <x v="7"/>
    <x v="47"/>
    <x v="4"/>
    <m/>
    <n v="88.756"/>
    <n v="93.927000000000007"/>
    <n v="91.341499999999996"/>
    <n v="517.1"/>
  </r>
  <r>
    <x v="7"/>
    <x v="47"/>
    <x v="4"/>
    <m/>
    <n v="88.756"/>
    <n v="93.927000000000007"/>
    <n v="91.341499999999996"/>
    <n v="517.1"/>
  </r>
  <r>
    <x v="7"/>
    <x v="47"/>
    <x v="4"/>
    <m/>
    <n v="88.756"/>
    <n v="93.927000000000007"/>
    <n v="91.341499999999996"/>
    <n v="517.1"/>
  </r>
  <r>
    <x v="7"/>
    <x v="47"/>
    <x v="4"/>
    <m/>
    <n v="88.756"/>
    <n v="93.927000000000007"/>
    <n v="91.341499999999996"/>
    <n v="517.1"/>
  </r>
  <r>
    <x v="7"/>
    <x v="47"/>
    <x v="4"/>
    <m/>
    <n v="88.756"/>
    <n v="93.927000000000007"/>
    <n v="91.341499999999996"/>
    <n v="517.1"/>
  </r>
  <r>
    <x v="7"/>
    <x v="47"/>
    <x v="4"/>
    <m/>
    <n v="88.756"/>
    <n v="93.927000000000007"/>
    <n v="91.341499999999996"/>
    <n v="517.1"/>
  </r>
  <r>
    <x v="7"/>
    <x v="47"/>
    <x v="4"/>
    <m/>
    <n v="88.756"/>
    <n v="93.927000000000007"/>
    <n v="91.341499999999996"/>
    <n v="517.1"/>
  </r>
  <r>
    <x v="7"/>
    <x v="47"/>
    <x v="4"/>
    <m/>
    <n v="88.756"/>
    <n v="93.927000000000007"/>
    <n v="91.341499999999996"/>
    <n v="517.1"/>
  </r>
  <r>
    <x v="7"/>
    <x v="47"/>
    <x v="4"/>
    <m/>
    <n v="88.756"/>
    <n v="93.927000000000007"/>
    <n v="91.341499999999996"/>
    <n v="517.1"/>
  </r>
  <r>
    <x v="7"/>
    <x v="47"/>
    <x v="3"/>
    <m/>
    <n v="1.3484100000000001"/>
    <n v="1.39151"/>
    <n v="1.3699600000000001"/>
    <n v="431"/>
  </r>
  <r>
    <x v="7"/>
    <x v="47"/>
    <x v="3"/>
    <m/>
    <n v="1.3484100000000001"/>
    <n v="1.39151"/>
    <n v="1.3699600000000001"/>
    <n v="431"/>
  </r>
  <r>
    <x v="7"/>
    <x v="47"/>
    <x v="3"/>
    <m/>
    <n v="1.3484100000000001"/>
    <n v="1.39151"/>
    <n v="1.3699600000000001"/>
    <n v="431"/>
  </r>
  <r>
    <x v="7"/>
    <x v="47"/>
    <x v="3"/>
    <m/>
    <n v="1.3484100000000001"/>
    <n v="1.39151"/>
    <n v="1.3699600000000001"/>
    <n v="431"/>
  </r>
  <r>
    <x v="7"/>
    <x v="47"/>
    <x v="3"/>
    <m/>
    <n v="1.3484100000000001"/>
    <n v="1.39151"/>
    <n v="1.3699600000000001"/>
    <n v="431"/>
  </r>
  <r>
    <x v="7"/>
    <x v="47"/>
    <x v="3"/>
    <m/>
    <n v="1.3484100000000001"/>
    <n v="1.39151"/>
    <n v="1.3699600000000001"/>
    <n v="431"/>
  </r>
  <r>
    <x v="7"/>
    <x v="47"/>
    <x v="3"/>
    <m/>
    <n v="1.3484100000000001"/>
    <n v="1.39151"/>
    <n v="1.3699600000000001"/>
    <n v="431"/>
  </r>
  <r>
    <x v="7"/>
    <x v="47"/>
    <x v="3"/>
    <m/>
    <n v="1.3484100000000001"/>
    <n v="1.39151"/>
    <n v="1.3699600000000001"/>
    <n v="431"/>
  </r>
  <r>
    <x v="7"/>
    <x v="47"/>
    <x v="3"/>
    <m/>
    <n v="1.3484100000000001"/>
    <n v="1.39151"/>
    <n v="1.3699600000000001"/>
    <n v="431"/>
  </r>
  <r>
    <x v="7"/>
    <x v="47"/>
    <x v="3"/>
    <m/>
    <n v="1.3484100000000001"/>
    <n v="1.39151"/>
    <n v="1.3699600000000001"/>
    <n v="431"/>
  </r>
  <r>
    <x v="7"/>
    <x v="47"/>
    <x v="3"/>
    <m/>
    <n v="1.3484100000000001"/>
    <n v="1.39151"/>
    <n v="1.3699600000000001"/>
    <n v="431"/>
  </r>
  <r>
    <x v="7"/>
    <x v="47"/>
    <x v="3"/>
    <m/>
    <n v="1.3484100000000001"/>
    <n v="1.39151"/>
    <n v="1.3699600000000001"/>
    <n v="431"/>
  </r>
  <r>
    <x v="7"/>
    <x v="47"/>
    <x v="6"/>
    <m/>
    <n v="0.80779999999999996"/>
    <n v="0.85458999999999996"/>
    <n v="0.83119500000000002"/>
    <n v="467.9"/>
  </r>
  <r>
    <x v="7"/>
    <x v="47"/>
    <x v="6"/>
    <m/>
    <n v="0.80779999999999996"/>
    <n v="0.85458999999999996"/>
    <n v="0.83119500000000002"/>
    <n v="467.9"/>
  </r>
  <r>
    <x v="7"/>
    <x v="47"/>
    <x v="6"/>
    <m/>
    <n v="0.80779999999999996"/>
    <n v="0.85458999999999996"/>
    <n v="0.83119500000000002"/>
    <n v="467.9"/>
  </r>
  <r>
    <x v="7"/>
    <x v="47"/>
    <x v="6"/>
    <m/>
    <n v="0.80779999999999996"/>
    <n v="0.85458999999999996"/>
    <n v="0.83119500000000002"/>
    <n v="467.9"/>
  </r>
  <r>
    <x v="7"/>
    <x v="47"/>
    <x v="6"/>
    <m/>
    <n v="0.80779999999999996"/>
    <n v="0.85458999999999996"/>
    <n v="0.83119500000000002"/>
    <n v="467.9"/>
  </r>
  <r>
    <x v="7"/>
    <x v="47"/>
    <x v="6"/>
    <m/>
    <n v="0.80779999999999996"/>
    <n v="0.85458999999999996"/>
    <n v="0.83119500000000002"/>
    <n v="467.9"/>
  </r>
  <r>
    <x v="7"/>
    <x v="47"/>
    <x v="6"/>
    <m/>
    <n v="0.80779999999999996"/>
    <n v="0.85458999999999996"/>
    <n v="0.83119500000000002"/>
    <n v="467.9"/>
  </r>
  <r>
    <x v="7"/>
    <x v="47"/>
    <x v="6"/>
    <m/>
    <n v="0.80779999999999996"/>
    <n v="0.85458999999999996"/>
    <n v="0.83119500000000002"/>
    <n v="467.9"/>
  </r>
  <r>
    <x v="7"/>
    <x v="47"/>
    <x v="6"/>
    <m/>
    <n v="0.80779999999999996"/>
    <n v="0.85458999999999996"/>
    <n v="0.83119500000000002"/>
    <n v="467.9"/>
  </r>
  <r>
    <x v="7"/>
    <x v="47"/>
    <x v="6"/>
    <m/>
    <n v="0.80779999999999996"/>
    <n v="0.85458999999999996"/>
    <n v="0.83119500000000002"/>
    <n v="467.9"/>
  </r>
  <r>
    <x v="7"/>
    <x v="47"/>
    <x v="6"/>
    <m/>
    <n v="0.80779999999999996"/>
    <n v="0.85458999999999996"/>
    <n v="0.83119500000000002"/>
    <n v="467.9"/>
  </r>
  <r>
    <x v="7"/>
    <x v="47"/>
    <x v="6"/>
    <m/>
    <n v="0.80779999999999996"/>
    <n v="0.85458999999999996"/>
    <n v="0.83119500000000002"/>
    <n v="467.9"/>
  </r>
  <r>
    <x v="7"/>
    <x v="47"/>
    <x v="6"/>
    <m/>
    <n v="0.80779999999999996"/>
    <n v="0.85458999999999996"/>
    <n v="0.83119500000000002"/>
    <n v="467.9"/>
  </r>
  <r>
    <x v="7"/>
    <x v="47"/>
    <x v="6"/>
    <m/>
    <n v="0.80779999999999996"/>
    <n v="0.85458999999999996"/>
    <n v="0.83119500000000002"/>
    <n v="467.9"/>
  </r>
  <r>
    <x v="7"/>
    <x v="47"/>
    <x v="6"/>
    <m/>
    <n v="0.80779999999999996"/>
    <n v="0.85458999999999996"/>
    <n v="0.83119500000000002"/>
    <n v="467.9"/>
  </r>
  <r>
    <x v="7"/>
    <x v="47"/>
    <x v="6"/>
    <m/>
    <n v="0.80779999999999996"/>
    <n v="0.85458999999999996"/>
    <n v="0.83119500000000002"/>
    <n v="467.9"/>
  </r>
  <r>
    <x v="7"/>
    <x v="47"/>
    <x v="6"/>
    <m/>
    <n v="0.80779999999999996"/>
    <n v="0.85458999999999996"/>
    <n v="0.83119500000000002"/>
    <n v="467.9"/>
  </r>
  <r>
    <x v="7"/>
    <x v="47"/>
    <x v="6"/>
    <m/>
    <n v="0.80779999999999996"/>
    <n v="0.85458999999999996"/>
    <n v="0.83119500000000002"/>
    <n v="467.9"/>
  </r>
  <r>
    <x v="7"/>
    <x v="47"/>
    <x v="6"/>
    <m/>
    <n v="0.80779999999999996"/>
    <n v="0.85458999999999996"/>
    <n v="0.83119500000000002"/>
    <n v="467.9"/>
  </r>
  <r>
    <x v="7"/>
    <x v="47"/>
    <x v="6"/>
    <m/>
    <n v="0.80779999999999996"/>
    <n v="0.85458999999999996"/>
    <n v="0.83119500000000002"/>
    <n v="467.9"/>
  </r>
  <r>
    <x v="7"/>
    <x v="48"/>
    <x v="4"/>
    <m/>
    <n v="88.756"/>
    <n v="93.927000000000007"/>
    <n v="91.341499999999996"/>
    <n v="517.1"/>
  </r>
  <r>
    <x v="7"/>
    <x v="48"/>
    <x v="4"/>
    <m/>
    <n v="88.756"/>
    <n v="93.927000000000007"/>
    <n v="91.341499999999996"/>
    <n v="517.1"/>
  </r>
  <r>
    <x v="7"/>
    <x v="48"/>
    <x v="4"/>
    <m/>
    <n v="88.756"/>
    <n v="93.927000000000007"/>
    <n v="91.341499999999996"/>
    <n v="517.1"/>
  </r>
  <r>
    <x v="7"/>
    <x v="48"/>
    <x v="4"/>
    <m/>
    <n v="88.756"/>
    <n v="93.927000000000007"/>
    <n v="91.341499999999996"/>
    <n v="517.1"/>
  </r>
  <r>
    <x v="7"/>
    <x v="48"/>
    <x v="4"/>
    <m/>
    <n v="88.756"/>
    <n v="93.927000000000007"/>
    <n v="91.341499999999996"/>
    <n v="517.1"/>
  </r>
  <r>
    <x v="7"/>
    <x v="48"/>
    <x v="4"/>
    <m/>
    <n v="88.756"/>
    <n v="93.927000000000007"/>
    <n v="91.341499999999996"/>
    <n v="517.1"/>
  </r>
  <r>
    <x v="7"/>
    <x v="48"/>
    <x v="4"/>
    <m/>
    <n v="88.756"/>
    <n v="93.927000000000007"/>
    <n v="91.341499999999996"/>
    <n v="517.1"/>
  </r>
  <r>
    <x v="7"/>
    <x v="48"/>
    <x v="4"/>
    <m/>
    <n v="88.756"/>
    <n v="93.927000000000007"/>
    <n v="91.341499999999996"/>
    <n v="517.1"/>
  </r>
  <r>
    <x v="7"/>
    <x v="48"/>
    <x v="4"/>
    <m/>
    <n v="88.756"/>
    <n v="93.927000000000007"/>
    <n v="91.341499999999996"/>
    <n v="517.1"/>
  </r>
  <r>
    <x v="7"/>
    <x v="48"/>
    <x v="4"/>
    <m/>
    <n v="88.756"/>
    <n v="93.927000000000007"/>
    <n v="91.341499999999996"/>
    <n v="517.1"/>
  </r>
  <r>
    <x v="7"/>
    <x v="48"/>
    <x v="4"/>
    <m/>
    <n v="88.756"/>
    <n v="93.927000000000007"/>
    <n v="91.341499999999996"/>
    <n v="517.1"/>
  </r>
  <r>
    <x v="7"/>
    <x v="48"/>
    <x v="4"/>
    <m/>
    <n v="88.756"/>
    <n v="93.927000000000007"/>
    <n v="91.341499999999996"/>
    <n v="517.1"/>
  </r>
  <r>
    <x v="7"/>
    <x v="48"/>
    <x v="4"/>
    <m/>
    <n v="88.756"/>
    <n v="93.927000000000007"/>
    <n v="91.341499999999996"/>
    <n v="517.1"/>
  </r>
  <r>
    <x v="7"/>
    <x v="48"/>
    <x v="4"/>
    <m/>
    <n v="88.756"/>
    <n v="93.927000000000007"/>
    <n v="91.341499999999996"/>
    <n v="517.1"/>
  </r>
  <r>
    <x v="7"/>
    <x v="48"/>
    <x v="4"/>
    <m/>
    <n v="88.756"/>
    <n v="93.927000000000007"/>
    <n v="91.341499999999996"/>
    <n v="517.1"/>
  </r>
  <r>
    <x v="7"/>
    <x v="48"/>
    <x v="4"/>
    <m/>
    <n v="88.756"/>
    <n v="93.927000000000007"/>
    <n v="91.341499999999996"/>
    <n v="517.1"/>
  </r>
  <r>
    <x v="7"/>
    <x v="48"/>
    <x v="4"/>
    <m/>
    <n v="88.756"/>
    <n v="93.927000000000007"/>
    <n v="91.341499999999996"/>
    <n v="517.1"/>
  </r>
  <r>
    <x v="7"/>
    <x v="48"/>
    <x v="4"/>
    <m/>
    <n v="88.756"/>
    <n v="93.927000000000007"/>
    <n v="91.341499999999996"/>
    <n v="517.1"/>
  </r>
  <r>
    <x v="7"/>
    <x v="48"/>
    <x v="4"/>
    <m/>
    <n v="88.756"/>
    <n v="93.927000000000007"/>
    <n v="91.341499999999996"/>
    <n v="517.1"/>
  </r>
  <r>
    <x v="7"/>
    <x v="48"/>
    <x v="4"/>
    <m/>
    <n v="88.756"/>
    <n v="93.927000000000007"/>
    <n v="91.341499999999996"/>
    <n v="517.1"/>
  </r>
  <r>
    <x v="7"/>
    <x v="48"/>
    <x v="4"/>
    <m/>
    <n v="88.756"/>
    <n v="93.927000000000007"/>
    <n v="91.341499999999996"/>
    <n v="517.1"/>
  </r>
  <r>
    <x v="7"/>
    <x v="48"/>
    <x v="4"/>
    <m/>
    <n v="88.756"/>
    <n v="93.927000000000007"/>
    <n v="91.341499999999996"/>
    <n v="517.1"/>
  </r>
  <r>
    <x v="7"/>
    <x v="48"/>
    <x v="4"/>
    <m/>
    <n v="88.756"/>
    <n v="93.927000000000007"/>
    <n v="91.341499999999996"/>
    <n v="517.1"/>
  </r>
  <r>
    <x v="7"/>
    <x v="48"/>
    <x v="3"/>
    <m/>
    <n v="1.3484100000000001"/>
    <n v="1.39151"/>
    <n v="1.3699600000000001"/>
    <n v="431"/>
  </r>
  <r>
    <x v="7"/>
    <x v="48"/>
    <x v="3"/>
    <m/>
    <n v="1.3484100000000001"/>
    <n v="1.39151"/>
    <n v="1.3699600000000001"/>
    <n v="431"/>
  </r>
  <r>
    <x v="7"/>
    <x v="48"/>
    <x v="3"/>
    <m/>
    <n v="1.3484100000000001"/>
    <n v="1.39151"/>
    <n v="1.3699600000000001"/>
    <n v="431"/>
  </r>
  <r>
    <x v="7"/>
    <x v="48"/>
    <x v="3"/>
    <m/>
    <n v="1.3484100000000001"/>
    <n v="1.39151"/>
    <n v="1.3699600000000001"/>
    <n v="431"/>
  </r>
  <r>
    <x v="7"/>
    <x v="48"/>
    <x v="3"/>
    <m/>
    <n v="1.3484100000000001"/>
    <n v="1.39151"/>
    <n v="1.3699600000000001"/>
    <n v="431"/>
  </r>
  <r>
    <x v="7"/>
    <x v="48"/>
    <x v="3"/>
    <m/>
    <n v="1.3484100000000001"/>
    <n v="1.39151"/>
    <n v="1.3699600000000001"/>
    <n v="431"/>
  </r>
  <r>
    <x v="7"/>
    <x v="48"/>
    <x v="3"/>
    <m/>
    <n v="1.3484100000000001"/>
    <n v="1.39151"/>
    <n v="1.3699600000000001"/>
    <n v="431"/>
  </r>
  <r>
    <x v="7"/>
    <x v="48"/>
    <x v="3"/>
    <m/>
    <n v="1.3484100000000001"/>
    <n v="1.39151"/>
    <n v="1.3699600000000001"/>
    <n v="431"/>
  </r>
  <r>
    <x v="7"/>
    <x v="48"/>
    <x v="3"/>
    <m/>
    <n v="1.3484100000000001"/>
    <n v="1.39151"/>
    <n v="1.3699600000000001"/>
    <n v="431"/>
  </r>
  <r>
    <x v="7"/>
    <x v="48"/>
    <x v="3"/>
    <m/>
    <n v="1.3484100000000001"/>
    <n v="1.39151"/>
    <n v="1.3699600000000001"/>
    <n v="431"/>
  </r>
  <r>
    <x v="7"/>
    <x v="48"/>
    <x v="3"/>
    <m/>
    <n v="1.3484100000000001"/>
    <n v="1.39151"/>
    <n v="1.3699600000000001"/>
    <n v="431"/>
  </r>
  <r>
    <x v="7"/>
    <x v="48"/>
    <x v="3"/>
    <m/>
    <n v="1.3484100000000001"/>
    <n v="1.39151"/>
    <n v="1.3699600000000001"/>
    <n v="431"/>
  </r>
  <r>
    <x v="7"/>
    <x v="48"/>
    <x v="6"/>
    <m/>
    <n v="0.80779999999999996"/>
    <n v="0.85458999999999996"/>
    <n v="0.83119500000000002"/>
    <n v="467.9"/>
  </r>
  <r>
    <x v="7"/>
    <x v="48"/>
    <x v="6"/>
    <m/>
    <n v="0.80779999999999996"/>
    <n v="0.85458999999999996"/>
    <n v="0.83119500000000002"/>
    <n v="467.9"/>
  </r>
  <r>
    <x v="7"/>
    <x v="48"/>
    <x v="6"/>
    <m/>
    <n v="0.80779999999999996"/>
    <n v="0.85458999999999996"/>
    <n v="0.83119500000000002"/>
    <n v="467.9"/>
  </r>
  <r>
    <x v="7"/>
    <x v="48"/>
    <x v="6"/>
    <m/>
    <n v="0.80779999999999996"/>
    <n v="0.85458999999999996"/>
    <n v="0.83119500000000002"/>
    <n v="467.9"/>
  </r>
  <r>
    <x v="7"/>
    <x v="48"/>
    <x v="6"/>
    <m/>
    <n v="0.80779999999999996"/>
    <n v="0.85458999999999996"/>
    <n v="0.83119500000000002"/>
    <n v="467.9"/>
  </r>
  <r>
    <x v="7"/>
    <x v="48"/>
    <x v="6"/>
    <m/>
    <n v="0.80779999999999996"/>
    <n v="0.85458999999999996"/>
    <n v="0.83119500000000002"/>
    <n v="467.9"/>
  </r>
  <r>
    <x v="7"/>
    <x v="48"/>
    <x v="6"/>
    <m/>
    <n v="0.80779999999999996"/>
    <n v="0.85458999999999996"/>
    <n v="0.83119500000000002"/>
    <n v="467.9"/>
  </r>
  <r>
    <x v="7"/>
    <x v="48"/>
    <x v="6"/>
    <m/>
    <n v="0.80779999999999996"/>
    <n v="0.85458999999999996"/>
    <n v="0.83119500000000002"/>
    <n v="467.9"/>
  </r>
  <r>
    <x v="7"/>
    <x v="48"/>
    <x v="6"/>
    <m/>
    <n v="0.80779999999999996"/>
    <n v="0.85458999999999996"/>
    <n v="0.83119500000000002"/>
    <n v="467.9"/>
  </r>
  <r>
    <x v="7"/>
    <x v="48"/>
    <x v="6"/>
    <m/>
    <n v="0.80779999999999996"/>
    <n v="0.85458999999999996"/>
    <n v="0.83119500000000002"/>
    <n v="467.9"/>
  </r>
  <r>
    <x v="7"/>
    <x v="48"/>
    <x v="6"/>
    <m/>
    <n v="0.80779999999999996"/>
    <n v="0.85458999999999996"/>
    <n v="0.83119500000000002"/>
    <n v="467.9"/>
  </r>
  <r>
    <x v="7"/>
    <x v="48"/>
    <x v="6"/>
    <m/>
    <n v="0.80779999999999996"/>
    <n v="0.85458999999999996"/>
    <n v="0.83119500000000002"/>
    <n v="467.9"/>
  </r>
  <r>
    <x v="7"/>
    <x v="48"/>
    <x v="6"/>
    <m/>
    <n v="0.80779999999999996"/>
    <n v="0.85458999999999996"/>
    <n v="0.83119500000000002"/>
    <n v="467.9"/>
  </r>
  <r>
    <x v="7"/>
    <x v="48"/>
    <x v="6"/>
    <m/>
    <n v="0.80779999999999996"/>
    <n v="0.85458999999999996"/>
    <n v="0.83119500000000002"/>
    <n v="467.9"/>
  </r>
  <r>
    <x v="7"/>
    <x v="48"/>
    <x v="6"/>
    <m/>
    <n v="0.80779999999999996"/>
    <n v="0.85458999999999996"/>
    <n v="0.83119500000000002"/>
    <n v="467.9"/>
  </r>
  <r>
    <x v="7"/>
    <x v="48"/>
    <x v="6"/>
    <m/>
    <n v="0.80779999999999996"/>
    <n v="0.85458999999999996"/>
    <n v="0.83119500000000002"/>
    <n v="467.9"/>
  </r>
  <r>
    <x v="7"/>
    <x v="48"/>
    <x v="6"/>
    <m/>
    <n v="0.80779999999999996"/>
    <n v="0.85458999999999996"/>
    <n v="0.83119500000000002"/>
    <n v="467.9"/>
  </r>
  <r>
    <x v="7"/>
    <x v="48"/>
    <x v="6"/>
    <m/>
    <n v="0.80779999999999996"/>
    <n v="0.85458999999999996"/>
    <n v="0.83119500000000002"/>
    <n v="467.9"/>
  </r>
  <r>
    <x v="7"/>
    <x v="48"/>
    <x v="6"/>
    <m/>
    <n v="0.80779999999999996"/>
    <n v="0.85458999999999996"/>
    <n v="0.83119500000000002"/>
    <n v="467.9"/>
  </r>
  <r>
    <x v="7"/>
    <x v="48"/>
    <x v="6"/>
    <m/>
    <n v="0.80779999999999996"/>
    <n v="0.85458999999999996"/>
    <n v="0.83119500000000002"/>
    <n v="467.9"/>
  </r>
  <r>
    <x v="7"/>
    <x v="48"/>
    <x v="6"/>
    <m/>
    <n v="0.80779999999999996"/>
    <n v="0.85458999999999996"/>
    <n v="0.83119500000000002"/>
    <n v="467.9"/>
  </r>
  <r>
    <x v="7"/>
    <x v="48"/>
    <x v="6"/>
    <m/>
    <n v="0.80779999999999996"/>
    <n v="0.85458999999999996"/>
    <n v="0.83119500000000002"/>
    <n v="467.9"/>
  </r>
  <r>
    <x v="7"/>
    <x v="49"/>
    <x v="4"/>
    <m/>
    <n v="88.756"/>
    <n v="95.132000000000005"/>
    <n v="91.944000000000003"/>
    <n v="637.6"/>
  </r>
  <r>
    <x v="7"/>
    <x v="49"/>
    <x v="4"/>
    <m/>
    <n v="88.756"/>
    <n v="95.132000000000005"/>
    <n v="91.944000000000003"/>
    <n v="637.6"/>
  </r>
  <r>
    <x v="7"/>
    <x v="49"/>
    <x v="4"/>
    <m/>
    <n v="88.756"/>
    <n v="95.132000000000005"/>
    <n v="91.944000000000003"/>
    <n v="637.6"/>
  </r>
  <r>
    <x v="7"/>
    <x v="49"/>
    <x v="4"/>
    <m/>
    <n v="88.756"/>
    <n v="95.132000000000005"/>
    <n v="91.944000000000003"/>
    <n v="637.6"/>
  </r>
  <r>
    <x v="7"/>
    <x v="49"/>
    <x v="4"/>
    <m/>
    <n v="88.756"/>
    <n v="95.132000000000005"/>
    <n v="91.944000000000003"/>
    <n v="637.6"/>
  </r>
  <r>
    <x v="7"/>
    <x v="49"/>
    <x v="4"/>
    <m/>
    <n v="88.756"/>
    <n v="95.132000000000005"/>
    <n v="91.944000000000003"/>
    <n v="637.6"/>
  </r>
  <r>
    <x v="7"/>
    <x v="49"/>
    <x v="4"/>
    <m/>
    <n v="88.756"/>
    <n v="95.132000000000005"/>
    <n v="91.944000000000003"/>
    <n v="637.6"/>
  </r>
  <r>
    <x v="7"/>
    <x v="49"/>
    <x v="4"/>
    <m/>
    <n v="88.756"/>
    <n v="95.132000000000005"/>
    <n v="91.944000000000003"/>
    <n v="637.6"/>
  </r>
  <r>
    <x v="7"/>
    <x v="49"/>
    <x v="4"/>
    <m/>
    <n v="88.756"/>
    <n v="95.132000000000005"/>
    <n v="91.944000000000003"/>
    <n v="637.6"/>
  </r>
  <r>
    <x v="7"/>
    <x v="49"/>
    <x v="4"/>
    <m/>
    <n v="88.756"/>
    <n v="95.132000000000005"/>
    <n v="91.944000000000003"/>
    <n v="637.6"/>
  </r>
  <r>
    <x v="7"/>
    <x v="49"/>
    <x v="4"/>
    <m/>
    <n v="88.756"/>
    <n v="95.132000000000005"/>
    <n v="91.944000000000003"/>
    <n v="637.6"/>
  </r>
  <r>
    <x v="7"/>
    <x v="49"/>
    <x v="4"/>
    <m/>
    <n v="88.756"/>
    <n v="95.132000000000005"/>
    <n v="91.944000000000003"/>
    <n v="637.6"/>
  </r>
  <r>
    <x v="7"/>
    <x v="49"/>
    <x v="4"/>
    <m/>
    <n v="88.756"/>
    <n v="95.132000000000005"/>
    <n v="91.944000000000003"/>
    <n v="637.6"/>
  </r>
  <r>
    <x v="7"/>
    <x v="49"/>
    <x v="4"/>
    <m/>
    <n v="88.756"/>
    <n v="95.132000000000005"/>
    <n v="91.944000000000003"/>
    <n v="637.6"/>
  </r>
  <r>
    <x v="7"/>
    <x v="49"/>
    <x v="4"/>
    <m/>
    <n v="88.756"/>
    <n v="95.132000000000005"/>
    <n v="91.944000000000003"/>
    <n v="637.6"/>
  </r>
  <r>
    <x v="7"/>
    <x v="49"/>
    <x v="4"/>
    <m/>
    <n v="88.756"/>
    <n v="95.132000000000005"/>
    <n v="91.944000000000003"/>
    <n v="637.6"/>
  </r>
  <r>
    <x v="7"/>
    <x v="49"/>
    <x v="4"/>
    <m/>
    <n v="88.756"/>
    <n v="95.132000000000005"/>
    <n v="91.944000000000003"/>
    <n v="637.6"/>
  </r>
  <r>
    <x v="7"/>
    <x v="49"/>
    <x v="4"/>
    <m/>
    <n v="88.756"/>
    <n v="95.132000000000005"/>
    <n v="91.944000000000003"/>
    <n v="637.6"/>
  </r>
  <r>
    <x v="7"/>
    <x v="49"/>
    <x v="4"/>
    <m/>
    <n v="88.756"/>
    <n v="95.132000000000005"/>
    <n v="91.944000000000003"/>
    <n v="637.6"/>
  </r>
  <r>
    <x v="7"/>
    <x v="49"/>
    <x v="4"/>
    <m/>
    <n v="88.756"/>
    <n v="95.132000000000005"/>
    <n v="91.944000000000003"/>
    <n v="637.6"/>
  </r>
  <r>
    <x v="7"/>
    <x v="49"/>
    <x v="4"/>
    <m/>
    <n v="88.756"/>
    <n v="95.132000000000005"/>
    <n v="91.944000000000003"/>
    <n v="637.6"/>
  </r>
  <r>
    <x v="7"/>
    <x v="49"/>
    <x v="4"/>
    <m/>
    <n v="88.756"/>
    <n v="95.132000000000005"/>
    <n v="91.944000000000003"/>
    <n v="637.6"/>
  </r>
  <r>
    <x v="7"/>
    <x v="49"/>
    <x v="4"/>
    <m/>
    <n v="88.756"/>
    <n v="95.132000000000005"/>
    <n v="91.944000000000003"/>
    <n v="637.6"/>
  </r>
  <r>
    <x v="7"/>
    <x v="49"/>
    <x v="4"/>
    <m/>
    <n v="88.756"/>
    <n v="95.132000000000005"/>
    <n v="91.944000000000003"/>
    <n v="637.6"/>
  </r>
  <r>
    <x v="7"/>
    <x v="49"/>
    <x v="4"/>
    <m/>
    <n v="88.756"/>
    <n v="95.132000000000005"/>
    <n v="91.944000000000003"/>
    <n v="637.6"/>
  </r>
  <r>
    <x v="7"/>
    <x v="49"/>
    <x v="4"/>
    <m/>
    <n v="88.756"/>
    <n v="95.132000000000005"/>
    <n v="91.944000000000003"/>
    <n v="637.6"/>
  </r>
  <r>
    <x v="7"/>
    <x v="49"/>
    <x v="4"/>
    <m/>
    <n v="88.756"/>
    <n v="95.132000000000005"/>
    <n v="91.944000000000003"/>
    <n v="637.6"/>
  </r>
  <r>
    <x v="7"/>
    <x v="49"/>
    <x v="3"/>
    <m/>
    <n v="1.3484100000000001"/>
    <n v="1.39151"/>
    <n v="1.3699600000000001"/>
    <n v="431"/>
  </r>
  <r>
    <x v="7"/>
    <x v="49"/>
    <x v="3"/>
    <m/>
    <n v="1.3484100000000001"/>
    <n v="1.39151"/>
    <n v="1.3699600000000001"/>
    <n v="431"/>
  </r>
  <r>
    <x v="7"/>
    <x v="49"/>
    <x v="3"/>
    <m/>
    <n v="1.3484100000000001"/>
    <n v="1.39151"/>
    <n v="1.3699600000000001"/>
    <n v="431"/>
  </r>
  <r>
    <x v="7"/>
    <x v="49"/>
    <x v="3"/>
    <m/>
    <n v="1.3484100000000001"/>
    <n v="1.39151"/>
    <n v="1.3699600000000001"/>
    <n v="431"/>
  </r>
  <r>
    <x v="7"/>
    <x v="49"/>
    <x v="3"/>
    <m/>
    <n v="1.3484100000000001"/>
    <n v="1.39151"/>
    <n v="1.3699600000000001"/>
    <n v="431"/>
  </r>
  <r>
    <x v="7"/>
    <x v="49"/>
    <x v="3"/>
    <m/>
    <n v="1.3484100000000001"/>
    <n v="1.39151"/>
    <n v="1.3699600000000001"/>
    <n v="431"/>
  </r>
  <r>
    <x v="7"/>
    <x v="49"/>
    <x v="3"/>
    <m/>
    <n v="1.3484100000000001"/>
    <n v="1.39151"/>
    <n v="1.3699600000000001"/>
    <n v="431"/>
  </r>
  <r>
    <x v="7"/>
    <x v="49"/>
    <x v="3"/>
    <m/>
    <n v="1.3484100000000001"/>
    <n v="1.39151"/>
    <n v="1.3699600000000001"/>
    <n v="431"/>
  </r>
  <r>
    <x v="7"/>
    <x v="49"/>
    <x v="3"/>
    <m/>
    <n v="1.3484100000000001"/>
    <n v="1.39151"/>
    <n v="1.3699600000000001"/>
    <n v="431"/>
  </r>
  <r>
    <x v="7"/>
    <x v="49"/>
    <x v="3"/>
    <m/>
    <n v="1.3484100000000001"/>
    <n v="1.39151"/>
    <n v="1.3699600000000001"/>
    <n v="431"/>
  </r>
  <r>
    <x v="7"/>
    <x v="49"/>
    <x v="3"/>
    <m/>
    <n v="1.3484100000000001"/>
    <n v="1.39151"/>
    <n v="1.3699600000000001"/>
    <n v="431"/>
  </r>
  <r>
    <x v="7"/>
    <x v="49"/>
    <x v="3"/>
    <m/>
    <n v="1.3484100000000001"/>
    <n v="1.39151"/>
    <n v="1.3699600000000001"/>
    <n v="431"/>
  </r>
  <r>
    <x v="7"/>
    <x v="49"/>
    <x v="6"/>
    <m/>
    <n v="0.80779999999999996"/>
    <n v="0.86665000000000003"/>
    <n v="0.837225"/>
    <n v="588.5"/>
  </r>
  <r>
    <x v="7"/>
    <x v="49"/>
    <x v="6"/>
    <m/>
    <n v="0.80779999999999996"/>
    <n v="0.86665000000000003"/>
    <n v="0.837225"/>
    <n v="588.5"/>
  </r>
  <r>
    <x v="7"/>
    <x v="49"/>
    <x v="6"/>
    <m/>
    <n v="0.80779999999999996"/>
    <n v="0.86665000000000003"/>
    <n v="0.837225"/>
    <n v="588.5"/>
  </r>
  <r>
    <x v="7"/>
    <x v="49"/>
    <x v="6"/>
    <m/>
    <n v="0.80779999999999996"/>
    <n v="0.86665000000000003"/>
    <n v="0.837225"/>
    <n v="588.5"/>
  </r>
  <r>
    <x v="7"/>
    <x v="49"/>
    <x v="6"/>
    <m/>
    <n v="0.80779999999999996"/>
    <n v="0.86665000000000003"/>
    <n v="0.837225"/>
    <n v="588.5"/>
  </r>
  <r>
    <x v="7"/>
    <x v="49"/>
    <x v="6"/>
    <m/>
    <n v="0.80779999999999996"/>
    <n v="0.86665000000000003"/>
    <n v="0.837225"/>
    <n v="588.5"/>
  </r>
  <r>
    <x v="7"/>
    <x v="49"/>
    <x v="6"/>
    <m/>
    <n v="0.80779999999999996"/>
    <n v="0.86665000000000003"/>
    <n v="0.837225"/>
    <n v="588.5"/>
  </r>
  <r>
    <x v="7"/>
    <x v="49"/>
    <x v="6"/>
    <m/>
    <n v="0.80779999999999996"/>
    <n v="0.86665000000000003"/>
    <n v="0.837225"/>
    <n v="588.5"/>
  </r>
  <r>
    <x v="7"/>
    <x v="49"/>
    <x v="6"/>
    <m/>
    <n v="0.80779999999999996"/>
    <n v="0.86665000000000003"/>
    <n v="0.837225"/>
    <n v="588.5"/>
  </r>
  <r>
    <x v="7"/>
    <x v="49"/>
    <x v="6"/>
    <m/>
    <n v="0.80779999999999996"/>
    <n v="0.86665000000000003"/>
    <n v="0.837225"/>
    <n v="588.5"/>
  </r>
  <r>
    <x v="7"/>
    <x v="49"/>
    <x v="6"/>
    <m/>
    <n v="0.80779999999999996"/>
    <n v="0.86665000000000003"/>
    <n v="0.837225"/>
    <n v="588.5"/>
  </r>
  <r>
    <x v="7"/>
    <x v="49"/>
    <x v="6"/>
    <m/>
    <n v="0.80779999999999996"/>
    <n v="0.86665000000000003"/>
    <n v="0.837225"/>
    <n v="588.5"/>
  </r>
  <r>
    <x v="7"/>
    <x v="49"/>
    <x v="6"/>
    <m/>
    <n v="0.80779999999999996"/>
    <n v="0.86665000000000003"/>
    <n v="0.837225"/>
    <n v="588.5"/>
  </r>
  <r>
    <x v="7"/>
    <x v="49"/>
    <x v="6"/>
    <m/>
    <n v="0.80779999999999996"/>
    <n v="0.86665000000000003"/>
    <n v="0.837225"/>
    <n v="588.5"/>
  </r>
  <r>
    <x v="7"/>
    <x v="49"/>
    <x v="6"/>
    <m/>
    <n v="0.80779999999999996"/>
    <n v="0.86665000000000003"/>
    <n v="0.837225"/>
    <n v="588.5"/>
  </r>
  <r>
    <x v="7"/>
    <x v="49"/>
    <x v="6"/>
    <m/>
    <n v="0.80779999999999996"/>
    <n v="0.86665000000000003"/>
    <n v="0.837225"/>
    <n v="588.5"/>
  </r>
  <r>
    <x v="7"/>
    <x v="49"/>
    <x v="6"/>
    <m/>
    <n v="0.80779999999999996"/>
    <n v="0.86665000000000003"/>
    <n v="0.837225"/>
    <n v="588.5"/>
  </r>
  <r>
    <x v="7"/>
    <x v="49"/>
    <x v="6"/>
    <m/>
    <n v="0.80779999999999996"/>
    <n v="0.86665000000000003"/>
    <n v="0.837225"/>
    <n v="588.5"/>
  </r>
  <r>
    <x v="7"/>
    <x v="49"/>
    <x v="6"/>
    <m/>
    <n v="0.80779999999999996"/>
    <n v="0.86665000000000003"/>
    <n v="0.837225"/>
    <n v="588.5"/>
  </r>
  <r>
    <x v="7"/>
    <x v="49"/>
    <x v="6"/>
    <m/>
    <n v="0.80779999999999996"/>
    <n v="0.86665000000000003"/>
    <n v="0.837225"/>
    <n v="588.5"/>
  </r>
  <r>
    <x v="7"/>
    <x v="49"/>
    <x v="6"/>
    <m/>
    <n v="0.80779999999999996"/>
    <n v="0.86665000000000003"/>
    <n v="0.837225"/>
    <n v="588.5"/>
  </r>
  <r>
    <x v="7"/>
    <x v="49"/>
    <x v="6"/>
    <m/>
    <n v="0.80779999999999996"/>
    <n v="0.86665000000000003"/>
    <n v="0.837225"/>
    <n v="588.5"/>
  </r>
  <r>
    <x v="7"/>
    <x v="49"/>
    <x v="6"/>
    <m/>
    <n v="0.80779999999999996"/>
    <n v="0.86665000000000003"/>
    <n v="0.837225"/>
    <n v="588.5"/>
  </r>
  <r>
    <x v="7"/>
    <x v="49"/>
    <x v="6"/>
    <m/>
    <n v="0.80779999999999996"/>
    <n v="0.86665000000000003"/>
    <n v="0.837225"/>
    <n v="588.5"/>
  </r>
  <r>
    <x v="7"/>
    <x v="49"/>
    <x v="6"/>
    <m/>
    <n v="0.80779999999999996"/>
    <n v="0.86665000000000003"/>
    <n v="0.837225"/>
    <n v="588.5"/>
  </r>
  <r>
    <x v="7"/>
    <x v="50"/>
    <x v="6"/>
    <m/>
    <n v="0.80779999999999996"/>
    <n v="0.86665000000000003"/>
    <n v="0.837225"/>
    <n v="588.5"/>
  </r>
  <r>
    <x v="7"/>
    <x v="50"/>
    <x v="6"/>
    <m/>
    <n v="0.80779999999999996"/>
    <n v="0.86665000000000003"/>
    <n v="0.837225"/>
    <n v="588.5"/>
  </r>
  <r>
    <x v="7"/>
    <x v="50"/>
    <x v="6"/>
    <m/>
    <n v="0.80779999999999996"/>
    <n v="0.86665000000000003"/>
    <n v="0.837225"/>
    <n v="588.5"/>
  </r>
  <r>
    <x v="7"/>
    <x v="50"/>
    <x v="6"/>
    <m/>
    <n v="0.80779999999999996"/>
    <n v="0.86665000000000003"/>
    <n v="0.837225"/>
    <n v="588.5"/>
  </r>
  <r>
    <x v="7"/>
    <x v="50"/>
    <x v="6"/>
    <m/>
    <n v="0.80779999999999996"/>
    <n v="0.86665000000000003"/>
    <n v="0.837225"/>
    <n v="588.5"/>
  </r>
  <r>
    <x v="7"/>
    <x v="50"/>
    <x v="6"/>
    <m/>
    <n v="0.80779999999999996"/>
    <n v="0.86665000000000003"/>
    <n v="0.837225"/>
    <n v="588.5"/>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4"/>
    <m/>
    <n v="88.756"/>
    <n v="96.022000000000006"/>
    <n v="92.388999999999996"/>
    <n v="726.6"/>
  </r>
  <r>
    <x v="7"/>
    <x v="50"/>
    <x v="3"/>
    <m/>
    <n v="1.3484100000000001"/>
    <n v="1.39151"/>
    <n v="1.3699600000000001"/>
    <n v="431"/>
  </r>
  <r>
    <x v="7"/>
    <x v="50"/>
    <x v="3"/>
    <m/>
    <n v="1.3484100000000001"/>
    <n v="1.39151"/>
    <n v="1.3699600000000001"/>
    <n v="431"/>
  </r>
  <r>
    <x v="7"/>
    <x v="50"/>
    <x v="3"/>
    <m/>
    <n v="1.3484100000000001"/>
    <n v="1.39151"/>
    <n v="1.3699600000000001"/>
    <n v="431"/>
  </r>
  <r>
    <x v="7"/>
    <x v="50"/>
    <x v="3"/>
    <m/>
    <n v="1.3484100000000001"/>
    <n v="1.39151"/>
    <n v="1.3699600000000001"/>
    <n v="431"/>
  </r>
  <r>
    <x v="7"/>
    <x v="50"/>
    <x v="3"/>
    <m/>
    <n v="1.3484100000000001"/>
    <n v="1.39151"/>
    <n v="1.3699600000000001"/>
    <n v="431"/>
  </r>
  <r>
    <x v="7"/>
    <x v="50"/>
    <x v="3"/>
    <m/>
    <n v="1.3484100000000001"/>
    <n v="1.39151"/>
    <n v="1.3699600000000001"/>
    <n v="431"/>
  </r>
  <r>
    <x v="7"/>
    <x v="50"/>
    <x v="3"/>
    <m/>
    <n v="1.3484100000000001"/>
    <n v="1.39151"/>
    <n v="1.3699600000000001"/>
    <n v="431"/>
  </r>
  <r>
    <x v="7"/>
    <x v="50"/>
    <x v="3"/>
    <m/>
    <n v="1.3484100000000001"/>
    <n v="1.39151"/>
    <n v="1.3699600000000001"/>
    <n v="431"/>
  </r>
  <r>
    <x v="7"/>
    <x v="50"/>
    <x v="3"/>
    <m/>
    <n v="1.3484100000000001"/>
    <n v="1.39151"/>
    <n v="1.3699600000000001"/>
    <n v="431"/>
  </r>
  <r>
    <x v="7"/>
    <x v="50"/>
    <x v="3"/>
    <m/>
    <n v="1.3484100000000001"/>
    <n v="1.39151"/>
    <n v="1.3699600000000001"/>
    <n v="431"/>
  </r>
  <r>
    <x v="7"/>
    <x v="50"/>
    <x v="3"/>
    <m/>
    <n v="1.3484100000000001"/>
    <n v="1.39151"/>
    <n v="1.3699600000000001"/>
    <n v="431"/>
  </r>
  <r>
    <x v="7"/>
    <x v="50"/>
    <x v="3"/>
    <m/>
    <n v="1.3484100000000001"/>
    <n v="1.39151"/>
    <n v="1.3699600000000001"/>
    <n v="431"/>
  </r>
  <r>
    <x v="7"/>
    <x v="50"/>
    <x v="6"/>
    <m/>
    <n v="0.80779999999999996"/>
    <n v="0.86665000000000003"/>
    <n v="0.837225"/>
    <n v="588.5"/>
  </r>
  <r>
    <x v="7"/>
    <x v="50"/>
    <x v="6"/>
    <m/>
    <n v="0.80779999999999996"/>
    <n v="0.86665000000000003"/>
    <n v="0.837225"/>
    <n v="588.5"/>
  </r>
  <r>
    <x v="7"/>
    <x v="50"/>
    <x v="6"/>
    <m/>
    <n v="0.80779999999999996"/>
    <n v="0.86665000000000003"/>
    <n v="0.837225"/>
    <n v="588.5"/>
  </r>
  <r>
    <x v="7"/>
    <x v="50"/>
    <x v="6"/>
    <m/>
    <n v="0.80779999999999996"/>
    <n v="0.86665000000000003"/>
    <n v="0.837225"/>
    <n v="588.5"/>
  </r>
  <r>
    <x v="7"/>
    <x v="50"/>
    <x v="6"/>
    <m/>
    <n v="0.80779999999999996"/>
    <n v="0.86665000000000003"/>
    <n v="0.837225"/>
    <n v="588.5"/>
  </r>
  <r>
    <x v="7"/>
    <x v="50"/>
    <x v="6"/>
    <m/>
    <n v="0.80779999999999996"/>
    <n v="0.86665000000000003"/>
    <n v="0.837225"/>
    <n v="588.5"/>
  </r>
  <r>
    <x v="7"/>
    <x v="50"/>
    <x v="6"/>
    <m/>
    <n v="0.80779999999999996"/>
    <n v="0.86665000000000003"/>
    <n v="0.837225"/>
    <n v="588.5"/>
  </r>
  <r>
    <x v="7"/>
    <x v="50"/>
    <x v="6"/>
    <m/>
    <n v="0.80779999999999996"/>
    <n v="0.86665000000000003"/>
    <n v="0.837225"/>
    <n v="588.5"/>
  </r>
  <r>
    <x v="7"/>
    <x v="50"/>
    <x v="6"/>
    <m/>
    <n v="0.80779999999999996"/>
    <n v="0.86665000000000003"/>
    <n v="0.837225"/>
    <n v="588.5"/>
  </r>
  <r>
    <x v="7"/>
    <x v="50"/>
    <x v="6"/>
    <m/>
    <n v="0.80779999999999996"/>
    <n v="0.86665000000000003"/>
    <n v="0.837225"/>
    <n v="588.5"/>
  </r>
  <r>
    <x v="7"/>
    <x v="50"/>
    <x v="6"/>
    <m/>
    <n v="0.80779999999999996"/>
    <n v="0.86665000000000003"/>
    <n v="0.837225"/>
    <n v="588.5"/>
  </r>
  <r>
    <x v="7"/>
    <x v="50"/>
    <x v="6"/>
    <m/>
    <n v="0.80779999999999996"/>
    <n v="0.86665000000000003"/>
    <n v="0.837225"/>
    <n v="588.5"/>
  </r>
  <r>
    <x v="7"/>
    <x v="50"/>
    <x v="6"/>
    <m/>
    <n v="0.80779999999999996"/>
    <n v="0.86665000000000003"/>
    <n v="0.837225"/>
    <n v="588.5"/>
  </r>
  <r>
    <x v="7"/>
    <x v="50"/>
    <x v="6"/>
    <m/>
    <n v="0.80779999999999996"/>
    <n v="0.86665000000000003"/>
    <n v="0.837225"/>
    <n v="588.5"/>
  </r>
  <r>
    <x v="7"/>
    <x v="50"/>
    <x v="6"/>
    <m/>
    <n v="0.80779999999999996"/>
    <n v="0.86665000000000003"/>
    <n v="0.837225"/>
    <n v="588.5"/>
  </r>
  <r>
    <x v="7"/>
    <x v="50"/>
    <x v="6"/>
    <m/>
    <n v="0.80779999999999996"/>
    <n v="0.86665000000000003"/>
    <n v="0.837225"/>
    <n v="588.5"/>
  </r>
  <r>
    <x v="7"/>
    <x v="50"/>
    <x v="6"/>
    <m/>
    <n v="0.80779999999999996"/>
    <n v="0.86665000000000003"/>
    <n v="0.837225"/>
    <n v="588.5"/>
  </r>
  <r>
    <x v="7"/>
    <x v="50"/>
    <x v="6"/>
    <m/>
    <n v="0.80779999999999996"/>
    <n v="0.86665000000000003"/>
    <n v="0.837225"/>
    <n v="588.5"/>
  </r>
  <r>
    <x v="7"/>
    <x v="50"/>
    <x v="6"/>
    <m/>
    <n v="0.80779999999999996"/>
    <n v="0.86665000000000003"/>
    <n v="0.837225"/>
    <n v="588.5"/>
  </r>
  <r>
    <x v="7"/>
    <x v="51"/>
    <x v="6"/>
    <m/>
    <n v="0.80779999999999996"/>
    <n v="0.86924999999999997"/>
    <n v="0.83852499999999996"/>
    <n v="614.5"/>
  </r>
  <r>
    <x v="7"/>
    <x v="51"/>
    <x v="6"/>
    <m/>
    <n v="0.80779999999999996"/>
    <n v="0.86924999999999997"/>
    <n v="0.83852499999999996"/>
    <n v="614.5"/>
  </r>
  <r>
    <x v="7"/>
    <x v="51"/>
    <x v="6"/>
    <m/>
    <n v="0.80779999999999996"/>
    <n v="0.86924999999999997"/>
    <n v="0.83852499999999996"/>
    <n v="614.5"/>
  </r>
  <r>
    <x v="7"/>
    <x v="51"/>
    <x v="6"/>
    <m/>
    <n v="0.80779999999999996"/>
    <n v="0.86924999999999997"/>
    <n v="0.83852499999999996"/>
    <n v="614.5"/>
  </r>
  <r>
    <x v="7"/>
    <x v="51"/>
    <x v="6"/>
    <m/>
    <n v="0.80779999999999996"/>
    <n v="0.86924999999999997"/>
    <n v="0.83852499999999996"/>
    <n v="614.5"/>
  </r>
  <r>
    <x v="7"/>
    <x v="51"/>
    <x v="6"/>
    <m/>
    <n v="0.80779999999999996"/>
    <n v="0.86924999999999997"/>
    <n v="0.83852499999999996"/>
    <n v="614.5"/>
  </r>
  <r>
    <x v="7"/>
    <x v="51"/>
    <x v="6"/>
    <m/>
    <n v="0.80779999999999996"/>
    <n v="0.86924999999999997"/>
    <n v="0.83852499999999996"/>
    <n v="614.5"/>
  </r>
  <r>
    <x v="7"/>
    <x v="51"/>
    <x v="6"/>
    <m/>
    <n v="0.80779999999999996"/>
    <n v="0.86924999999999997"/>
    <n v="0.83852499999999996"/>
    <n v="614.5"/>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4"/>
    <m/>
    <n v="88.756"/>
    <n v="96.022000000000006"/>
    <n v="92.388999999999996"/>
    <n v="726.6"/>
  </r>
  <r>
    <x v="7"/>
    <x v="51"/>
    <x v="3"/>
    <m/>
    <n v="1.3484100000000001"/>
    <n v="1.39151"/>
    <n v="1.3699600000000001"/>
    <n v="431"/>
  </r>
  <r>
    <x v="7"/>
    <x v="51"/>
    <x v="3"/>
    <m/>
    <n v="1.3484100000000001"/>
    <n v="1.39151"/>
    <n v="1.3699600000000001"/>
    <n v="431"/>
  </r>
  <r>
    <x v="7"/>
    <x v="51"/>
    <x v="3"/>
    <m/>
    <n v="1.3484100000000001"/>
    <n v="1.39151"/>
    <n v="1.3699600000000001"/>
    <n v="431"/>
  </r>
  <r>
    <x v="7"/>
    <x v="51"/>
    <x v="3"/>
    <m/>
    <n v="1.3484100000000001"/>
    <n v="1.39151"/>
    <n v="1.3699600000000001"/>
    <n v="431"/>
  </r>
  <r>
    <x v="7"/>
    <x v="51"/>
    <x v="3"/>
    <m/>
    <n v="1.3484100000000001"/>
    <n v="1.39151"/>
    <n v="1.3699600000000001"/>
    <n v="431"/>
  </r>
  <r>
    <x v="7"/>
    <x v="51"/>
    <x v="3"/>
    <m/>
    <n v="1.3484100000000001"/>
    <n v="1.39151"/>
    <n v="1.3699600000000001"/>
    <n v="431"/>
  </r>
  <r>
    <x v="7"/>
    <x v="51"/>
    <x v="3"/>
    <m/>
    <n v="1.3484100000000001"/>
    <n v="1.39151"/>
    <n v="1.3699600000000001"/>
    <n v="431"/>
  </r>
  <r>
    <x v="7"/>
    <x v="51"/>
    <x v="3"/>
    <m/>
    <n v="1.3484100000000001"/>
    <n v="1.39151"/>
    <n v="1.3699600000000001"/>
    <n v="431"/>
  </r>
  <r>
    <x v="7"/>
    <x v="51"/>
    <x v="3"/>
    <m/>
    <n v="1.3484100000000001"/>
    <n v="1.39151"/>
    <n v="1.3699600000000001"/>
    <n v="431"/>
  </r>
  <r>
    <x v="7"/>
    <x v="51"/>
    <x v="3"/>
    <m/>
    <n v="1.3484100000000001"/>
    <n v="1.39151"/>
    <n v="1.3699600000000001"/>
    <n v="431"/>
  </r>
  <r>
    <x v="7"/>
    <x v="51"/>
    <x v="3"/>
    <m/>
    <n v="1.3484100000000001"/>
    <n v="1.39151"/>
    <n v="1.3699600000000001"/>
    <n v="431"/>
  </r>
  <r>
    <x v="7"/>
    <x v="51"/>
    <x v="3"/>
    <m/>
    <n v="1.3484100000000001"/>
    <n v="1.39151"/>
    <n v="1.3699600000000001"/>
    <n v="431"/>
  </r>
  <r>
    <x v="7"/>
    <x v="51"/>
    <x v="6"/>
    <m/>
    <n v="0.80779999999999996"/>
    <n v="0.86924999999999997"/>
    <n v="0.83852499999999996"/>
    <n v="614.5"/>
  </r>
  <r>
    <x v="7"/>
    <x v="51"/>
    <x v="6"/>
    <m/>
    <n v="0.80779999999999996"/>
    <n v="0.86924999999999997"/>
    <n v="0.83852499999999996"/>
    <n v="614.5"/>
  </r>
  <r>
    <x v="7"/>
    <x v="51"/>
    <x v="6"/>
    <m/>
    <n v="0.80779999999999996"/>
    <n v="0.86924999999999997"/>
    <n v="0.83852499999999996"/>
    <n v="614.5"/>
  </r>
  <r>
    <x v="7"/>
    <x v="51"/>
    <x v="6"/>
    <m/>
    <n v="0.80779999999999996"/>
    <n v="0.86924999999999997"/>
    <n v="0.83852499999999996"/>
    <n v="614.5"/>
  </r>
  <r>
    <x v="7"/>
    <x v="51"/>
    <x v="6"/>
    <m/>
    <n v="0.80779999999999996"/>
    <n v="0.86924999999999997"/>
    <n v="0.83852499999999996"/>
    <n v="614.5"/>
  </r>
  <r>
    <x v="7"/>
    <x v="51"/>
    <x v="6"/>
    <m/>
    <n v="0.80779999999999996"/>
    <n v="0.86924999999999997"/>
    <n v="0.83852499999999996"/>
    <n v="614.5"/>
  </r>
  <r>
    <x v="7"/>
    <x v="51"/>
    <x v="6"/>
    <m/>
    <n v="0.80779999999999996"/>
    <n v="0.86924999999999997"/>
    <n v="0.83852499999999996"/>
    <n v="614.5"/>
  </r>
  <r>
    <x v="7"/>
    <x v="51"/>
    <x v="6"/>
    <m/>
    <n v="0.80779999999999996"/>
    <n v="0.86924999999999997"/>
    <n v="0.83852499999999996"/>
    <n v="614.5"/>
  </r>
  <r>
    <x v="7"/>
    <x v="51"/>
    <x v="6"/>
    <m/>
    <n v="0.80779999999999996"/>
    <n v="0.86924999999999997"/>
    <n v="0.83852499999999996"/>
    <n v="614.5"/>
  </r>
  <r>
    <x v="7"/>
    <x v="51"/>
    <x v="6"/>
    <m/>
    <n v="0.80779999999999996"/>
    <n v="0.86924999999999997"/>
    <n v="0.83852499999999996"/>
    <n v="614.5"/>
  </r>
  <r>
    <x v="7"/>
    <x v="51"/>
    <x v="6"/>
    <m/>
    <n v="0.80779999999999996"/>
    <n v="0.86924999999999997"/>
    <n v="0.83852499999999996"/>
    <n v="614.5"/>
  </r>
  <r>
    <x v="7"/>
    <x v="51"/>
    <x v="6"/>
    <m/>
    <n v="0.80779999999999996"/>
    <n v="0.86924999999999997"/>
    <n v="0.83852499999999996"/>
    <n v="614.5"/>
  </r>
  <r>
    <x v="7"/>
    <x v="51"/>
    <x v="6"/>
    <m/>
    <n v="0.80779999999999996"/>
    <n v="0.86924999999999997"/>
    <n v="0.83852499999999996"/>
    <n v="614.5"/>
  </r>
  <r>
    <x v="7"/>
    <x v="51"/>
    <x v="6"/>
    <m/>
    <n v="0.80779999999999996"/>
    <n v="0.86924999999999997"/>
    <n v="0.83852499999999996"/>
    <n v="614.5"/>
  </r>
  <r>
    <x v="7"/>
    <x v="51"/>
    <x v="6"/>
    <m/>
    <n v="0.80779999999999996"/>
    <n v="0.86924999999999997"/>
    <n v="0.83852499999999996"/>
    <n v="614.5"/>
  </r>
  <r>
    <x v="7"/>
    <x v="51"/>
    <x v="6"/>
    <m/>
    <n v="0.80779999999999996"/>
    <n v="0.86924999999999997"/>
    <n v="0.83852499999999996"/>
    <n v="614.5"/>
  </r>
  <r>
    <x v="7"/>
    <x v="51"/>
    <x v="6"/>
    <m/>
    <n v="0.80779999999999996"/>
    <n v="0.86924999999999997"/>
    <n v="0.83852499999999996"/>
    <n v="614.5"/>
  </r>
  <r>
    <x v="7"/>
    <x v="51"/>
    <x v="6"/>
    <m/>
    <n v="0.80779999999999996"/>
    <n v="0.86924999999999997"/>
    <n v="0.83852499999999996"/>
    <n v="614.5"/>
  </r>
  <r>
    <x v="7"/>
    <x v="51"/>
    <x v="6"/>
    <m/>
    <n v="0.80779999999999996"/>
    <n v="0.86924999999999997"/>
    <n v="0.83852499999999996"/>
    <n v="614.5"/>
  </r>
  <r>
    <x v="7"/>
    <x v="52"/>
    <x v="6"/>
    <m/>
    <n v="0.80779999999999996"/>
    <n v="0.86924999999999997"/>
    <n v="0.83852499999999996"/>
    <n v="614.5"/>
  </r>
  <r>
    <x v="7"/>
    <x v="52"/>
    <x v="6"/>
    <m/>
    <n v="0.80779999999999996"/>
    <n v="0.86924999999999997"/>
    <n v="0.83852499999999996"/>
    <n v="614.5"/>
  </r>
  <r>
    <x v="7"/>
    <x v="52"/>
    <x v="6"/>
    <m/>
    <n v="0.80779999999999996"/>
    <n v="0.86924999999999997"/>
    <n v="0.83852499999999996"/>
    <n v="614.5"/>
  </r>
  <r>
    <x v="7"/>
    <x v="52"/>
    <x v="6"/>
    <m/>
    <n v="0.80779999999999996"/>
    <n v="0.86924999999999997"/>
    <n v="0.83852499999999996"/>
    <n v="614.5"/>
  </r>
  <r>
    <x v="7"/>
    <x v="52"/>
    <x v="6"/>
    <m/>
    <n v="0.80779999999999996"/>
    <n v="0.86924999999999997"/>
    <n v="0.83852499999999996"/>
    <n v="614.5"/>
  </r>
  <r>
    <x v="7"/>
    <x v="52"/>
    <x v="6"/>
    <m/>
    <n v="0.80779999999999996"/>
    <n v="0.86924999999999997"/>
    <n v="0.83852499999999996"/>
    <n v="614.5"/>
  </r>
  <r>
    <x v="7"/>
    <x v="52"/>
    <x v="6"/>
    <m/>
    <n v="0.80779999999999996"/>
    <n v="0.86924999999999997"/>
    <n v="0.83852499999999996"/>
    <n v="614.5"/>
  </r>
  <r>
    <x v="7"/>
    <x v="52"/>
    <x v="6"/>
    <m/>
    <n v="0.80779999999999996"/>
    <n v="0.86924999999999997"/>
    <n v="0.83852499999999996"/>
    <n v="614.5"/>
  </r>
  <r>
    <x v="7"/>
    <x v="52"/>
    <x v="6"/>
    <m/>
    <n v="0.80779999999999996"/>
    <n v="0.86924999999999997"/>
    <n v="0.83852499999999996"/>
    <n v="614.5"/>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4"/>
    <m/>
    <n v="88.756"/>
    <n v="96.022000000000006"/>
    <n v="92.388999999999996"/>
    <n v="726.6"/>
  </r>
  <r>
    <x v="7"/>
    <x v="52"/>
    <x v="3"/>
    <m/>
    <n v="1.3484100000000001"/>
    <n v="1.39151"/>
    <n v="1.3699600000000001"/>
    <n v="431"/>
  </r>
  <r>
    <x v="7"/>
    <x v="52"/>
    <x v="3"/>
    <m/>
    <n v="1.3484100000000001"/>
    <n v="1.39151"/>
    <n v="1.3699600000000001"/>
    <n v="431"/>
  </r>
  <r>
    <x v="7"/>
    <x v="52"/>
    <x v="3"/>
    <m/>
    <n v="1.3484100000000001"/>
    <n v="1.39151"/>
    <n v="1.3699600000000001"/>
    <n v="431"/>
  </r>
  <r>
    <x v="7"/>
    <x v="52"/>
    <x v="3"/>
    <m/>
    <n v="1.3484100000000001"/>
    <n v="1.39151"/>
    <n v="1.3699600000000001"/>
    <n v="431"/>
  </r>
  <r>
    <x v="7"/>
    <x v="52"/>
    <x v="3"/>
    <m/>
    <n v="1.3484100000000001"/>
    <n v="1.39151"/>
    <n v="1.3699600000000001"/>
    <n v="431"/>
  </r>
  <r>
    <x v="7"/>
    <x v="52"/>
    <x v="3"/>
    <m/>
    <n v="1.3484100000000001"/>
    <n v="1.39151"/>
    <n v="1.3699600000000001"/>
    <n v="431"/>
  </r>
  <r>
    <x v="7"/>
    <x v="52"/>
    <x v="3"/>
    <m/>
    <n v="1.3484100000000001"/>
    <n v="1.39151"/>
    <n v="1.3699600000000001"/>
    <n v="431"/>
  </r>
  <r>
    <x v="7"/>
    <x v="52"/>
    <x v="3"/>
    <m/>
    <n v="1.3484100000000001"/>
    <n v="1.39151"/>
    <n v="1.3699600000000001"/>
    <n v="431"/>
  </r>
  <r>
    <x v="7"/>
    <x v="52"/>
    <x v="3"/>
    <m/>
    <n v="1.3484100000000001"/>
    <n v="1.39151"/>
    <n v="1.3699600000000001"/>
    <n v="431"/>
  </r>
  <r>
    <x v="7"/>
    <x v="52"/>
    <x v="3"/>
    <m/>
    <n v="1.3484100000000001"/>
    <n v="1.39151"/>
    <n v="1.3699600000000001"/>
    <n v="431"/>
  </r>
  <r>
    <x v="7"/>
    <x v="52"/>
    <x v="3"/>
    <m/>
    <n v="1.3484100000000001"/>
    <n v="1.39151"/>
    <n v="1.3699600000000001"/>
    <n v="431"/>
  </r>
  <r>
    <x v="7"/>
    <x v="52"/>
    <x v="3"/>
    <m/>
    <n v="1.3484100000000001"/>
    <n v="1.39151"/>
    <n v="1.3699600000000001"/>
    <n v="431"/>
  </r>
  <r>
    <x v="7"/>
    <x v="52"/>
    <x v="3"/>
    <m/>
    <n v="1.3484100000000001"/>
    <n v="1.39151"/>
    <n v="1.3699600000000001"/>
    <n v="431"/>
  </r>
  <r>
    <x v="7"/>
    <x v="52"/>
    <x v="6"/>
    <m/>
    <n v="0.80779999999999996"/>
    <n v="0.86924999999999997"/>
    <n v="0.83852499999999996"/>
    <n v="614.5"/>
  </r>
  <r>
    <x v="7"/>
    <x v="52"/>
    <x v="6"/>
    <m/>
    <n v="0.80779999999999996"/>
    <n v="0.86924999999999997"/>
    <n v="0.83852499999999996"/>
    <n v="614.5"/>
  </r>
  <r>
    <x v="7"/>
    <x v="52"/>
    <x v="6"/>
    <m/>
    <n v="0.80779999999999996"/>
    <n v="0.86924999999999997"/>
    <n v="0.83852499999999996"/>
    <n v="614.5"/>
  </r>
  <r>
    <x v="7"/>
    <x v="52"/>
    <x v="6"/>
    <m/>
    <n v="0.80779999999999996"/>
    <n v="0.86924999999999997"/>
    <n v="0.83852499999999996"/>
    <n v="614.5"/>
  </r>
  <r>
    <x v="7"/>
    <x v="52"/>
    <x v="6"/>
    <m/>
    <n v="0.80779999999999996"/>
    <n v="0.86924999999999997"/>
    <n v="0.83852499999999996"/>
    <n v="614.5"/>
  </r>
  <r>
    <x v="7"/>
    <x v="52"/>
    <x v="6"/>
    <m/>
    <n v="0.80779999999999996"/>
    <n v="0.86924999999999997"/>
    <n v="0.83852499999999996"/>
    <n v="614.5"/>
  </r>
  <r>
    <x v="7"/>
    <x v="52"/>
    <x v="6"/>
    <m/>
    <n v="0.80779999999999996"/>
    <n v="0.86924999999999997"/>
    <n v="0.83852499999999996"/>
    <n v="614.5"/>
  </r>
  <r>
    <x v="7"/>
    <x v="52"/>
    <x v="6"/>
    <m/>
    <n v="0.80779999999999996"/>
    <n v="0.86924999999999997"/>
    <n v="0.83852499999999996"/>
    <n v="614.5"/>
  </r>
  <r>
    <x v="7"/>
    <x v="52"/>
    <x v="6"/>
    <m/>
    <n v="0.80779999999999996"/>
    <n v="0.86924999999999997"/>
    <n v="0.83852499999999996"/>
    <n v="614.5"/>
  </r>
  <r>
    <x v="7"/>
    <x v="52"/>
    <x v="6"/>
    <m/>
    <n v="0.80779999999999996"/>
    <n v="0.86924999999999997"/>
    <n v="0.83852499999999996"/>
    <n v="614.5"/>
  </r>
  <r>
    <x v="7"/>
    <x v="52"/>
    <x v="6"/>
    <m/>
    <n v="0.80779999999999996"/>
    <n v="0.86924999999999997"/>
    <n v="0.83852499999999996"/>
    <n v="614.5"/>
  </r>
  <r>
    <x v="7"/>
    <x v="52"/>
    <x v="6"/>
    <m/>
    <n v="0.80779999999999996"/>
    <n v="0.86924999999999997"/>
    <n v="0.83852499999999996"/>
    <n v="614.5"/>
  </r>
  <r>
    <x v="7"/>
    <x v="52"/>
    <x v="6"/>
    <m/>
    <n v="0.80779999999999996"/>
    <n v="0.86924999999999997"/>
    <n v="0.83852499999999996"/>
    <n v="614.5"/>
  </r>
  <r>
    <x v="7"/>
    <x v="52"/>
    <x v="6"/>
    <m/>
    <n v="0.80779999999999996"/>
    <n v="0.86924999999999997"/>
    <n v="0.83852499999999996"/>
    <n v="614.5"/>
  </r>
  <r>
    <x v="7"/>
    <x v="52"/>
    <x v="6"/>
    <m/>
    <n v="0.80779999999999996"/>
    <n v="0.86924999999999997"/>
    <n v="0.83852499999999996"/>
    <n v="614.5"/>
  </r>
  <r>
    <x v="7"/>
    <x v="52"/>
    <x v="6"/>
    <m/>
    <n v="0.80779999999999996"/>
    <n v="0.86924999999999997"/>
    <n v="0.83852499999999996"/>
    <n v="614.5"/>
  </r>
  <r>
    <x v="7"/>
    <x v="52"/>
    <x v="6"/>
    <m/>
    <n v="0.80779999999999996"/>
    <n v="0.86924999999999997"/>
    <n v="0.83852499999999996"/>
    <n v="614.5"/>
  </r>
  <r>
    <x v="7"/>
    <x v="52"/>
    <x v="6"/>
    <m/>
    <n v="0.80779999999999996"/>
    <n v="0.86924999999999997"/>
    <n v="0.83852499999999996"/>
    <n v="614.5"/>
  </r>
  <r>
    <x v="7"/>
    <x v="53"/>
    <x v="6"/>
    <m/>
    <n v="0.80779999999999996"/>
    <n v="0.86924999999999997"/>
    <n v="0.83852499999999996"/>
    <n v="614.5"/>
  </r>
  <r>
    <x v="7"/>
    <x v="53"/>
    <x v="6"/>
    <m/>
    <n v="0.80779999999999996"/>
    <n v="0.86924999999999997"/>
    <n v="0.83852499999999996"/>
    <n v="614.5"/>
  </r>
  <r>
    <x v="7"/>
    <x v="53"/>
    <x v="6"/>
    <m/>
    <n v="0.80779999999999996"/>
    <n v="0.86924999999999997"/>
    <n v="0.83852499999999996"/>
    <n v="614.5"/>
  </r>
  <r>
    <x v="7"/>
    <x v="53"/>
    <x v="6"/>
    <m/>
    <n v="0.80779999999999996"/>
    <n v="0.86924999999999997"/>
    <n v="0.83852499999999996"/>
    <n v="614.5"/>
  </r>
  <r>
    <x v="7"/>
    <x v="53"/>
    <x v="6"/>
    <m/>
    <n v="0.80779999999999996"/>
    <n v="0.86924999999999997"/>
    <n v="0.83852499999999996"/>
    <n v="614.5"/>
  </r>
  <r>
    <x v="7"/>
    <x v="53"/>
    <x v="6"/>
    <m/>
    <n v="0.80779999999999996"/>
    <n v="0.86924999999999997"/>
    <n v="0.83852499999999996"/>
    <n v="614.5"/>
  </r>
  <r>
    <x v="7"/>
    <x v="53"/>
    <x v="6"/>
    <m/>
    <n v="0.80779999999999996"/>
    <n v="0.86924999999999997"/>
    <n v="0.83852499999999996"/>
    <n v="614.5"/>
  </r>
  <r>
    <x v="7"/>
    <x v="53"/>
    <x v="6"/>
    <m/>
    <n v="0.80779999999999996"/>
    <n v="0.86924999999999997"/>
    <n v="0.83852499999999996"/>
    <n v="614.5"/>
  </r>
  <r>
    <x v="7"/>
    <x v="53"/>
    <x v="6"/>
    <m/>
    <n v="0.80779999999999996"/>
    <n v="0.86924999999999997"/>
    <n v="0.83852499999999996"/>
    <n v="614.5"/>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4"/>
    <m/>
    <n v="88.756"/>
    <n v="96.022000000000006"/>
    <n v="92.388999999999996"/>
    <n v="726.6"/>
  </r>
  <r>
    <x v="7"/>
    <x v="53"/>
    <x v="3"/>
    <m/>
    <n v="1.3484100000000001"/>
    <n v="1.39151"/>
    <n v="1.3699600000000001"/>
    <n v="431"/>
  </r>
  <r>
    <x v="7"/>
    <x v="53"/>
    <x v="3"/>
    <m/>
    <n v="1.3484100000000001"/>
    <n v="1.39151"/>
    <n v="1.3699600000000001"/>
    <n v="431"/>
  </r>
  <r>
    <x v="7"/>
    <x v="53"/>
    <x v="3"/>
    <m/>
    <n v="1.3484100000000001"/>
    <n v="1.39151"/>
    <n v="1.3699600000000001"/>
    <n v="431"/>
  </r>
  <r>
    <x v="7"/>
    <x v="53"/>
    <x v="3"/>
    <m/>
    <n v="1.3484100000000001"/>
    <n v="1.39151"/>
    <n v="1.3699600000000001"/>
    <n v="431"/>
  </r>
  <r>
    <x v="7"/>
    <x v="53"/>
    <x v="3"/>
    <m/>
    <n v="1.3484100000000001"/>
    <n v="1.39151"/>
    <n v="1.3699600000000001"/>
    <n v="431"/>
  </r>
  <r>
    <x v="7"/>
    <x v="53"/>
    <x v="3"/>
    <m/>
    <n v="1.3484100000000001"/>
    <n v="1.39151"/>
    <n v="1.3699600000000001"/>
    <n v="431"/>
  </r>
  <r>
    <x v="7"/>
    <x v="53"/>
    <x v="3"/>
    <m/>
    <n v="1.3484100000000001"/>
    <n v="1.39151"/>
    <n v="1.3699600000000001"/>
    <n v="431"/>
  </r>
  <r>
    <x v="7"/>
    <x v="53"/>
    <x v="3"/>
    <m/>
    <n v="1.3484100000000001"/>
    <n v="1.39151"/>
    <n v="1.3699600000000001"/>
    <n v="431"/>
  </r>
  <r>
    <x v="7"/>
    <x v="53"/>
    <x v="3"/>
    <m/>
    <n v="1.3484100000000001"/>
    <n v="1.39151"/>
    <n v="1.3699600000000001"/>
    <n v="431"/>
  </r>
  <r>
    <x v="7"/>
    <x v="53"/>
    <x v="3"/>
    <m/>
    <n v="1.3484100000000001"/>
    <n v="1.39151"/>
    <n v="1.3699600000000001"/>
    <n v="431"/>
  </r>
  <r>
    <x v="7"/>
    <x v="53"/>
    <x v="3"/>
    <m/>
    <n v="1.3484100000000001"/>
    <n v="1.39151"/>
    <n v="1.3699600000000001"/>
    <n v="431"/>
  </r>
  <r>
    <x v="7"/>
    <x v="53"/>
    <x v="3"/>
    <m/>
    <n v="1.3484100000000001"/>
    <n v="1.39151"/>
    <n v="1.3699600000000001"/>
    <n v="431"/>
  </r>
  <r>
    <x v="7"/>
    <x v="53"/>
    <x v="3"/>
    <m/>
    <n v="1.3484100000000001"/>
    <n v="1.39151"/>
    <n v="1.3699600000000001"/>
    <n v="431"/>
  </r>
  <r>
    <x v="7"/>
    <x v="53"/>
    <x v="6"/>
    <m/>
    <n v="0.80779999999999996"/>
    <n v="0.86924999999999997"/>
    <n v="0.83852499999999996"/>
    <n v="614.5"/>
  </r>
  <r>
    <x v="7"/>
    <x v="53"/>
    <x v="6"/>
    <m/>
    <n v="0.80779999999999996"/>
    <n v="0.86924999999999997"/>
    <n v="0.83852499999999996"/>
    <n v="614.5"/>
  </r>
  <r>
    <x v="7"/>
    <x v="53"/>
    <x v="6"/>
    <m/>
    <n v="0.80779999999999996"/>
    <n v="0.86924999999999997"/>
    <n v="0.83852499999999996"/>
    <n v="614.5"/>
  </r>
  <r>
    <x v="7"/>
    <x v="53"/>
    <x v="6"/>
    <m/>
    <n v="0.80779999999999996"/>
    <n v="0.86924999999999997"/>
    <n v="0.83852499999999996"/>
    <n v="614.5"/>
  </r>
  <r>
    <x v="7"/>
    <x v="53"/>
    <x v="6"/>
    <m/>
    <n v="0.80779999999999996"/>
    <n v="0.86924999999999997"/>
    <n v="0.83852499999999996"/>
    <n v="614.5"/>
  </r>
  <r>
    <x v="7"/>
    <x v="53"/>
    <x v="6"/>
    <m/>
    <n v="0.80779999999999996"/>
    <n v="0.86924999999999997"/>
    <n v="0.83852499999999996"/>
    <n v="614.5"/>
  </r>
  <r>
    <x v="7"/>
    <x v="53"/>
    <x v="6"/>
    <m/>
    <n v="0.80779999999999996"/>
    <n v="0.86924999999999997"/>
    <n v="0.83852499999999996"/>
    <n v="614.5"/>
  </r>
  <r>
    <x v="7"/>
    <x v="53"/>
    <x v="6"/>
    <m/>
    <n v="0.80779999999999996"/>
    <n v="0.86924999999999997"/>
    <n v="0.83852499999999996"/>
    <n v="614.5"/>
  </r>
  <r>
    <x v="7"/>
    <x v="53"/>
    <x v="6"/>
    <m/>
    <n v="0.80779999999999996"/>
    <n v="0.86924999999999997"/>
    <n v="0.83852499999999996"/>
    <n v="614.5"/>
  </r>
  <r>
    <x v="7"/>
    <x v="53"/>
    <x v="6"/>
    <m/>
    <n v="0.80779999999999996"/>
    <n v="0.86924999999999997"/>
    <n v="0.83852499999999996"/>
    <n v="614.5"/>
  </r>
  <r>
    <x v="7"/>
    <x v="53"/>
    <x v="6"/>
    <m/>
    <n v="0.80779999999999996"/>
    <n v="0.86924999999999997"/>
    <n v="0.83852499999999996"/>
    <n v="614.5"/>
  </r>
  <r>
    <x v="7"/>
    <x v="53"/>
    <x v="6"/>
    <m/>
    <n v="0.80779999999999996"/>
    <n v="0.86924999999999997"/>
    <n v="0.83852499999999996"/>
    <n v="614.5"/>
  </r>
  <r>
    <x v="7"/>
    <x v="53"/>
    <x v="6"/>
    <m/>
    <n v="0.80779999999999996"/>
    <n v="0.86924999999999997"/>
    <n v="0.83852499999999996"/>
    <n v="614.5"/>
  </r>
  <r>
    <x v="7"/>
    <x v="53"/>
    <x v="6"/>
    <m/>
    <n v="0.80779999999999996"/>
    <n v="0.86924999999999997"/>
    <n v="0.83852499999999996"/>
    <n v="614.5"/>
  </r>
  <r>
    <x v="7"/>
    <x v="53"/>
    <x v="6"/>
    <m/>
    <n v="0.80779999999999996"/>
    <n v="0.86924999999999997"/>
    <n v="0.83852499999999996"/>
    <n v="614.5"/>
  </r>
  <r>
    <x v="7"/>
    <x v="53"/>
    <x v="6"/>
    <m/>
    <n v="0.80779999999999996"/>
    <n v="0.86924999999999997"/>
    <n v="0.83852499999999996"/>
    <n v="614.5"/>
  </r>
  <r>
    <x v="7"/>
    <x v="53"/>
    <x v="6"/>
    <m/>
    <n v="0.80779999999999996"/>
    <n v="0.86924999999999997"/>
    <n v="0.83852499999999996"/>
    <n v="614.5"/>
  </r>
  <r>
    <x v="7"/>
    <x v="53"/>
    <x v="6"/>
    <m/>
    <n v="0.80779999999999996"/>
    <n v="0.86924999999999997"/>
    <n v="0.83852499999999996"/>
    <n v="614.5"/>
  </r>
  <r>
    <x v="7"/>
    <x v="54"/>
    <x v="6"/>
    <m/>
    <n v="0.80779999999999996"/>
    <n v="0.86924999999999997"/>
    <n v="0.83852499999999996"/>
    <n v="614.5"/>
  </r>
  <r>
    <x v="7"/>
    <x v="54"/>
    <x v="6"/>
    <m/>
    <n v="0.80779999999999996"/>
    <n v="0.86924999999999997"/>
    <n v="0.83852499999999996"/>
    <n v="614.5"/>
  </r>
  <r>
    <x v="7"/>
    <x v="54"/>
    <x v="6"/>
    <m/>
    <n v="0.80779999999999996"/>
    <n v="0.86924999999999997"/>
    <n v="0.83852499999999996"/>
    <n v="614.5"/>
  </r>
  <r>
    <x v="7"/>
    <x v="54"/>
    <x v="6"/>
    <m/>
    <n v="0.80779999999999996"/>
    <n v="0.86924999999999997"/>
    <n v="0.83852499999999996"/>
    <n v="614.5"/>
  </r>
  <r>
    <x v="7"/>
    <x v="54"/>
    <x v="6"/>
    <m/>
    <n v="0.80779999999999996"/>
    <n v="0.86924999999999997"/>
    <n v="0.83852499999999996"/>
    <n v="614.5"/>
  </r>
  <r>
    <x v="7"/>
    <x v="54"/>
    <x v="6"/>
    <m/>
    <n v="0.80779999999999996"/>
    <n v="0.86924999999999997"/>
    <n v="0.83852499999999996"/>
    <n v="614.5"/>
  </r>
  <r>
    <x v="7"/>
    <x v="54"/>
    <x v="6"/>
    <m/>
    <n v="0.80779999999999996"/>
    <n v="0.86924999999999997"/>
    <n v="0.83852499999999996"/>
    <n v="614.5"/>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4"/>
    <m/>
    <n v="88.756"/>
    <n v="96.022000000000006"/>
    <n v="92.388999999999996"/>
    <n v="726.6"/>
  </r>
  <r>
    <x v="7"/>
    <x v="54"/>
    <x v="3"/>
    <m/>
    <n v="1.3484100000000001"/>
    <n v="1.39151"/>
    <n v="1.3699600000000001"/>
    <n v="431"/>
  </r>
  <r>
    <x v="7"/>
    <x v="54"/>
    <x v="3"/>
    <m/>
    <n v="1.3484100000000001"/>
    <n v="1.39151"/>
    <n v="1.3699600000000001"/>
    <n v="431"/>
  </r>
  <r>
    <x v="7"/>
    <x v="54"/>
    <x v="3"/>
    <m/>
    <n v="1.3484100000000001"/>
    <n v="1.39151"/>
    <n v="1.3699600000000001"/>
    <n v="431"/>
  </r>
  <r>
    <x v="7"/>
    <x v="54"/>
    <x v="3"/>
    <m/>
    <n v="1.3484100000000001"/>
    <n v="1.39151"/>
    <n v="1.3699600000000001"/>
    <n v="431"/>
  </r>
  <r>
    <x v="7"/>
    <x v="54"/>
    <x v="3"/>
    <m/>
    <n v="1.3484100000000001"/>
    <n v="1.39151"/>
    <n v="1.3699600000000001"/>
    <n v="431"/>
  </r>
  <r>
    <x v="7"/>
    <x v="54"/>
    <x v="3"/>
    <m/>
    <n v="1.3484100000000001"/>
    <n v="1.39151"/>
    <n v="1.3699600000000001"/>
    <n v="431"/>
  </r>
  <r>
    <x v="7"/>
    <x v="54"/>
    <x v="3"/>
    <m/>
    <n v="1.3484100000000001"/>
    <n v="1.39151"/>
    <n v="1.3699600000000001"/>
    <n v="431"/>
  </r>
  <r>
    <x v="7"/>
    <x v="54"/>
    <x v="3"/>
    <m/>
    <n v="1.3484100000000001"/>
    <n v="1.39151"/>
    <n v="1.3699600000000001"/>
    <n v="431"/>
  </r>
  <r>
    <x v="7"/>
    <x v="54"/>
    <x v="3"/>
    <m/>
    <n v="1.3484100000000001"/>
    <n v="1.39151"/>
    <n v="1.3699600000000001"/>
    <n v="431"/>
  </r>
  <r>
    <x v="7"/>
    <x v="54"/>
    <x v="3"/>
    <m/>
    <n v="1.3484100000000001"/>
    <n v="1.39151"/>
    <n v="1.3699600000000001"/>
    <n v="431"/>
  </r>
  <r>
    <x v="7"/>
    <x v="54"/>
    <x v="3"/>
    <m/>
    <n v="1.3484100000000001"/>
    <n v="1.39151"/>
    <n v="1.3699600000000001"/>
    <n v="431"/>
  </r>
  <r>
    <x v="7"/>
    <x v="54"/>
    <x v="3"/>
    <m/>
    <n v="1.3484100000000001"/>
    <n v="1.39151"/>
    <n v="1.3699600000000001"/>
    <n v="431"/>
  </r>
  <r>
    <x v="7"/>
    <x v="54"/>
    <x v="6"/>
    <m/>
    <n v="0.80779999999999996"/>
    <n v="0.86924999999999997"/>
    <n v="0.83852499999999996"/>
    <n v="614.5"/>
  </r>
  <r>
    <x v="7"/>
    <x v="54"/>
    <x v="6"/>
    <m/>
    <n v="0.80779999999999996"/>
    <n v="0.86924999999999997"/>
    <n v="0.83852499999999996"/>
    <n v="614.5"/>
  </r>
  <r>
    <x v="7"/>
    <x v="54"/>
    <x v="6"/>
    <m/>
    <n v="0.80779999999999996"/>
    <n v="0.86924999999999997"/>
    <n v="0.83852499999999996"/>
    <n v="614.5"/>
  </r>
  <r>
    <x v="7"/>
    <x v="54"/>
    <x v="6"/>
    <m/>
    <n v="0.80779999999999996"/>
    <n v="0.86924999999999997"/>
    <n v="0.83852499999999996"/>
    <n v="614.5"/>
  </r>
  <r>
    <x v="7"/>
    <x v="54"/>
    <x v="6"/>
    <m/>
    <n v="0.80779999999999996"/>
    <n v="0.86924999999999997"/>
    <n v="0.83852499999999996"/>
    <n v="614.5"/>
  </r>
  <r>
    <x v="7"/>
    <x v="54"/>
    <x v="6"/>
    <m/>
    <n v="0.80779999999999996"/>
    <n v="0.86924999999999997"/>
    <n v="0.83852499999999996"/>
    <n v="614.5"/>
  </r>
  <r>
    <x v="7"/>
    <x v="54"/>
    <x v="6"/>
    <m/>
    <n v="0.80779999999999996"/>
    <n v="0.86924999999999997"/>
    <n v="0.83852499999999996"/>
    <n v="614.5"/>
  </r>
  <r>
    <x v="7"/>
    <x v="54"/>
    <x v="6"/>
    <m/>
    <n v="0.80779999999999996"/>
    <n v="0.86924999999999997"/>
    <n v="0.83852499999999996"/>
    <n v="614.5"/>
  </r>
  <r>
    <x v="7"/>
    <x v="54"/>
    <x v="6"/>
    <m/>
    <n v="0.80779999999999996"/>
    <n v="0.86924999999999997"/>
    <n v="0.83852499999999996"/>
    <n v="614.5"/>
  </r>
  <r>
    <x v="7"/>
    <x v="54"/>
    <x v="6"/>
    <m/>
    <n v="0.80779999999999996"/>
    <n v="0.86924999999999997"/>
    <n v="0.83852499999999996"/>
    <n v="614.5"/>
  </r>
  <r>
    <x v="7"/>
    <x v="54"/>
    <x v="6"/>
    <m/>
    <n v="0.80779999999999996"/>
    <n v="0.86924999999999997"/>
    <n v="0.83852499999999996"/>
    <n v="614.5"/>
  </r>
  <r>
    <x v="7"/>
    <x v="54"/>
    <x v="6"/>
    <m/>
    <n v="0.80779999999999996"/>
    <n v="0.86924999999999997"/>
    <n v="0.83852499999999996"/>
    <n v="614.5"/>
  </r>
  <r>
    <x v="7"/>
    <x v="54"/>
    <x v="6"/>
    <m/>
    <n v="0.80779999999999996"/>
    <n v="0.86924999999999997"/>
    <n v="0.83852499999999996"/>
    <n v="614.5"/>
  </r>
  <r>
    <x v="7"/>
    <x v="54"/>
    <x v="6"/>
    <m/>
    <n v="0.80779999999999996"/>
    <n v="0.86924999999999997"/>
    <n v="0.83852499999999996"/>
    <n v="614.5"/>
  </r>
  <r>
    <x v="7"/>
    <x v="54"/>
    <x v="6"/>
    <m/>
    <n v="0.80779999999999996"/>
    <n v="0.86924999999999997"/>
    <n v="0.83852499999999996"/>
    <n v="614.5"/>
  </r>
  <r>
    <x v="7"/>
    <x v="54"/>
    <x v="6"/>
    <m/>
    <n v="0.80779999999999996"/>
    <n v="0.86924999999999997"/>
    <n v="0.83852499999999996"/>
    <n v="614.5"/>
  </r>
  <r>
    <x v="7"/>
    <x v="54"/>
    <x v="6"/>
    <m/>
    <n v="0.80779999999999996"/>
    <n v="0.86924999999999997"/>
    <n v="0.83852499999999996"/>
    <n v="614.5"/>
  </r>
  <r>
    <x v="7"/>
    <x v="54"/>
    <x v="6"/>
    <m/>
    <n v="0.80779999999999996"/>
    <n v="0.86924999999999997"/>
    <n v="0.83852499999999996"/>
    <n v="614.5"/>
  </r>
  <r>
    <x v="7"/>
    <x v="54"/>
    <x v="6"/>
    <m/>
    <n v="0.80779999999999996"/>
    <n v="0.86924999999999997"/>
    <n v="0.83852499999999996"/>
    <n v="614.5"/>
  </r>
  <r>
    <x v="7"/>
    <x v="55"/>
    <x v="6"/>
    <m/>
    <n v="0.80779999999999996"/>
    <n v="0.86924999999999997"/>
    <n v="0.83852499999999996"/>
    <n v="614.5"/>
  </r>
  <r>
    <x v="7"/>
    <x v="55"/>
    <x v="6"/>
    <m/>
    <n v="0.80779999999999996"/>
    <n v="0.86924999999999997"/>
    <n v="0.83852499999999996"/>
    <n v="614.5"/>
  </r>
  <r>
    <x v="7"/>
    <x v="55"/>
    <x v="6"/>
    <m/>
    <n v="0.80779999999999996"/>
    <n v="0.86924999999999997"/>
    <n v="0.83852499999999996"/>
    <n v="614.5"/>
  </r>
  <r>
    <x v="7"/>
    <x v="55"/>
    <x v="6"/>
    <m/>
    <n v="0.80779999999999996"/>
    <n v="0.86924999999999997"/>
    <n v="0.83852499999999996"/>
    <n v="614.5"/>
  </r>
  <r>
    <x v="7"/>
    <x v="55"/>
    <x v="6"/>
    <m/>
    <n v="0.80779999999999996"/>
    <n v="0.86924999999999997"/>
    <n v="0.83852499999999996"/>
    <n v="614.5"/>
  </r>
  <r>
    <x v="7"/>
    <x v="55"/>
    <x v="6"/>
    <m/>
    <n v="0.80779999999999996"/>
    <n v="0.86924999999999997"/>
    <n v="0.83852499999999996"/>
    <n v="614.5"/>
  </r>
  <r>
    <x v="7"/>
    <x v="55"/>
    <x v="6"/>
    <m/>
    <n v="0.80779999999999996"/>
    <n v="0.86924999999999997"/>
    <n v="0.83852499999999996"/>
    <n v="614.5"/>
  </r>
  <r>
    <x v="7"/>
    <x v="55"/>
    <x v="6"/>
    <m/>
    <n v="0.80779999999999996"/>
    <n v="0.86924999999999997"/>
    <n v="0.83852499999999996"/>
    <n v="614.5"/>
  </r>
  <r>
    <x v="7"/>
    <x v="55"/>
    <x v="6"/>
    <m/>
    <n v="0.80779999999999996"/>
    <n v="0.86924999999999997"/>
    <n v="0.83852499999999996"/>
    <n v="614.5"/>
  </r>
  <r>
    <x v="7"/>
    <x v="55"/>
    <x v="6"/>
    <m/>
    <n v="0.80779999999999996"/>
    <n v="0.86924999999999997"/>
    <n v="0.83852499999999996"/>
    <n v="614.5"/>
  </r>
  <r>
    <x v="7"/>
    <x v="55"/>
    <x v="6"/>
    <m/>
    <n v="0.80779999999999996"/>
    <n v="0.86924999999999997"/>
    <n v="0.83852499999999996"/>
    <n v="614.5"/>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4"/>
    <m/>
    <n v="88.756"/>
    <n v="96.022000000000006"/>
    <n v="92.388999999999996"/>
    <n v="726.6"/>
  </r>
  <r>
    <x v="7"/>
    <x v="55"/>
    <x v="3"/>
    <m/>
    <n v="1.3484100000000001"/>
    <n v="1.39151"/>
    <n v="1.3699600000000001"/>
    <n v="431"/>
  </r>
  <r>
    <x v="7"/>
    <x v="55"/>
    <x v="3"/>
    <m/>
    <n v="1.3484100000000001"/>
    <n v="1.39151"/>
    <n v="1.3699600000000001"/>
    <n v="431"/>
  </r>
  <r>
    <x v="7"/>
    <x v="55"/>
    <x v="3"/>
    <m/>
    <n v="1.3484100000000001"/>
    <n v="1.39151"/>
    <n v="1.3699600000000001"/>
    <n v="431"/>
  </r>
  <r>
    <x v="7"/>
    <x v="55"/>
    <x v="3"/>
    <m/>
    <n v="1.3484100000000001"/>
    <n v="1.39151"/>
    <n v="1.3699600000000001"/>
    <n v="431"/>
  </r>
  <r>
    <x v="7"/>
    <x v="55"/>
    <x v="3"/>
    <m/>
    <n v="1.3484100000000001"/>
    <n v="1.39151"/>
    <n v="1.3699600000000001"/>
    <n v="431"/>
  </r>
  <r>
    <x v="7"/>
    <x v="55"/>
    <x v="3"/>
    <m/>
    <n v="1.3484100000000001"/>
    <n v="1.39151"/>
    <n v="1.3699600000000001"/>
    <n v="431"/>
  </r>
  <r>
    <x v="7"/>
    <x v="55"/>
    <x v="3"/>
    <m/>
    <n v="1.3484100000000001"/>
    <n v="1.39151"/>
    <n v="1.3699600000000001"/>
    <n v="431"/>
  </r>
  <r>
    <x v="7"/>
    <x v="55"/>
    <x v="3"/>
    <m/>
    <n v="1.3484100000000001"/>
    <n v="1.39151"/>
    <n v="1.3699600000000001"/>
    <n v="431"/>
  </r>
  <r>
    <x v="7"/>
    <x v="55"/>
    <x v="3"/>
    <m/>
    <n v="1.3484100000000001"/>
    <n v="1.39151"/>
    <n v="1.3699600000000001"/>
    <n v="431"/>
  </r>
  <r>
    <x v="7"/>
    <x v="55"/>
    <x v="3"/>
    <m/>
    <n v="1.3484100000000001"/>
    <n v="1.39151"/>
    <n v="1.3699600000000001"/>
    <n v="431"/>
  </r>
  <r>
    <x v="7"/>
    <x v="55"/>
    <x v="3"/>
    <m/>
    <n v="1.3484100000000001"/>
    <n v="1.39151"/>
    <n v="1.3699600000000001"/>
    <n v="431"/>
  </r>
  <r>
    <x v="7"/>
    <x v="55"/>
    <x v="3"/>
    <m/>
    <n v="1.3484100000000001"/>
    <n v="1.39151"/>
    <n v="1.3699600000000001"/>
    <n v="431"/>
  </r>
  <r>
    <x v="7"/>
    <x v="55"/>
    <x v="3"/>
    <m/>
    <n v="1.3484100000000001"/>
    <n v="1.39151"/>
    <n v="1.3699600000000001"/>
    <n v="431"/>
  </r>
  <r>
    <x v="7"/>
    <x v="55"/>
    <x v="6"/>
    <m/>
    <n v="0.80779999999999996"/>
    <n v="0.86924999999999997"/>
    <n v="0.83852499999999996"/>
    <n v="614.5"/>
  </r>
  <r>
    <x v="7"/>
    <x v="55"/>
    <x v="6"/>
    <m/>
    <n v="0.80779999999999996"/>
    <n v="0.86924999999999997"/>
    <n v="0.83852499999999996"/>
    <n v="614.5"/>
  </r>
  <r>
    <x v="7"/>
    <x v="55"/>
    <x v="6"/>
    <m/>
    <n v="0.80779999999999996"/>
    <n v="0.86924999999999997"/>
    <n v="0.83852499999999996"/>
    <n v="614.5"/>
  </r>
  <r>
    <x v="7"/>
    <x v="55"/>
    <x v="6"/>
    <m/>
    <n v="0.80779999999999996"/>
    <n v="0.86924999999999997"/>
    <n v="0.83852499999999996"/>
    <n v="614.5"/>
  </r>
  <r>
    <x v="7"/>
    <x v="55"/>
    <x v="6"/>
    <m/>
    <n v="0.80779999999999996"/>
    <n v="0.86924999999999997"/>
    <n v="0.83852499999999996"/>
    <n v="614.5"/>
  </r>
  <r>
    <x v="7"/>
    <x v="55"/>
    <x v="6"/>
    <m/>
    <n v="0.80779999999999996"/>
    <n v="0.86924999999999997"/>
    <n v="0.83852499999999996"/>
    <n v="614.5"/>
  </r>
  <r>
    <x v="7"/>
    <x v="55"/>
    <x v="6"/>
    <m/>
    <n v="0.80779999999999996"/>
    <n v="0.86924999999999997"/>
    <n v="0.83852499999999996"/>
    <n v="614.5"/>
  </r>
  <r>
    <x v="7"/>
    <x v="55"/>
    <x v="6"/>
    <m/>
    <n v="0.80779999999999996"/>
    <n v="0.86924999999999997"/>
    <n v="0.83852499999999996"/>
    <n v="614.5"/>
  </r>
  <r>
    <x v="7"/>
    <x v="55"/>
    <x v="6"/>
    <m/>
    <n v="0.80779999999999996"/>
    <n v="0.86924999999999997"/>
    <n v="0.83852499999999996"/>
    <n v="614.5"/>
  </r>
  <r>
    <x v="7"/>
    <x v="55"/>
    <x v="6"/>
    <m/>
    <n v="0.80779999999999996"/>
    <n v="0.86924999999999997"/>
    <n v="0.83852499999999996"/>
    <n v="614.5"/>
  </r>
  <r>
    <x v="7"/>
    <x v="55"/>
    <x v="6"/>
    <m/>
    <n v="0.80779999999999996"/>
    <n v="0.86924999999999997"/>
    <n v="0.83852499999999996"/>
    <n v="614.5"/>
  </r>
  <r>
    <x v="7"/>
    <x v="55"/>
    <x v="6"/>
    <m/>
    <n v="0.80779999999999996"/>
    <n v="0.86924999999999997"/>
    <n v="0.83852499999999996"/>
    <n v="614.5"/>
  </r>
  <r>
    <x v="7"/>
    <x v="55"/>
    <x v="6"/>
    <m/>
    <n v="0.80779999999999996"/>
    <n v="0.86924999999999997"/>
    <n v="0.83852499999999996"/>
    <n v="614.5"/>
  </r>
  <r>
    <x v="7"/>
    <x v="55"/>
    <x v="6"/>
    <m/>
    <n v="0.80779999999999996"/>
    <n v="0.86924999999999997"/>
    <n v="0.83852499999999996"/>
    <n v="614.5"/>
  </r>
  <r>
    <x v="7"/>
    <x v="55"/>
    <x v="6"/>
    <m/>
    <n v="0.80779999999999996"/>
    <n v="0.86924999999999997"/>
    <n v="0.83852499999999996"/>
    <n v="614.5"/>
  </r>
  <r>
    <x v="7"/>
    <x v="55"/>
    <x v="6"/>
    <m/>
    <n v="0.80779999999999996"/>
    <n v="0.86924999999999997"/>
    <n v="0.83852499999999996"/>
    <n v="614.5"/>
  </r>
  <r>
    <x v="7"/>
    <x v="55"/>
    <x v="6"/>
    <m/>
    <n v="0.80779999999999996"/>
    <n v="0.86924999999999997"/>
    <n v="0.83852499999999996"/>
    <n v="614.5"/>
  </r>
  <r>
    <x v="7"/>
    <x v="55"/>
    <x v="6"/>
    <m/>
    <n v="0.80779999999999996"/>
    <n v="0.86924999999999997"/>
    <n v="0.83852499999999996"/>
    <n v="614.5"/>
  </r>
  <r>
    <x v="7"/>
    <x v="56"/>
    <x v="6"/>
    <m/>
    <n v="0.80779999999999996"/>
    <n v="0.86924999999999997"/>
    <n v="0.83852499999999996"/>
    <n v="614.5"/>
  </r>
  <r>
    <x v="7"/>
    <x v="56"/>
    <x v="6"/>
    <m/>
    <n v="0.80779999999999996"/>
    <n v="0.86924999999999997"/>
    <n v="0.83852499999999996"/>
    <n v="614.5"/>
  </r>
  <r>
    <x v="7"/>
    <x v="56"/>
    <x v="6"/>
    <m/>
    <n v="0.80779999999999996"/>
    <n v="0.86924999999999997"/>
    <n v="0.83852499999999996"/>
    <n v="614.5"/>
  </r>
  <r>
    <x v="7"/>
    <x v="56"/>
    <x v="6"/>
    <m/>
    <n v="0.80779999999999996"/>
    <n v="0.86924999999999997"/>
    <n v="0.83852499999999996"/>
    <n v="614.5"/>
  </r>
  <r>
    <x v="7"/>
    <x v="56"/>
    <x v="6"/>
    <m/>
    <n v="0.80779999999999996"/>
    <n v="0.86924999999999997"/>
    <n v="0.83852499999999996"/>
    <n v="614.5"/>
  </r>
  <r>
    <x v="7"/>
    <x v="56"/>
    <x v="6"/>
    <m/>
    <n v="0.80779999999999996"/>
    <n v="0.86924999999999997"/>
    <n v="0.83852499999999996"/>
    <n v="614.5"/>
  </r>
  <r>
    <x v="7"/>
    <x v="56"/>
    <x v="6"/>
    <m/>
    <n v="0.80779999999999996"/>
    <n v="0.86924999999999997"/>
    <n v="0.83852499999999996"/>
    <n v="614.5"/>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4"/>
    <m/>
    <n v="88.756"/>
    <n v="96.022000000000006"/>
    <n v="92.388999999999996"/>
    <n v="726.6"/>
  </r>
  <r>
    <x v="7"/>
    <x v="56"/>
    <x v="3"/>
    <m/>
    <n v="1.3484100000000001"/>
    <n v="1.39151"/>
    <n v="1.3699600000000001"/>
    <n v="431"/>
  </r>
  <r>
    <x v="7"/>
    <x v="56"/>
    <x v="3"/>
    <m/>
    <n v="1.3484100000000001"/>
    <n v="1.39151"/>
    <n v="1.3699600000000001"/>
    <n v="431"/>
  </r>
  <r>
    <x v="7"/>
    <x v="56"/>
    <x v="3"/>
    <m/>
    <n v="1.3484100000000001"/>
    <n v="1.39151"/>
    <n v="1.3699600000000001"/>
    <n v="431"/>
  </r>
  <r>
    <x v="7"/>
    <x v="56"/>
    <x v="3"/>
    <m/>
    <n v="1.3484100000000001"/>
    <n v="1.39151"/>
    <n v="1.3699600000000001"/>
    <n v="431"/>
  </r>
  <r>
    <x v="7"/>
    <x v="56"/>
    <x v="3"/>
    <m/>
    <n v="1.3484100000000001"/>
    <n v="1.39151"/>
    <n v="1.3699600000000001"/>
    <n v="431"/>
  </r>
  <r>
    <x v="7"/>
    <x v="56"/>
    <x v="3"/>
    <m/>
    <n v="1.3484100000000001"/>
    <n v="1.39151"/>
    <n v="1.3699600000000001"/>
    <n v="431"/>
  </r>
  <r>
    <x v="7"/>
    <x v="56"/>
    <x v="3"/>
    <m/>
    <n v="1.3484100000000001"/>
    <n v="1.39151"/>
    <n v="1.3699600000000001"/>
    <n v="431"/>
  </r>
  <r>
    <x v="7"/>
    <x v="56"/>
    <x v="3"/>
    <m/>
    <n v="1.3484100000000001"/>
    <n v="1.39151"/>
    <n v="1.3699600000000001"/>
    <n v="431"/>
  </r>
  <r>
    <x v="7"/>
    <x v="56"/>
    <x v="3"/>
    <m/>
    <n v="1.3484100000000001"/>
    <n v="1.39151"/>
    <n v="1.3699600000000001"/>
    <n v="431"/>
  </r>
  <r>
    <x v="7"/>
    <x v="56"/>
    <x v="3"/>
    <m/>
    <n v="1.3484100000000001"/>
    <n v="1.39151"/>
    <n v="1.3699600000000001"/>
    <n v="431"/>
  </r>
  <r>
    <x v="7"/>
    <x v="56"/>
    <x v="3"/>
    <m/>
    <n v="1.3484100000000001"/>
    <n v="1.39151"/>
    <n v="1.3699600000000001"/>
    <n v="431"/>
  </r>
  <r>
    <x v="7"/>
    <x v="56"/>
    <x v="6"/>
    <m/>
    <n v="0.80779999999999996"/>
    <n v="0.86924999999999997"/>
    <n v="0.83852499999999996"/>
    <n v="614.5"/>
  </r>
  <r>
    <x v="7"/>
    <x v="56"/>
    <x v="6"/>
    <m/>
    <n v="0.80779999999999996"/>
    <n v="0.86924999999999997"/>
    <n v="0.83852499999999996"/>
    <n v="614.5"/>
  </r>
  <r>
    <x v="7"/>
    <x v="56"/>
    <x v="6"/>
    <m/>
    <n v="0.80779999999999996"/>
    <n v="0.86924999999999997"/>
    <n v="0.83852499999999996"/>
    <n v="614.5"/>
  </r>
  <r>
    <x v="7"/>
    <x v="56"/>
    <x v="6"/>
    <m/>
    <n v="0.80779999999999996"/>
    <n v="0.86924999999999997"/>
    <n v="0.83852499999999996"/>
    <n v="614.5"/>
  </r>
  <r>
    <x v="7"/>
    <x v="56"/>
    <x v="6"/>
    <m/>
    <n v="0.80779999999999996"/>
    <n v="0.86924999999999997"/>
    <n v="0.83852499999999996"/>
    <n v="614.5"/>
  </r>
  <r>
    <x v="7"/>
    <x v="56"/>
    <x v="6"/>
    <m/>
    <n v="0.80779999999999996"/>
    <n v="0.86924999999999997"/>
    <n v="0.83852499999999996"/>
    <n v="614.5"/>
  </r>
  <r>
    <x v="7"/>
    <x v="56"/>
    <x v="6"/>
    <m/>
    <n v="0.80779999999999996"/>
    <n v="0.86924999999999997"/>
    <n v="0.83852499999999996"/>
    <n v="614.5"/>
  </r>
  <r>
    <x v="7"/>
    <x v="56"/>
    <x v="6"/>
    <m/>
    <n v="0.80779999999999996"/>
    <n v="0.86924999999999997"/>
    <n v="0.83852499999999996"/>
    <n v="614.5"/>
  </r>
  <r>
    <x v="7"/>
    <x v="56"/>
    <x v="6"/>
    <m/>
    <n v="0.80779999999999996"/>
    <n v="0.86924999999999997"/>
    <n v="0.83852499999999996"/>
    <n v="614.5"/>
  </r>
  <r>
    <x v="7"/>
    <x v="56"/>
    <x v="6"/>
    <m/>
    <n v="0.80779999999999996"/>
    <n v="0.86924999999999997"/>
    <n v="0.83852499999999996"/>
    <n v="614.5"/>
  </r>
  <r>
    <x v="7"/>
    <x v="56"/>
    <x v="6"/>
    <m/>
    <n v="0.80779999999999996"/>
    <n v="0.86924999999999997"/>
    <n v="0.83852499999999996"/>
    <n v="614.5"/>
  </r>
  <r>
    <x v="7"/>
    <x v="56"/>
    <x v="6"/>
    <m/>
    <n v="0.80779999999999996"/>
    <n v="0.86924999999999997"/>
    <n v="0.83852499999999996"/>
    <n v="614.5"/>
  </r>
  <r>
    <x v="7"/>
    <x v="56"/>
    <x v="6"/>
    <m/>
    <n v="0.80779999999999996"/>
    <n v="0.86924999999999997"/>
    <n v="0.83852499999999996"/>
    <n v="614.5"/>
  </r>
  <r>
    <x v="7"/>
    <x v="56"/>
    <x v="6"/>
    <m/>
    <n v="0.80779999999999996"/>
    <n v="0.86924999999999997"/>
    <n v="0.83852499999999996"/>
    <n v="614.5"/>
  </r>
  <r>
    <x v="7"/>
    <x v="56"/>
    <x v="6"/>
    <m/>
    <n v="0.80779999999999996"/>
    <n v="0.86924999999999997"/>
    <n v="0.83852499999999996"/>
    <n v="614.5"/>
  </r>
  <r>
    <x v="7"/>
    <x v="56"/>
    <x v="6"/>
    <m/>
    <n v="0.80779999999999996"/>
    <n v="0.86924999999999997"/>
    <n v="0.83852499999999996"/>
    <n v="614.5"/>
  </r>
  <r>
    <x v="7"/>
    <x v="56"/>
    <x v="6"/>
    <m/>
    <n v="0.80779999999999996"/>
    <n v="0.86924999999999997"/>
    <n v="0.83852499999999996"/>
    <n v="614.5"/>
  </r>
  <r>
    <x v="7"/>
    <x v="56"/>
    <x v="6"/>
    <m/>
    <n v="0.80779999999999996"/>
    <n v="0.86924999999999997"/>
    <n v="0.83852499999999996"/>
    <n v="614.5"/>
  </r>
  <r>
    <x v="7"/>
    <x v="56"/>
    <x v="6"/>
    <m/>
    <n v="0.80779999999999996"/>
    <n v="0.86924999999999997"/>
    <n v="0.83852499999999996"/>
    <n v="614.5"/>
  </r>
  <r>
    <x v="7"/>
    <x v="56"/>
    <x v="6"/>
    <m/>
    <n v="0.80779999999999996"/>
    <n v="0.86924999999999997"/>
    <n v="0.83852499999999996"/>
    <n v="614.5"/>
  </r>
  <r>
    <x v="7"/>
    <x v="56"/>
    <x v="6"/>
    <m/>
    <n v="0.80779999999999996"/>
    <n v="0.86924999999999997"/>
    <n v="0.83852499999999996"/>
    <n v="614.5"/>
  </r>
  <r>
    <x v="7"/>
    <x v="56"/>
    <x v="6"/>
    <m/>
    <n v="0.80779999999999996"/>
    <n v="0.86924999999999997"/>
    <n v="0.83852499999999996"/>
    <n v="614.5"/>
  </r>
  <r>
    <x v="7"/>
    <x v="57"/>
    <x v="6"/>
    <m/>
    <n v="0.80779999999999996"/>
    <n v="0.86924999999999997"/>
    <n v="0.83852499999999996"/>
    <n v="614.5"/>
  </r>
  <r>
    <x v="7"/>
    <x v="57"/>
    <x v="6"/>
    <m/>
    <n v="0.80779999999999996"/>
    <n v="0.86924999999999997"/>
    <n v="0.83852499999999996"/>
    <n v="614.5"/>
  </r>
  <r>
    <x v="7"/>
    <x v="57"/>
    <x v="6"/>
    <m/>
    <n v="0.80779999999999996"/>
    <n v="0.86924999999999997"/>
    <n v="0.83852499999999996"/>
    <n v="614.5"/>
  </r>
  <r>
    <x v="7"/>
    <x v="57"/>
    <x v="6"/>
    <m/>
    <n v="0.80779999999999996"/>
    <n v="0.86924999999999997"/>
    <n v="0.83852499999999996"/>
    <n v="614.5"/>
  </r>
  <r>
    <x v="7"/>
    <x v="57"/>
    <x v="6"/>
    <m/>
    <n v="0.80779999999999996"/>
    <n v="0.86924999999999997"/>
    <n v="0.83852499999999996"/>
    <n v="614.5"/>
  </r>
  <r>
    <x v="7"/>
    <x v="57"/>
    <x v="6"/>
    <m/>
    <n v="0.80779999999999996"/>
    <n v="0.86924999999999997"/>
    <n v="0.83852499999999996"/>
    <n v="614.5"/>
  </r>
  <r>
    <x v="7"/>
    <x v="57"/>
    <x v="6"/>
    <m/>
    <n v="0.80779999999999996"/>
    <n v="0.86924999999999997"/>
    <n v="0.83852499999999996"/>
    <n v="614.5"/>
  </r>
  <r>
    <x v="7"/>
    <x v="57"/>
    <x v="6"/>
    <m/>
    <n v="0.80779999999999996"/>
    <n v="0.86924999999999997"/>
    <n v="0.83852499999999996"/>
    <n v="614.5"/>
  </r>
  <r>
    <x v="7"/>
    <x v="57"/>
    <x v="6"/>
    <m/>
    <n v="0.80779999999999996"/>
    <n v="0.86924999999999997"/>
    <n v="0.83852499999999996"/>
    <n v="614.5"/>
  </r>
  <r>
    <x v="7"/>
    <x v="57"/>
    <x v="6"/>
    <m/>
    <n v="0.80779999999999996"/>
    <n v="0.86924999999999997"/>
    <n v="0.83852499999999996"/>
    <n v="614.5"/>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4"/>
    <m/>
    <n v="88.756"/>
    <n v="96.022000000000006"/>
    <n v="92.388999999999996"/>
    <n v="726.6"/>
  </r>
  <r>
    <x v="7"/>
    <x v="57"/>
    <x v="3"/>
    <m/>
    <n v="1.3484100000000001"/>
    <n v="1.39151"/>
    <n v="1.3699600000000001"/>
    <n v="431"/>
  </r>
  <r>
    <x v="7"/>
    <x v="57"/>
    <x v="3"/>
    <m/>
    <n v="1.3484100000000001"/>
    <n v="1.39151"/>
    <n v="1.3699600000000001"/>
    <n v="431"/>
  </r>
  <r>
    <x v="7"/>
    <x v="57"/>
    <x v="3"/>
    <m/>
    <n v="1.3484100000000001"/>
    <n v="1.39151"/>
    <n v="1.3699600000000001"/>
    <n v="431"/>
  </r>
  <r>
    <x v="7"/>
    <x v="57"/>
    <x v="3"/>
    <m/>
    <n v="1.3484100000000001"/>
    <n v="1.39151"/>
    <n v="1.3699600000000001"/>
    <n v="431"/>
  </r>
  <r>
    <x v="7"/>
    <x v="57"/>
    <x v="3"/>
    <m/>
    <n v="1.3484100000000001"/>
    <n v="1.39151"/>
    <n v="1.3699600000000001"/>
    <n v="431"/>
  </r>
  <r>
    <x v="7"/>
    <x v="57"/>
    <x v="3"/>
    <m/>
    <n v="1.3484100000000001"/>
    <n v="1.39151"/>
    <n v="1.3699600000000001"/>
    <n v="431"/>
  </r>
  <r>
    <x v="7"/>
    <x v="57"/>
    <x v="3"/>
    <m/>
    <n v="1.3484100000000001"/>
    <n v="1.39151"/>
    <n v="1.3699600000000001"/>
    <n v="431"/>
  </r>
  <r>
    <x v="7"/>
    <x v="57"/>
    <x v="3"/>
    <m/>
    <n v="1.3484100000000001"/>
    <n v="1.39151"/>
    <n v="1.3699600000000001"/>
    <n v="431"/>
  </r>
  <r>
    <x v="7"/>
    <x v="57"/>
    <x v="3"/>
    <m/>
    <n v="1.3484100000000001"/>
    <n v="1.39151"/>
    <n v="1.3699600000000001"/>
    <n v="431"/>
  </r>
  <r>
    <x v="7"/>
    <x v="57"/>
    <x v="3"/>
    <m/>
    <n v="1.3484100000000001"/>
    <n v="1.39151"/>
    <n v="1.3699600000000001"/>
    <n v="431"/>
  </r>
  <r>
    <x v="7"/>
    <x v="57"/>
    <x v="3"/>
    <m/>
    <n v="1.3484100000000001"/>
    <n v="1.39151"/>
    <n v="1.3699600000000001"/>
    <n v="431"/>
  </r>
  <r>
    <x v="7"/>
    <x v="57"/>
    <x v="3"/>
    <m/>
    <n v="1.3484100000000001"/>
    <n v="1.39151"/>
    <n v="1.3699600000000001"/>
    <n v="431"/>
  </r>
  <r>
    <x v="7"/>
    <x v="57"/>
    <x v="3"/>
    <m/>
    <n v="1.3484100000000001"/>
    <n v="1.39151"/>
    <n v="1.3699600000000001"/>
    <n v="431"/>
  </r>
  <r>
    <x v="7"/>
    <x v="57"/>
    <x v="3"/>
    <m/>
    <n v="1.3484100000000001"/>
    <n v="1.39151"/>
    <n v="1.3699600000000001"/>
    <n v="431"/>
  </r>
  <r>
    <x v="7"/>
    <x v="57"/>
    <x v="6"/>
    <m/>
    <n v="0.80779999999999996"/>
    <n v="0.86924999999999997"/>
    <n v="0.83852499999999996"/>
    <n v="614.5"/>
  </r>
  <r>
    <x v="7"/>
    <x v="57"/>
    <x v="6"/>
    <m/>
    <n v="0.80779999999999996"/>
    <n v="0.86924999999999997"/>
    <n v="0.83852499999999996"/>
    <n v="614.5"/>
  </r>
  <r>
    <x v="7"/>
    <x v="57"/>
    <x v="6"/>
    <m/>
    <n v="0.80779999999999996"/>
    <n v="0.86924999999999997"/>
    <n v="0.83852499999999996"/>
    <n v="614.5"/>
  </r>
  <r>
    <x v="7"/>
    <x v="57"/>
    <x v="6"/>
    <m/>
    <n v="0.80779999999999996"/>
    <n v="0.86924999999999997"/>
    <n v="0.83852499999999996"/>
    <n v="614.5"/>
  </r>
  <r>
    <x v="7"/>
    <x v="57"/>
    <x v="6"/>
    <m/>
    <n v="0.80779999999999996"/>
    <n v="0.86924999999999997"/>
    <n v="0.83852499999999996"/>
    <n v="614.5"/>
  </r>
  <r>
    <x v="7"/>
    <x v="57"/>
    <x v="6"/>
    <m/>
    <n v="0.80779999999999996"/>
    <n v="0.86924999999999997"/>
    <n v="0.83852499999999996"/>
    <n v="614.5"/>
  </r>
  <r>
    <x v="7"/>
    <x v="57"/>
    <x v="6"/>
    <m/>
    <n v="0.80779999999999996"/>
    <n v="0.86924999999999997"/>
    <n v="0.83852499999999996"/>
    <n v="614.5"/>
  </r>
  <r>
    <x v="7"/>
    <x v="57"/>
    <x v="6"/>
    <m/>
    <n v="0.80779999999999996"/>
    <n v="0.86924999999999997"/>
    <n v="0.83852499999999996"/>
    <n v="614.5"/>
  </r>
  <r>
    <x v="7"/>
    <x v="57"/>
    <x v="6"/>
    <m/>
    <n v="0.80779999999999996"/>
    <n v="0.86924999999999997"/>
    <n v="0.83852499999999996"/>
    <n v="614.5"/>
  </r>
  <r>
    <x v="7"/>
    <x v="57"/>
    <x v="6"/>
    <m/>
    <n v="0.80779999999999996"/>
    <n v="0.86924999999999997"/>
    <n v="0.83852499999999996"/>
    <n v="614.5"/>
  </r>
  <r>
    <x v="7"/>
    <x v="57"/>
    <x v="6"/>
    <m/>
    <n v="0.80779999999999996"/>
    <n v="0.86924999999999997"/>
    <n v="0.83852499999999996"/>
    <n v="614.5"/>
  </r>
  <r>
    <x v="7"/>
    <x v="57"/>
    <x v="6"/>
    <m/>
    <n v="0.80779999999999996"/>
    <n v="0.86924999999999997"/>
    <n v="0.83852499999999996"/>
    <n v="614.5"/>
  </r>
  <r>
    <x v="7"/>
    <x v="57"/>
    <x v="6"/>
    <m/>
    <n v="0.80779999999999996"/>
    <n v="0.86924999999999997"/>
    <n v="0.83852499999999996"/>
    <n v="614.5"/>
  </r>
  <r>
    <x v="7"/>
    <x v="57"/>
    <x v="6"/>
    <m/>
    <n v="0.80779999999999996"/>
    <n v="0.86924999999999997"/>
    <n v="0.83852499999999996"/>
    <n v="614.5"/>
  </r>
  <r>
    <x v="7"/>
    <x v="57"/>
    <x v="6"/>
    <m/>
    <n v="0.80779999999999996"/>
    <n v="0.86924999999999997"/>
    <n v="0.83852499999999996"/>
    <n v="614.5"/>
  </r>
  <r>
    <x v="7"/>
    <x v="57"/>
    <x v="6"/>
    <m/>
    <n v="0.80779999999999996"/>
    <n v="0.86924999999999997"/>
    <n v="0.83852499999999996"/>
    <n v="614.5"/>
  </r>
  <r>
    <x v="7"/>
    <x v="57"/>
    <x v="6"/>
    <m/>
    <n v="0.80779999999999996"/>
    <n v="0.86924999999999997"/>
    <n v="0.83852499999999996"/>
    <n v="614.5"/>
  </r>
  <r>
    <x v="7"/>
    <x v="57"/>
    <x v="6"/>
    <m/>
    <n v="0.80779999999999996"/>
    <n v="0.86924999999999997"/>
    <n v="0.83852499999999996"/>
    <n v="614.5"/>
  </r>
  <r>
    <x v="7"/>
    <x v="57"/>
    <x v="6"/>
    <m/>
    <n v="0.80779999999999996"/>
    <n v="0.86924999999999997"/>
    <n v="0.83852499999999996"/>
    <n v="614.5"/>
  </r>
  <r>
    <x v="7"/>
    <x v="58"/>
    <x v="6"/>
    <m/>
    <n v="0.80779999999999996"/>
    <n v="0.86924999999999997"/>
    <n v="0.83852499999999996"/>
    <n v="614.5"/>
  </r>
  <r>
    <x v="7"/>
    <x v="58"/>
    <x v="6"/>
    <m/>
    <n v="0.80779999999999996"/>
    <n v="0.86924999999999997"/>
    <n v="0.83852499999999996"/>
    <n v="614.5"/>
  </r>
  <r>
    <x v="7"/>
    <x v="58"/>
    <x v="6"/>
    <m/>
    <n v="0.80779999999999996"/>
    <n v="0.86924999999999997"/>
    <n v="0.83852499999999996"/>
    <n v="614.5"/>
  </r>
  <r>
    <x v="7"/>
    <x v="58"/>
    <x v="6"/>
    <m/>
    <n v="0.80779999999999996"/>
    <n v="0.86924999999999997"/>
    <n v="0.83852499999999996"/>
    <n v="614.5"/>
  </r>
  <r>
    <x v="7"/>
    <x v="58"/>
    <x v="6"/>
    <m/>
    <n v="0.80779999999999996"/>
    <n v="0.86924999999999997"/>
    <n v="0.83852499999999996"/>
    <n v="614.5"/>
  </r>
  <r>
    <x v="7"/>
    <x v="58"/>
    <x v="6"/>
    <m/>
    <n v="0.80779999999999996"/>
    <n v="0.86924999999999997"/>
    <n v="0.83852499999999996"/>
    <n v="614.5"/>
  </r>
  <r>
    <x v="7"/>
    <x v="58"/>
    <x v="6"/>
    <m/>
    <n v="0.80779999999999996"/>
    <n v="0.86924999999999997"/>
    <n v="0.83852499999999996"/>
    <n v="614.5"/>
  </r>
  <r>
    <x v="7"/>
    <x v="58"/>
    <x v="6"/>
    <m/>
    <n v="0.80779999999999996"/>
    <n v="0.86924999999999997"/>
    <n v="0.83852499999999996"/>
    <n v="614.5"/>
  </r>
  <r>
    <x v="7"/>
    <x v="58"/>
    <x v="6"/>
    <m/>
    <n v="0.80779999999999996"/>
    <n v="0.86924999999999997"/>
    <n v="0.83852499999999996"/>
    <n v="614.5"/>
  </r>
  <r>
    <x v="7"/>
    <x v="58"/>
    <x v="6"/>
    <m/>
    <n v="0.80779999999999996"/>
    <n v="0.86924999999999997"/>
    <n v="0.83852499999999996"/>
    <n v="614.5"/>
  </r>
  <r>
    <x v="7"/>
    <x v="58"/>
    <x v="6"/>
    <m/>
    <n v="0.80779999999999996"/>
    <n v="0.86924999999999997"/>
    <n v="0.83852499999999996"/>
    <n v="614.5"/>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4"/>
    <m/>
    <n v="88.756"/>
    <n v="96.022000000000006"/>
    <n v="92.388999999999996"/>
    <n v="726.6"/>
  </r>
  <r>
    <x v="7"/>
    <x v="58"/>
    <x v="3"/>
    <m/>
    <n v="1.3484100000000001"/>
    <n v="1.39151"/>
    <n v="1.3699600000000001"/>
    <n v="431"/>
  </r>
  <r>
    <x v="7"/>
    <x v="58"/>
    <x v="3"/>
    <m/>
    <n v="1.3484100000000001"/>
    <n v="1.39151"/>
    <n v="1.3699600000000001"/>
    <n v="431"/>
  </r>
  <r>
    <x v="7"/>
    <x v="58"/>
    <x v="3"/>
    <m/>
    <n v="1.3484100000000001"/>
    <n v="1.39151"/>
    <n v="1.3699600000000001"/>
    <n v="431"/>
  </r>
  <r>
    <x v="7"/>
    <x v="58"/>
    <x v="3"/>
    <m/>
    <n v="1.3484100000000001"/>
    <n v="1.39151"/>
    <n v="1.3699600000000001"/>
    <n v="431"/>
  </r>
  <r>
    <x v="7"/>
    <x v="58"/>
    <x v="3"/>
    <m/>
    <n v="1.3484100000000001"/>
    <n v="1.39151"/>
    <n v="1.3699600000000001"/>
    <n v="431"/>
  </r>
  <r>
    <x v="7"/>
    <x v="58"/>
    <x v="3"/>
    <m/>
    <n v="1.3484100000000001"/>
    <n v="1.39151"/>
    <n v="1.3699600000000001"/>
    <n v="431"/>
  </r>
  <r>
    <x v="7"/>
    <x v="58"/>
    <x v="3"/>
    <m/>
    <n v="1.3484100000000001"/>
    <n v="1.39151"/>
    <n v="1.3699600000000001"/>
    <n v="431"/>
  </r>
  <r>
    <x v="7"/>
    <x v="58"/>
    <x v="3"/>
    <m/>
    <n v="1.3484100000000001"/>
    <n v="1.39151"/>
    <n v="1.3699600000000001"/>
    <n v="431"/>
  </r>
  <r>
    <x v="7"/>
    <x v="58"/>
    <x v="3"/>
    <m/>
    <n v="1.3484100000000001"/>
    <n v="1.39151"/>
    <n v="1.3699600000000001"/>
    <n v="431"/>
  </r>
  <r>
    <x v="7"/>
    <x v="58"/>
    <x v="3"/>
    <m/>
    <n v="1.3484100000000001"/>
    <n v="1.39151"/>
    <n v="1.3699600000000001"/>
    <n v="431"/>
  </r>
  <r>
    <x v="7"/>
    <x v="58"/>
    <x v="3"/>
    <m/>
    <n v="1.3484100000000001"/>
    <n v="1.39151"/>
    <n v="1.3699600000000001"/>
    <n v="431"/>
  </r>
  <r>
    <x v="7"/>
    <x v="58"/>
    <x v="3"/>
    <m/>
    <n v="1.3484100000000001"/>
    <n v="1.39151"/>
    <n v="1.3699600000000001"/>
    <n v="431"/>
  </r>
  <r>
    <x v="7"/>
    <x v="58"/>
    <x v="3"/>
    <m/>
    <n v="1.3484100000000001"/>
    <n v="1.39151"/>
    <n v="1.3699600000000001"/>
    <n v="431"/>
  </r>
  <r>
    <x v="7"/>
    <x v="58"/>
    <x v="3"/>
    <m/>
    <n v="1.3484100000000001"/>
    <n v="1.39151"/>
    <n v="1.3699600000000001"/>
    <n v="431"/>
  </r>
  <r>
    <x v="7"/>
    <x v="58"/>
    <x v="6"/>
    <m/>
    <n v="0.80779999999999996"/>
    <n v="0.86924999999999997"/>
    <n v="0.83852499999999996"/>
    <n v="614.5"/>
  </r>
  <r>
    <x v="7"/>
    <x v="58"/>
    <x v="6"/>
    <m/>
    <n v="0.80779999999999996"/>
    <n v="0.86924999999999997"/>
    <n v="0.83852499999999996"/>
    <n v="614.5"/>
  </r>
  <r>
    <x v="7"/>
    <x v="58"/>
    <x v="6"/>
    <m/>
    <n v="0.80779999999999996"/>
    <n v="0.86924999999999997"/>
    <n v="0.83852499999999996"/>
    <n v="614.5"/>
  </r>
  <r>
    <x v="7"/>
    <x v="58"/>
    <x v="6"/>
    <m/>
    <n v="0.80779999999999996"/>
    <n v="0.86924999999999997"/>
    <n v="0.83852499999999996"/>
    <n v="614.5"/>
  </r>
  <r>
    <x v="7"/>
    <x v="58"/>
    <x v="6"/>
    <m/>
    <n v="0.80779999999999996"/>
    <n v="0.86924999999999997"/>
    <n v="0.83852499999999996"/>
    <n v="614.5"/>
  </r>
  <r>
    <x v="7"/>
    <x v="58"/>
    <x v="6"/>
    <m/>
    <n v="0.80779999999999996"/>
    <n v="0.86924999999999997"/>
    <n v="0.83852499999999996"/>
    <n v="614.5"/>
  </r>
  <r>
    <x v="7"/>
    <x v="58"/>
    <x v="6"/>
    <m/>
    <n v="0.80779999999999996"/>
    <n v="0.86924999999999997"/>
    <n v="0.83852499999999996"/>
    <n v="614.5"/>
  </r>
  <r>
    <x v="7"/>
    <x v="58"/>
    <x v="6"/>
    <m/>
    <n v="0.80779999999999996"/>
    <n v="0.86924999999999997"/>
    <n v="0.83852499999999996"/>
    <n v="614.5"/>
  </r>
  <r>
    <x v="7"/>
    <x v="58"/>
    <x v="6"/>
    <m/>
    <n v="0.80779999999999996"/>
    <n v="0.86924999999999997"/>
    <n v="0.83852499999999996"/>
    <n v="614.5"/>
  </r>
  <r>
    <x v="7"/>
    <x v="58"/>
    <x v="6"/>
    <m/>
    <n v="0.80779999999999996"/>
    <n v="0.86924999999999997"/>
    <n v="0.83852499999999996"/>
    <n v="614.5"/>
  </r>
  <r>
    <x v="7"/>
    <x v="58"/>
    <x v="6"/>
    <m/>
    <n v="0.80779999999999996"/>
    <n v="0.86924999999999997"/>
    <n v="0.83852499999999996"/>
    <n v="614.5"/>
  </r>
  <r>
    <x v="7"/>
    <x v="58"/>
    <x v="6"/>
    <m/>
    <n v="0.80779999999999996"/>
    <n v="0.86924999999999997"/>
    <n v="0.83852499999999996"/>
    <n v="614.5"/>
  </r>
  <r>
    <x v="7"/>
    <x v="58"/>
    <x v="6"/>
    <m/>
    <n v="0.80779999999999996"/>
    <n v="0.86924999999999997"/>
    <n v="0.83852499999999996"/>
    <n v="614.5"/>
  </r>
  <r>
    <x v="7"/>
    <x v="58"/>
    <x v="6"/>
    <m/>
    <n v="0.80779999999999996"/>
    <n v="0.86924999999999997"/>
    <n v="0.83852499999999996"/>
    <n v="614.5"/>
  </r>
  <r>
    <x v="7"/>
    <x v="58"/>
    <x v="6"/>
    <m/>
    <n v="0.80779999999999996"/>
    <n v="0.86924999999999997"/>
    <n v="0.83852499999999996"/>
    <n v="614.5"/>
  </r>
  <r>
    <x v="7"/>
    <x v="58"/>
    <x v="6"/>
    <m/>
    <n v="0.80779999999999996"/>
    <n v="0.86924999999999997"/>
    <n v="0.83852499999999996"/>
    <n v="614.5"/>
  </r>
  <r>
    <x v="7"/>
    <x v="58"/>
    <x v="6"/>
    <m/>
    <n v="0.80779999999999996"/>
    <n v="0.86924999999999997"/>
    <n v="0.83852499999999996"/>
    <n v="614.5"/>
  </r>
  <r>
    <x v="7"/>
    <x v="58"/>
    <x v="6"/>
    <m/>
    <n v="0.80779999999999996"/>
    <n v="0.86924999999999997"/>
    <n v="0.83852499999999996"/>
    <n v="614.5"/>
  </r>
  <r>
    <x v="7"/>
    <x v="59"/>
    <x v="6"/>
    <m/>
    <n v="0.80779999999999996"/>
    <n v="0.87749999999999995"/>
    <n v="0.84265000000000001"/>
    <n v="697"/>
  </r>
  <r>
    <x v="7"/>
    <x v="59"/>
    <x v="6"/>
    <m/>
    <n v="0.80779999999999996"/>
    <n v="0.87749999999999995"/>
    <n v="0.84265000000000001"/>
    <n v="697"/>
  </r>
  <r>
    <x v="7"/>
    <x v="59"/>
    <x v="6"/>
    <m/>
    <n v="0.80779999999999996"/>
    <n v="0.87749999999999995"/>
    <n v="0.84265000000000001"/>
    <n v="697"/>
  </r>
  <r>
    <x v="7"/>
    <x v="59"/>
    <x v="6"/>
    <m/>
    <n v="0.80779999999999996"/>
    <n v="0.87749999999999995"/>
    <n v="0.84265000000000001"/>
    <n v="697"/>
  </r>
  <r>
    <x v="7"/>
    <x v="59"/>
    <x v="6"/>
    <m/>
    <n v="0.80779999999999996"/>
    <n v="0.87749999999999995"/>
    <n v="0.84265000000000001"/>
    <n v="697"/>
  </r>
  <r>
    <x v="7"/>
    <x v="59"/>
    <x v="6"/>
    <m/>
    <n v="0.80779999999999996"/>
    <n v="0.87749999999999995"/>
    <n v="0.84265000000000001"/>
    <n v="697"/>
  </r>
  <r>
    <x v="7"/>
    <x v="59"/>
    <x v="6"/>
    <m/>
    <n v="0.80779999999999996"/>
    <n v="0.87749999999999995"/>
    <n v="0.84265000000000001"/>
    <n v="697"/>
  </r>
  <r>
    <x v="7"/>
    <x v="59"/>
    <x v="6"/>
    <m/>
    <n v="0.80779999999999996"/>
    <n v="0.87749999999999995"/>
    <n v="0.84265000000000001"/>
    <n v="697"/>
  </r>
  <r>
    <x v="7"/>
    <x v="59"/>
    <x v="6"/>
    <m/>
    <n v="0.80779999999999996"/>
    <n v="0.87749999999999995"/>
    <n v="0.84265000000000001"/>
    <n v="697"/>
  </r>
  <r>
    <x v="7"/>
    <x v="59"/>
    <x v="6"/>
    <m/>
    <n v="0.80779999999999996"/>
    <n v="0.87749999999999995"/>
    <n v="0.84265000000000001"/>
    <n v="697"/>
  </r>
  <r>
    <x v="7"/>
    <x v="59"/>
    <x v="6"/>
    <m/>
    <n v="0.80779999999999996"/>
    <n v="0.87749999999999995"/>
    <n v="0.84265000000000001"/>
    <n v="697"/>
  </r>
  <r>
    <x v="7"/>
    <x v="59"/>
    <x v="6"/>
    <m/>
    <n v="0.80779999999999996"/>
    <n v="0.87749999999999995"/>
    <n v="0.84265000000000001"/>
    <n v="697"/>
  </r>
  <r>
    <x v="7"/>
    <x v="59"/>
    <x v="6"/>
    <m/>
    <n v="0.80779999999999996"/>
    <n v="0.87749999999999995"/>
    <n v="0.84265000000000001"/>
    <n v="697"/>
  </r>
  <r>
    <x v="7"/>
    <x v="59"/>
    <x v="6"/>
    <m/>
    <n v="0.80779999999999996"/>
    <n v="0.87749999999999995"/>
    <n v="0.84265000000000001"/>
    <n v="697"/>
  </r>
  <r>
    <x v="7"/>
    <x v="59"/>
    <x v="6"/>
    <m/>
    <n v="0.80779999999999996"/>
    <n v="0.87749999999999995"/>
    <n v="0.84265000000000001"/>
    <n v="697"/>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4"/>
    <m/>
    <n v="88.756"/>
    <n v="96.4"/>
    <n v="92.578000000000003"/>
    <n v="764.4"/>
  </r>
  <r>
    <x v="7"/>
    <x v="59"/>
    <x v="3"/>
    <m/>
    <n v="1.3484100000000001"/>
    <n v="1.397"/>
    <n v="1.3727050000000001"/>
    <n v="485.9"/>
  </r>
  <r>
    <x v="7"/>
    <x v="59"/>
    <x v="3"/>
    <m/>
    <n v="1.3484100000000001"/>
    <n v="1.397"/>
    <n v="1.3727050000000001"/>
    <n v="485.9"/>
  </r>
  <r>
    <x v="7"/>
    <x v="59"/>
    <x v="3"/>
    <m/>
    <n v="1.3484100000000001"/>
    <n v="1.397"/>
    <n v="1.3727050000000001"/>
    <n v="485.9"/>
  </r>
  <r>
    <x v="7"/>
    <x v="59"/>
    <x v="3"/>
    <m/>
    <n v="1.3484100000000001"/>
    <n v="1.397"/>
    <n v="1.3727050000000001"/>
    <n v="485.9"/>
  </r>
  <r>
    <x v="7"/>
    <x v="59"/>
    <x v="3"/>
    <m/>
    <n v="1.3484100000000001"/>
    <n v="1.397"/>
    <n v="1.3727050000000001"/>
    <n v="485.9"/>
  </r>
  <r>
    <x v="7"/>
    <x v="59"/>
    <x v="3"/>
    <m/>
    <n v="1.3484100000000001"/>
    <n v="1.397"/>
    <n v="1.3727050000000001"/>
    <n v="485.9"/>
  </r>
  <r>
    <x v="7"/>
    <x v="59"/>
    <x v="3"/>
    <m/>
    <n v="1.3484100000000001"/>
    <n v="1.397"/>
    <n v="1.3727050000000001"/>
    <n v="485.9"/>
  </r>
  <r>
    <x v="7"/>
    <x v="59"/>
    <x v="3"/>
    <m/>
    <n v="1.3484100000000001"/>
    <n v="1.397"/>
    <n v="1.3727050000000001"/>
    <n v="485.9"/>
  </r>
  <r>
    <x v="7"/>
    <x v="59"/>
    <x v="3"/>
    <m/>
    <n v="1.3484100000000001"/>
    <n v="1.397"/>
    <n v="1.3727050000000001"/>
    <n v="485.9"/>
  </r>
  <r>
    <x v="7"/>
    <x v="59"/>
    <x v="3"/>
    <m/>
    <n v="1.3484100000000001"/>
    <n v="1.397"/>
    <n v="1.3727050000000001"/>
    <n v="485.9"/>
  </r>
  <r>
    <x v="7"/>
    <x v="59"/>
    <x v="3"/>
    <m/>
    <n v="1.3484100000000001"/>
    <n v="1.397"/>
    <n v="1.3727050000000001"/>
    <n v="485.9"/>
  </r>
  <r>
    <x v="7"/>
    <x v="59"/>
    <x v="3"/>
    <m/>
    <n v="1.3484100000000001"/>
    <n v="1.397"/>
    <n v="1.3727050000000001"/>
    <n v="485.9"/>
  </r>
  <r>
    <x v="7"/>
    <x v="59"/>
    <x v="3"/>
    <m/>
    <n v="1.3484100000000001"/>
    <n v="1.397"/>
    <n v="1.3727050000000001"/>
    <n v="485.9"/>
  </r>
  <r>
    <x v="7"/>
    <x v="59"/>
    <x v="3"/>
    <m/>
    <n v="1.3484100000000001"/>
    <n v="1.397"/>
    <n v="1.3727050000000001"/>
    <n v="485.9"/>
  </r>
  <r>
    <x v="7"/>
    <x v="59"/>
    <x v="3"/>
    <m/>
    <n v="1.3484100000000001"/>
    <n v="1.397"/>
    <n v="1.3727050000000001"/>
    <n v="485.9"/>
  </r>
  <r>
    <x v="7"/>
    <x v="59"/>
    <x v="3"/>
    <m/>
    <n v="1.3484100000000001"/>
    <n v="1.397"/>
    <n v="1.3727050000000001"/>
    <n v="485.9"/>
  </r>
  <r>
    <x v="7"/>
    <x v="59"/>
    <x v="3"/>
    <m/>
    <n v="1.3484100000000001"/>
    <n v="1.397"/>
    <n v="1.3727050000000001"/>
    <n v="485.9"/>
  </r>
  <r>
    <x v="7"/>
    <x v="59"/>
    <x v="6"/>
    <m/>
    <n v="0.80779999999999996"/>
    <n v="0.87749999999999995"/>
    <n v="0.84265000000000001"/>
    <n v="697"/>
  </r>
  <r>
    <x v="7"/>
    <x v="59"/>
    <x v="6"/>
    <m/>
    <n v="0.80779999999999996"/>
    <n v="0.87749999999999995"/>
    <n v="0.84265000000000001"/>
    <n v="697"/>
  </r>
  <r>
    <x v="7"/>
    <x v="59"/>
    <x v="6"/>
    <m/>
    <n v="0.80779999999999996"/>
    <n v="0.87749999999999995"/>
    <n v="0.84265000000000001"/>
    <n v="697"/>
  </r>
  <r>
    <x v="7"/>
    <x v="59"/>
    <x v="6"/>
    <m/>
    <n v="0.80779999999999996"/>
    <n v="0.87749999999999995"/>
    <n v="0.84265000000000001"/>
    <n v="697"/>
  </r>
  <r>
    <x v="7"/>
    <x v="59"/>
    <x v="6"/>
    <m/>
    <n v="0.80779999999999996"/>
    <n v="0.87749999999999995"/>
    <n v="0.84265000000000001"/>
    <n v="697"/>
  </r>
  <r>
    <x v="7"/>
    <x v="59"/>
    <x v="6"/>
    <m/>
    <n v="0.80779999999999996"/>
    <n v="0.87749999999999995"/>
    <n v="0.84265000000000001"/>
    <n v="697"/>
  </r>
  <r>
    <x v="7"/>
    <x v="59"/>
    <x v="6"/>
    <m/>
    <n v="0.80779999999999996"/>
    <n v="0.87749999999999995"/>
    <n v="0.84265000000000001"/>
    <n v="697"/>
  </r>
  <r>
    <x v="7"/>
    <x v="59"/>
    <x v="6"/>
    <m/>
    <n v="0.80779999999999996"/>
    <n v="0.87749999999999995"/>
    <n v="0.84265000000000001"/>
    <n v="697"/>
  </r>
  <r>
    <x v="7"/>
    <x v="59"/>
    <x v="6"/>
    <m/>
    <n v="0.80779999999999996"/>
    <n v="0.87749999999999995"/>
    <n v="0.84265000000000001"/>
    <n v="697"/>
  </r>
  <r>
    <x v="7"/>
    <x v="59"/>
    <x v="6"/>
    <m/>
    <n v="0.80779999999999996"/>
    <n v="0.87749999999999995"/>
    <n v="0.84265000000000001"/>
    <n v="697"/>
  </r>
  <r>
    <x v="7"/>
    <x v="59"/>
    <x v="6"/>
    <m/>
    <n v="0.80779999999999996"/>
    <n v="0.87749999999999995"/>
    <n v="0.84265000000000001"/>
    <n v="697"/>
  </r>
  <r>
    <x v="7"/>
    <x v="59"/>
    <x v="6"/>
    <m/>
    <n v="0.80779999999999996"/>
    <n v="0.87749999999999995"/>
    <n v="0.84265000000000001"/>
    <n v="697"/>
  </r>
  <r>
    <x v="7"/>
    <x v="59"/>
    <x v="6"/>
    <m/>
    <n v="0.80779999999999996"/>
    <n v="0.87749999999999995"/>
    <n v="0.84265000000000001"/>
    <n v="697"/>
  </r>
  <r>
    <x v="7"/>
    <x v="59"/>
    <x v="6"/>
    <m/>
    <n v="0.80779999999999996"/>
    <n v="0.87749999999999995"/>
    <n v="0.84265000000000001"/>
    <n v="697"/>
  </r>
  <r>
    <x v="7"/>
    <x v="25"/>
    <x v="6"/>
    <m/>
    <n v="0.80779999999999996"/>
    <n v="0.87749999999999995"/>
    <n v="0.84265000000000001"/>
    <n v="697"/>
  </r>
  <r>
    <x v="7"/>
    <x v="25"/>
    <x v="6"/>
    <m/>
    <n v="0.80779999999999996"/>
    <n v="0.87749999999999995"/>
    <n v="0.84265000000000001"/>
    <n v="697"/>
  </r>
  <r>
    <x v="7"/>
    <x v="25"/>
    <x v="6"/>
    <m/>
    <n v="0.80779999999999996"/>
    <n v="0.87749999999999995"/>
    <n v="0.84265000000000001"/>
    <n v="697"/>
  </r>
  <r>
    <x v="7"/>
    <x v="25"/>
    <x v="6"/>
    <m/>
    <n v="0.80779999999999996"/>
    <n v="0.87749999999999995"/>
    <n v="0.84265000000000001"/>
    <n v="697"/>
  </r>
  <r>
    <x v="7"/>
    <x v="25"/>
    <x v="6"/>
    <m/>
    <n v="0.80779999999999996"/>
    <n v="0.87749999999999995"/>
    <n v="0.84265000000000001"/>
    <n v="697"/>
  </r>
  <r>
    <x v="7"/>
    <x v="25"/>
    <x v="6"/>
    <m/>
    <n v="0.80779999999999996"/>
    <n v="0.87749999999999995"/>
    <n v="0.84265000000000001"/>
    <n v="697"/>
  </r>
  <r>
    <x v="7"/>
    <x v="25"/>
    <x v="6"/>
    <m/>
    <n v="0.80779999999999996"/>
    <n v="0.87749999999999995"/>
    <n v="0.84265000000000001"/>
    <n v="697"/>
  </r>
  <r>
    <x v="7"/>
    <x v="25"/>
    <x v="6"/>
    <m/>
    <n v="0.80779999999999996"/>
    <n v="0.87749999999999995"/>
    <n v="0.84265000000000001"/>
    <n v="697"/>
  </r>
  <r>
    <x v="7"/>
    <x v="25"/>
    <x v="6"/>
    <m/>
    <n v="0.80779999999999996"/>
    <n v="0.87749999999999995"/>
    <n v="0.84265000000000001"/>
    <n v="697"/>
  </r>
  <r>
    <x v="7"/>
    <x v="25"/>
    <x v="6"/>
    <m/>
    <n v="0.80779999999999996"/>
    <n v="0.87749999999999995"/>
    <n v="0.84265000000000001"/>
    <n v="697"/>
  </r>
  <r>
    <x v="7"/>
    <x v="25"/>
    <x v="6"/>
    <m/>
    <n v="0.80779999999999996"/>
    <n v="0.87749999999999995"/>
    <n v="0.84265000000000001"/>
    <n v="697"/>
  </r>
  <r>
    <x v="7"/>
    <x v="25"/>
    <x v="6"/>
    <m/>
    <n v="0.80779999999999996"/>
    <n v="0.87749999999999995"/>
    <n v="0.84265000000000001"/>
    <n v="697"/>
  </r>
  <r>
    <x v="7"/>
    <x v="25"/>
    <x v="6"/>
    <m/>
    <n v="0.80779999999999996"/>
    <n v="0.87749999999999995"/>
    <n v="0.84265000000000001"/>
    <n v="697"/>
  </r>
  <r>
    <x v="7"/>
    <x v="25"/>
    <x v="6"/>
    <m/>
    <n v="0.80779999999999996"/>
    <n v="0.87749999999999995"/>
    <n v="0.84265000000000001"/>
    <n v="697"/>
  </r>
  <r>
    <x v="7"/>
    <x v="25"/>
    <x v="6"/>
    <m/>
    <n v="0.80779999999999996"/>
    <n v="0.87749999999999995"/>
    <n v="0.84265000000000001"/>
    <n v="697"/>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4"/>
    <m/>
    <n v="88.756"/>
    <n v="96.4"/>
    <n v="92.578000000000003"/>
    <n v="764.4"/>
  </r>
  <r>
    <x v="7"/>
    <x v="25"/>
    <x v="3"/>
    <m/>
    <n v="1.3484100000000001"/>
    <n v="1.397"/>
    <n v="1.3727050000000001"/>
    <n v="485.9"/>
  </r>
  <r>
    <x v="7"/>
    <x v="25"/>
    <x v="3"/>
    <m/>
    <n v="1.3484100000000001"/>
    <n v="1.397"/>
    <n v="1.3727050000000001"/>
    <n v="485.9"/>
  </r>
  <r>
    <x v="7"/>
    <x v="25"/>
    <x v="3"/>
    <m/>
    <n v="1.3484100000000001"/>
    <n v="1.397"/>
    <n v="1.3727050000000001"/>
    <n v="485.9"/>
  </r>
  <r>
    <x v="7"/>
    <x v="25"/>
    <x v="3"/>
    <m/>
    <n v="1.3484100000000001"/>
    <n v="1.397"/>
    <n v="1.3727050000000001"/>
    <n v="485.9"/>
  </r>
  <r>
    <x v="7"/>
    <x v="25"/>
    <x v="3"/>
    <m/>
    <n v="1.3484100000000001"/>
    <n v="1.397"/>
    <n v="1.3727050000000001"/>
    <n v="485.9"/>
  </r>
  <r>
    <x v="7"/>
    <x v="25"/>
    <x v="3"/>
    <m/>
    <n v="1.3484100000000001"/>
    <n v="1.397"/>
    <n v="1.3727050000000001"/>
    <n v="485.9"/>
  </r>
  <r>
    <x v="7"/>
    <x v="25"/>
    <x v="3"/>
    <m/>
    <n v="1.3484100000000001"/>
    <n v="1.397"/>
    <n v="1.3727050000000001"/>
    <n v="485.9"/>
  </r>
  <r>
    <x v="7"/>
    <x v="25"/>
    <x v="3"/>
    <m/>
    <n v="1.3484100000000001"/>
    <n v="1.397"/>
    <n v="1.3727050000000001"/>
    <n v="485.9"/>
  </r>
  <r>
    <x v="7"/>
    <x v="25"/>
    <x v="3"/>
    <m/>
    <n v="1.3484100000000001"/>
    <n v="1.397"/>
    <n v="1.3727050000000001"/>
    <n v="485.9"/>
  </r>
  <r>
    <x v="7"/>
    <x v="25"/>
    <x v="3"/>
    <m/>
    <n v="1.3484100000000001"/>
    <n v="1.397"/>
    <n v="1.3727050000000001"/>
    <n v="485.9"/>
  </r>
  <r>
    <x v="7"/>
    <x v="25"/>
    <x v="3"/>
    <m/>
    <n v="1.3484100000000001"/>
    <n v="1.397"/>
    <n v="1.3727050000000001"/>
    <n v="485.9"/>
  </r>
  <r>
    <x v="7"/>
    <x v="25"/>
    <x v="3"/>
    <m/>
    <n v="1.3484100000000001"/>
    <n v="1.397"/>
    <n v="1.3727050000000001"/>
    <n v="485.9"/>
  </r>
  <r>
    <x v="7"/>
    <x v="25"/>
    <x v="3"/>
    <m/>
    <n v="1.3484100000000001"/>
    <n v="1.397"/>
    <n v="1.3727050000000001"/>
    <n v="485.9"/>
  </r>
  <r>
    <x v="7"/>
    <x v="25"/>
    <x v="3"/>
    <m/>
    <n v="1.3484100000000001"/>
    <n v="1.397"/>
    <n v="1.3727050000000001"/>
    <n v="485.9"/>
  </r>
  <r>
    <x v="7"/>
    <x v="25"/>
    <x v="3"/>
    <m/>
    <n v="1.3484100000000001"/>
    <n v="1.397"/>
    <n v="1.3727050000000001"/>
    <n v="485.9"/>
  </r>
  <r>
    <x v="7"/>
    <x v="25"/>
    <x v="3"/>
    <m/>
    <n v="1.3484100000000001"/>
    <n v="1.397"/>
    <n v="1.3727050000000001"/>
    <n v="485.9"/>
  </r>
  <r>
    <x v="7"/>
    <x v="25"/>
    <x v="3"/>
    <m/>
    <n v="1.3484100000000001"/>
    <n v="1.397"/>
    <n v="1.3727050000000001"/>
    <n v="485.9"/>
  </r>
  <r>
    <x v="7"/>
    <x v="25"/>
    <x v="6"/>
    <m/>
    <n v="0.80779999999999996"/>
    <n v="0.87749999999999995"/>
    <n v="0.84265000000000001"/>
    <n v="697"/>
  </r>
  <r>
    <x v="7"/>
    <x v="25"/>
    <x v="6"/>
    <m/>
    <n v="0.80779999999999996"/>
    <n v="0.87749999999999995"/>
    <n v="0.84265000000000001"/>
    <n v="697"/>
  </r>
  <r>
    <x v="7"/>
    <x v="25"/>
    <x v="6"/>
    <m/>
    <n v="0.80779999999999996"/>
    <n v="0.87749999999999995"/>
    <n v="0.84265000000000001"/>
    <n v="697"/>
  </r>
  <r>
    <x v="7"/>
    <x v="25"/>
    <x v="6"/>
    <m/>
    <n v="0.80779999999999996"/>
    <n v="0.87749999999999995"/>
    <n v="0.84265000000000001"/>
    <n v="697"/>
  </r>
  <r>
    <x v="7"/>
    <x v="25"/>
    <x v="6"/>
    <m/>
    <n v="0.80779999999999996"/>
    <n v="0.87749999999999995"/>
    <n v="0.84265000000000001"/>
    <n v="697"/>
  </r>
  <r>
    <x v="7"/>
    <x v="25"/>
    <x v="6"/>
    <m/>
    <n v="0.80779999999999996"/>
    <n v="0.87749999999999995"/>
    <n v="0.84265000000000001"/>
    <n v="697"/>
  </r>
  <r>
    <x v="7"/>
    <x v="25"/>
    <x v="6"/>
    <m/>
    <n v="0.80779999999999996"/>
    <n v="0.87749999999999995"/>
    <n v="0.84265000000000001"/>
    <n v="697"/>
  </r>
  <r>
    <x v="7"/>
    <x v="25"/>
    <x v="6"/>
    <m/>
    <n v="0.80779999999999996"/>
    <n v="0.87749999999999995"/>
    <n v="0.84265000000000001"/>
    <n v="697"/>
  </r>
  <r>
    <x v="7"/>
    <x v="25"/>
    <x v="6"/>
    <m/>
    <n v="0.80779999999999996"/>
    <n v="0.87749999999999995"/>
    <n v="0.84265000000000001"/>
    <n v="697"/>
  </r>
  <r>
    <x v="7"/>
    <x v="25"/>
    <x v="6"/>
    <m/>
    <n v="0.80779999999999996"/>
    <n v="0.87749999999999995"/>
    <n v="0.84265000000000001"/>
    <n v="697"/>
  </r>
  <r>
    <x v="7"/>
    <x v="25"/>
    <x v="6"/>
    <m/>
    <n v="0.80779999999999996"/>
    <n v="0.87749999999999995"/>
    <n v="0.84265000000000001"/>
    <n v="697"/>
  </r>
  <r>
    <x v="7"/>
    <x v="25"/>
    <x v="6"/>
    <m/>
    <n v="0.80779999999999996"/>
    <n v="0.87749999999999995"/>
    <n v="0.84265000000000001"/>
    <n v="697"/>
  </r>
  <r>
    <x v="7"/>
    <x v="25"/>
    <x v="6"/>
    <m/>
    <n v="0.80779999999999996"/>
    <n v="0.87749999999999995"/>
    <n v="0.84265000000000001"/>
    <n v="697"/>
  </r>
  <r>
    <x v="7"/>
    <x v="25"/>
    <x v="6"/>
    <m/>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6"/>
    <n v="0.86909999999999998"/>
    <n v="0.80779999999999996"/>
    <n v="0.87749999999999995"/>
    <n v="0.84265000000000001"/>
    <n v="697"/>
  </r>
  <r>
    <x v="7"/>
    <x v="60"/>
    <x v="3"/>
    <n v="1.35991"/>
    <n v="1.3484100000000001"/>
    <n v="1.397"/>
    <n v="1.3727050000000001"/>
    <n v="485.9"/>
  </r>
  <r>
    <x v="7"/>
    <x v="60"/>
    <x v="3"/>
    <n v="1.35991"/>
    <n v="1.3484100000000001"/>
    <n v="1.397"/>
    <n v="1.3727050000000001"/>
    <n v="485.9"/>
  </r>
  <r>
    <x v="7"/>
    <x v="60"/>
    <x v="3"/>
    <n v="1.35991"/>
    <n v="1.3484100000000001"/>
    <n v="1.397"/>
    <n v="1.3727050000000001"/>
    <n v="485.9"/>
  </r>
  <r>
    <x v="7"/>
    <x v="60"/>
    <x v="3"/>
    <n v="1.35991"/>
    <n v="1.3484100000000001"/>
    <n v="1.397"/>
    <n v="1.3727050000000001"/>
    <n v="485.9"/>
  </r>
  <r>
    <x v="7"/>
    <x v="60"/>
    <x v="3"/>
    <n v="1.35991"/>
    <n v="1.3484100000000001"/>
    <n v="1.397"/>
    <n v="1.3727050000000001"/>
    <n v="485.9"/>
  </r>
  <r>
    <x v="7"/>
    <x v="60"/>
    <x v="3"/>
    <n v="1.35991"/>
    <n v="1.3484100000000001"/>
    <n v="1.397"/>
    <n v="1.3727050000000001"/>
    <n v="485.9"/>
  </r>
  <r>
    <x v="7"/>
    <x v="60"/>
    <x v="3"/>
    <n v="1.35991"/>
    <n v="1.3484100000000001"/>
    <n v="1.397"/>
    <n v="1.3727050000000001"/>
    <n v="485.9"/>
  </r>
  <r>
    <x v="7"/>
    <x v="60"/>
    <x v="3"/>
    <n v="1.35991"/>
    <n v="1.3484100000000001"/>
    <n v="1.397"/>
    <n v="1.3727050000000001"/>
    <n v="485.9"/>
  </r>
  <r>
    <x v="7"/>
    <x v="60"/>
    <x v="3"/>
    <n v="1.35991"/>
    <n v="1.3484100000000001"/>
    <n v="1.397"/>
    <n v="1.3727050000000001"/>
    <n v="485.9"/>
  </r>
  <r>
    <x v="7"/>
    <x v="60"/>
    <x v="3"/>
    <n v="1.35991"/>
    <n v="1.3484100000000001"/>
    <n v="1.397"/>
    <n v="1.3727050000000001"/>
    <n v="485.9"/>
  </r>
  <r>
    <x v="7"/>
    <x v="60"/>
    <x v="3"/>
    <n v="1.35991"/>
    <n v="1.3484100000000001"/>
    <n v="1.397"/>
    <n v="1.3727050000000001"/>
    <n v="485.9"/>
  </r>
  <r>
    <x v="7"/>
    <x v="60"/>
    <x v="3"/>
    <n v="1.35991"/>
    <n v="1.3484100000000001"/>
    <n v="1.397"/>
    <n v="1.3727050000000001"/>
    <n v="485.9"/>
  </r>
  <r>
    <x v="7"/>
    <x v="60"/>
    <x v="3"/>
    <n v="1.35991"/>
    <n v="1.3484100000000001"/>
    <n v="1.397"/>
    <n v="1.3727050000000001"/>
    <n v="485.9"/>
  </r>
  <r>
    <x v="7"/>
    <x v="60"/>
    <x v="3"/>
    <n v="1.35991"/>
    <n v="1.3484100000000001"/>
    <n v="1.397"/>
    <n v="1.3727050000000001"/>
    <n v="485.9"/>
  </r>
  <r>
    <x v="7"/>
    <x v="60"/>
    <x v="3"/>
    <n v="1.35991"/>
    <n v="1.3484100000000001"/>
    <n v="1.397"/>
    <n v="1.3727050000000001"/>
    <n v="485.9"/>
  </r>
  <r>
    <x v="7"/>
    <x v="60"/>
    <x v="3"/>
    <n v="1.35991"/>
    <n v="1.3484100000000001"/>
    <n v="1.397"/>
    <n v="1.3727050000000001"/>
    <n v="485.9"/>
  </r>
  <r>
    <x v="7"/>
    <x v="60"/>
    <x v="3"/>
    <n v="1.35991"/>
    <n v="1.3484100000000001"/>
    <n v="1.397"/>
    <n v="1.3727050000000001"/>
    <n v="485.9"/>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60"/>
    <x v="4"/>
    <n v="95.790999999999997"/>
    <n v="88.756"/>
    <n v="96.4"/>
    <n v="92.578000000000003"/>
    <n v="764.4"/>
  </r>
  <r>
    <x v="7"/>
    <x v="26"/>
    <x v="6"/>
    <n v="0.87705999999999995"/>
    <n v="0.80779999999999996"/>
    <n v="0.87961999999999996"/>
    <n v="0.84370999999999996"/>
    <n v="718.2"/>
  </r>
  <r>
    <x v="7"/>
    <x v="26"/>
    <x v="6"/>
    <n v="0.87705999999999995"/>
    <n v="0.80779999999999996"/>
    <n v="0.87961999999999996"/>
    <n v="0.84370999999999996"/>
    <n v="718.2"/>
  </r>
  <r>
    <x v="7"/>
    <x v="26"/>
    <x v="6"/>
    <n v="0.87705999999999995"/>
    <n v="0.80779999999999996"/>
    <n v="0.87961999999999996"/>
    <n v="0.84370999999999996"/>
    <n v="718.2"/>
  </r>
  <r>
    <x v="7"/>
    <x v="26"/>
    <x v="6"/>
    <n v="0.87705999999999995"/>
    <n v="0.80779999999999996"/>
    <n v="0.87961999999999996"/>
    <n v="0.84370999999999996"/>
    <n v="718.2"/>
  </r>
  <r>
    <x v="7"/>
    <x v="26"/>
    <x v="6"/>
    <n v="0.87705999999999995"/>
    <n v="0.80779999999999996"/>
    <n v="0.87961999999999996"/>
    <n v="0.84370999999999996"/>
    <n v="718.2"/>
  </r>
  <r>
    <x v="7"/>
    <x v="26"/>
    <x v="6"/>
    <n v="0.87705999999999995"/>
    <n v="0.80779999999999996"/>
    <n v="0.87961999999999996"/>
    <n v="0.84370999999999996"/>
    <n v="718.2"/>
  </r>
  <r>
    <x v="7"/>
    <x v="26"/>
    <x v="6"/>
    <n v="0.87705999999999995"/>
    <n v="0.80779999999999996"/>
    <n v="0.87961999999999996"/>
    <n v="0.84370999999999996"/>
    <n v="718.2"/>
  </r>
  <r>
    <x v="7"/>
    <x v="26"/>
    <x v="4"/>
    <n v="95.531000000000006"/>
    <n v="88.756"/>
    <n v="96.4"/>
    <n v="92.578000000000003"/>
    <n v="764.4"/>
  </r>
  <r>
    <x v="7"/>
    <x v="26"/>
    <x v="4"/>
    <n v="95.531000000000006"/>
    <n v="88.756"/>
    <n v="96.4"/>
    <n v="92.578000000000003"/>
    <n v="764.4"/>
  </r>
  <r>
    <x v="7"/>
    <x v="26"/>
    <x v="4"/>
    <n v="95.531000000000006"/>
    <n v="88.756"/>
    <n v="96.4"/>
    <n v="92.578000000000003"/>
    <n v="764.4"/>
  </r>
  <r>
    <x v="7"/>
    <x v="26"/>
    <x v="4"/>
    <n v="95.531000000000006"/>
    <n v="88.756"/>
    <n v="96.4"/>
    <n v="92.578000000000003"/>
    <n v="764.4"/>
  </r>
  <r>
    <x v="7"/>
    <x v="26"/>
    <x v="4"/>
    <n v="95.531000000000006"/>
    <n v="88.756"/>
    <n v="96.4"/>
    <n v="92.578000000000003"/>
    <n v="764.4"/>
  </r>
  <r>
    <x v="7"/>
    <x v="26"/>
    <x v="4"/>
    <n v="95.531000000000006"/>
    <n v="88.756"/>
    <n v="96.4"/>
    <n v="92.578000000000003"/>
    <n v="764.4"/>
  </r>
  <r>
    <x v="7"/>
    <x v="26"/>
    <x v="4"/>
    <n v="95.531000000000006"/>
    <n v="88.756"/>
    <n v="96.4"/>
    <n v="92.578000000000003"/>
    <n v="764.4"/>
  </r>
  <r>
    <x v="7"/>
    <x v="26"/>
    <x v="4"/>
    <n v="95.531000000000006"/>
    <n v="88.756"/>
    <n v="96.4"/>
    <n v="92.578000000000003"/>
    <n v="764.4"/>
  </r>
  <r>
    <x v="7"/>
    <x v="26"/>
    <x v="4"/>
    <n v="95.531000000000006"/>
    <n v="88.756"/>
    <n v="96.4"/>
    <n v="92.578000000000003"/>
    <n v="764.4"/>
  </r>
  <r>
    <x v="7"/>
    <x v="26"/>
    <x v="4"/>
    <n v="95.531000000000006"/>
    <n v="88.756"/>
    <n v="96.4"/>
    <n v="92.578000000000003"/>
    <n v="764.4"/>
  </r>
  <r>
    <x v="7"/>
    <x v="26"/>
    <x v="4"/>
    <n v="95.531000000000006"/>
    <n v="88.756"/>
    <n v="96.4"/>
    <n v="92.578000000000003"/>
    <n v="764.4"/>
  </r>
  <r>
    <x v="7"/>
    <x v="26"/>
    <x v="4"/>
    <n v="95.531000000000006"/>
    <n v="88.756"/>
    <n v="96.4"/>
    <n v="92.578000000000003"/>
    <n v="764.4"/>
  </r>
  <r>
    <x v="7"/>
    <x v="26"/>
    <x v="4"/>
    <n v="95.531000000000006"/>
    <n v="88.756"/>
    <n v="96.4"/>
    <n v="92.578000000000003"/>
    <n v="764.4"/>
  </r>
  <r>
    <x v="7"/>
    <x v="26"/>
    <x v="4"/>
    <n v="95.531000000000006"/>
    <n v="88.756"/>
    <n v="96.4"/>
    <n v="92.578000000000003"/>
    <n v="764.4"/>
  </r>
  <r>
    <x v="7"/>
    <x v="26"/>
    <x v="4"/>
    <n v="95.531000000000006"/>
    <n v="88.756"/>
    <n v="96.4"/>
    <n v="92.578000000000003"/>
    <n v="764.4"/>
  </r>
  <r>
    <x v="7"/>
    <x v="26"/>
    <x v="4"/>
    <n v="95.531000000000006"/>
    <n v="88.756"/>
    <n v="96.4"/>
    <n v="92.578000000000003"/>
    <n v="764.4"/>
  </r>
  <r>
    <x v="7"/>
    <x v="26"/>
    <x v="4"/>
    <n v="95.531000000000006"/>
    <n v="88.756"/>
    <n v="96.4"/>
    <n v="92.578000000000003"/>
    <n v="764.4"/>
  </r>
  <r>
    <x v="7"/>
    <x v="26"/>
    <x v="4"/>
    <n v="95.531000000000006"/>
    <n v="88.756"/>
    <n v="96.4"/>
    <n v="92.578000000000003"/>
    <n v="764.4"/>
  </r>
  <r>
    <x v="7"/>
    <x v="26"/>
    <x v="4"/>
    <n v="95.531000000000006"/>
    <n v="88.756"/>
    <n v="96.4"/>
    <n v="92.578000000000003"/>
    <n v="764.4"/>
  </r>
  <r>
    <x v="7"/>
    <x v="26"/>
    <x v="4"/>
    <n v="95.531000000000006"/>
    <n v="88.756"/>
    <n v="96.4"/>
    <n v="92.578000000000003"/>
    <n v="764.4"/>
  </r>
  <r>
    <x v="7"/>
    <x v="26"/>
    <x v="4"/>
    <n v="95.531000000000006"/>
    <n v="88.756"/>
    <n v="96.4"/>
    <n v="92.578000000000003"/>
    <n v="764.4"/>
  </r>
  <r>
    <x v="7"/>
    <x v="26"/>
    <x v="4"/>
    <n v="95.531000000000006"/>
    <n v="88.756"/>
    <n v="96.4"/>
    <n v="92.578000000000003"/>
    <n v="764.4"/>
  </r>
  <r>
    <x v="7"/>
    <x v="26"/>
    <x v="4"/>
    <n v="95.531000000000006"/>
    <n v="88.756"/>
    <n v="96.4"/>
    <n v="92.578000000000003"/>
    <n v="764.4"/>
  </r>
  <r>
    <x v="7"/>
    <x v="26"/>
    <x v="4"/>
    <n v="95.531000000000006"/>
    <n v="88.756"/>
    <n v="96.4"/>
    <n v="92.578000000000003"/>
    <n v="764.4"/>
  </r>
  <r>
    <x v="7"/>
    <x v="26"/>
    <x v="4"/>
    <n v="95.531000000000006"/>
    <n v="88.756"/>
    <n v="96.4"/>
    <n v="92.578000000000003"/>
    <n v="764.4"/>
  </r>
  <r>
    <x v="7"/>
    <x v="26"/>
    <x v="4"/>
    <n v="95.531000000000006"/>
    <n v="88.756"/>
    <n v="96.4"/>
    <n v="92.578000000000003"/>
    <n v="764.4"/>
  </r>
  <r>
    <x v="7"/>
    <x v="26"/>
    <x v="4"/>
    <n v="95.531000000000006"/>
    <n v="88.756"/>
    <n v="96.4"/>
    <n v="92.578000000000003"/>
    <n v="764.4"/>
  </r>
  <r>
    <x v="7"/>
    <x v="26"/>
    <x v="4"/>
    <n v="95.531000000000006"/>
    <n v="88.756"/>
    <n v="96.4"/>
    <n v="92.578000000000003"/>
    <n v="764.4"/>
  </r>
  <r>
    <x v="7"/>
    <x v="26"/>
    <x v="4"/>
    <n v="95.531000000000006"/>
    <n v="88.756"/>
    <n v="96.4"/>
    <n v="92.578000000000003"/>
    <n v="764.4"/>
  </r>
  <r>
    <x v="7"/>
    <x v="26"/>
    <x v="3"/>
    <n v="1.36459"/>
    <n v="1.3484100000000001"/>
    <n v="1.397"/>
    <n v="1.3727050000000001"/>
    <n v="485.9"/>
  </r>
  <r>
    <x v="7"/>
    <x v="26"/>
    <x v="3"/>
    <n v="1.36459"/>
    <n v="1.3484100000000001"/>
    <n v="1.397"/>
    <n v="1.3727050000000001"/>
    <n v="485.9"/>
  </r>
  <r>
    <x v="7"/>
    <x v="26"/>
    <x v="3"/>
    <n v="1.36459"/>
    <n v="1.3484100000000001"/>
    <n v="1.397"/>
    <n v="1.3727050000000001"/>
    <n v="485.9"/>
  </r>
  <r>
    <x v="7"/>
    <x v="26"/>
    <x v="3"/>
    <n v="1.36459"/>
    <n v="1.3484100000000001"/>
    <n v="1.397"/>
    <n v="1.3727050000000001"/>
    <n v="485.9"/>
  </r>
  <r>
    <x v="7"/>
    <x v="26"/>
    <x v="3"/>
    <n v="1.36459"/>
    <n v="1.3484100000000001"/>
    <n v="1.397"/>
    <n v="1.3727050000000001"/>
    <n v="485.9"/>
  </r>
  <r>
    <x v="7"/>
    <x v="26"/>
    <x v="3"/>
    <n v="1.36459"/>
    <n v="1.3484100000000001"/>
    <n v="1.397"/>
    <n v="1.3727050000000001"/>
    <n v="485.9"/>
  </r>
  <r>
    <x v="7"/>
    <x v="26"/>
    <x v="3"/>
    <n v="1.36459"/>
    <n v="1.3484100000000001"/>
    <n v="1.397"/>
    <n v="1.3727050000000001"/>
    <n v="485.9"/>
  </r>
  <r>
    <x v="7"/>
    <x v="26"/>
    <x v="3"/>
    <n v="1.36459"/>
    <n v="1.3484100000000001"/>
    <n v="1.397"/>
    <n v="1.3727050000000001"/>
    <n v="485.9"/>
  </r>
  <r>
    <x v="7"/>
    <x v="26"/>
    <x v="3"/>
    <n v="1.36459"/>
    <n v="1.3484100000000001"/>
    <n v="1.397"/>
    <n v="1.3727050000000001"/>
    <n v="485.9"/>
  </r>
  <r>
    <x v="7"/>
    <x v="26"/>
    <x v="3"/>
    <n v="1.36459"/>
    <n v="1.3484100000000001"/>
    <n v="1.397"/>
    <n v="1.3727050000000001"/>
    <n v="485.9"/>
  </r>
  <r>
    <x v="7"/>
    <x v="26"/>
    <x v="3"/>
    <n v="1.36459"/>
    <n v="1.3484100000000001"/>
    <n v="1.397"/>
    <n v="1.3727050000000001"/>
    <n v="485.9"/>
  </r>
  <r>
    <x v="7"/>
    <x v="26"/>
    <x v="3"/>
    <n v="1.36459"/>
    <n v="1.3484100000000001"/>
    <n v="1.397"/>
    <n v="1.3727050000000001"/>
    <n v="485.9"/>
  </r>
  <r>
    <x v="7"/>
    <x v="26"/>
    <x v="3"/>
    <n v="1.36459"/>
    <n v="1.3484100000000001"/>
    <n v="1.397"/>
    <n v="1.3727050000000001"/>
    <n v="485.9"/>
  </r>
  <r>
    <x v="7"/>
    <x v="26"/>
    <x v="3"/>
    <n v="1.36459"/>
    <n v="1.3484100000000001"/>
    <n v="1.397"/>
    <n v="1.3727050000000001"/>
    <n v="485.9"/>
  </r>
  <r>
    <x v="7"/>
    <x v="26"/>
    <x v="3"/>
    <n v="1.36459"/>
    <n v="1.3484100000000001"/>
    <n v="1.397"/>
    <n v="1.3727050000000001"/>
    <n v="485.9"/>
  </r>
  <r>
    <x v="7"/>
    <x v="26"/>
    <x v="6"/>
    <n v="0.87705999999999995"/>
    <n v="0.80779999999999996"/>
    <n v="0.87961999999999996"/>
    <n v="0.84370999999999996"/>
    <n v="718.2"/>
  </r>
  <r>
    <x v="7"/>
    <x v="26"/>
    <x v="6"/>
    <n v="0.87705999999999995"/>
    <n v="0.80779999999999996"/>
    <n v="0.87961999999999996"/>
    <n v="0.84370999999999996"/>
    <n v="718.2"/>
  </r>
  <r>
    <x v="7"/>
    <x v="26"/>
    <x v="6"/>
    <n v="0.87705999999999995"/>
    <n v="0.80779999999999996"/>
    <n v="0.87961999999999996"/>
    <n v="0.84370999999999996"/>
    <n v="718.2"/>
  </r>
  <r>
    <x v="7"/>
    <x v="26"/>
    <x v="6"/>
    <n v="0.87705999999999995"/>
    <n v="0.80779999999999996"/>
    <n v="0.87961999999999996"/>
    <n v="0.84370999999999996"/>
    <n v="718.2"/>
  </r>
  <r>
    <x v="7"/>
    <x v="26"/>
    <x v="6"/>
    <n v="0.87705999999999995"/>
    <n v="0.80779999999999996"/>
    <n v="0.87961999999999996"/>
    <n v="0.84370999999999996"/>
    <n v="718.2"/>
  </r>
  <r>
    <x v="7"/>
    <x v="26"/>
    <x v="6"/>
    <n v="0.87705999999999995"/>
    <n v="0.80779999999999996"/>
    <n v="0.87961999999999996"/>
    <n v="0.84370999999999996"/>
    <n v="718.2"/>
  </r>
  <r>
    <x v="7"/>
    <x v="26"/>
    <x v="6"/>
    <n v="0.87705999999999995"/>
    <n v="0.80779999999999996"/>
    <n v="0.87961999999999996"/>
    <n v="0.84370999999999996"/>
    <n v="718.2"/>
  </r>
  <r>
    <x v="7"/>
    <x v="26"/>
    <x v="6"/>
    <n v="0.87705999999999995"/>
    <n v="0.80779999999999996"/>
    <n v="0.87961999999999996"/>
    <n v="0.84370999999999996"/>
    <n v="718.2"/>
  </r>
  <r>
    <x v="7"/>
    <x v="26"/>
    <x v="6"/>
    <n v="0.87705999999999995"/>
    <n v="0.80779999999999996"/>
    <n v="0.87961999999999996"/>
    <n v="0.84370999999999996"/>
    <n v="718.2"/>
  </r>
  <r>
    <x v="7"/>
    <x v="26"/>
    <x v="6"/>
    <n v="0.87705999999999995"/>
    <n v="0.80779999999999996"/>
    <n v="0.87961999999999996"/>
    <n v="0.84370999999999996"/>
    <n v="718.2"/>
  </r>
  <r>
    <x v="7"/>
    <x v="26"/>
    <x v="6"/>
    <n v="0.87705999999999995"/>
    <n v="0.80779999999999996"/>
    <n v="0.87961999999999996"/>
    <n v="0.84370999999999996"/>
    <n v="718.2"/>
  </r>
  <r>
    <x v="7"/>
    <x v="26"/>
    <x v="6"/>
    <n v="0.87705999999999995"/>
    <n v="0.80779999999999996"/>
    <n v="0.87961999999999996"/>
    <n v="0.84370999999999996"/>
    <n v="718.2"/>
  </r>
  <r>
    <x v="7"/>
    <x v="26"/>
    <x v="6"/>
    <n v="0.87705999999999995"/>
    <n v="0.80779999999999996"/>
    <n v="0.87961999999999996"/>
    <n v="0.84370999999999996"/>
    <n v="718.2"/>
  </r>
  <r>
    <x v="7"/>
    <x v="26"/>
    <x v="6"/>
    <n v="0.87705999999999995"/>
    <n v="0.80779999999999996"/>
    <n v="0.87961999999999996"/>
    <n v="0.84370999999999996"/>
    <n v="718.2"/>
  </r>
  <r>
    <x v="7"/>
    <x v="26"/>
    <x v="6"/>
    <n v="0.87705999999999995"/>
    <n v="0.80779999999999996"/>
    <n v="0.87961999999999996"/>
    <n v="0.84370999999999996"/>
    <n v="718.2"/>
  </r>
  <r>
    <x v="7"/>
    <x v="26"/>
    <x v="6"/>
    <n v="0.87705999999999995"/>
    <n v="0.80779999999999996"/>
    <n v="0.87961999999999996"/>
    <n v="0.84370999999999996"/>
    <n v="718.2"/>
  </r>
  <r>
    <x v="7"/>
    <x v="26"/>
    <x v="6"/>
    <n v="0.87705999999999995"/>
    <n v="0.80779999999999996"/>
    <n v="0.87961999999999996"/>
    <n v="0.84370999999999996"/>
    <n v="718.2"/>
  </r>
  <r>
    <x v="7"/>
    <x v="26"/>
    <x v="6"/>
    <n v="0.87705999999999995"/>
    <n v="0.80779999999999996"/>
    <n v="0.87961999999999996"/>
    <n v="0.84370999999999996"/>
    <n v="718.2"/>
  </r>
  <r>
    <x v="7"/>
    <x v="26"/>
    <x v="6"/>
    <n v="0.87705999999999995"/>
    <n v="0.80779999999999996"/>
    <n v="0.87961999999999996"/>
    <n v="0.84370999999999996"/>
    <n v="718.2"/>
  </r>
  <r>
    <x v="7"/>
    <x v="26"/>
    <x v="6"/>
    <n v="0.87705999999999995"/>
    <n v="0.80779999999999996"/>
    <n v="0.87961999999999996"/>
    <n v="0.84370999999999996"/>
    <n v="718.2"/>
  </r>
  <r>
    <x v="7"/>
    <x v="0"/>
    <x v="6"/>
    <n v="0.87338000000000005"/>
    <n v="0.80779999999999996"/>
    <n v="0.87961999999999996"/>
    <n v="0.84370999999999996"/>
    <n v="718.2"/>
  </r>
  <r>
    <x v="7"/>
    <x v="0"/>
    <x v="6"/>
    <n v="0.87338000000000005"/>
    <n v="0.80779999999999996"/>
    <n v="0.87961999999999996"/>
    <n v="0.84370999999999996"/>
    <n v="718.2"/>
  </r>
  <r>
    <x v="7"/>
    <x v="0"/>
    <x v="6"/>
    <n v="0.87338000000000005"/>
    <n v="0.80779999999999996"/>
    <n v="0.87961999999999996"/>
    <n v="0.84370999999999996"/>
    <n v="718.2"/>
  </r>
  <r>
    <x v="7"/>
    <x v="0"/>
    <x v="6"/>
    <n v="0.87338000000000005"/>
    <n v="0.80779999999999996"/>
    <n v="0.87961999999999996"/>
    <n v="0.84370999999999996"/>
    <n v="718.2"/>
  </r>
  <r>
    <x v="7"/>
    <x v="0"/>
    <x v="6"/>
    <n v="0.87338000000000005"/>
    <n v="0.80779999999999996"/>
    <n v="0.87961999999999996"/>
    <n v="0.84370999999999996"/>
    <n v="718.2"/>
  </r>
  <r>
    <x v="7"/>
    <x v="0"/>
    <x v="6"/>
    <n v="0.87338000000000005"/>
    <n v="0.80779999999999996"/>
    <n v="0.87961999999999996"/>
    <n v="0.84370999999999996"/>
    <n v="718.2"/>
  </r>
  <r>
    <x v="7"/>
    <x v="0"/>
    <x v="6"/>
    <n v="0.87338000000000005"/>
    <n v="0.80779999999999996"/>
    <n v="0.87961999999999996"/>
    <n v="0.84370999999999996"/>
    <n v="718.2"/>
  </r>
  <r>
    <x v="7"/>
    <x v="0"/>
    <x v="6"/>
    <n v="0.87338000000000005"/>
    <n v="0.80779999999999996"/>
    <n v="0.87961999999999996"/>
    <n v="0.84370999999999996"/>
    <n v="718.2"/>
  </r>
  <r>
    <x v="7"/>
    <x v="0"/>
    <x v="6"/>
    <n v="0.87338000000000005"/>
    <n v="0.80779999999999996"/>
    <n v="0.87961999999999996"/>
    <n v="0.84370999999999996"/>
    <n v="718.2"/>
  </r>
  <r>
    <x v="7"/>
    <x v="0"/>
    <x v="6"/>
    <n v="0.87338000000000005"/>
    <n v="0.80779999999999996"/>
    <n v="0.87961999999999996"/>
    <n v="0.84370999999999996"/>
    <n v="718.2"/>
  </r>
  <r>
    <x v="7"/>
    <x v="0"/>
    <x v="6"/>
    <n v="0.87338000000000005"/>
    <n v="0.80779999999999996"/>
    <n v="0.87961999999999996"/>
    <n v="0.84370999999999996"/>
    <n v="718.2"/>
  </r>
  <r>
    <x v="7"/>
    <x v="0"/>
    <x v="6"/>
    <n v="0.87338000000000005"/>
    <n v="0.80779999999999996"/>
    <n v="0.87961999999999996"/>
    <n v="0.84370999999999996"/>
    <n v="718.2"/>
  </r>
  <r>
    <x v="7"/>
    <x v="0"/>
    <x v="6"/>
    <n v="0.87338000000000005"/>
    <n v="0.80779999999999996"/>
    <n v="0.87961999999999996"/>
    <n v="0.84370999999999996"/>
    <n v="718.2"/>
  </r>
  <r>
    <x v="7"/>
    <x v="0"/>
    <x v="6"/>
    <n v="0.87338000000000005"/>
    <n v="0.80779999999999996"/>
    <n v="0.87961999999999996"/>
    <n v="0.84370999999999996"/>
    <n v="718.2"/>
  </r>
  <r>
    <x v="7"/>
    <x v="0"/>
    <x v="6"/>
    <n v="0.87338000000000005"/>
    <n v="0.80779999999999996"/>
    <n v="0.87961999999999996"/>
    <n v="0.84370999999999996"/>
    <n v="718.2"/>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4"/>
    <n v="95.561000000000007"/>
    <n v="88.756"/>
    <n v="96.4"/>
    <n v="92.578000000000003"/>
    <n v="764.4"/>
  </r>
  <r>
    <x v="7"/>
    <x v="0"/>
    <x v="3"/>
    <n v="1.35934"/>
    <n v="1.3484100000000001"/>
    <n v="1.397"/>
    <n v="1.3727050000000001"/>
    <n v="485.9"/>
  </r>
  <r>
    <x v="7"/>
    <x v="0"/>
    <x v="3"/>
    <n v="1.35934"/>
    <n v="1.3484100000000001"/>
    <n v="1.397"/>
    <n v="1.3727050000000001"/>
    <n v="485.9"/>
  </r>
  <r>
    <x v="7"/>
    <x v="0"/>
    <x v="3"/>
    <n v="1.35934"/>
    <n v="1.3484100000000001"/>
    <n v="1.397"/>
    <n v="1.3727050000000001"/>
    <n v="485.9"/>
  </r>
  <r>
    <x v="7"/>
    <x v="0"/>
    <x v="3"/>
    <n v="1.35934"/>
    <n v="1.3484100000000001"/>
    <n v="1.397"/>
    <n v="1.3727050000000001"/>
    <n v="485.9"/>
  </r>
  <r>
    <x v="7"/>
    <x v="0"/>
    <x v="3"/>
    <n v="1.35934"/>
    <n v="1.3484100000000001"/>
    <n v="1.397"/>
    <n v="1.3727050000000001"/>
    <n v="485.9"/>
  </r>
  <r>
    <x v="7"/>
    <x v="0"/>
    <x v="3"/>
    <n v="1.35934"/>
    <n v="1.3484100000000001"/>
    <n v="1.397"/>
    <n v="1.3727050000000001"/>
    <n v="485.9"/>
  </r>
  <r>
    <x v="7"/>
    <x v="0"/>
    <x v="3"/>
    <n v="1.35934"/>
    <n v="1.3484100000000001"/>
    <n v="1.397"/>
    <n v="1.3727050000000001"/>
    <n v="485.9"/>
  </r>
  <r>
    <x v="7"/>
    <x v="0"/>
    <x v="3"/>
    <n v="1.35934"/>
    <n v="1.3484100000000001"/>
    <n v="1.397"/>
    <n v="1.3727050000000001"/>
    <n v="485.9"/>
  </r>
  <r>
    <x v="7"/>
    <x v="0"/>
    <x v="3"/>
    <n v="1.35934"/>
    <n v="1.3484100000000001"/>
    <n v="1.397"/>
    <n v="1.3727050000000001"/>
    <n v="485.9"/>
  </r>
  <r>
    <x v="7"/>
    <x v="0"/>
    <x v="3"/>
    <n v="1.35934"/>
    <n v="1.3484100000000001"/>
    <n v="1.397"/>
    <n v="1.3727050000000001"/>
    <n v="485.9"/>
  </r>
  <r>
    <x v="7"/>
    <x v="0"/>
    <x v="3"/>
    <n v="1.35934"/>
    <n v="1.3484100000000001"/>
    <n v="1.397"/>
    <n v="1.3727050000000001"/>
    <n v="485.9"/>
  </r>
  <r>
    <x v="7"/>
    <x v="0"/>
    <x v="3"/>
    <n v="1.35934"/>
    <n v="1.3484100000000001"/>
    <n v="1.397"/>
    <n v="1.3727050000000001"/>
    <n v="485.9"/>
  </r>
  <r>
    <x v="7"/>
    <x v="0"/>
    <x v="3"/>
    <n v="1.35934"/>
    <n v="1.3484100000000001"/>
    <n v="1.397"/>
    <n v="1.3727050000000001"/>
    <n v="485.9"/>
  </r>
  <r>
    <x v="7"/>
    <x v="0"/>
    <x v="3"/>
    <n v="1.35934"/>
    <n v="1.3484100000000001"/>
    <n v="1.397"/>
    <n v="1.3727050000000001"/>
    <n v="485.9"/>
  </r>
  <r>
    <x v="7"/>
    <x v="0"/>
    <x v="3"/>
    <n v="1.35934"/>
    <n v="1.3484100000000001"/>
    <n v="1.397"/>
    <n v="1.3727050000000001"/>
    <n v="485.9"/>
  </r>
  <r>
    <x v="7"/>
    <x v="0"/>
    <x v="3"/>
    <n v="1.35934"/>
    <n v="1.3484100000000001"/>
    <n v="1.397"/>
    <n v="1.3727050000000001"/>
    <n v="485.9"/>
  </r>
  <r>
    <x v="7"/>
    <x v="0"/>
    <x v="3"/>
    <n v="1.35934"/>
    <n v="1.3484100000000001"/>
    <n v="1.397"/>
    <n v="1.3727050000000001"/>
    <n v="485.9"/>
  </r>
  <r>
    <x v="7"/>
    <x v="0"/>
    <x v="6"/>
    <n v="0.87338000000000005"/>
    <n v="0.80779999999999996"/>
    <n v="0.87961999999999996"/>
    <n v="0.84370999999999996"/>
    <n v="718.2"/>
  </r>
  <r>
    <x v="7"/>
    <x v="0"/>
    <x v="6"/>
    <n v="0.87338000000000005"/>
    <n v="0.80779999999999996"/>
    <n v="0.87961999999999996"/>
    <n v="0.84370999999999996"/>
    <n v="718.2"/>
  </r>
  <r>
    <x v="7"/>
    <x v="0"/>
    <x v="6"/>
    <n v="0.87338000000000005"/>
    <n v="0.80779999999999996"/>
    <n v="0.87961999999999996"/>
    <n v="0.84370999999999996"/>
    <n v="718.2"/>
  </r>
  <r>
    <x v="7"/>
    <x v="0"/>
    <x v="6"/>
    <n v="0.87338000000000005"/>
    <n v="0.80779999999999996"/>
    <n v="0.87961999999999996"/>
    <n v="0.84370999999999996"/>
    <n v="718.2"/>
  </r>
  <r>
    <x v="7"/>
    <x v="0"/>
    <x v="6"/>
    <n v="0.87338000000000005"/>
    <n v="0.80779999999999996"/>
    <n v="0.87961999999999996"/>
    <n v="0.84370999999999996"/>
    <n v="718.2"/>
  </r>
  <r>
    <x v="7"/>
    <x v="0"/>
    <x v="6"/>
    <n v="0.87338000000000005"/>
    <n v="0.80779999999999996"/>
    <n v="0.87961999999999996"/>
    <n v="0.84370999999999996"/>
    <n v="718.2"/>
  </r>
  <r>
    <x v="7"/>
    <x v="0"/>
    <x v="6"/>
    <n v="0.87338000000000005"/>
    <n v="0.80779999999999996"/>
    <n v="0.87961999999999996"/>
    <n v="0.84370999999999996"/>
    <n v="718.2"/>
  </r>
  <r>
    <x v="7"/>
    <x v="0"/>
    <x v="6"/>
    <n v="0.87338000000000005"/>
    <n v="0.80779999999999996"/>
    <n v="0.87961999999999996"/>
    <n v="0.84370999999999996"/>
    <n v="718.2"/>
  </r>
  <r>
    <x v="7"/>
    <x v="0"/>
    <x v="6"/>
    <n v="0.87338000000000005"/>
    <n v="0.80779999999999996"/>
    <n v="0.87961999999999996"/>
    <n v="0.84370999999999996"/>
    <n v="718.2"/>
  </r>
  <r>
    <x v="7"/>
    <x v="0"/>
    <x v="6"/>
    <n v="0.87338000000000005"/>
    <n v="0.80779999999999996"/>
    <n v="0.87961999999999996"/>
    <n v="0.84370999999999996"/>
    <n v="718.2"/>
  </r>
  <r>
    <x v="7"/>
    <x v="0"/>
    <x v="6"/>
    <n v="0.87338000000000005"/>
    <n v="0.80779999999999996"/>
    <n v="0.87961999999999996"/>
    <n v="0.84370999999999996"/>
    <n v="718.2"/>
  </r>
  <r>
    <x v="7"/>
    <x v="0"/>
    <x v="6"/>
    <n v="0.87338000000000005"/>
    <n v="0.80779999999999996"/>
    <n v="0.87961999999999996"/>
    <n v="0.84370999999999996"/>
    <n v="718.2"/>
  </r>
  <r>
    <x v="7"/>
    <x v="0"/>
    <x v="6"/>
    <n v="0.87338000000000005"/>
    <n v="0.80779999999999996"/>
    <n v="0.87961999999999996"/>
    <n v="0.84370999999999996"/>
    <n v="718.2"/>
  </r>
  <r>
    <x v="7"/>
    <x v="0"/>
    <x v="6"/>
    <n v="0.87338000000000005"/>
    <n v="0.80779999999999996"/>
    <n v="0.87961999999999996"/>
    <n v="0.84370999999999996"/>
    <n v="718.2"/>
  </r>
  <r>
    <x v="7"/>
    <x v="1"/>
    <x v="6"/>
    <n v="0.88095999999999997"/>
    <n v="0.80779999999999996"/>
    <n v="0.87961999999999996"/>
    <n v="0.84370999999999996"/>
    <n v="718.2"/>
  </r>
  <r>
    <x v="7"/>
    <x v="1"/>
    <x v="6"/>
    <n v="0.88095999999999997"/>
    <n v="0.80779999999999996"/>
    <n v="0.87961999999999996"/>
    <n v="0.84370999999999996"/>
    <n v="718.2"/>
  </r>
  <r>
    <x v="7"/>
    <x v="1"/>
    <x v="6"/>
    <n v="0.88095999999999997"/>
    <n v="0.80779999999999996"/>
    <n v="0.87961999999999996"/>
    <n v="0.84370999999999996"/>
    <n v="718.2"/>
  </r>
  <r>
    <x v="7"/>
    <x v="1"/>
    <x v="6"/>
    <n v="0.88095999999999997"/>
    <n v="0.80779999999999996"/>
    <n v="0.87961999999999996"/>
    <n v="0.84370999999999996"/>
    <n v="718.2"/>
  </r>
  <r>
    <x v="7"/>
    <x v="1"/>
    <x v="6"/>
    <n v="0.88095999999999997"/>
    <n v="0.80779999999999996"/>
    <n v="0.87961999999999996"/>
    <n v="0.84370999999999996"/>
    <n v="718.2"/>
  </r>
  <r>
    <x v="7"/>
    <x v="1"/>
    <x v="6"/>
    <n v="0.88095999999999997"/>
    <n v="0.80779999999999996"/>
    <n v="0.87961999999999996"/>
    <n v="0.84370999999999996"/>
    <n v="718.2"/>
  </r>
  <r>
    <x v="7"/>
    <x v="1"/>
    <x v="6"/>
    <n v="0.88095999999999997"/>
    <n v="0.80779999999999996"/>
    <n v="0.87961999999999996"/>
    <n v="0.84370999999999996"/>
    <n v="718.2"/>
  </r>
  <r>
    <x v="7"/>
    <x v="1"/>
    <x v="6"/>
    <n v="0.88095999999999997"/>
    <n v="0.80779999999999996"/>
    <n v="0.87961999999999996"/>
    <n v="0.84370999999999996"/>
    <n v="718.2"/>
  </r>
  <r>
    <x v="7"/>
    <x v="1"/>
    <x v="6"/>
    <n v="0.88095999999999997"/>
    <n v="0.80779999999999996"/>
    <n v="0.87961999999999996"/>
    <n v="0.84370999999999996"/>
    <n v="718.2"/>
  </r>
  <r>
    <x v="7"/>
    <x v="1"/>
    <x v="6"/>
    <n v="0.88095999999999997"/>
    <n v="0.80779999999999996"/>
    <n v="0.87961999999999996"/>
    <n v="0.84370999999999996"/>
    <n v="718.2"/>
  </r>
  <r>
    <x v="7"/>
    <x v="1"/>
    <x v="6"/>
    <n v="0.88095999999999997"/>
    <n v="0.80779999999999996"/>
    <n v="0.87961999999999996"/>
    <n v="0.84370999999999996"/>
    <n v="718.2"/>
  </r>
  <r>
    <x v="7"/>
    <x v="1"/>
    <x v="6"/>
    <n v="0.88095999999999997"/>
    <n v="0.80779999999999996"/>
    <n v="0.87961999999999996"/>
    <n v="0.84370999999999996"/>
    <n v="718.2"/>
  </r>
  <r>
    <x v="7"/>
    <x v="1"/>
    <x v="6"/>
    <n v="0.88095999999999997"/>
    <n v="0.80779999999999996"/>
    <n v="0.87961999999999996"/>
    <n v="0.84370999999999996"/>
    <n v="718.2"/>
  </r>
  <r>
    <x v="7"/>
    <x v="1"/>
    <x v="6"/>
    <n v="0.88095999999999997"/>
    <n v="0.80779999999999996"/>
    <n v="0.87961999999999996"/>
    <n v="0.84370999999999996"/>
    <n v="718.2"/>
  </r>
  <r>
    <x v="7"/>
    <x v="1"/>
    <x v="6"/>
    <n v="0.88095999999999997"/>
    <n v="0.80779999999999996"/>
    <n v="0.87961999999999996"/>
    <n v="0.84370999999999996"/>
    <n v="718.2"/>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4"/>
    <n v="95.075999999999993"/>
    <n v="88.756"/>
    <n v="96.4"/>
    <n v="92.578000000000003"/>
    <n v="764.4"/>
  </r>
  <r>
    <x v="7"/>
    <x v="1"/>
    <x v="3"/>
    <n v="1.36012"/>
    <n v="1.3484100000000001"/>
    <n v="1.397"/>
    <n v="1.3727050000000001"/>
    <n v="485.9"/>
  </r>
  <r>
    <x v="7"/>
    <x v="1"/>
    <x v="3"/>
    <n v="1.36012"/>
    <n v="1.3484100000000001"/>
    <n v="1.397"/>
    <n v="1.3727050000000001"/>
    <n v="485.9"/>
  </r>
  <r>
    <x v="7"/>
    <x v="1"/>
    <x v="3"/>
    <n v="1.36012"/>
    <n v="1.3484100000000001"/>
    <n v="1.397"/>
    <n v="1.3727050000000001"/>
    <n v="485.9"/>
  </r>
  <r>
    <x v="7"/>
    <x v="1"/>
    <x v="3"/>
    <n v="1.36012"/>
    <n v="1.3484100000000001"/>
    <n v="1.397"/>
    <n v="1.3727050000000001"/>
    <n v="485.9"/>
  </r>
  <r>
    <x v="7"/>
    <x v="1"/>
    <x v="3"/>
    <n v="1.36012"/>
    <n v="1.3484100000000001"/>
    <n v="1.397"/>
    <n v="1.3727050000000001"/>
    <n v="485.9"/>
  </r>
  <r>
    <x v="7"/>
    <x v="1"/>
    <x v="3"/>
    <n v="1.36012"/>
    <n v="1.3484100000000001"/>
    <n v="1.397"/>
    <n v="1.3727050000000001"/>
    <n v="485.9"/>
  </r>
  <r>
    <x v="7"/>
    <x v="1"/>
    <x v="3"/>
    <n v="1.36012"/>
    <n v="1.3484100000000001"/>
    <n v="1.397"/>
    <n v="1.3727050000000001"/>
    <n v="485.9"/>
  </r>
  <r>
    <x v="7"/>
    <x v="1"/>
    <x v="3"/>
    <n v="1.36012"/>
    <n v="1.3484100000000001"/>
    <n v="1.397"/>
    <n v="1.3727050000000001"/>
    <n v="485.9"/>
  </r>
  <r>
    <x v="7"/>
    <x v="1"/>
    <x v="3"/>
    <n v="1.36012"/>
    <n v="1.3484100000000001"/>
    <n v="1.397"/>
    <n v="1.3727050000000001"/>
    <n v="485.9"/>
  </r>
  <r>
    <x v="7"/>
    <x v="1"/>
    <x v="3"/>
    <n v="1.36012"/>
    <n v="1.3484100000000001"/>
    <n v="1.397"/>
    <n v="1.3727050000000001"/>
    <n v="485.9"/>
  </r>
  <r>
    <x v="7"/>
    <x v="1"/>
    <x v="3"/>
    <n v="1.36012"/>
    <n v="1.3484100000000001"/>
    <n v="1.397"/>
    <n v="1.3727050000000001"/>
    <n v="485.9"/>
  </r>
  <r>
    <x v="7"/>
    <x v="1"/>
    <x v="3"/>
    <n v="1.36012"/>
    <n v="1.3484100000000001"/>
    <n v="1.397"/>
    <n v="1.3727050000000001"/>
    <n v="485.9"/>
  </r>
  <r>
    <x v="7"/>
    <x v="1"/>
    <x v="3"/>
    <n v="1.36012"/>
    <n v="1.3484100000000001"/>
    <n v="1.397"/>
    <n v="1.3727050000000001"/>
    <n v="485.9"/>
  </r>
  <r>
    <x v="7"/>
    <x v="1"/>
    <x v="3"/>
    <n v="1.36012"/>
    <n v="1.3484100000000001"/>
    <n v="1.397"/>
    <n v="1.3727050000000001"/>
    <n v="485.9"/>
  </r>
  <r>
    <x v="7"/>
    <x v="1"/>
    <x v="3"/>
    <n v="1.36012"/>
    <n v="1.3484100000000001"/>
    <n v="1.397"/>
    <n v="1.3727050000000001"/>
    <n v="485.9"/>
  </r>
  <r>
    <x v="7"/>
    <x v="1"/>
    <x v="3"/>
    <n v="1.36012"/>
    <n v="1.3484100000000001"/>
    <n v="1.397"/>
    <n v="1.3727050000000001"/>
    <n v="485.9"/>
  </r>
  <r>
    <x v="7"/>
    <x v="1"/>
    <x v="3"/>
    <n v="1.36012"/>
    <n v="1.3484100000000001"/>
    <n v="1.397"/>
    <n v="1.3727050000000001"/>
    <n v="485.9"/>
  </r>
  <r>
    <x v="7"/>
    <x v="1"/>
    <x v="6"/>
    <n v="0.88095999999999997"/>
    <n v="0.80779999999999996"/>
    <n v="0.87961999999999996"/>
    <n v="0.84370999999999996"/>
    <n v="718.2"/>
  </r>
  <r>
    <x v="7"/>
    <x v="1"/>
    <x v="6"/>
    <n v="0.88095999999999997"/>
    <n v="0.80779999999999996"/>
    <n v="0.87961999999999996"/>
    <n v="0.84370999999999996"/>
    <n v="718.2"/>
  </r>
  <r>
    <x v="7"/>
    <x v="1"/>
    <x v="6"/>
    <n v="0.88095999999999997"/>
    <n v="0.80779999999999996"/>
    <n v="0.87961999999999996"/>
    <n v="0.84370999999999996"/>
    <n v="718.2"/>
  </r>
  <r>
    <x v="7"/>
    <x v="1"/>
    <x v="6"/>
    <n v="0.88095999999999997"/>
    <n v="0.80779999999999996"/>
    <n v="0.87961999999999996"/>
    <n v="0.84370999999999996"/>
    <n v="718.2"/>
  </r>
  <r>
    <x v="7"/>
    <x v="1"/>
    <x v="6"/>
    <n v="0.88095999999999997"/>
    <n v="0.80779999999999996"/>
    <n v="0.87961999999999996"/>
    <n v="0.84370999999999996"/>
    <n v="718.2"/>
  </r>
  <r>
    <x v="7"/>
    <x v="1"/>
    <x v="6"/>
    <n v="0.88095999999999997"/>
    <n v="0.80779999999999996"/>
    <n v="0.87961999999999996"/>
    <n v="0.84370999999999996"/>
    <n v="718.2"/>
  </r>
  <r>
    <x v="7"/>
    <x v="1"/>
    <x v="6"/>
    <n v="0.88095999999999997"/>
    <n v="0.80779999999999996"/>
    <n v="0.87961999999999996"/>
    <n v="0.84370999999999996"/>
    <n v="718.2"/>
  </r>
  <r>
    <x v="7"/>
    <x v="1"/>
    <x v="6"/>
    <n v="0.88095999999999997"/>
    <n v="0.80779999999999996"/>
    <n v="0.87961999999999996"/>
    <n v="0.84370999999999996"/>
    <n v="718.2"/>
  </r>
  <r>
    <x v="7"/>
    <x v="1"/>
    <x v="6"/>
    <n v="0.88095999999999997"/>
    <n v="0.80779999999999996"/>
    <n v="0.87961999999999996"/>
    <n v="0.84370999999999996"/>
    <n v="718.2"/>
  </r>
  <r>
    <x v="7"/>
    <x v="1"/>
    <x v="6"/>
    <n v="0.88095999999999997"/>
    <n v="0.80779999999999996"/>
    <n v="0.87961999999999996"/>
    <n v="0.84370999999999996"/>
    <n v="718.2"/>
  </r>
  <r>
    <x v="7"/>
    <x v="1"/>
    <x v="6"/>
    <n v="0.88095999999999997"/>
    <n v="0.80779999999999996"/>
    <n v="0.87961999999999996"/>
    <n v="0.84370999999999996"/>
    <n v="718.2"/>
  </r>
  <r>
    <x v="7"/>
    <x v="1"/>
    <x v="6"/>
    <n v="0.88095999999999997"/>
    <n v="0.80779999999999996"/>
    <n v="0.87961999999999996"/>
    <n v="0.84370999999999996"/>
    <n v="718.2"/>
  </r>
  <r>
    <x v="7"/>
    <x v="1"/>
    <x v="6"/>
    <n v="0.88095999999999997"/>
    <n v="0.80779999999999996"/>
    <n v="0.87961999999999996"/>
    <n v="0.84370999999999996"/>
    <n v="718.2"/>
  </r>
  <r>
    <x v="7"/>
    <x v="2"/>
    <x v="6"/>
    <n v="0.86792999999999998"/>
    <n v="0.80779999999999996"/>
    <n v="0.87961999999999996"/>
    <n v="0.84370999999999996"/>
    <n v="718.2"/>
  </r>
  <r>
    <x v="7"/>
    <x v="2"/>
    <x v="6"/>
    <n v="0.86792999999999998"/>
    <n v="0.80779999999999996"/>
    <n v="0.87961999999999996"/>
    <n v="0.84370999999999996"/>
    <n v="718.2"/>
  </r>
  <r>
    <x v="7"/>
    <x v="2"/>
    <x v="6"/>
    <n v="0.86792999999999998"/>
    <n v="0.80779999999999996"/>
    <n v="0.87961999999999996"/>
    <n v="0.84370999999999996"/>
    <n v="718.2"/>
  </r>
  <r>
    <x v="7"/>
    <x v="2"/>
    <x v="6"/>
    <n v="0.86792999999999998"/>
    <n v="0.80779999999999996"/>
    <n v="0.87961999999999996"/>
    <n v="0.84370999999999996"/>
    <n v="718.2"/>
  </r>
  <r>
    <x v="7"/>
    <x v="2"/>
    <x v="6"/>
    <n v="0.86792999999999998"/>
    <n v="0.80779999999999996"/>
    <n v="0.87961999999999996"/>
    <n v="0.84370999999999996"/>
    <n v="718.2"/>
  </r>
  <r>
    <x v="7"/>
    <x v="2"/>
    <x v="6"/>
    <n v="0.86792999999999998"/>
    <n v="0.80779999999999996"/>
    <n v="0.87961999999999996"/>
    <n v="0.84370999999999996"/>
    <n v="718.2"/>
  </r>
  <r>
    <x v="7"/>
    <x v="2"/>
    <x v="6"/>
    <n v="0.86792999999999998"/>
    <n v="0.80779999999999996"/>
    <n v="0.87961999999999996"/>
    <n v="0.84370999999999996"/>
    <n v="718.2"/>
  </r>
  <r>
    <x v="7"/>
    <x v="2"/>
    <x v="6"/>
    <n v="0.86792999999999998"/>
    <n v="0.80779999999999996"/>
    <n v="0.87961999999999996"/>
    <n v="0.84370999999999996"/>
    <n v="718.2"/>
  </r>
  <r>
    <x v="7"/>
    <x v="2"/>
    <x v="6"/>
    <n v="0.86792999999999998"/>
    <n v="0.80779999999999996"/>
    <n v="0.87961999999999996"/>
    <n v="0.84370999999999996"/>
    <n v="718.2"/>
  </r>
  <r>
    <x v="7"/>
    <x v="2"/>
    <x v="6"/>
    <n v="0.86792999999999998"/>
    <n v="0.80779999999999996"/>
    <n v="0.87961999999999996"/>
    <n v="0.84370999999999996"/>
    <n v="718.2"/>
  </r>
  <r>
    <x v="7"/>
    <x v="2"/>
    <x v="6"/>
    <n v="0.86792999999999998"/>
    <n v="0.80779999999999996"/>
    <n v="0.87961999999999996"/>
    <n v="0.84370999999999996"/>
    <n v="718.2"/>
  </r>
  <r>
    <x v="7"/>
    <x v="2"/>
    <x v="6"/>
    <n v="0.86792999999999998"/>
    <n v="0.80779999999999996"/>
    <n v="0.87961999999999996"/>
    <n v="0.84370999999999996"/>
    <n v="718.2"/>
  </r>
  <r>
    <x v="7"/>
    <x v="2"/>
    <x v="6"/>
    <n v="0.86792999999999998"/>
    <n v="0.80779999999999996"/>
    <n v="0.87961999999999996"/>
    <n v="0.84370999999999996"/>
    <n v="718.2"/>
  </r>
  <r>
    <x v="7"/>
    <x v="2"/>
    <x v="6"/>
    <n v="0.86792999999999998"/>
    <n v="0.80779999999999996"/>
    <n v="0.87961999999999996"/>
    <n v="0.84370999999999996"/>
    <n v="718.2"/>
  </r>
  <r>
    <x v="7"/>
    <x v="2"/>
    <x v="6"/>
    <n v="0.86792999999999998"/>
    <n v="0.80779999999999996"/>
    <n v="0.87961999999999996"/>
    <n v="0.84370999999999996"/>
    <n v="718.2"/>
  </r>
  <r>
    <x v="7"/>
    <x v="2"/>
    <x v="6"/>
    <n v="0.86792999999999998"/>
    <n v="0.80779999999999996"/>
    <n v="0.87961999999999996"/>
    <n v="0.84370999999999996"/>
    <n v="718.2"/>
  </r>
  <r>
    <x v="7"/>
    <x v="2"/>
    <x v="6"/>
    <n v="0.86792999999999998"/>
    <n v="0.80779999999999996"/>
    <n v="0.87961999999999996"/>
    <n v="0.84370999999999996"/>
    <n v="718.2"/>
  </r>
  <r>
    <x v="7"/>
    <x v="2"/>
    <x v="6"/>
    <n v="0.86792999999999998"/>
    <n v="0.80779999999999996"/>
    <n v="0.87961999999999996"/>
    <n v="0.84370999999999996"/>
    <n v="718.2"/>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4"/>
    <n v="95.078999999999994"/>
    <n v="88.756"/>
    <n v="96.4"/>
    <n v="92.578000000000003"/>
    <n v="764.4"/>
  </r>
  <r>
    <x v="7"/>
    <x v="2"/>
    <x v="3"/>
    <n v="1.35225"/>
    <n v="1.3484100000000001"/>
    <n v="1.397"/>
    <n v="1.3727050000000001"/>
    <n v="485.9"/>
  </r>
  <r>
    <x v="7"/>
    <x v="2"/>
    <x v="3"/>
    <n v="1.35225"/>
    <n v="1.3484100000000001"/>
    <n v="1.397"/>
    <n v="1.3727050000000001"/>
    <n v="485.9"/>
  </r>
  <r>
    <x v="7"/>
    <x v="2"/>
    <x v="3"/>
    <n v="1.35225"/>
    <n v="1.3484100000000001"/>
    <n v="1.397"/>
    <n v="1.3727050000000001"/>
    <n v="485.9"/>
  </r>
  <r>
    <x v="7"/>
    <x v="2"/>
    <x v="3"/>
    <n v="1.35225"/>
    <n v="1.3484100000000001"/>
    <n v="1.397"/>
    <n v="1.3727050000000001"/>
    <n v="485.9"/>
  </r>
  <r>
    <x v="7"/>
    <x v="2"/>
    <x v="3"/>
    <n v="1.35225"/>
    <n v="1.3484100000000001"/>
    <n v="1.397"/>
    <n v="1.3727050000000001"/>
    <n v="485.9"/>
  </r>
  <r>
    <x v="7"/>
    <x v="2"/>
    <x v="3"/>
    <n v="1.35225"/>
    <n v="1.3484100000000001"/>
    <n v="1.397"/>
    <n v="1.3727050000000001"/>
    <n v="485.9"/>
  </r>
  <r>
    <x v="7"/>
    <x v="2"/>
    <x v="3"/>
    <n v="1.35225"/>
    <n v="1.3484100000000001"/>
    <n v="1.397"/>
    <n v="1.3727050000000001"/>
    <n v="485.9"/>
  </r>
  <r>
    <x v="7"/>
    <x v="2"/>
    <x v="3"/>
    <n v="1.35225"/>
    <n v="1.3484100000000001"/>
    <n v="1.397"/>
    <n v="1.3727050000000001"/>
    <n v="485.9"/>
  </r>
  <r>
    <x v="7"/>
    <x v="2"/>
    <x v="3"/>
    <n v="1.35225"/>
    <n v="1.3484100000000001"/>
    <n v="1.397"/>
    <n v="1.3727050000000001"/>
    <n v="485.9"/>
  </r>
  <r>
    <x v="7"/>
    <x v="2"/>
    <x v="3"/>
    <n v="1.35225"/>
    <n v="1.3484100000000001"/>
    <n v="1.397"/>
    <n v="1.3727050000000001"/>
    <n v="485.9"/>
  </r>
  <r>
    <x v="7"/>
    <x v="2"/>
    <x v="3"/>
    <n v="1.35225"/>
    <n v="1.3484100000000001"/>
    <n v="1.397"/>
    <n v="1.3727050000000001"/>
    <n v="485.9"/>
  </r>
  <r>
    <x v="7"/>
    <x v="2"/>
    <x v="3"/>
    <n v="1.35225"/>
    <n v="1.3484100000000001"/>
    <n v="1.397"/>
    <n v="1.3727050000000001"/>
    <n v="485.9"/>
  </r>
  <r>
    <x v="7"/>
    <x v="2"/>
    <x v="3"/>
    <n v="1.35225"/>
    <n v="1.3484100000000001"/>
    <n v="1.397"/>
    <n v="1.3727050000000001"/>
    <n v="485.9"/>
  </r>
  <r>
    <x v="7"/>
    <x v="2"/>
    <x v="3"/>
    <n v="1.35225"/>
    <n v="1.3484100000000001"/>
    <n v="1.397"/>
    <n v="1.3727050000000001"/>
    <n v="485.9"/>
  </r>
  <r>
    <x v="7"/>
    <x v="2"/>
    <x v="3"/>
    <n v="1.35225"/>
    <n v="1.3484100000000001"/>
    <n v="1.397"/>
    <n v="1.3727050000000001"/>
    <n v="485.9"/>
  </r>
  <r>
    <x v="7"/>
    <x v="2"/>
    <x v="3"/>
    <n v="1.35225"/>
    <n v="1.3484100000000001"/>
    <n v="1.397"/>
    <n v="1.3727050000000001"/>
    <n v="485.9"/>
  </r>
  <r>
    <x v="7"/>
    <x v="2"/>
    <x v="3"/>
    <n v="1.35225"/>
    <n v="1.3484100000000001"/>
    <n v="1.397"/>
    <n v="1.3727050000000001"/>
    <n v="485.9"/>
  </r>
  <r>
    <x v="7"/>
    <x v="2"/>
    <x v="3"/>
    <n v="1.35225"/>
    <n v="1.3484100000000001"/>
    <n v="1.397"/>
    <n v="1.3727050000000001"/>
    <n v="485.9"/>
  </r>
  <r>
    <x v="7"/>
    <x v="2"/>
    <x v="6"/>
    <n v="0.86792999999999998"/>
    <n v="0.80779999999999996"/>
    <n v="0.87961999999999996"/>
    <n v="0.84370999999999996"/>
    <n v="718.2"/>
  </r>
  <r>
    <x v="7"/>
    <x v="2"/>
    <x v="6"/>
    <n v="0.86792999999999998"/>
    <n v="0.80779999999999996"/>
    <n v="0.87961999999999996"/>
    <n v="0.84370999999999996"/>
    <n v="718.2"/>
  </r>
  <r>
    <x v="7"/>
    <x v="2"/>
    <x v="6"/>
    <n v="0.86792999999999998"/>
    <n v="0.80779999999999996"/>
    <n v="0.87961999999999996"/>
    <n v="0.84370999999999996"/>
    <n v="718.2"/>
  </r>
  <r>
    <x v="7"/>
    <x v="2"/>
    <x v="6"/>
    <n v="0.86792999999999998"/>
    <n v="0.80779999999999996"/>
    <n v="0.87961999999999996"/>
    <n v="0.84370999999999996"/>
    <n v="718.2"/>
  </r>
  <r>
    <x v="7"/>
    <x v="2"/>
    <x v="6"/>
    <n v="0.86792999999999998"/>
    <n v="0.80779999999999996"/>
    <n v="0.87961999999999996"/>
    <n v="0.84370999999999996"/>
    <n v="718.2"/>
  </r>
  <r>
    <x v="7"/>
    <x v="2"/>
    <x v="6"/>
    <n v="0.86792999999999998"/>
    <n v="0.80779999999999996"/>
    <n v="0.87961999999999996"/>
    <n v="0.84370999999999996"/>
    <n v="718.2"/>
  </r>
  <r>
    <x v="7"/>
    <x v="2"/>
    <x v="6"/>
    <n v="0.86792999999999998"/>
    <n v="0.80779999999999996"/>
    <n v="0.87961999999999996"/>
    <n v="0.84370999999999996"/>
    <n v="718.2"/>
  </r>
  <r>
    <x v="7"/>
    <x v="2"/>
    <x v="6"/>
    <n v="0.86792999999999998"/>
    <n v="0.80779999999999996"/>
    <n v="0.87961999999999996"/>
    <n v="0.84370999999999996"/>
    <n v="718.2"/>
  </r>
  <r>
    <x v="7"/>
    <x v="2"/>
    <x v="6"/>
    <n v="0.86792999999999998"/>
    <n v="0.80779999999999996"/>
    <n v="0.87961999999999996"/>
    <n v="0.84370999999999996"/>
    <n v="718.2"/>
  </r>
  <r>
    <x v="7"/>
    <x v="2"/>
    <x v="6"/>
    <n v="0.86792999999999998"/>
    <n v="0.80779999999999996"/>
    <n v="0.87961999999999996"/>
    <n v="0.84370999999999996"/>
    <n v="718.2"/>
  </r>
  <r>
    <x v="7"/>
    <x v="2"/>
    <x v="6"/>
    <n v="0.86792999999999998"/>
    <n v="0.80779999999999996"/>
    <n v="0.87961999999999996"/>
    <n v="0.84370999999999996"/>
    <n v="718.2"/>
  </r>
  <r>
    <x v="7"/>
    <x v="2"/>
    <x v="6"/>
    <n v="0.86792999999999998"/>
    <n v="0.80779999999999996"/>
    <n v="0.87961999999999996"/>
    <n v="0.84370999999999996"/>
    <n v="718.2"/>
  </r>
  <r>
    <x v="7"/>
    <x v="3"/>
    <x v="6"/>
    <n v="0.85507"/>
    <n v="0.80779999999999996"/>
    <n v="0.87961999999999996"/>
    <n v="0.84370999999999996"/>
    <n v="718.2"/>
  </r>
  <r>
    <x v="7"/>
    <x v="3"/>
    <x v="6"/>
    <n v="0.85507"/>
    <n v="0.80779999999999996"/>
    <n v="0.87961999999999996"/>
    <n v="0.84370999999999996"/>
    <n v="718.2"/>
  </r>
  <r>
    <x v="7"/>
    <x v="3"/>
    <x v="6"/>
    <n v="0.85507"/>
    <n v="0.80779999999999996"/>
    <n v="0.87961999999999996"/>
    <n v="0.84370999999999996"/>
    <n v="718.2"/>
  </r>
  <r>
    <x v="7"/>
    <x v="3"/>
    <x v="6"/>
    <n v="0.85507"/>
    <n v="0.80779999999999996"/>
    <n v="0.87961999999999996"/>
    <n v="0.84370999999999996"/>
    <n v="718.2"/>
  </r>
  <r>
    <x v="7"/>
    <x v="3"/>
    <x v="6"/>
    <n v="0.85507"/>
    <n v="0.80779999999999996"/>
    <n v="0.87961999999999996"/>
    <n v="0.84370999999999996"/>
    <n v="718.2"/>
  </r>
  <r>
    <x v="7"/>
    <x v="3"/>
    <x v="6"/>
    <n v="0.85507"/>
    <n v="0.80779999999999996"/>
    <n v="0.87961999999999996"/>
    <n v="0.84370999999999996"/>
    <n v="718.2"/>
  </r>
  <r>
    <x v="7"/>
    <x v="3"/>
    <x v="6"/>
    <n v="0.85507"/>
    <n v="0.80779999999999996"/>
    <n v="0.87961999999999996"/>
    <n v="0.84370999999999996"/>
    <n v="718.2"/>
  </r>
  <r>
    <x v="7"/>
    <x v="3"/>
    <x v="6"/>
    <n v="0.85507"/>
    <n v="0.80779999999999996"/>
    <n v="0.87961999999999996"/>
    <n v="0.84370999999999996"/>
    <n v="718.2"/>
  </r>
  <r>
    <x v="7"/>
    <x v="3"/>
    <x v="6"/>
    <n v="0.85507"/>
    <n v="0.80779999999999996"/>
    <n v="0.87961999999999996"/>
    <n v="0.84370999999999996"/>
    <n v="718.2"/>
  </r>
  <r>
    <x v="7"/>
    <x v="3"/>
    <x v="6"/>
    <n v="0.85507"/>
    <n v="0.80779999999999996"/>
    <n v="0.87961999999999996"/>
    <n v="0.84370999999999996"/>
    <n v="718.2"/>
  </r>
  <r>
    <x v="7"/>
    <x v="3"/>
    <x v="6"/>
    <n v="0.85507"/>
    <n v="0.80779999999999996"/>
    <n v="0.87961999999999996"/>
    <n v="0.84370999999999996"/>
    <n v="718.2"/>
  </r>
  <r>
    <x v="7"/>
    <x v="3"/>
    <x v="6"/>
    <n v="0.85507"/>
    <n v="0.80779999999999996"/>
    <n v="0.87961999999999996"/>
    <n v="0.84370999999999996"/>
    <n v="718.2"/>
  </r>
  <r>
    <x v="7"/>
    <x v="3"/>
    <x v="6"/>
    <n v="0.85507"/>
    <n v="0.80779999999999996"/>
    <n v="0.87961999999999996"/>
    <n v="0.84370999999999996"/>
    <n v="718.2"/>
  </r>
  <r>
    <x v="7"/>
    <x v="3"/>
    <x v="6"/>
    <n v="0.85507"/>
    <n v="0.80779999999999996"/>
    <n v="0.87961999999999996"/>
    <n v="0.84370999999999996"/>
    <n v="718.2"/>
  </r>
  <r>
    <x v="7"/>
    <x v="3"/>
    <x v="6"/>
    <n v="0.85507"/>
    <n v="0.80779999999999996"/>
    <n v="0.87961999999999996"/>
    <n v="0.84370999999999996"/>
    <n v="718.2"/>
  </r>
  <r>
    <x v="7"/>
    <x v="3"/>
    <x v="6"/>
    <n v="0.85507"/>
    <n v="0.80779999999999996"/>
    <n v="0.87961999999999996"/>
    <n v="0.84370999999999996"/>
    <n v="718.2"/>
  </r>
  <r>
    <x v="7"/>
    <x v="3"/>
    <x v="6"/>
    <n v="0.85507"/>
    <n v="0.80779999999999996"/>
    <n v="0.87961999999999996"/>
    <n v="0.84370999999999996"/>
    <n v="718.2"/>
  </r>
  <r>
    <x v="7"/>
    <x v="3"/>
    <x v="6"/>
    <n v="0.85507"/>
    <n v="0.80779999999999996"/>
    <n v="0.87961999999999996"/>
    <n v="0.84370999999999996"/>
    <n v="718.2"/>
  </r>
  <r>
    <x v="7"/>
    <x v="3"/>
    <x v="6"/>
    <n v="0.85507"/>
    <n v="0.80779999999999996"/>
    <n v="0.87961999999999996"/>
    <n v="0.84370999999999996"/>
    <n v="718.2"/>
  </r>
  <r>
    <x v="7"/>
    <x v="3"/>
    <x v="6"/>
    <n v="0.85507"/>
    <n v="0.80779999999999996"/>
    <n v="0.87961999999999996"/>
    <n v="0.84370999999999996"/>
    <n v="718.2"/>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4"/>
    <n v="95.638999999999996"/>
    <n v="88.756"/>
    <n v="96.4"/>
    <n v="92.578000000000003"/>
    <n v="764.4"/>
  </r>
  <r>
    <x v="7"/>
    <x v="3"/>
    <x v="3"/>
    <n v="1.34283"/>
    <n v="1.34297"/>
    <n v="1.397"/>
    <n v="1.369985"/>
    <n v="540.29999999999995"/>
  </r>
  <r>
    <x v="7"/>
    <x v="3"/>
    <x v="3"/>
    <n v="1.34283"/>
    <n v="1.34297"/>
    <n v="1.397"/>
    <n v="1.369985"/>
    <n v="540.29999999999995"/>
  </r>
  <r>
    <x v="7"/>
    <x v="3"/>
    <x v="3"/>
    <n v="1.34283"/>
    <n v="1.34297"/>
    <n v="1.397"/>
    <n v="1.369985"/>
    <n v="540.29999999999995"/>
  </r>
  <r>
    <x v="7"/>
    <x v="3"/>
    <x v="3"/>
    <n v="1.34283"/>
    <n v="1.34297"/>
    <n v="1.397"/>
    <n v="1.369985"/>
    <n v="540.29999999999995"/>
  </r>
  <r>
    <x v="7"/>
    <x v="3"/>
    <x v="3"/>
    <n v="1.34283"/>
    <n v="1.34297"/>
    <n v="1.397"/>
    <n v="1.369985"/>
    <n v="540.29999999999995"/>
  </r>
  <r>
    <x v="7"/>
    <x v="3"/>
    <x v="3"/>
    <n v="1.34283"/>
    <n v="1.34297"/>
    <n v="1.397"/>
    <n v="1.369985"/>
    <n v="540.29999999999995"/>
  </r>
  <r>
    <x v="7"/>
    <x v="3"/>
    <x v="3"/>
    <n v="1.34283"/>
    <n v="1.34297"/>
    <n v="1.397"/>
    <n v="1.369985"/>
    <n v="540.29999999999995"/>
  </r>
  <r>
    <x v="7"/>
    <x v="3"/>
    <x v="3"/>
    <n v="1.34283"/>
    <n v="1.34297"/>
    <n v="1.397"/>
    <n v="1.369985"/>
    <n v="540.29999999999995"/>
  </r>
  <r>
    <x v="7"/>
    <x v="3"/>
    <x v="3"/>
    <n v="1.34283"/>
    <n v="1.34297"/>
    <n v="1.397"/>
    <n v="1.369985"/>
    <n v="540.29999999999995"/>
  </r>
  <r>
    <x v="7"/>
    <x v="3"/>
    <x v="3"/>
    <n v="1.34283"/>
    <n v="1.34297"/>
    <n v="1.397"/>
    <n v="1.369985"/>
    <n v="540.29999999999995"/>
  </r>
  <r>
    <x v="7"/>
    <x v="3"/>
    <x v="3"/>
    <n v="1.34283"/>
    <n v="1.34297"/>
    <n v="1.397"/>
    <n v="1.369985"/>
    <n v="540.29999999999995"/>
  </r>
  <r>
    <x v="7"/>
    <x v="3"/>
    <x v="3"/>
    <n v="1.34283"/>
    <n v="1.34297"/>
    <n v="1.397"/>
    <n v="1.369985"/>
    <n v="540.29999999999995"/>
  </r>
  <r>
    <x v="7"/>
    <x v="3"/>
    <x v="3"/>
    <n v="1.34283"/>
    <n v="1.34297"/>
    <n v="1.397"/>
    <n v="1.369985"/>
    <n v="540.29999999999995"/>
  </r>
  <r>
    <x v="7"/>
    <x v="3"/>
    <x v="3"/>
    <n v="1.34283"/>
    <n v="1.34297"/>
    <n v="1.397"/>
    <n v="1.369985"/>
    <n v="540.29999999999995"/>
  </r>
  <r>
    <x v="7"/>
    <x v="3"/>
    <x v="3"/>
    <n v="1.34283"/>
    <n v="1.34297"/>
    <n v="1.397"/>
    <n v="1.369985"/>
    <n v="540.29999999999995"/>
  </r>
  <r>
    <x v="7"/>
    <x v="3"/>
    <x v="3"/>
    <n v="1.34283"/>
    <n v="1.34297"/>
    <n v="1.397"/>
    <n v="1.369985"/>
    <n v="540.29999999999995"/>
  </r>
  <r>
    <x v="7"/>
    <x v="3"/>
    <x v="3"/>
    <n v="1.34283"/>
    <n v="1.34297"/>
    <n v="1.397"/>
    <n v="1.369985"/>
    <n v="540.29999999999995"/>
  </r>
  <r>
    <x v="7"/>
    <x v="3"/>
    <x v="3"/>
    <n v="1.34283"/>
    <n v="1.34297"/>
    <n v="1.397"/>
    <n v="1.369985"/>
    <n v="540.29999999999995"/>
  </r>
  <r>
    <x v="7"/>
    <x v="3"/>
    <x v="3"/>
    <n v="1.34283"/>
    <n v="1.34297"/>
    <n v="1.397"/>
    <n v="1.369985"/>
    <n v="540.29999999999995"/>
  </r>
  <r>
    <x v="7"/>
    <x v="3"/>
    <x v="3"/>
    <n v="1.34283"/>
    <n v="1.34297"/>
    <n v="1.397"/>
    <n v="1.369985"/>
    <n v="540.29999999999995"/>
  </r>
  <r>
    <x v="7"/>
    <x v="3"/>
    <x v="6"/>
    <n v="0.85507"/>
    <n v="0.80779999999999996"/>
    <n v="0.87961999999999996"/>
    <n v="0.84370999999999996"/>
    <n v="718.2"/>
  </r>
  <r>
    <x v="7"/>
    <x v="3"/>
    <x v="6"/>
    <n v="0.85507"/>
    <n v="0.80779999999999996"/>
    <n v="0.87961999999999996"/>
    <n v="0.84370999999999996"/>
    <n v="718.2"/>
  </r>
  <r>
    <x v="7"/>
    <x v="3"/>
    <x v="6"/>
    <n v="0.85507"/>
    <n v="0.80779999999999996"/>
    <n v="0.87961999999999996"/>
    <n v="0.84370999999999996"/>
    <n v="718.2"/>
  </r>
  <r>
    <x v="7"/>
    <x v="3"/>
    <x v="6"/>
    <n v="0.85507"/>
    <n v="0.80779999999999996"/>
    <n v="0.87961999999999996"/>
    <n v="0.84370999999999996"/>
    <n v="718.2"/>
  </r>
  <r>
    <x v="7"/>
    <x v="3"/>
    <x v="6"/>
    <n v="0.85507"/>
    <n v="0.80779999999999996"/>
    <n v="0.87961999999999996"/>
    <n v="0.84370999999999996"/>
    <n v="718.2"/>
  </r>
  <r>
    <x v="7"/>
    <x v="3"/>
    <x v="6"/>
    <n v="0.85507"/>
    <n v="0.80779999999999996"/>
    <n v="0.87961999999999996"/>
    <n v="0.84370999999999996"/>
    <n v="718.2"/>
  </r>
  <r>
    <x v="7"/>
    <x v="3"/>
    <x v="6"/>
    <n v="0.85507"/>
    <n v="0.80779999999999996"/>
    <n v="0.87961999999999996"/>
    <n v="0.84370999999999996"/>
    <n v="718.2"/>
  </r>
  <r>
    <x v="7"/>
    <x v="3"/>
    <x v="6"/>
    <n v="0.85507"/>
    <n v="0.80779999999999996"/>
    <n v="0.87961999999999996"/>
    <n v="0.84370999999999996"/>
    <n v="718.2"/>
  </r>
  <r>
    <x v="7"/>
    <x v="3"/>
    <x v="6"/>
    <n v="0.85507"/>
    <n v="0.80779999999999996"/>
    <n v="0.87961999999999996"/>
    <n v="0.84370999999999996"/>
    <n v="718.2"/>
  </r>
  <r>
    <x v="7"/>
    <x v="3"/>
    <x v="6"/>
    <n v="0.85507"/>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4"/>
    <n v="95.522999999999996"/>
    <n v="88.756"/>
    <n v="96.4"/>
    <n v="92.578000000000003"/>
    <n v="764.4"/>
  </r>
  <r>
    <x v="7"/>
    <x v="4"/>
    <x v="3"/>
    <n v="1.3426199999999999"/>
    <n v="1.33697"/>
    <n v="1.397"/>
    <n v="1.3669849999999999"/>
    <n v="600.29999999999995"/>
  </r>
  <r>
    <x v="7"/>
    <x v="4"/>
    <x v="3"/>
    <n v="1.3426199999999999"/>
    <n v="1.33697"/>
    <n v="1.397"/>
    <n v="1.3669849999999999"/>
    <n v="600.29999999999995"/>
  </r>
  <r>
    <x v="7"/>
    <x v="4"/>
    <x v="3"/>
    <n v="1.3426199999999999"/>
    <n v="1.33697"/>
    <n v="1.397"/>
    <n v="1.3669849999999999"/>
    <n v="600.29999999999995"/>
  </r>
  <r>
    <x v="7"/>
    <x v="4"/>
    <x v="3"/>
    <n v="1.3426199999999999"/>
    <n v="1.33697"/>
    <n v="1.397"/>
    <n v="1.3669849999999999"/>
    <n v="600.29999999999995"/>
  </r>
  <r>
    <x v="7"/>
    <x v="4"/>
    <x v="3"/>
    <n v="1.3426199999999999"/>
    <n v="1.33697"/>
    <n v="1.397"/>
    <n v="1.3669849999999999"/>
    <n v="600.29999999999995"/>
  </r>
  <r>
    <x v="7"/>
    <x v="4"/>
    <x v="3"/>
    <n v="1.3426199999999999"/>
    <n v="1.33697"/>
    <n v="1.397"/>
    <n v="1.3669849999999999"/>
    <n v="600.29999999999995"/>
  </r>
  <r>
    <x v="7"/>
    <x v="4"/>
    <x v="3"/>
    <n v="1.3426199999999999"/>
    <n v="1.33697"/>
    <n v="1.397"/>
    <n v="1.3669849999999999"/>
    <n v="600.29999999999995"/>
  </r>
  <r>
    <x v="7"/>
    <x v="4"/>
    <x v="3"/>
    <n v="1.3426199999999999"/>
    <n v="1.33697"/>
    <n v="1.397"/>
    <n v="1.3669849999999999"/>
    <n v="600.29999999999995"/>
  </r>
  <r>
    <x v="7"/>
    <x v="4"/>
    <x v="3"/>
    <n v="1.3426199999999999"/>
    <n v="1.33697"/>
    <n v="1.397"/>
    <n v="1.3669849999999999"/>
    <n v="600.29999999999995"/>
  </r>
  <r>
    <x v="7"/>
    <x v="4"/>
    <x v="3"/>
    <n v="1.3426199999999999"/>
    <n v="1.33697"/>
    <n v="1.397"/>
    <n v="1.3669849999999999"/>
    <n v="600.29999999999995"/>
  </r>
  <r>
    <x v="7"/>
    <x v="4"/>
    <x v="3"/>
    <n v="1.3426199999999999"/>
    <n v="1.33697"/>
    <n v="1.397"/>
    <n v="1.3669849999999999"/>
    <n v="600.29999999999995"/>
  </r>
  <r>
    <x v="7"/>
    <x v="4"/>
    <x v="3"/>
    <n v="1.3426199999999999"/>
    <n v="1.33697"/>
    <n v="1.397"/>
    <n v="1.3669849999999999"/>
    <n v="600.29999999999995"/>
  </r>
  <r>
    <x v="7"/>
    <x v="4"/>
    <x v="3"/>
    <n v="1.3426199999999999"/>
    <n v="1.33697"/>
    <n v="1.397"/>
    <n v="1.3669849999999999"/>
    <n v="600.29999999999995"/>
  </r>
  <r>
    <x v="7"/>
    <x v="4"/>
    <x v="3"/>
    <n v="1.3426199999999999"/>
    <n v="1.33697"/>
    <n v="1.397"/>
    <n v="1.3669849999999999"/>
    <n v="600.29999999999995"/>
  </r>
  <r>
    <x v="7"/>
    <x v="4"/>
    <x v="3"/>
    <n v="1.3426199999999999"/>
    <n v="1.33697"/>
    <n v="1.397"/>
    <n v="1.3669849999999999"/>
    <n v="600.29999999999995"/>
  </r>
  <r>
    <x v="7"/>
    <x v="4"/>
    <x v="3"/>
    <n v="1.3426199999999999"/>
    <n v="1.33697"/>
    <n v="1.397"/>
    <n v="1.3669849999999999"/>
    <n v="600.29999999999995"/>
  </r>
  <r>
    <x v="7"/>
    <x v="4"/>
    <x v="3"/>
    <n v="1.3426199999999999"/>
    <n v="1.33697"/>
    <n v="1.397"/>
    <n v="1.3669849999999999"/>
    <n v="600.29999999999995"/>
  </r>
  <r>
    <x v="7"/>
    <x v="4"/>
    <x v="3"/>
    <n v="1.3426199999999999"/>
    <n v="1.33697"/>
    <n v="1.397"/>
    <n v="1.3669849999999999"/>
    <n v="600.29999999999995"/>
  </r>
  <r>
    <x v="7"/>
    <x v="4"/>
    <x v="3"/>
    <n v="1.3426199999999999"/>
    <n v="1.33697"/>
    <n v="1.397"/>
    <n v="1.3669849999999999"/>
    <n v="600.29999999999995"/>
  </r>
  <r>
    <x v="7"/>
    <x v="4"/>
    <x v="3"/>
    <n v="1.3426199999999999"/>
    <n v="1.33697"/>
    <n v="1.397"/>
    <n v="1.3669849999999999"/>
    <n v="600.29999999999995"/>
  </r>
  <r>
    <x v="7"/>
    <x v="4"/>
    <x v="3"/>
    <n v="1.3426199999999999"/>
    <n v="1.33697"/>
    <n v="1.397"/>
    <n v="1.3669849999999999"/>
    <n v="600.29999999999995"/>
  </r>
  <r>
    <x v="7"/>
    <x v="4"/>
    <x v="3"/>
    <n v="1.3426199999999999"/>
    <n v="1.33697"/>
    <n v="1.397"/>
    <n v="1.3669849999999999"/>
    <n v="600.29999999999995"/>
  </r>
  <r>
    <x v="7"/>
    <x v="4"/>
    <x v="6"/>
    <n v="0.85089999999999999"/>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4"/>
    <x v="6"/>
    <n v="0.85089999999999999"/>
    <n v="0.80779999999999996"/>
    <n v="0.87961999999999996"/>
    <n v="0.84370999999999996"/>
    <n v="718.2"/>
  </r>
  <r>
    <x v="7"/>
    <x v="5"/>
    <x v="6"/>
    <n v="0.84545999999999999"/>
    <n v="0.80779999999999996"/>
    <n v="0.87961999999999996"/>
    <n v="0.84370999999999996"/>
    <n v="718.2"/>
  </r>
  <r>
    <x v="7"/>
    <x v="5"/>
    <x v="6"/>
    <n v="0.84545999999999999"/>
    <n v="0.80779999999999996"/>
    <n v="0.87961999999999996"/>
    <n v="0.84370999999999996"/>
    <n v="718.2"/>
  </r>
  <r>
    <x v="7"/>
    <x v="5"/>
    <x v="6"/>
    <n v="0.84545999999999999"/>
    <n v="0.80779999999999996"/>
    <n v="0.87961999999999996"/>
    <n v="0.84370999999999996"/>
    <n v="718.2"/>
  </r>
  <r>
    <x v="7"/>
    <x v="5"/>
    <x v="6"/>
    <n v="0.84545999999999999"/>
    <n v="0.80779999999999996"/>
    <n v="0.87961999999999996"/>
    <n v="0.84370999999999996"/>
    <n v="718.2"/>
  </r>
  <r>
    <x v="7"/>
    <x v="5"/>
    <x v="6"/>
    <n v="0.84545999999999999"/>
    <n v="0.80779999999999996"/>
    <n v="0.87961999999999996"/>
    <n v="0.84370999999999996"/>
    <n v="718.2"/>
  </r>
  <r>
    <x v="7"/>
    <x v="5"/>
    <x v="6"/>
    <n v="0.84545999999999999"/>
    <n v="0.80779999999999996"/>
    <n v="0.87961999999999996"/>
    <n v="0.84370999999999996"/>
    <n v="718.2"/>
  </r>
  <r>
    <x v="7"/>
    <x v="5"/>
    <x v="6"/>
    <n v="0.84545999999999999"/>
    <n v="0.80779999999999996"/>
    <n v="0.87961999999999996"/>
    <n v="0.84370999999999996"/>
    <n v="718.2"/>
  </r>
  <r>
    <x v="7"/>
    <x v="5"/>
    <x v="6"/>
    <n v="0.84545999999999999"/>
    <n v="0.80779999999999996"/>
    <n v="0.87961999999999996"/>
    <n v="0.84370999999999996"/>
    <n v="718.2"/>
  </r>
  <r>
    <x v="7"/>
    <x v="5"/>
    <x v="6"/>
    <n v="0.84545999999999999"/>
    <n v="0.80779999999999996"/>
    <n v="0.87961999999999996"/>
    <n v="0.84370999999999996"/>
    <n v="718.2"/>
  </r>
  <r>
    <x v="7"/>
    <x v="5"/>
    <x v="6"/>
    <n v="0.84545999999999999"/>
    <n v="0.80779999999999996"/>
    <n v="0.87961999999999996"/>
    <n v="0.84370999999999996"/>
    <n v="718.2"/>
  </r>
  <r>
    <x v="7"/>
    <x v="5"/>
    <x v="6"/>
    <n v="0.84545999999999999"/>
    <n v="0.80779999999999996"/>
    <n v="0.87961999999999996"/>
    <n v="0.84370999999999996"/>
    <n v="718.2"/>
  </r>
  <r>
    <x v="7"/>
    <x v="5"/>
    <x v="6"/>
    <n v="0.84545999999999999"/>
    <n v="0.80779999999999996"/>
    <n v="0.87961999999999996"/>
    <n v="0.84370999999999996"/>
    <n v="718.2"/>
  </r>
  <r>
    <x v="7"/>
    <x v="5"/>
    <x v="6"/>
    <n v="0.84545999999999999"/>
    <n v="0.80779999999999996"/>
    <n v="0.87961999999999996"/>
    <n v="0.84370999999999996"/>
    <n v="718.2"/>
  </r>
  <r>
    <x v="7"/>
    <x v="5"/>
    <x v="6"/>
    <n v="0.84545999999999999"/>
    <n v="0.80779999999999996"/>
    <n v="0.87961999999999996"/>
    <n v="0.84370999999999996"/>
    <n v="718.2"/>
  </r>
  <r>
    <x v="7"/>
    <x v="5"/>
    <x v="6"/>
    <n v="0.84545999999999999"/>
    <n v="0.80779999999999996"/>
    <n v="0.87961999999999996"/>
    <n v="0.84370999999999996"/>
    <n v="718.2"/>
  </r>
  <r>
    <x v="7"/>
    <x v="5"/>
    <x v="6"/>
    <n v="0.84545999999999999"/>
    <n v="0.80779999999999996"/>
    <n v="0.87961999999999996"/>
    <n v="0.84370999999999996"/>
    <n v="718.2"/>
  </r>
  <r>
    <x v="7"/>
    <x v="5"/>
    <x v="6"/>
    <n v="0.84545999999999999"/>
    <n v="0.80779999999999996"/>
    <n v="0.87961999999999996"/>
    <n v="0.84370999999999996"/>
    <n v="718.2"/>
  </r>
  <r>
    <x v="7"/>
    <x v="5"/>
    <x v="6"/>
    <n v="0.84545999999999999"/>
    <n v="0.80779999999999996"/>
    <n v="0.87961999999999996"/>
    <n v="0.84370999999999996"/>
    <n v="718.2"/>
  </r>
  <r>
    <x v="7"/>
    <x v="5"/>
    <x v="6"/>
    <n v="0.84545999999999999"/>
    <n v="0.80779999999999996"/>
    <n v="0.87961999999999996"/>
    <n v="0.84370999999999996"/>
    <n v="718.2"/>
  </r>
  <r>
    <x v="7"/>
    <x v="5"/>
    <x v="6"/>
    <n v="0.84545999999999999"/>
    <n v="0.80779999999999996"/>
    <n v="0.87961999999999996"/>
    <n v="0.84370999999999996"/>
    <n v="718.2"/>
  </r>
  <r>
    <x v="7"/>
    <x v="5"/>
    <x v="6"/>
    <n v="0.84545999999999999"/>
    <n v="0.80779999999999996"/>
    <n v="0.87961999999999996"/>
    <n v="0.84370999999999996"/>
    <n v="718.2"/>
  </r>
  <r>
    <x v="7"/>
    <x v="5"/>
    <x v="6"/>
    <n v="0.84545999999999999"/>
    <n v="0.80779999999999996"/>
    <n v="0.87961999999999996"/>
    <n v="0.84370999999999996"/>
    <n v="718.2"/>
  </r>
  <r>
    <x v="7"/>
    <x v="5"/>
    <x v="6"/>
    <n v="0.84545999999999999"/>
    <n v="0.80779999999999996"/>
    <n v="0.87961999999999996"/>
    <n v="0.84370999999999996"/>
    <n v="718.2"/>
  </r>
  <r>
    <x v="7"/>
    <x v="5"/>
    <x v="6"/>
    <n v="0.84545999999999999"/>
    <n v="0.80779999999999996"/>
    <n v="0.87961999999999996"/>
    <n v="0.84370999999999996"/>
    <n v="718.2"/>
  </r>
  <r>
    <x v="7"/>
    <x v="5"/>
    <x v="6"/>
    <n v="0.84545999999999999"/>
    <n v="0.80779999999999996"/>
    <n v="0.87961999999999996"/>
    <n v="0.84370999999999996"/>
    <n v="718.2"/>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4"/>
    <n v="94.611999999999995"/>
    <n v="88.756"/>
    <n v="96.4"/>
    <n v="92.578000000000003"/>
    <n v="764.4"/>
  </r>
  <r>
    <x v="7"/>
    <x v="5"/>
    <x v="3"/>
    <n v="1.3409"/>
    <n v="1.3340000000000001"/>
    <n v="1.397"/>
    <n v="1.3654999999999999"/>
    <n v="630"/>
  </r>
  <r>
    <x v="7"/>
    <x v="5"/>
    <x v="3"/>
    <n v="1.3409"/>
    <n v="1.3340000000000001"/>
    <n v="1.397"/>
    <n v="1.3654999999999999"/>
    <n v="630"/>
  </r>
  <r>
    <x v="7"/>
    <x v="5"/>
    <x v="3"/>
    <n v="1.3409"/>
    <n v="1.3340000000000001"/>
    <n v="1.397"/>
    <n v="1.3654999999999999"/>
    <n v="630"/>
  </r>
  <r>
    <x v="7"/>
    <x v="5"/>
    <x v="3"/>
    <n v="1.3409"/>
    <n v="1.3340000000000001"/>
    <n v="1.397"/>
    <n v="1.3654999999999999"/>
    <n v="630"/>
  </r>
  <r>
    <x v="7"/>
    <x v="5"/>
    <x v="3"/>
    <n v="1.3409"/>
    <n v="1.3340000000000001"/>
    <n v="1.397"/>
    <n v="1.3654999999999999"/>
    <n v="630"/>
  </r>
  <r>
    <x v="7"/>
    <x v="5"/>
    <x v="3"/>
    <n v="1.3409"/>
    <n v="1.3340000000000001"/>
    <n v="1.397"/>
    <n v="1.3654999999999999"/>
    <n v="630"/>
  </r>
  <r>
    <x v="7"/>
    <x v="5"/>
    <x v="3"/>
    <n v="1.3409"/>
    <n v="1.3340000000000001"/>
    <n v="1.397"/>
    <n v="1.3654999999999999"/>
    <n v="630"/>
  </r>
  <r>
    <x v="7"/>
    <x v="5"/>
    <x v="3"/>
    <n v="1.3409"/>
    <n v="1.3340000000000001"/>
    <n v="1.397"/>
    <n v="1.3654999999999999"/>
    <n v="630"/>
  </r>
  <r>
    <x v="7"/>
    <x v="5"/>
    <x v="3"/>
    <n v="1.3409"/>
    <n v="1.3340000000000001"/>
    <n v="1.397"/>
    <n v="1.3654999999999999"/>
    <n v="630"/>
  </r>
  <r>
    <x v="7"/>
    <x v="5"/>
    <x v="3"/>
    <n v="1.3409"/>
    <n v="1.3340000000000001"/>
    <n v="1.397"/>
    <n v="1.3654999999999999"/>
    <n v="630"/>
  </r>
  <r>
    <x v="7"/>
    <x v="5"/>
    <x v="3"/>
    <n v="1.3409"/>
    <n v="1.3340000000000001"/>
    <n v="1.397"/>
    <n v="1.3654999999999999"/>
    <n v="630"/>
  </r>
  <r>
    <x v="7"/>
    <x v="5"/>
    <x v="3"/>
    <n v="1.3409"/>
    <n v="1.3340000000000001"/>
    <n v="1.397"/>
    <n v="1.3654999999999999"/>
    <n v="630"/>
  </r>
  <r>
    <x v="7"/>
    <x v="5"/>
    <x v="3"/>
    <n v="1.3409"/>
    <n v="1.3340000000000001"/>
    <n v="1.397"/>
    <n v="1.3654999999999999"/>
    <n v="630"/>
  </r>
  <r>
    <x v="7"/>
    <x v="5"/>
    <x v="3"/>
    <n v="1.3409"/>
    <n v="1.3340000000000001"/>
    <n v="1.397"/>
    <n v="1.3654999999999999"/>
    <n v="630"/>
  </r>
  <r>
    <x v="7"/>
    <x v="5"/>
    <x v="3"/>
    <n v="1.3409"/>
    <n v="1.3340000000000001"/>
    <n v="1.397"/>
    <n v="1.3654999999999999"/>
    <n v="630"/>
  </r>
  <r>
    <x v="7"/>
    <x v="5"/>
    <x v="3"/>
    <n v="1.3409"/>
    <n v="1.3340000000000001"/>
    <n v="1.397"/>
    <n v="1.3654999999999999"/>
    <n v="630"/>
  </r>
  <r>
    <x v="7"/>
    <x v="5"/>
    <x v="3"/>
    <n v="1.3409"/>
    <n v="1.3340000000000001"/>
    <n v="1.397"/>
    <n v="1.3654999999999999"/>
    <n v="630"/>
  </r>
  <r>
    <x v="7"/>
    <x v="5"/>
    <x v="3"/>
    <n v="1.3409"/>
    <n v="1.3340000000000001"/>
    <n v="1.397"/>
    <n v="1.3654999999999999"/>
    <n v="630"/>
  </r>
  <r>
    <x v="7"/>
    <x v="5"/>
    <x v="3"/>
    <n v="1.3409"/>
    <n v="1.3340000000000001"/>
    <n v="1.397"/>
    <n v="1.3654999999999999"/>
    <n v="630"/>
  </r>
  <r>
    <x v="7"/>
    <x v="5"/>
    <x v="3"/>
    <n v="1.3409"/>
    <n v="1.3340000000000001"/>
    <n v="1.397"/>
    <n v="1.3654999999999999"/>
    <n v="630"/>
  </r>
  <r>
    <x v="7"/>
    <x v="5"/>
    <x v="3"/>
    <n v="1.3409"/>
    <n v="1.3340000000000001"/>
    <n v="1.397"/>
    <n v="1.3654999999999999"/>
    <n v="630"/>
  </r>
  <r>
    <x v="7"/>
    <x v="5"/>
    <x v="3"/>
    <n v="1.3409"/>
    <n v="1.3340000000000001"/>
    <n v="1.397"/>
    <n v="1.3654999999999999"/>
    <n v="630"/>
  </r>
  <r>
    <x v="7"/>
    <x v="5"/>
    <x v="3"/>
    <n v="1.3409"/>
    <n v="1.3340000000000001"/>
    <n v="1.397"/>
    <n v="1.3654999999999999"/>
    <n v="630"/>
  </r>
  <r>
    <x v="7"/>
    <x v="5"/>
    <x v="6"/>
    <n v="0.84545999999999999"/>
    <n v="0.80779999999999996"/>
    <n v="0.87961999999999996"/>
    <n v="0.84370999999999996"/>
    <n v="718.2"/>
  </r>
  <r>
    <x v="7"/>
    <x v="5"/>
    <x v="6"/>
    <n v="0.84545999999999999"/>
    <n v="0.80779999999999996"/>
    <n v="0.87961999999999996"/>
    <n v="0.84370999999999996"/>
    <n v="718.2"/>
  </r>
  <r>
    <x v="7"/>
    <x v="5"/>
    <x v="6"/>
    <n v="0.84545999999999999"/>
    <n v="0.80779999999999996"/>
    <n v="0.87961999999999996"/>
    <n v="0.84370999999999996"/>
    <n v="718.2"/>
  </r>
  <r>
    <x v="7"/>
    <x v="5"/>
    <x v="6"/>
    <n v="0.84545999999999999"/>
    <n v="0.80779999999999996"/>
    <n v="0.87961999999999996"/>
    <n v="0.84370999999999996"/>
    <n v="718.2"/>
  </r>
  <r>
    <x v="7"/>
    <x v="5"/>
    <x v="6"/>
    <n v="0.84545999999999999"/>
    <n v="0.80779999999999996"/>
    <n v="0.87961999999999996"/>
    <n v="0.84370999999999996"/>
    <n v="718.2"/>
  </r>
  <r>
    <x v="7"/>
    <x v="6"/>
    <x v="6"/>
    <n v="0.84875999999999996"/>
    <n v="0.80779999999999996"/>
    <n v="0.87961999999999996"/>
    <n v="0.84370999999999996"/>
    <n v="718.2"/>
  </r>
  <r>
    <x v="7"/>
    <x v="6"/>
    <x v="6"/>
    <n v="0.84875999999999996"/>
    <n v="0.80779999999999996"/>
    <n v="0.87961999999999996"/>
    <n v="0.84370999999999996"/>
    <n v="718.2"/>
  </r>
  <r>
    <x v="7"/>
    <x v="6"/>
    <x v="6"/>
    <n v="0.84875999999999996"/>
    <n v="0.80779999999999996"/>
    <n v="0.87961999999999996"/>
    <n v="0.84370999999999996"/>
    <n v="718.2"/>
  </r>
  <r>
    <x v="7"/>
    <x v="6"/>
    <x v="6"/>
    <n v="0.84875999999999996"/>
    <n v="0.80779999999999996"/>
    <n v="0.87961999999999996"/>
    <n v="0.84370999999999996"/>
    <n v="718.2"/>
  </r>
  <r>
    <x v="7"/>
    <x v="6"/>
    <x v="6"/>
    <n v="0.84875999999999996"/>
    <n v="0.80779999999999996"/>
    <n v="0.87961999999999996"/>
    <n v="0.84370999999999996"/>
    <n v="718.2"/>
  </r>
  <r>
    <x v="7"/>
    <x v="6"/>
    <x v="6"/>
    <n v="0.84875999999999996"/>
    <n v="0.80779999999999996"/>
    <n v="0.87961999999999996"/>
    <n v="0.84370999999999996"/>
    <n v="718.2"/>
  </r>
  <r>
    <x v="7"/>
    <x v="6"/>
    <x v="6"/>
    <n v="0.84875999999999996"/>
    <n v="0.80779999999999996"/>
    <n v="0.87961999999999996"/>
    <n v="0.84370999999999996"/>
    <n v="718.2"/>
  </r>
  <r>
    <x v="7"/>
    <x v="6"/>
    <x v="6"/>
    <n v="0.84875999999999996"/>
    <n v="0.80779999999999996"/>
    <n v="0.87961999999999996"/>
    <n v="0.84370999999999996"/>
    <n v="718.2"/>
  </r>
  <r>
    <x v="7"/>
    <x v="6"/>
    <x v="6"/>
    <n v="0.84875999999999996"/>
    <n v="0.80779999999999996"/>
    <n v="0.87961999999999996"/>
    <n v="0.84370999999999996"/>
    <n v="718.2"/>
  </r>
  <r>
    <x v="7"/>
    <x v="6"/>
    <x v="6"/>
    <n v="0.84875999999999996"/>
    <n v="0.80779999999999996"/>
    <n v="0.87961999999999996"/>
    <n v="0.84370999999999996"/>
    <n v="718.2"/>
  </r>
  <r>
    <x v="7"/>
    <x v="6"/>
    <x v="6"/>
    <n v="0.84875999999999996"/>
    <n v="0.80779999999999996"/>
    <n v="0.87961999999999996"/>
    <n v="0.84370999999999996"/>
    <n v="718.2"/>
  </r>
  <r>
    <x v="7"/>
    <x v="6"/>
    <x v="6"/>
    <n v="0.84875999999999996"/>
    <n v="0.80779999999999996"/>
    <n v="0.87961999999999996"/>
    <n v="0.84370999999999996"/>
    <n v="718.2"/>
  </r>
  <r>
    <x v="7"/>
    <x v="6"/>
    <x v="6"/>
    <n v="0.84875999999999996"/>
    <n v="0.80779999999999996"/>
    <n v="0.87961999999999996"/>
    <n v="0.84370999999999996"/>
    <n v="718.2"/>
  </r>
  <r>
    <x v="7"/>
    <x v="6"/>
    <x v="6"/>
    <n v="0.84875999999999996"/>
    <n v="0.80779999999999996"/>
    <n v="0.87961999999999996"/>
    <n v="0.84370999999999996"/>
    <n v="718.2"/>
  </r>
  <r>
    <x v="7"/>
    <x v="6"/>
    <x v="6"/>
    <n v="0.84875999999999996"/>
    <n v="0.80779999999999996"/>
    <n v="0.87961999999999996"/>
    <n v="0.84370999999999996"/>
    <n v="718.2"/>
  </r>
  <r>
    <x v="7"/>
    <x v="6"/>
    <x v="6"/>
    <n v="0.84875999999999996"/>
    <n v="0.80779999999999996"/>
    <n v="0.87961999999999996"/>
    <n v="0.84370999999999996"/>
    <n v="718.2"/>
  </r>
  <r>
    <x v="7"/>
    <x v="6"/>
    <x v="6"/>
    <n v="0.84875999999999996"/>
    <n v="0.80779999999999996"/>
    <n v="0.87961999999999996"/>
    <n v="0.84370999999999996"/>
    <n v="718.2"/>
  </r>
  <r>
    <x v="7"/>
    <x v="6"/>
    <x v="6"/>
    <n v="0.84875999999999996"/>
    <n v="0.80779999999999996"/>
    <n v="0.87961999999999996"/>
    <n v="0.84370999999999996"/>
    <n v="718.2"/>
  </r>
  <r>
    <x v="7"/>
    <x v="6"/>
    <x v="6"/>
    <n v="0.84875999999999996"/>
    <n v="0.80779999999999996"/>
    <n v="0.87961999999999996"/>
    <n v="0.84370999999999996"/>
    <n v="718.2"/>
  </r>
  <r>
    <x v="7"/>
    <x v="6"/>
    <x v="6"/>
    <n v="0.84875999999999996"/>
    <n v="0.80779999999999996"/>
    <n v="0.87961999999999996"/>
    <n v="0.84370999999999996"/>
    <n v="718.2"/>
  </r>
  <r>
    <x v="7"/>
    <x v="6"/>
    <x v="6"/>
    <n v="0.84875999999999996"/>
    <n v="0.80779999999999996"/>
    <n v="0.87961999999999996"/>
    <n v="0.84370999999999996"/>
    <n v="718.2"/>
  </r>
  <r>
    <x v="7"/>
    <x v="6"/>
    <x v="6"/>
    <n v="0.84875999999999996"/>
    <n v="0.80779999999999996"/>
    <n v="0.87961999999999996"/>
    <n v="0.84370999999999996"/>
    <n v="718.2"/>
  </r>
  <r>
    <x v="7"/>
    <x v="6"/>
    <x v="6"/>
    <n v="0.84875999999999996"/>
    <n v="0.80779999999999996"/>
    <n v="0.87961999999999996"/>
    <n v="0.84370999999999996"/>
    <n v="718.2"/>
  </r>
  <r>
    <x v="7"/>
    <x v="6"/>
    <x v="6"/>
    <n v="0.84875999999999996"/>
    <n v="0.80779999999999996"/>
    <n v="0.87961999999999996"/>
    <n v="0.84370999999999996"/>
    <n v="718.2"/>
  </r>
  <r>
    <x v="7"/>
    <x v="6"/>
    <x v="6"/>
    <n v="0.84875999999999996"/>
    <n v="0.80779999999999996"/>
    <n v="0.87961999999999996"/>
    <n v="0.84370999999999996"/>
    <n v="718.2"/>
  </r>
  <r>
    <x v="7"/>
    <x v="6"/>
    <x v="6"/>
    <n v="0.84875999999999996"/>
    <n v="0.80779999999999996"/>
    <n v="0.87961999999999996"/>
    <n v="0.84370999999999996"/>
    <n v="718.2"/>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4"/>
    <n v="95.338999999999999"/>
    <n v="88.756"/>
    <n v="96.4"/>
    <n v="92.578000000000003"/>
    <n v="764.4"/>
  </r>
  <r>
    <x v="7"/>
    <x v="6"/>
    <x v="3"/>
    <n v="1.341"/>
    <n v="1.3340000000000001"/>
    <n v="1.397"/>
    <n v="1.3654999999999999"/>
    <n v="630"/>
  </r>
  <r>
    <x v="7"/>
    <x v="6"/>
    <x v="3"/>
    <n v="1.341"/>
    <n v="1.3340000000000001"/>
    <n v="1.397"/>
    <n v="1.3654999999999999"/>
    <n v="630"/>
  </r>
  <r>
    <x v="7"/>
    <x v="6"/>
    <x v="3"/>
    <n v="1.341"/>
    <n v="1.3340000000000001"/>
    <n v="1.397"/>
    <n v="1.3654999999999999"/>
    <n v="630"/>
  </r>
  <r>
    <x v="7"/>
    <x v="6"/>
    <x v="3"/>
    <n v="1.341"/>
    <n v="1.3340000000000001"/>
    <n v="1.397"/>
    <n v="1.3654999999999999"/>
    <n v="630"/>
  </r>
  <r>
    <x v="7"/>
    <x v="6"/>
    <x v="3"/>
    <n v="1.341"/>
    <n v="1.3340000000000001"/>
    <n v="1.397"/>
    <n v="1.3654999999999999"/>
    <n v="630"/>
  </r>
  <r>
    <x v="7"/>
    <x v="6"/>
    <x v="3"/>
    <n v="1.341"/>
    <n v="1.3340000000000001"/>
    <n v="1.397"/>
    <n v="1.3654999999999999"/>
    <n v="630"/>
  </r>
  <r>
    <x v="7"/>
    <x v="6"/>
    <x v="3"/>
    <n v="1.341"/>
    <n v="1.3340000000000001"/>
    <n v="1.397"/>
    <n v="1.3654999999999999"/>
    <n v="630"/>
  </r>
  <r>
    <x v="7"/>
    <x v="6"/>
    <x v="3"/>
    <n v="1.341"/>
    <n v="1.3340000000000001"/>
    <n v="1.397"/>
    <n v="1.3654999999999999"/>
    <n v="630"/>
  </r>
  <r>
    <x v="7"/>
    <x v="6"/>
    <x v="3"/>
    <n v="1.341"/>
    <n v="1.3340000000000001"/>
    <n v="1.397"/>
    <n v="1.3654999999999999"/>
    <n v="630"/>
  </r>
  <r>
    <x v="7"/>
    <x v="6"/>
    <x v="3"/>
    <n v="1.341"/>
    <n v="1.3340000000000001"/>
    <n v="1.397"/>
    <n v="1.3654999999999999"/>
    <n v="630"/>
  </r>
  <r>
    <x v="7"/>
    <x v="6"/>
    <x v="3"/>
    <n v="1.341"/>
    <n v="1.3340000000000001"/>
    <n v="1.397"/>
    <n v="1.3654999999999999"/>
    <n v="630"/>
  </r>
  <r>
    <x v="7"/>
    <x v="6"/>
    <x v="3"/>
    <n v="1.341"/>
    <n v="1.3340000000000001"/>
    <n v="1.397"/>
    <n v="1.3654999999999999"/>
    <n v="630"/>
  </r>
  <r>
    <x v="7"/>
    <x v="6"/>
    <x v="3"/>
    <n v="1.341"/>
    <n v="1.3340000000000001"/>
    <n v="1.397"/>
    <n v="1.3654999999999999"/>
    <n v="630"/>
  </r>
  <r>
    <x v="7"/>
    <x v="6"/>
    <x v="3"/>
    <n v="1.341"/>
    <n v="1.3340000000000001"/>
    <n v="1.397"/>
    <n v="1.3654999999999999"/>
    <n v="630"/>
  </r>
  <r>
    <x v="7"/>
    <x v="6"/>
    <x v="3"/>
    <n v="1.341"/>
    <n v="1.3340000000000001"/>
    <n v="1.397"/>
    <n v="1.3654999999999999"/>
    <n v="630"/>
  </r>
  <r>
    <x v="7"/>
    <x v="6"/>
    <x v="3"/>
    <n v="1.341"/>
    <n v="1.3340000000000001"/>
    <n v="1.397"/>
    <n v="1.3654999999999999"/>
    <n v="630"/>
  </r>
  <r>
    <x v="7"/>
    <x v="6"/>
    <x v="3"/>
    <n v="1.341"/>
    <n v="1.3340000000000001"/>
    <n v="1.397"/>
    <n v="1.3654999999999999"/>
    <n v="630"/>
  </r>
  <r>
    <x v="7"/>
    <x v="6"/>
    <x v="3"/>
    <n v="1.341"/>
    <n v="1.3340000000000001"/>
    <n v="1.397"/>
    <n v="1.3654999999999999"/>
    <n v="630"/>
  </r>
  <r>
    <x v="7"/>
    <x v="6"/>
    <x v="3"/>
    <n v="1.341"/>
    <n v="1.3340000000000001"/>
    <n v="1.397"/>
    <n v="1.3654999999999999"/>
    <n v="630"/>
  </r>
  <r>
    <x v="7"/>
    <x v="6"/>
    <x v="3"/>
    <n v="1.341"/>
    <n v="1.3340000000000001"/>
    <n v="1.397"/>
    <n v="1.3654999999999999"/>
    <n v="630"/>
  </r>
  <r>
    <x v="7"/>
    <x v="6"/>
    <x v="3"/>
    <n v="1.341"/>
    <n v="1.3340000000000001"/>
    <n v="1.397"/>
    <n v="1.3654999999999999"/>
    <n v="630"/>
  </r>
  <r>
    <x v="7"/>
    <x v="6"/>
    <x v="3"/>
    <n v="1.341"/>
    <n v="1.3340000000000001"/>
    <n v="1.397"/>
    <n v="1.3654999999999999"/>
    <n v="630"/>
  </r>
  <r>
    <x v="7"/>
    <x v="6"/>
    <x v="3"/>
    <n v="1.341"/>
    <n v="1.3340000000000001"/>
    <n v="1.397"/>
    <n v="1.3654999999999999"/>
    <n v="630"/>
  </r>
  <r>
    <x v="7"/>
    <x v="6"/>
    <x v="6"/>
    <n v="0.84875999999999996"/>
    <n v="0.80779999999999996"/>
    <n v="0.87961999999999996"/>
    <n v="0.84370999999999996"/>
    <n v="718.2"/>
  </r>
  <r>
    <x v="7"/>
    <x v="6"/>
    <x v="6"/>
    <n v="0.84875999999999996"/>
    <n v="0.80779999999999996"/>
    <n v="0.87961999999999996"/>
    <n v="0.84370999999999996"/>
    <n v="718.2"/>
  </r>
  <r>
    <x v="7"/>
    <x v="6"/>
    <x v="6"/>
    <n v="0.84875999999999996"/>
    <n v="0.80779999999999996"/>
    <n v="0.87961999999999996"/>
    <n v="0.84370999999999996"/>
    <n v="718.2"/>
  </r>
  <r>
    <x v="7"/>
    <x v="6"/>
    <x v="6"/>
    <n v="0.84875999999999996"/>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6"/>
    <n v="0.83782000000000001"/>
    <n v="0.80779999999999996"/>
    <n v="0.87961999999999996"/>
    <n v="0.84370999999999996"/>
    <n v="718.2"/>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4"/>
    <n v="96.813999999999993"/>
    <n v="88.756"/>
    <n v="96.802000000000007"/>
    <n v="92.778999999999996"/>
    <n v="804.6"/>
  </r>
  <r>
    <x v="7"/>
    <x v="7"/>
    <x v="3"/>
    <n v="1.32368"/>
    <n v="1.3219799999999999"/>
    <n v="1.397"/>
    <n v="1.3594900000000001"/>
    <n v="750.2"/>
  </r>
  <r>
    <x v="7"/>
    <x v="7"/>
    <x v="3"/>
    <n v="1.32368"/>
    <n v="1.3219799999999999"/>
    <n v="1.397"/>
    <n v="1.3594900000000001"/>
    <n v="750.2"/>
  </r>
  <r>
    <x v="7"/>
    <x v="7"/>
    <x v="3"/>
    <n v="1.32368"/>
    <n v="1.3219799999999999"/>
    <n v="1.397"/>
    <n v="1.3594900000000001"/>
    <n v="750.2"/>
  </r>
  <r>
    <x v="7"/>
    <x v="7"/>
    <x v="3"/>
    <n v="1.32368"/>
    <n v="1.3219799999999999"/>
    <n v="1.397"/>
    <n v="1.3594900000000001"/>
    <n v="750.2"/>
  </r>
  <r>
    <x v="7"/>
    <x v="7"/>
    <x v="3"/>
    <n v="1.32368"/>
    <n v="1.3219799999999999"/>
    <n v="1.397"/>
    <n v="1.3594900000000001"/>
    <n v="750.2"/>
  </r>
  <r>
    <x v="7"/>
    <x v="7"/>
    <x v="3"/>
    <n v="1.32368"/>
    <n v="1.3219799999999999"/>
    <n v="1.397"/>
    <n v="1.3594900000000001"/>
    <n v="750.2"/>
  </r>
  <r>
    <x v="7"/>
    <x v="7"/>
    <x v="3"/>
    <n v="1.32368"/>
    <n v="1.3219799999999999"/>
    <n v="1.397"/>
    <n v="1.3594900000000001"/>
    <n v="750.2"/>
  </r>
  <r>
    <x v="7"/>
    <x v="7"/>
    <x v="3"/>
    <n v="1.32368"/>
    <n v="1.3219799999999999"/>
    <n v="1.397"/>
    <n v="1.3594900000000001"/>
    <n v="750.2"/>
  </r>
  <r>
    <x v="7"/>
    <x v="7"/>
    <x v="3"/>
    <n v="1.32368"/>
    <n v="1.3219799999999999"/>
    <n v="1.397"/>
    <n v="1.3594900000000001"/>
    <n v="750.2"/>
  </r>
  <r>
    <x v="7"/>
    <x v="7"/>
    <x v="3"/>
    <n v="1.32368"/>
    <n v="1.3219799999999999"/>
    <n v="1.397"/>
    <n v="1.3594900000000001"/>
    <n v="750.2"/>
  </r>
  <r>
    <x v="7"/>
    <x v="7"/>
    <x v="3"/>
    <n v="1.32368"/>
    <n v="1.3219799999999999"/>
    <n v="1.397"/>
    <n v="1.3594900000000001"/>
    <n v="750.2"/>
  </r>
  <r>
    <x v="7"/>
    <x v="7"/>
    <x v="3"/>
    <n v="1.32368"/>
    <n v="1.3219799999999999"/>
    <n v="1.397"/>
    <n v="1.3594900000000001"/>
    <n v="750.2"/>
  </r>
  <r>
    <x v="7"/>
    <x v="7"/>
    <x v="3"/>
    <n v="1.32368"/>
    <n v="1.3219799999999999"/>
    <n v="1.397"/>
    <n v="1.3594900000000001"/>
    <n v="750.2"/>
  </r>
  <r>
    <x v="7"/>
    <x v="7"/>
    <x v="3"/>
    <n v="1.32368"/>
    <n v="1.3219799999999999"/>
    <n v="1.397"/>
    <n v="1.3594900000000001"/>
    <n v="750.2"/>
  </r>
  <r>
    <x v="7"/>
    <x v="7"/>
    <x v="3"/>
    <n v="1.32368"/>
    <n v="1.3219799999999999"/>
    <n v="1.397"/>
    <n v="1.3594900000000001"/>
    <n v="750.2"/>
  </r>
  <r>
    <x v="7"/>
    <x v="7"/>
    <x v="3"/>
    <n v="1.32368"/>
    <n v="1.3219799999999999"/>
    <n v="1.397"/>
    <n v="1.3594900000000001"/>
    <n v="750.2"/>
  </r>
  <r>
    <x v="7"/>
    <x v="7"/>
    <x v="3"/>
    <n v="1.32368"/>
    <n v="1.3219799999999999"/>
    <n v="1.397"/>
    <n v="1.3594900000000001"/>
    <n v="750.2"/>
  </r>
  <r>
    <x v="7"/>
    <x v="7"/>
    <x v="3"/>
    <n v="1.32368"/>
    <n v="1.3219799999999999"/>
    <n v="1.397"/>
    <n v="1.3594900000000001"/>
    <n v="750.2"/>
  </r>
  <r>
    <x v="7"/>
    <x v="7"/>
    <x v="3"/>
    <n v="1.32368"/>
    <n v="1.3219799999999999"/>
    <n v="1.397"/>
    <n v="1.3594900000000001"/>
    <n v="750.2"/>
  </r>
  <r>
    <x v="7"/>
    <x v="7"/>
    <x v="3"/>
    <n v="1.32368"/>
    <n v="1.3219799999999999"/>
    <n v="1.397"/>
    <n v="1.3594900000000001"/>
    <n v="750.2"/>
  </r>
  <r>
    <x v="7"/>
    <x v="7"/>
    <x v="3"/>
    <n v="1.32368"/>
    <n v="1.3219799999999999"/>
    <n v="1.397"/>
    <n v="1.3594900000000001"/>
    <n v="750.2"/>
  </r>
  <r>
    <x v="7"/>
    <x v="7"/>
    <x v="3"/>
    <n v="1.32368"/>
    <n v="1.3219799999999999"/>
    <n v="1.397"/>
    <n v="1.3594900000000001"/>
    <n v="750.2"/>
  </r>
  <r>
    <x v="7"/>
    <x v="7"/>
    <x v="3"/>
    <n v="1.32368"/>
    <n v="1.3219799999999999"/>
    <n v="1.397"/>
    <n v="1.3594900000000001"/>
    <n v="750.2"/>
  </r>
  <r>
    <x v="7"/>
    <x v="7"/>
    <x v="3"/>
    <n v="1.32368"/>
    <n v="1.3219799999999999"/>
    <n v="1.397"/>
    <n v="1.3594900000000001"/>
    <n v="750.2"/>
  </r>
  <r>
    <x v="7"/>
    <x v="7"/>
    <x v="3"/>
    <n v="1.32368"/>
    <n v="1.3219799999999999"/>
    <n v="1.397"/>
    <n v="1.3594900000000001"/>
    <n v="750.2"/>
  </r>
  <r>
    <x v="7"/>
    <x v="7"/>
    <x v="3"/>
    <n v="1.32368"/>
    <n v="1.3219799999999999"/>
    <n v="1.397"/>
    <n v="1.3594900000000001"/>
    <n v="750.2"/>
  </r>
  <r>
    <x v="7"/>
    <x v="7"/>
    <x v="3"/>
    <n v="1.32368"/>
    <n v="1.3219799999999999"/>
    <n v="1.397"/>
    <n v="1.3594900000000001"/>
    <n v="750.2"/>
  </r>
  <r>
    <x v="7"/>
    <x v="8"/>
    <x v="3"/>
    <n v="1.3130599999999999"/>
    <n v="1.3159700000000001"/>
    <n v="1.397"/>
    <n v="1.3564849999999999"/>
    <n v="810.3"/>
  </r>
  <r>
    <x v="7"/>
    <x v="8"/>
    <x v="3"/>
    <n v="1.3130599999999999"/>
    <n v="1.3159700000000001"/>
    <n v="1.397"/>
    <n v="1.3564849999999999"/>
    <n v="810.3"/>
  </r>
  <r>
    <x v="7"/>
    <x v="8"/>
    <x v="3"/>
    <n v="1.3130599999999999"/>
    <n v="1.3159700000000001"/>
    <n v="1.397"/>
    <n v="1.3564849999999999"/>
    <n v="810.3"/>
  </r>
  <r>
    <x v="7"/>
    <x v="8"/>
    <x v="3"/>
    <n v="1.3130599999999999"/>
    <n v="1.3159700000000001"/>
    <n v="1.397"/>
    <n v="1.3564849999999999"/>
    <n v="810.3"/>
  </r>
  <r>
    <x v="7"/>
    <x v="8"/>
    <x v="3"/>
    <n v="1.3130599999999999"/>
    <n v="1.3159700000000001"/>
    <n v="1.397"/>
    <n v="1.3564849999999999"/>
    <n v="810.3"/>
  </r>
  <r>
    <x v="7"/>
    <x v="8"/>
    <x v="3"/>
    <n v="1.3130599999999999"/>
    <n v="1.3159700000000001"/>
    <n v="1.397"/>
    <n v="1.3564849999999999"/>
    <n v="810.3"/>
  </r>
  <r>
    <x v="7"/>
    <x v="8"/>
    <x v="3"/>
    <n v="1.3130599999999999"/>
    <n v="1.3159700000000001"/>
    <n v="1.397"/>
    <n v="1.3564849999999999"/>
    <n v="810.3"/>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6"/>
    <n v="0.83352000000000004"/>
    <n v="0.80779999999999996"/>
    <n v="0.87961999999999996"/>
    <n v="0.84370999999999996"/>
    <n v="718.2"/>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4"/>
    <n v="97.100999999999999"/>
    <n v="88.756"/>
    <n v="97.421000000000006"/>
    <n v="93.088499999999996"/>
    <n v="866.5"/>
  </r>
  <r>
    <x v="7"/>
    <x v="8"/>
    <x v="3"/>
    <n v="1.3130599999999999"/>
    <n v="1.3159700000000001"/>
    <n v="1.397"/>
    <n v="1.3564849999999999"/>
    <n v="810.3"/>
  </r>
  <r>
    <x v="7"/>
    <x v="8"/>
    <x v="3"/>
    <n v="1.3130599999999999"/>
    <n v="1.3159700000000001"/>
    <n v="1.397"/>
    <n v="1.3564849999999999"/>
    <n v="810.3"/>
  </r>
  <r>
    <x v="7"/>
    <x v="8"/>
    <x v="3"/>
    <n v="1.3130599999999999"/>
    <n v="1.3159700000000001"/>
    <n v="1.397"/>
    <n v="1.3564849999999999"/>
    <n v="810.3"/>
  </r>
  <r>
    <x v="7"/>
    <x v="8"/>
    <x v="3"/>
    <n v="1.3130599999999999"/>
    <n v="1.3159700000000001"/>
    <n v="1.397"/>
    <n v="1.3564849999999999"/>
    <n v="810.3"/>
  </r>
  <r>
    <x v="7"/>
    <x v="8"/>
    <x v="3"/>
    <n v="1.3130599999999999"/>
    <n v="1.3159700000000001"/>
    <n v="1.397"/>
    <n v="1.3564849999999999"/>
    <n v="810.3"/>
  </r>
  <r>
    <x v="7"/>
    <x v="8"/>
    <x v="3"/>
    <n v="1.3130599999999999"/>
    <n v="1.3159700000000001"/>
    <n v="1.397"/>
    <n v="1.3564849999999999"/>
    <n v="810.3"/>
  </r>
  <r>
    <x v="7"/>
    <x v="8"/>
    <x v="3"/>
    <n v="1.3130599999999999"/>
    <n v="1.3159700000000001"/>
    <n v="1.397"/>
    <n v="1.3564849999999999"/>
    <n v="810.3"/>
  </r>
  <r>
    <x v="7"/>
    <x v="8"/>
    <x v="3"/>
    <n v="1.3130599999999999"/>
    <n v="1.3159700000000001"/>
    <n v="1.397"/>
    <n v="1.3564849999999999"/>
    <n v="810.3"/>
  </r>
  <r>
    <x v="7"/>
    <x v="8"/>
    <x v="3"/>
    <n v="1.3130599999999999"/>
    <n v="1.3159700000000001"/>
    <n v="1.397"/>
    <n v="1.3564849999999999"/>
    <n v="810.3"/>
  </r>
  <r>
    <x v="7"/>
    <x v="8"/>
    <x v="3"/>
    <n v="1.3130599999999999"/>
    <n v="1.3159700000000001"/>
    <n v="1.397"/>
    <n v="1.3564849999999999"/>
    <n v="810.3"/>
  </r>
  <r>
    <x v="7"/>
    <x v="8"/>
    <x v="3"/>
    <n v="1.3130599999999999"/>
    <n v="1.3159700000000001"/>
    <n v="1.397"/>
    <n v="1.3564849999999999"/>
    <n v="810.3"/>
  </r>
  <r>
    <x v="7"/>
    <x v="8"/>
    <x v="3"/>
    <n v="1.3130599999999999"/>
    <n v="1.3159700000000001"/>
    <n v="1.397"/>
    <n v="1.3564849999999999"/>
    <n v="810.3"/>
  </r>
  <r>
    <x v="7"/>
    <x v="8"/>
    <x v="3"/>
    <n v="1.3130599999999999"/>
    <n v="1.3159700000000001"/>
    <n v="1.397"/>
    <n v="1.3564849999999999"/>
    <n v="810.3"/>
  </r>
  <r>
    <x v="7"/>
    <x v="8"/>
    <x v="3"/>
    <n v="1.3130599999999999"/>
    <n v="1.3159700000000001"/>
    <n v="1.397"/>
    <n v="1.3564849999999999"/>
    <n v="810.3"/>
  </r>
  <r>
    <x v="7"/>
    <x v="8"/>
    <x v="3"/>
    <n v="1.3130599999999999"/>
    <n v="1.3159700000000001"/>
    <n v="1.397"/>
    <n v="1.3564849999999999"/>
    <n v="810.3"/>
  </r>
  <r>
    <x v="7"/>
    <x v="8"/>
    <x v="3"/>
    <n v="1.3130599999999999"/>
    <n v="1.3159700000000001"/>
    <n v="1.397"/>
    <n v="1.3564849999999999"/>
    <n v="810.3"/>
  </r>
  <r>
    <x v="7"/>
    <x v="8"/>
    <x v="3"/>
    <n v="1.3130599999999999"/>
    <n v="1.3159700000000001"/>
    <n v="1.397"/>
    <n v="1.3564849999999999"/>
    <n v="810.3"/>
  </r>
  <r>
    <x v="7"/>
    <x v="8"/>
    <x v="3"/>
    <n v="1.3130599999999999"/>
    <n v="1.3159700000000001"/>
    <n v="1.397"/>
    <n v="1.3564849999999999"/>
    <n v="810.3"/>
  </r>
  <r>
    <x v="7"/>
    <x v="8"/>
    <x v="3"/>
    <n v="1.3130599999999999"/>
    <n v="1.3159700000000001"/>
    <n v="1.397"/>
    <n v="1.3564849999999999"/>
    <n v="810.3"/>
  </r>
  <r>
    <x v="7"/>
    <x v="8"/>
    <x v="3"/>
    <n v="1.3130599999999999"/>
    <n v="1.3159700000000001"/>
    <n v="1.397"/>
    <n v="1.3564849999999999"/>
    <n v="810.3"/>
  </r>
  <r>
    <x v="7"/>
    <x v="8"/>
    <x v="3"/>
    <n v="1.3130599999999999"/>
    <n v="1.3159700000000001"/>
    <n v="1.397"/>
    <n v="1.3564849999999999"/>
    <n v="810.3"/>
  </r>
  <r>
    <x v="7"/>
    <x v="8"/>
    <x v="3"/>
    <n v="1.3130599999999999"/>
    <n v="1.3159700000000001"/>
    <n v="1.397"/>
    <n v="1.3564849999999999"/>
    <n v="810.3"/>
  </r>
  <r>
    <x v="7"/>
    <x v="8"/>
    <x v="3"/>
    <n v="1.3130599999999999"/>
    <n v="1.3159700000000001"/>
    <n v="1.397"/>
    <n v="1.3564849999999999"/>
    <n v="810.3"/>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4"/>
    <n v="98.495000000000005"/>
    <n v="88.756"/>
    <n v="97.421000000000006"/>
    <n v="93.088499999999996"/>
    <n v="866.5"/>
  </r>
  <r>
    <x v="7"/>
    <x v="9"/>
    <x v="3"/>
    <n v="1.2949900000000001"/>
    <n v="1.3129999999999999"/>
    <n v="1.397"/>
    <n v="1.355"/>
    <n v="840"/>
  </r>
  <r>
    <x v="7"/>
    <x v="9"/>
    <x v="3"/>
    <n v="1.2949900000000001"/>
    <n v="1.3129999999999999"/>
    <n v="1.397"/>
    <n v="1.355"/>
    <n v="840"/>
  </r>
  <r>
    <x v="7"/>
    <x v="9"/>
    <x v="3"/>
    <n v="1.2949900000000001"/>
    <n v="1.3129999999999999"/>
    <n v="1.397"/>
    <n v="1.355"/>
    <n v="840"/>
  </r>
  <r>
    <x v="7"/>
    <x v="9"/>
    <x v="3"/>
    <n v="1.2949900000000001"/>
    <n v="1.3129999999999999"/>
    <n v="1.397"/>
    <n v="1.355"/>
    <n v="840"/>
  </r>
  <r>
    <x v="7"/>
    <x v="9"/>
    <x v="3"/>
    <n v="1.2949900000000001"/>
    <n v="1.3129999999999999"/>
    <n v="1.397"/>
    <n v="1.355"/>
    <n v="840"/>
  </r>
  <r>
    <x v="7"/>
    <x v="9"/>
    <x v="3"/>
    <n v="1.2949900000000001"/>
    <n v="1.3129999999999999"/>
    <n v="1.397"/>
    <n v="1.355"/>
    <n v="840"/>
  </r>
  <r>
    <x v="7"/>
    <x v="9"/>
    <x v="3"/>
    <n v="1.2949900000000001"/>
    <n v="1.3129999999999999"/>
    <n v="1.397"/>
    <n v="1.355"/>
    <n v="840"/>
  </r>
  <r>
    <x v="7"/>
    <x v="9"/>
    <x v="3"/>
    <n v="1.2949900000000001"/>
    <n v="1.3129999999999999"/>
    <n v="1.397"/>
    <n v="1.355"/>
    <n v="840"/>
  </r>
  <r>
    <x v="7"/>
    <x v="9"/>
    <x v="3"/>
    <n v="1.2949900000000001"/>
    <n v="1.3129999999999999"/>
    <n v="1.397"/>
    <n v="1.355"/>
    <n v="840"/>
  </r>
  <r>
    <x v="7"/>
    <x v="9"/>
    <x v="3"/>
    <n v="1.2949900000000001"/>
    <n v="1.3129999999999999"/>
    <n v="1.397"/>
    <n v="1.355"/>
    <n v="840"/>
  </r>
  <r>
    <x v="7"/>
    <x v="9"/>
    <x v="3"/>
    <n v="1.2949900000000001"/>
    <n v="1.3129999999999999"/>
    <n v="1.397"/>
    <n v="1.355"/>
    <n v="840"/>
  </r>
  <r>
    <x v="7"/>
    <x v="9"/>
    <x v="3"/>
    <n v="1.2949900000000001"/>
    <n v="1.3129999999999999"/>
    <n v="1.397"/>
    <n v="1.355"/>
    <n v="840"/>
  </r>
  <r>
    <x v="7"/>
    <x v="9"/>
    <x v="3"/>
    <n v="1.2949900000000001"/>
    <n v="1.3129999999999999"/>
    <n v="1.397"/>
    <n v="1.355"/>
    <n v="840"/>
  </r>
  <r>
    <x v="7"/>
    <x v="9"/>
    <x v="3"/>
    <n v="1.2949900000000001"/>
    <n v="1.3129999999999999"/>
    <n v="1.397"/>
    <n v="1.355"/>
    <n v="840"/>
  </r>
  <r>
    <x v="7"/>
    <x v="9"/>
    <x v="3"/>
    <n v="1.2949900000000001"/>
    <n v="1.3129999999999999"/>
    <n v="1.397"/>
    <n v="1.355"/>
    <n v="840"/>
  </r>
  <r>
    <x v="7"/>
    <x v="9"/>
    <x v="3"/>
    <n v="1.2949900000000001"/>
    <n v="1.3129999999999999"/>
    <n v="1.397"/>
    <n v="1.355"/>
    <n v="840"/>
  </r>
  <r>
    <x v="7"/>
    <x v="9"/>
    <x v="3"/>
    <n v="1.2949900000000001"/>
    <n v="1.3129999999999999"/>
    <n v="1.397"/>
    <n v="1.355"/>
    <n v="840"/>
  </r>
  <r>
    <x v="7"/>
    <x v="9"/>
    <x v="3"/>
    <n v="1.2949900000000001"/>
    <n v="1.3129999999999999"/>
    <n v="1.397"/>
    <n v="1.355"/>
    <n v="840"/>
  </r>
  <r>
    <x v="7"/>
    <x v="9"/>
    <x v="3"/>
    <n v="1.2949900000000001"/>
    <n v="1.3129999999999999"/>
    <n v="1.397"/>
    <n v="1.355"/>
    <n v="840"/>
  </r>
  <r>
    <x v="7"/>
    <x v="9"/>
    <x v="3"/>
    <n v="1.2949900000000001"/>
    <n v="1.3129999999999999"/>
    <n v="1.397"/>
    <n v="1.355"/>
    <n v="840"/>
  </r>
  <r>
    <x v="7"/>
    <x v="9"/>
    <x v="3"/>
    <n v="1.2949900000000001"/>
    <n v="1.3129999999999999"/>
    <n v="1.397"/>
    <n v="1.355"/>
    <n v="840"/>
  </r>
  <r>
    <x v="7"/>
    <x v="9"/>
    <x v="3"/>
    <n v="1.2949900000000001"/>
    <n v="1.3129999999999999"/>
    <n v="1.397"/>
    <n v="1.355"/>
    <n v="840"/>
  </r>
  <r>
    <x v="7"/>
    <x v="9"/>
    <x v="3"/>
    <n v="1.2949900000000001"/>
    <n v="1.3129999999999999"/>
    <n v="1.397"/>
    <n v="1.355"/>
    <n v="840"/>
  </r>
  <r>
    <x v="7"/>
    <x v="9"/>
    <x v="3"/>
    <n v="1.2949900000000001"/>
    <n v="1.3129999999999999"/>
    <n v="1.397"/>
    <n v="1.355"/>
    <n v="840"/>
  </r>
  <r>
    <x v="7"/>
    <x v="9"/>
    <x v="3"/>
    <n v="1.2949900000000001"/>
    <n v="1.3129999999999999"/>
    <n v="1.397"/>
    <n v="1.355"/>
    <n v="840"/>
  </r>
  <r>
    <x v="7"/>
    <x v="9"/>
    <x v="3"/>
    <n v="1.2949900000000001"/>
    <n v="1.3129999999999999"/>
    <n v="1.397"/>
    <n v="1.355"/>
    <n v="840"/>
  </r>
  <r>
    <x v="7"/>
    <x v="9"/>
    <x v="3"/>
    <n v="1.2949900000000001"/>
    <n v="1.3129999999999999"/>
    <n v="1.397"/>
    <n v="1.355"/>
    <n v="840"/>
  </r>
  <r>
    <x v="7"/>
    <x v="9"/>
    <x v="3"/>
    <n v="1.2949900000000001"/>
    <n v="1.3129999999999999"/>
    <n v="1.397"/>
    <n v="1.355"/>
    <n v="840"/>
  </r>
  <r>
    <x v="7"/>
    <x v="9"/>
    <x v="3"/>
    <n v="1.2949900000000001"/>
    <n v="1.3129999999999999"/>
    <n v="1.397"/>
    <n v="1.355"/>
    <n v="840"/>
  </r>
  <r>
    <x v="7"/>
    <x v="9"/>
    <x v="3"/>
    <n v="1.2949900000000001"/>
    <n v="1.3129999999999999"/>
    <n v="1.397"/>
    <n v="1.355"/>
    <n v="840"/>
  </r>
  <r>
    <x v="7"/>
    <x v="9"/>
    <x v="6"/>
    <n v="0.83267999999999998"/>
    <n v="0.80779999999999996"/>
    <n v="0.87961999999999996"/>
    <n v="0.84370999999999996"/>
    <n v="718.2"/>
  </r>
  <r>
    <x v="7"/>
    <x v="9"/>
    <x v="6"/>
    <n v="0.83267999999999998"/>
    <n v="0.80779999999999996"/>
    <n v="0.87961999999999996"/>
    <n v="0.84370999999999996"/>
    <n v="718.2"/>
  </r>
  <r>
    <x v="7"/>
    <x v="9"/>
    <x v="6"/>
    <n v="0.83267999999999998"/>
    <n v="0.80779999999999996"/>
    <n v="0.87961999999999996"/>
    <n v="0.84370999999999996"/>
    <n v="718.2"/>
  </r>
  <r>
    <x v="7"/>
    <x v="9"/>
    <x v="6"/>
    <n v="0.83267999999999998"/>
    <n v="0.80779999999999996"/>
    <n v="0.87961999999999996"/>
    <n v="0.84370999999999996"/>
    <n v="718.2"/>
  </r>
  <r>
    <x v="7"/>
    <x v="9"/>
    <x v="6"/>
    <n v="0.83267999999999998"/>
    <n v="0.80779999999999996"/>
    <n v="0.87961999999999996"/>
    <n v="0.84370999999999996"/>
    <n v="718.2"/>
  </r>
  <r>
    <x v="7"/>
    <x v="9"/>
    <x v="6"/>
    <n v="0.83267999999999998"/>
    <n v="0.80779999999999996"/>
    <n v="0.87961999999999996"/>
    <n v="0.84370999999999996"/>
    <n v="718.2"/>
  </r>
  <r>
    <x v="7"/>
    <x v="9"/>
    <x v="6"/>
    <n v="0.83267999999999998"/>
    <n v="0.80779999999999996"/>
    <n v="0.87961999999999996"/>
    <n v="0.84370999999999996"/>
    <n v="718.2"/>
  </r>
  <r>
    <x v="7"/>
    <x v="9"/>
    <x v="6"/>
    <n v="0.83267999999999998"/>
    <n v="0.80779999999999996"/>
    <n v="0.87961999999999996"/>
    <n v="0.84370999999999996"/>
    <n v="718.2"/>
  </r>
  <r>
    <x v="7"/>
    <x v="9"/>
    <x v="6"/>
    <n v="0.83267999999999998"/>
    <n v="0.80779999999999996"/>
    <n v="0.87961999999999996"/>
    <n v="0.84370999999999996"/>
    <n v="718.2"/>
  </r>
  <r>
    <x v="7"/>
    <x v="9"/>
    <x v="6"/>
    <n v="0.83267999999999998"/>
    <n v="0.80779999999999996"/>
    <n v="0.87961999999999996"/>
    <n v="0.84370999999999996"/>
    <n v="718.2"/>
  </r>
  <r>
    <x v="7"/>
    <x v="9"/>
    <x v="6"/>
    <n v="0.83267999999999998"/>
    <n v="0.80779999999999996"/>
    <n v="0.87961999999999996"/>
    <n v="0.84370999999999996"/>
    <n v="718.2"/>
  </r>
  <r>
    <x v="7"/>
    <x v="9"/>
    <x v="6"/>
    <n v="0.83267999999999998"/>
    <n v="0.80779999999999996"/>
    <n v="0.87961999999999996"/>
    <n v="0.84370999999999996"/>
    <n v="718.2"/>
  </r>
  <r>
    <x v="7"/>
    <x v="9"/>
    <x v="6"/>
    <n v="0.83267999999999998"/>
    <n v="0.80779999999999996"/>
    <n v="0.87961999999999996"/>
    <n v="0.84370999999999996"/>
    <n v="718.2"/>
  </r>
  <r>
    <x v="7"/>
    <x v="9"/>
    <x v="6"/>
    <n v="0.83267999999999998"/>
    <n v="0.80779999999999996"/>
    <n v="0.87961999999999996"/>
    <n v="0.84370999999999996"/>
    <n v="718.2"/>
  </r>
  <r>
    <x v="7"/>
    <x v="9"/>
    <x v="6"/>
    <n v="0.83267999999999998"/>
    <n v="0.80779999999999996"/>
    <n v="0.87961999999999996"/>
    <n v="0.84370999999999996"/>
    <n v="718.2"/>
  </r>
  <r>
    <x v="7"/>
    <x v="9"/>
    <x v="6"/>
    <n v="0.83267999999999998"/>
    <n v="0.80779999999999996"/>
    <n v="0.87961999999999996"/>
    <n v="0.84370999999999996"/>
    <n v="718.2"/>
  </r>
  <r>
    <x v="7"/>
    <x v="9"/>
    <x v="6"/>
    <n v="0.83267999999999998"/>
    <n v="0.80779999999999996"/>
    <n v="0.87961999999999996"/>
    <n v="0.84370999999999996"/>
    <n v="718.2"/>
  </r>
  <r>
    <x v="7"/>
    <x v="9"/>
    <x v="6"/>
    <n v="0.83267999999999998"/>
    <n v="0.80779999999999996"/>
    <n v="0.87961999999999996"/>
    <n v="0.84370999999999996"/>
    <n v="718.2"/>
  </r>
  <r>
    <x v="7"/>
    <x v="9"/>
    <x v="6"/>
    <n v="0.83267999999999998"/>
    <n v="0.80779999999999996"/>
    <n v="0.87961999999999996"/>
    <n v="0.84370999999999996"/>
    <n v="718.2"/>
  </r>
  <r>
    <x v="7"/>
    <x v="9"/>
    <x v="6"/>
    <n v="0.83267999999999998"/>
    <n v="0.80779999999999996"/>
    <n v="0.87961999999999996"/>
    <n v="0.84370999999999996"/>
    <n v="718.2"/>
  </r>
  <r>
    <x v="7"/>
    <x v="9"/>
    <x v="6"/>
    <n v="0.83267999999999998"/>
    <n v="0.80779999999999996"/>
    <n v="0.87961999999999996"/>
    <n v="0.84370999999999996"/>
    <n v="718.2"/>
  </r>
  <r>
    <x v="7"/>
    <x v="9"/>
    <x v="6"/>
    <n v="0.83267999999999998"/>
    <n v="0.80779999999999996"/>
    <n v="0.87961999999999996"/>
    <n v="0.84370999999999996"/>
    <n v="718.2"/>
  </r>
  <r>
    <x v="7"/>
    <x v="9"/>
    <x v="6"/>
    <n v="0.83267999999999998"/>
    <n v="0.80779999999999996"/>
    <n v="0.87961999999999996"/>
    <n v="0.84370999999999996"/>
    <n v="718.2"/>
  </r>
  <r>
    <x v="7"/>
    <x v="9"/>
    <x v="6"/>
    <n v="0.83267999999999998"/>
    <n v="0.80779999999999996"/>
    <n v="0.87961999999999996"/>
    <n v="0.84370999999999996"/>
    <n v="718.2"/>
  </r>
  <r>
    <x v="7"/>
    <x v="10"/>
    <x v="3"/>
    <n v="1.2962499999999999"/>
    <n v="1.3129999999999999"/>
    <n v="1.397"/>
    <n v="1.355"/>
    <n v="840"/>
  </r>
  <r>
    <x v="7"/>
    <x v="10"/>
    <x v="3"/>
    <n v="1.2962499999999999"/>
    <n v="1.3129999999999999"/>
    <n v="1.397"/>
    <n v="1.355"/>
    <n v="840"/>
  </r>
  <r>
    <x v="7"/>
    <x v="10"/>
    <x v="3"/>
    <n v="1.2962499999999999"/>
    <n v="1.3129999999999999"/>
    <n v="1.397"/>
    <n v="1.355"/>
    <n v="840"/>
  </r>
  <r>
    <x v="7"/>
    <x v="10"/>
    <x v="6"/>
    <n v="0.81306"/>
    <n v="0.80779999999999996"/>
    <n v="0.87961999999999996"/>
    <n v="0.84370999999999996"/>
    <n v="718.2"/>
  </r>
  <r>
    <x v="7"/>
    <x v="10"/>
    <x v="6"/>
    <n v="0.81306"/>
    <n v="0.80779999999999996"/>
    <n v="0.87961999999999996"/>
    <n v="0.84370999999999996"/>
    <n v="718.2"/>
  </r>
  <r>
    <x v="7"/>
    <x v="10"/>
    <x v="6"/>
    <n v="0.81306"/>
    <n v="0.80779999999999996"/>
    <n v="0.87961999999999996"/>
    <n v="0.84370999999999996"/>
    <n v="718.2"/>
  </r>
  <r>
    <x v="7"/>
    <x v="10"/>
    <x v="6"/>
    <n v="0.81306"/>
    <n v="0.80779999999999996"/>
    <n v="0.87961999999999996"/>
    <n v="0.84370999999999996"/>
    <n v="718.2"/>
  </r>
  <r>
    <x v="7"/>
    <x v="10"/>
    <x v="6"/>
    <n v="0.81306"/>
    <n v="0.80779999999999996"/>
    <n v="0.87961999999999996"/>
    <n v="0.84370999999999996"/>
    <n v="718.2"/>
  </r>
  <r>
    <x v="7"/>
    <x v="10"/>
    <x v="6"/>
    <n v="0.81306"/>
    <n v="0.80779999999999996"/>
    <n v="0.87961999999999996"/>
    <n v="0.84370999999999996"/>
    <n v="718.2"/>
  </r>
  <r>
    <x v="7"/>
    <x v="10"/>
    <x v="6"/>
    <n v="0.81306"/>
    <n v="0.80779999999999996"/>
    <n v="0.87961999999999996"/>
    <n v="0.84370999999999996"/>
    <n v="718.2"/>
  </r>
  <r>
    <x v="7"/>
    <x v="10"/>
    <x v="6"/>
    <n v="0.81306"/>
    <n v="0.80779999999999996"/>
    <n v="0.87961999999999996"/>
    <n v="0.84370999999999996"/>
    <n v="718.2"/>
  </r>
  <r>
    <x v="7"/>
    <x v="10"/>
    <x v="6"/>
    <n v="0.81306"/>
    <n v="0.80779999999999996"/>
    <n v="0.87961999999999996"/>
    <n v="0.84370999999999996"/>
    <n v="718.2"/>
  </r>
  <r>
    <x v="7"/>
    <x v="10"/>
    <x v="6"/>
    <n v="0.81306"/>
    <n v="0.80779999999999996"/>
    <n v="0.87961999999999996"/>
    <n v="0.84370999999999996"/>
    <n v="718.2"/>
  </r>
  <r>
    <x v="7"/>
    <x v="10"/>
    <x v="6"/>
    <n v="0.81306"/>
    <n v="0.80779999999999996"/>
    <n v="0.87961999999999996"/>
    <n v="0.84370999999999996"/>
    <n v="718.2"/>
  </r>
  <r>
    <x v="7"/>
    <x v="10"/>
    <x v="6"/>
    <n v="0.81306"/>
    <n v="0.80779999999999996"/>
    <n v="0.87961999999999996"/>
    <n v="0.84370999999999996"/>
    <n v="718.2"/>
  </r>
  <r>
    <x v="7"/>
    <x v="10"/>
    <x v="6"/>
    <n v="0.81306"/>
    <n v="0.80779999999999996"/>
    <n v="0.87961999999999996"/>
    <n v="0.84370999999999996"/>
    <n v="718.2"/>
  </r>
  <r>
    <x v="7"/>
    <x v="10"/>
    <x v="6"/>
    <n v="0.81306"/>
    <n v="0.80779999999999996"/>
    <n v="0.87961999999999996"/>
    <n v="0.84370999999999996"/>
    <n v="718.2"/>
  </r>
  <r>
    <x v="7"/>
    <x v="10"/>
    <x v="6"/>
    <n v="0.81306"/>
    <n v="0.80779999999999996"/>
    <n v="0.87961999999999996"/>
    <n v="0.84370999999999996"/>
    <n v="718.2"/>
  </r>
  <r>
    <x v="7"/>
    <x v="10"/>
    <x v="6"/>
    <n v="0.81306"/>
    <n v="0.80779999999999996"/>
    <n v="0.87961999999999996"/>
    <n v="0.84370999999999996"/>
    <n v="718.2"/>
  </r>
  <r>
    <x v="7"/>
    <x v="10"/>
    <x v="6"/>
    <n v="0.81306"/>
    <n v="0.80779999999999996"/>
    <n v="0.87961999999999996"/>
    <n v="0.84370999999999996"/>
    <n v="718.2"/>
  </r>
  <r>
    <x v="7"/>
    <x v="10"/>
    <x v="6"/>
    <n v="0.81306"/>
    <n v="0.80779999999999996"/>
    <n v="0.87961999999999996"/>
    <n v="0.84370999999999996"/>
    <n v="718.2"/>
  </r>
  <r>
    <x v="7"/>
    <x v="10"/>
    <x v="6"/>
    <n v="0.81306"/>
    <n v="0.80779999999999996"/>
    <n v="0.87961999999999996"/>
    <n v="0.84370999999999996"/>
    <n v="718.2"/>
  </r>
  <r>
    <x v="7"/>
    <x v="10"/>
    <x v="6"/>
    <n v="0.81306"/>
    <n v="0.80779999999999996"/>
    <n v="0.87961999999999996"/>
    <n v="0.84370999999999996"/>
    <n v="718.2"/>
  </r>
  <r>
    <x v="7"/>
    <x v="10"/>
    <x v="6"/>
    <n v="0.81306"/>
    <n v="0.80779999999999996"/>
    <n v="0.87961999999999996"/>
    <n v="0.84370999999999996"/>
    <n v="718.2"/>
  </r>
  <r>
    <x v="7"/>
    <x v="10"/>
    <x v="6"/>
    <n v="0.81306"/>
    <n v="0.80779999999999996"/>
    <n v="0.87961999999999996"/>
    <n v="0.84370999999999996"/>
    <n v="718.2"/>
  </r>
  <r>
    <x v="7"/>
    <x v="10"/>
    <x v="6"/>
    <n v="0.81306"/>
    <n v="0.80779999999999996"/>
    <n v="0.87961999999999996"/>
    <n v="0.84370999999999996"/>
    <n v="718.2"/>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4"/>
    <n v="96.956999999999994"/>
    <n v="88.756"/>
    <n v="97.421000000000006"/>
    <n v="93.088499999999996"/>
    <n v="866.5"/>
  </r>
  <r>
    <x v="7"/>
    <x v="10"/>
    <x v="3"/>
    <n v="1.2962499999999999"/>
    <n v="1.3129999999999999"/>
    <n v="1.397"/>
    <n v="1.355"/>
    <n v="840"/>
  </r>
  <r>
    <x v="7"/>
    <x v="10"/>
    <x v="3"/>
    <n v="1.2962499999999999"/>
    <n v="1.3129999999999999"/>
    <n v="1.397"/>
    <n v="1.355"/>
    <n v="840"/>
  </r>
  <r>
    <x v="7"/>
    <x v="10"/>
    <x v="3"/>
    <n v="1.2962499999999999"/>
    <n v="1.3129999999999999"/>
    <n v="1.397"/>
    <n v="1.355"/>
    <n v="840"/>
  </r>
  <r>
    <x v="7"/>
    <x v="10"/>
    <x v="3"/>
    <n v="1.2962499999999999"/>
    <n v="1.3129999999999999"/>
    <n v="1.397"/>
    <n v="1.355"/>
    <n v="840"/>
  </r>
  <r>
    <x v="7"/>
    <x v="10"/>
    <x v="3"/>
    <n v="1.2962499999999999"/>
    <n v="1.3129999999999999"/>
    <n v="1.397"/>
    <n v="1.355"/>
    <n v="840"/>
  </r>
  <r>
    <x v="7"/>
    <x v="10"/>
    <x v="3"/>
    <n v="1.2962499999999999"/>
    <n v="1.3129999999999999"/>
    <n v="1.397"/>
    <n v="1.355"/>
    <n v="840"/>
  </r>
  <r>
    <x v="7"/>
    <x v="10"/>
    <x v="3"/>
    <n v="1.2962499999999999"/>
    <n v="1.3129999999999999"/>
    <n v="1.397"/>
    <n v="1.355"/>
    <n v="840"/>
  </r>
  <r>
    <x v="7"/>
    <x v="10"/>
    <x v="3"/>
    <n v="1.2962499999999999"/>
    <n v="1.3129999999999999"/>
    <n v="1.397"/>
    <n v="1.355"/>
    <n v="840"/>
  </r>
  <r>
    <x v="7"/>
    <x v="10"/>
    <x v="3"/>
    <n v="1.2962499999999999"/>
    <n v="1.3129999999999999"/>
    <n v="1.397"/>
    <n v="1.355"/>
    <n v="840"/>
  </r>
  <r>
    <x v="7"/>
    <x v="10"/>
    <x v="3"/>
    <n v="1.2962499999999999"/>
    <n v="1.3129999999999999"/>
    <n v="1.397"/>
    <n v="1.355"/>
    <n v="840"/>
  </r>
  <r>
    <x v="7"/>
    <x v="10"/>
    <x v="3"/>
    <n v="1.2962499999999999"/>
    <n v="1.3129999999999999"/>
    <n v="1.397"/>
    <n v="1.355"/>
    <n v="840"/>
  </r>
  <r>
    <x v="7"/>
    <x v="10"/>
    <x v="3"/>
    <n v="1.2962499999999999"/>
    <n v="1.3129999999999999"/>
    <n v="1.397"/>
    <n v="1.355"/>
    <n v="840"/>
  </r>
  <r>
    <x v="7"/>
    <x v="10"/>
    <x v="3"/>
    <n v="1.2962499999999999"/>
    <n v="1.3129999999999999"/>
    <n v="1.397"/>
    <n v="1.355"/>
    <n v="840"/>
  </r>
  <r>
    <x v="7"/>
    <x v="10"/>
    <x v="3"/>
    <n v="1.2962499999999999"/>
    <n v="1.3129999999999999"/>
    <n v="1.397"/>
    <n v="1.355"/>
    <n v="840"/>
  </r>
  <r>
    <x v="7"/>
    <x v="10"/>
    <x v="3"/>
    <n v="1.2962499999999999"/>
    <n v="1.3129999999999999"/>
    <n v="1.397"/>
    <n v="1.355"/>
    <n v="840"/>
  </r>
  <r>
    <x v="7"/>
    <x v="10"/>
    <x v="3"/>
    <n v="1.2962499999999999"/>
    <n v="1.3129999999999999"/>
    <n v="1.397"/>
    <n v="1.355"/>
    <n v="840"/>
  </r>
  <r>
    <x v="7"/>
    <x v="10"/>
    <x v="3"/>
    <n v="1.2962499999999999"/>
    <n v="1.3129999999999999"/>
    <n v="1.397"/>
    <n v="1.355"/>
    <n v="840"/>
  </r>
  <r>
    <x v="7"/>
    <x v="10"/>
    <x v="3"/>
    <n v="1.2962499999999999"/>
    <n v="1.3129999999999999"/>
    <n v="1.397"/>
    <n v="1.355"/>
    <n v="840"/>
  </r>
  <r>
    <x v="7"/>
    <x v="10"/>
    <x v="3"/>
    <n v="1.2962499999999999"/>
    <n v="1.3129999999999999"/>
    <n v="1.397"/>
    <n v="1.355"/>
    <n v="840"/>
  </r>
  <r>
    <x v="7"/>
    <x v="10"/>
    <x v="3"/>
    <n v="1.2962499999999999"/>
    <n v="1.3129999999999999"/>
    <n v="1.397"/>
    <n v="1.355"/>
    <n v="840"/>
  </r>
  <r>
    <x v="7"/>
    <x v="10"/>
    <x v="3"/>
    <n v="1.2962499999999999"/>
    <n v="1.3129999999999999"/>
    <n v="1.397"/>
    <n v="1.355"/>
    <n v="840"/>
  </r>
  <r>
    <x v="7"/>
    <x v="10"/>
    <x v="3"/>
    <n v="1.2962499999999999"/>
    <n v="1.3129999999999999"/>
    <n v="1.397"/>
    <n v="1.355"/>
    <n v="840"/>
  </r>
  <r>
    <x v="7"/>
    <x v="10"/>
    <x v="3"/>
    <n v="1.2962499999999999"/>
    <n v="1.3129999999999999"/>
    <n v="1.397"/>
    <n v="1.355"/>
    <n v="840"/>
  </r>
  <r>
    <x v="7"/>
    <x v="10"/>
    <x v="3"/>
    <n v="1.2962499999999999"/>
    <n v="1.3129999999999999"/>
    <n v="1.397"/>
    <n v="1.355"/>
    <n v="840"/>
  </r>
  <r>
    <x v="7"/>
    <x v="10"/>
    <x v="3"/>
    <n v="1.2962499999999999"/>
    <n v="1.3129999999999999"/>
    <n v="1.397"/>
    <n v="1.355"/>
    <n v="840"/>
  </r>
  <r>
    <x v="7"/>
    <x v="10"/>
    <x v="3"/>
    <n v="1.2962499999999999"/>
    <n v="1.3129999999999999"/>
    <n v="1.397"/>
    <n v="1.355"/>
    <n v="840"/>
  </r>
  <r>
    <x v="7"/>
    <x v="10"/>
    <x v="3"/>
    <n v="1.2962499999999999"/>
    <n v="1.3129999999999999"/>
    <n v="1.397"/>
    <n v="1.355"/>
    <n v="840"/>
  </r>
  <r>
    <x v="7"/>
    <x v="11"/>
    <x v="6"/>
    <n v="0.81125999999999998"/>
    <n v="0.80779999999999996"/>
    <n v="0.87961999999999996"/>
    <n v="0.84370999999999996"/>
    <n v="718.2"/>
  </r>
  <r>
    <x v="7"/>
    <x v="11"/>
    <x v="6"/>
    <n v="0.81125999999999998"/>
    <n v="0.80779999999999996"/>
    <n v="0.87961999999999996"/>
    <n v="0.84370999999999996"/>
    <n v="718.2"/>
  </r>
  <r>
    <x v="7"/>
    <x v="11"/>
    <x v="6"/>
    <n v="0.81125999999999998"/>
    <n v="0.80779999999999996"/>
    <n v="0.87961999999999996"/>
    <n v="0.84370999999999996"/>
    <n v="718.2"/>
  </r>
  <r>
    <x v="7"/>
    <x v="11"/>
    <x v="6"/>
    <n v="0.81125999999999998"/>
    <n v="0.80779999999999996"/>
    <n v="0.87961999999999996"/>
    <n v="0.84370999999999996"/>
    <n v="718.2"/>
  </r>
  <r>
    <x v="7"/>
    <x v="11"/>
    <x v="6"/>
    <n v="0.81125999999999998"/>
    <n v="0.80779999999999996"/>
    <n v="0.87961999999999996"/>
    <n v="0.84370999999999996"/>
    <n v="718.2"/>
  </r>
  <r>
    <x v="7"/>
    <x v="11"/>
    <x v="6"/>
    <n v="0.81125999999999998"/>
    <n v="0.80779999999999996"/>
    <n v="0.87961999999999996"/>
    <n v="0.84370999999999996"/>
    <n v="718.2"/>
  </r>
  <r>
    <x v="7"/>
    <x v="11"/>
    <x v="6"/>
    <n v="0.81125999999999998"/>
    <n v="0.80779999999999996"/>
    <n v="0.87961999999999996"/>
    <n v="0.84370999999999996"/>
    <n v="718.2"/>
  </r>
  <r>
    <x v="7"/>
    <x v="11"/>
    <x v="6"/>
    <n v="0.81125999999999998"/>
    <n v="0.80779999999999996"/>
    <n v="0.87961999999999996"/>
    <n v="0.84370999999999996"/>
    <n v="718.2"/>
  </r>
  <r>
    <x v="7"/>
    <x v="11"/>
    <x v="6"/>
    <n v="0.81125999999999998"/>
    <n v="0.80779999999999996"/>
    <n v="0.87961999999999996"/>
    <n v="0.84370999999999996"/>
    <n v="718.2"/>
  </r>
  <r>
    <x v="7"/>
    <x v="11"/>
    <x v="6"/>
    <n v="0.81125999999999998"/>
    <n v="0.80779999999999996"/>
    <n v="0.87961999999999996"/>
    <n v="0.84370999999999996"/>
    <n v="718.2"/>
  </r>
  <r>
    <x v="7"/>
    <x v="11"/>
    <x v="6"/>
    <n v="0.81125999999999998"/>
    <n v="0.80779999999999996"/>
    <n v="0.87961999999999996"/>
    <n v="0.84370999999999996"/>
    <n v="718.2"/>
  </r>
  <r>
    <x v="7"/>
    <x v="11"/>
    <x v="6"/>
    <n v="0.81125999999999998"/>
    <n v="0.80779999999999996"/>
    <n v="0.87961999999999996"/>
    <n v="0.84370999999999996"/>
    <n v="718.2"/>
  </r>
  <r>
    <x v="7"/>
    <x v="11"/>
    <x v="6"/>
    <n v="0.81125999999999998"/>
    <n v="0.80779999999999996"/>
    <n v="0.87961999999999996"/>
    <n v="0.84370999999999996"/>
    <n v="718.2"/>
  </r>
  <r>
    <x v="7"/>
    <x v="11"/>
    <x v="6"/>
    <n v="0.81125999999999998"/>
    <n v="0.80779999999999996"/>
    <n v="0.87961999999999996"/>
    <n v="0.84370999999999996"/>
    <n v="718.2"/>
  </r>
  <r>
    <x v="7"/>
    <x v="11"/>
    <x v="6"/>
    <n v="0.81125999999999998"/>
    <n v="0.80779999999999996"/>
    <n v="0.87961999999999996"/>
    <n v="0.84370999999999996"/>
    <n v="718.2"/>
  </r>
  <r>
    <x v="7"/>
    <x v="11"/>
    <x v="6"/>
    <n v="0.81125999999999998"/>
    <n v="0.80779999999999996"/>
    <n v="0.87961999999999996"/>
    <n v="0.84370999999999996"/>
    <n v="718.2"/>
  </r>
  <r>
    <x v="7"/>
    <x v="11"/>
    <x v="6"/>
    <n v="0.81125999999999998"/>
    <n v="0.80779999999999996"/>
    <n v="0.87961999999999996"/>
    <n v="0.84370999999999996"/>
    <n v="718.2"/>
  </r>
  <r>
    <x v="7"/>
    <x v="11"/>
    <x v="6"/>
    <n v="0.81125999999999998"/>
    <n v="0.80779999999999996"/>
    <n v="0.87961999999999996"/>
    <n v="0.84370999999999996"/>
    <n v="718.2"/>
  </r>
  <r>
    <x v="7"/>
    <x v="11"/>
    <x v="6"/>
    <n v="0.81125999999999998"/>
    <n v="0.80779999999999996"/>
    <n v="0.87961999999999996"/>
    <n v="0.84370999999999996"/>
    <n v="718.2"/>
  </r>
  <r>
    <x v="7"/>
    <x v="11"/>
    <x v="6"/>
    <n v="0.81125999999999998"/>
    <n v="0.80779999999999996"/>
    <n v="0.87961999999999996"/>
    <n v="0.84370999999999996"/>
    <n v="718.2"/>
  </r>
  <r>
    <x v="7"/>
    <x v="11"/>
    <x v="6"/>
    <n v="0.81125999999999998"/>
    <n v="0.80779999999999996"/>
    <n v="0.87961999999999996"/>
    <n v="0.84370999999999996"/>
    <n v="718.2"/>
  </r>
  <r>
    <x v="7"/>
    <x v="11"/>
    <x v="6"/>
    <n v="0.81125999999999998"/>
    <n v="0.80779999999999996"/>
    <n v="0.87961999999999996"/>
    <n v="0.84370999999999996"/>
    <n v="718.2"/>
  </r>
  <r>
    <x v="7"/>
    <x v="11"/>
    <x v="6"/>
    <n v="0.81125999999999998"/>
    <n v="0.80779999999999996"/>
    <n v="0.87961999999999996"/>
    <n v="0.84370999999999996"/>
    <n v="718.2"/>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4"/>
    <n v="97.293000000000006"/>
    <n v="88.756"/>
    <n v="97.421000000000006"/>
    <n v="93.088499999999996"/>
    <n v="866.5"/>
  </r>
  <r>
    <x v="7"/>
    <x v="11"/>
    <x v="3"/>
    <n v="1.2827200000000001"/>
    <n v="1.3129999999999999"/>
    <n v="1.397"/>
    <n v="1.355"/>
    <n v="840"/>
  </r>
  <r>
    <x v="7"/>
    <x v="11"/>
    <x v="3"/>
    <n v="1.2827200000000001"/>
    <n v="1.3129999999999999"/>
    <n v="1.397"/>
    <n v="1.355"/>
    <n v="840"/>
  </r>
  <r>
    <x v="7"/>
    <x v="11"/>
    <x v="3"/>
    <n v="1.2827200000000001"/>
    <n v="1.3129999999999999"/>
    <n v="1.397"/>
    <n v="1.355"/>
    <n v="840"/>
  </r>
  <r>
    <x v="7"/>
    <x v="11"/>
    <x v="3"/>
    <n v="1.2827200000000001"/>
    <n v="1.3129999999999999"/>
    <n v="1.397"/>
    <n v="1.355"/>
    <n v="840"/>
  </r>
  <r>
    <x v="7"/>
    <x v="11"/>
    <x v="3"/>
    <n v="1.2827200000000001"/>
    <n v="1.3129999999999999"/>
    <n v="1.397"/>
    <n v="1.355"/>
    <n v="840"/>
  </r>
  <r>
    <x v="7"/>
    <x v="11"/>
    <x v="3"/>
    <n v="1.2827200000000001"/>
    <n v="1.3129999999999999"/>
    <n v="1.397"/>
    <n v="1.355"/>
    <n v="840"/>
  </r>
  <r>
    <x v="7"/>
    <x v="11"/>
    <x v="3"/>
    <n v="1.2827200000000001"/>
    <n v="1.3129999999999999"/>
    <n v="1.397"/>
    <n v="1.355"/>
    <n v="840"/>
  </r>
  <r>
    <x v="7"/>
    <x v="11"/>
    <x v="3"/>
    <n v="1.2827200000000001"/>
    <n v="1.3129999999999999"/>
    <n v="1.397"/>
    <n v="1.355"/>
    <n v="840"/>
  </r>
  <r>
    <x v="7"/>
    <x v="11"/>
    <x v="3"/>
    <n v="1.2827200000000001"/>
    <n v="1.3129999999999999"/>
    <n v="1.397"/>
    <n v="1.355"/>
    <n v="840"/>
  </r>
  <r>
    <x v="7"/>
    <x v="11"/>
    <x v="3"/>
    <n v="1.2827200000000001"/>
    <n v="1.3129999999999999"/>
    <n v="1.397"/>
    <n v="1.355"/>
    <n v="840"/>
  </r>
  <r>
    <x v="7"/>
    <x v="11"/>
    <x v="3"/>
    <n v="1.2827200000000001"/>
    <n v="1.3129999999999999"/>
    <n v="1.397"/>
    <n v="1.355"/>
    <n v="840"/>
  </r>
  <r>
    <x v="7"/>
    <x v="11"/>
    <x v="3"/>
    <n v="1.2827200000000001"/>
    <n v="1.3129999999999999"/>
    <n v="1.397"/>
    <n v="1.355"/>
    <n v="840"/>
  </r>
  <r>
    <x v="7"/>
    <x v="11"/>
    <x v="3"/>
    <n v="1.2827200000000001"/>
    <n v="1.3129999999999999"/>
    <n v="1.397"/>
    <n v="1.355"/>
    <n v="840"/>
  </r>
  <r>
    <x v="7"/>
    <x v="11"/>
    <x v="3"/>
    <n v="1.2827200000000001"/>
    <n v="1.3129999999999999"/>
    <n v="1.397"/>
    <n v="1.355"/>
    <n v="840"/>
  </r>
  <r>
    <x v="7"/>
    <x v="11"/>
    <x v="3"/>
    <n v="1.2827200000000001"/>
    <n v="1.3129999999999999"/>
    <n v="1.397"/>
    <n v="1.355"/>
    <n v="840"/>
  </r>
  <r>
    <x v="7"/>
    <x v="11"/>
    <x v="3"/>
    <n v="1.2827200000000001"/>
    <n v="1.3129999999999999"/>
    <n v="1.397"/>
    <n v="1.355"/>
    <n v="840"/>
  </r>
  <r>
    <x v="7"/>
    <x v="11"/>
    <x v="3"/>
    <n v="1.2827200000000001"/>
    <n v="1.3129999999999999"/>
    <n v="1.397"/>
    <n v="1.355"/>
    <n v="840"/>
  </r>
  <r>
    <x v="7"/>
    <x v="11"/>
    <x v="3"/>
    <n v="1.2827200000000001"/>
    <n v="1.3129999999999999"/>
    <n v="1.397"/>
    <n v="1.355"/>
    <n v="840"/>
  </r>
  <r>
    <x v="7"/>
    <x v="11"/>
    <x v="3"/>
    <n v="1.2827200000000001"/>
    <n v="1.3129999999999999"/>
    <n v="1.397"/>
    <n v="1.355"/>
    <n v="840"/>
  </r>
  <r>
    <x v="7"/>
    <x v="11"/>
    <x v="3"/>
    <n v="1.2827200000000001"/>
    <n v="1.3129999999999999"/>
    <n v="1.397"/>
    <n v="1.355"/>
    <n v="840"/>
  </r>
  <r>
    <x v="7"/>
    <x v="11"/>
    <x v="3"/>
    <n v="1.2827200000000001"/>
    <n v="1.3129999999999999"/>
    <n v="1.397"/>
    <n v="1.355"/>
    <n v="840"/>
  </r>
  <r>
    <x v="7"/>
    <x v="11"/>
    <x v="3"/>
    <n v="1.2827200000000001"/>
    <n v="1.3129999999999999"/>
    <n v="1.397"/>
    <n v="1.355"/>
    <n v="840"/>
  </r>
  <r>
    <x v="7"/>
    <x v="11"/>
    <x v="3"/>
    <n v="1.2827200000000001"/>
    <n v="1.3129999999999999"/>
    <n v="1.397"/>
    <n v="1.355"/>
    <n v="840"/>
  </r>
  <r>
    <x v="7"/>
    <x v="11"/>
    <x v="3"/>
    <n v="1.2827200000000001"/>
    <n v="1.3129999999999999"/>
    <n v="1.397"/>
    <n v="1.355"/>
    <n v="840"/>
  </r>
  <r>
    <x v="7"/>
    <x v="11"/>
    <x v="3"/>
    <n v="1.2827200000000001"/>
    <n v="1.3129999999999999"/>
    <n v="1.397"/>
    <n v="1.355"/>
    <n v="840"/>
  </r>
  <r>
    <x v="7"/>
    <x v="11"/>
    <x v="3"/>
    <n v="1.2827200000000001"/>
    <n v="1.3129999999999999"/>
    <n v="1.397"/>
    <n v="1.355"/>
    <n v="840"/>
  </r>
  <r>
    <x v="7"/>
    <x v="11"/>
    <x v="3"/>
    <n v="1.2827200000000001"/>
    <n v="1.3129999999999999"/>
    <n v="1.397"/>
    <n v="1.355"/>
    <n v="840"/>
  </r>
  <r>
    <x v="7"/>
    <x v="11"/>
    <x v="3"/>
    <n v="1.2827200000000001"/>
    <n v="1.3129999999999999"/>
    <n v="1.397"/>
    <n v="1.355"/>
    <n v="840"/>
  </r>
  <r>
    <x v="7"/>
    <x v="11"/>
    <x v="3"/>
    <n v="1.2827200000000001"/>
    <n v="1.3129999999999999"/>
    <n v="1.397"/>
    <n v="1.355"/>
    <n v="840"/>
  </r>
  <r>
    <x v="7"/>
    <x v="11"/>
    <x v="3"/>
    <n v="1.2827200000000001"/>
    <n v="1.3129999999999999"/>
    <n v="1.397"/>
    <n v="1.355"/>
    <n v="840"/>
  </r>
  <r>
    <x v="7"/>
    <x v="12"/>
    <x v="6"/>
    <n v="0.78600999999999999"/>
    <n v="0.80779999999999996"/>
    <n v="0.87961999999999996"/>
    <n v="0.84370999999999996"/>
    <n v="718.2"/>
  </r>
  <r>
    <x v="7"/>
    <x v="12"/>
    <x v="6"/>
    <n v="0.78600999999999999"/>
    <n v="0.80779999999999996"/>
    <n v="0.87961999999999996"/>
    <n v="0.84370999999999996"/>
    <n v="718.2"/>
  </r>
  <r>
    <x v="7"/>
    <x v="12"/>
    <x v="6"/>
    <n v="0.78600999999999999"/>
    <n v="0.80779999999999996"/>
    <n v="0.87961999999999996"/>
    <n v="0.84370999999999996"/>
    <n v="718.2"/>
  </r>
  <r>
    <x v="7"/>
    <x v="12"/>
    <x v="6"/>
    <n v="0.78600999999999999"/>
    <n v="0.80779999999999996"/>
    <n v="0.87961999999999996"/>
    <n v="0.84370999999999996"/>
    <n v="718.2"/>
  </r>
  <r>
    <x v="7"/>
    <x v="12"/>
    <x v="6"/>
    <n v="0.78600999999999999"/>
    <n v="0.80779999999999996"/>
    <n v="0.87961999999999996"/>
    <n v="0.84370999999999996"/>
    <n v="718.2"/>
  </r>
  <r>
    <x v="7"/>
    <x v="12"/>
    <x v="6"/>
    <n v="0.78600999999999999"/>
    <n v="0.80779999999999996"/>
    <n v="0.87961999999999996"/>
    <n v="0.84370999999999996"/>
    <n v="718.2"/>
  </r>
  <r>
    <x v="7"/>
    <x v="12"/>
    <x v="6"/>
    <n v="0.78600999999999999"/>
    <n v="0.80779999999999996"/>
    <n v="0.87961999999999996"/>
    <n v="0.84370999999999996"/>
    <n v="718.2"/>
  </r>
  <r>
    <x v="7"/>
    <x v="12"/>
    <x v="6"/>
    <n v="0.78600999999999999"/>
    <n v="0.80779999999999996"/>
    <n v="0.87961999999999996"/>
    <n v="0.84370999999999996"/>
    <n v="718.2"/>
  </r>
  <r>
    <x v="7"/>
    <x v="12"/>
    <x v="6"/>
    <n v="0.78600999999999999"/>
    <n v="0.80779999999999996"/>
    <n v="0.87961999999999996"/>
    <n v="0.84370999999999996"/>
    <n v="718.2"/>
  </r>
  <r>
    <x v="7"/>
    <x v="12"/>
    <x v="6"/>
    <n v="0.78600999999999999"/>
    <n v="0.80779999999999996"/>
    <n v="0.87961999999999996"/>
    <n v="0.84370999999999996"/>
    <n v="718.2"/>
  </r>
  <r>
    <x v="7"/>
    <x v="12"/>
    <x v="6"/>
    <n v="0.78600999999999999"/>
    <n v="0.80779999999999996"/>
    <n v="0.87961999999999996"/>
    <n v="0.84370999999999996"/>
    <n v="718.2"/>
  </r>
  <r>
    <x v="7"/>
    <x v="12"/>
    <x v="6"/>
    <n v="0.78600999999999999"/>
    <n v="0.80779999999999996"/>
    <n v="0.87961999999999996"/>
    <n v="0.84370999999999996"/>
    <n v="718.2"/>
  </r>
  <r>
    <x v="7"/>
    <x v="12"/>
    <x v="6"/>
    <n v="0.78600999999999999"/>
    <n v="0.80779999999999996"/>
    <n v="0.87961999999999996"/>
    <n v="0.84370999999999996"/>
    <n v="718.2"/>
  </r>
  <r>
    <x v="7"/>
    <x v="12"/>
    <x v="6"/>
    <n v="0.78600999999999999"/>
    <n v="0.80779999999999996"/>
    <n v="0.87961999999999996"/>
    <n v="0.84370999999999996"/>
    <n v="718.2"/>
  </r>
  <r>
    <x v="7"/>
    <x v="12"/>
    <x v="6"/>
    <n v="0.78600999999999999"/>
    <n v="0.80779999999999996"/>
    <n v="0.87961999999999996"/>
    <n v="0.84370999999999996"/>
    <n v="718.2"/>
  </r>
  <r>
    <x v="7"/>
    <x v="12"/>
    <x v="6"/>
    <n v="0.78600999999999999"/>
    <n v="0.80779999999999996"/>
    <n v="0.87961999999999996"/>
    <n v="0.84370999999999996"/>
    <n v="718.2"/>
  </r>
  <r>
    <x v="7"/>
    <x v="12"/>
    <x v="6"/>
    <n v="0.78600999999999999"/>
    <n v="0.80779999999999996"/>
    <n v="0.87961999999999996"/>
    <n v="0.84370999999999996"/>
    <n v="718.2"/>
  </r>
  <r>
    <x v="7"/>
    <x v="12"/>
    <x v="6"/>
    <n v="0.78600999999999999"/>
    <n v="0.80779999999999996"/>
    <n v="0.87961999999999996"/>
    <n v="0.84370999999999996"/>
    <n v="718.2"/>
  </r>
  <r>
    <x v="7"/>
    <x v="12"/>
    <x v="6"/>
    <n v="0.78600999999999999"/>
    <n v="0.80779999999999996"/>
    <n v="0.87961999999999996"/>
    <n v="0.84370999999999996"/>
    <n v="718.2"/>
  </r>
  <r>
    <x v="7"/>
    <x v="12"/>
    <x v="6"/>
    <n v="0.78600999999999999"/>
    <n v="0.80779999999999996"/>
    <n v="0.87961999999999996"/>
    <n v="0.84370999999999996"/>
    <n v="718.2"/>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4"/>
    <n v="95.762"/>
    <n v="88.756"/>
    <n v="97.421000000000006"/>
    <n v="93.088499999999996"/>
    <n v="866.5"/>
  </r>
  <r>
    <x v="7"/>
    <x v="12"/>
    <x v="3"/>
    <n v="1.26816"/>
    <n v="1.3129999999999999"/>
    <n v="1.397"/>
    <n v="1.355"/>
    <n v="840"/>
  </r>
  <r>
    <x v="7"/>
    <x v="12"/>
    <x v="3"/>
    <n v="1.26816"/>
    <n v="1.3129999999999999"/>
    <n v="1.397"/>
    <n v="1.355"/>
    <n v="840"/>
  </r>
  <r>
    <x v="7"/>
    <x v="12"/>
    <x v="3"/>
    <n v="1.26816"/>
    <n v="1.3129999999999999"/>
    <n v="1.397"/>
    <n v="1.355"/>
    <n v="840"/>
  </r>
  <r>
    <x v="7"/>
    <x v="12"/>
    <x v="3"/>
    <n v="1.26816"/>
    <n v="1.3129999999999999"/>
    <n v="1.397"/>
    <n v="1.355"/>
    <n v="840"/>
  </r>
  <r>
    <x v="7"/>
    <x v="12"/>
    <x v="3"/>
    <n v="1.26816"/>
    <n v="1.3129999999999999"/>
    <n v="1.397"/>
    <n v="1.355"/>
    <n v="840"/>
  </r>
  <r>
    <x v="7"/>
    <x v="12"/>
    <x v="3"/>
    <n v="1.26816"/>
    <n v="1.3129999999999999"/>
    <n v="1.397"/>
    <n v="1.355"/>
    <n v="840"/>
  </r>
  <r>
    <x v="7"/>
    <x v="12"/>
    <x v="3"/>
    <n v="1.26816"/>
    <n v="1.3129999999999999"/>
    <n v="1.397"/>
    <n v="1.355"/>
    <n v="840"/>
  </r>
  <r>
    <x v="7"/>
    <x v="12"/>
    <x v="3"/>
    <n v="1.26816"/>
    <n v="1.3129999999999999"/>
    <n v="1.397"/>
    <n v="1.355"/>
    <n v="840"/>
  </r>
  <r>
    <x v="7"/>
    <x v="12"/>
    <x v="3"/>
    <n v="1.26816"/>
    <n v="1.3129999999999999"/>
    <n v="1.397"/>
    <n v="1.355"/>
    <n v="840"/>
  </r>
  <r>
    <x v="7"/>
    <x v="12"/>
    <x v="3"/>
    <n v="1.26816"/>
    <n v="1.3129999999999999"/>
    <n v="1.397"/>
    <n v="1.355"/>
    <n v="840"/>
  </r>
  <r>
    <x v="7"/>
    <x v="12"/>
    <x v="3"/>
    <n v="1.26816"/>
    <n v="1.3129999999999999"/>
    <n v="1.397"/>
    <n v="1.355"/>
    <n v="840"/>
  </r>
  <r>
    <x v="7"/>
    <x v="12"/>
    <x v="3"/>
    <n v="1.26816"/>
    <n v="1.3129999999999999"/>
    <n v="1.397"/>
    <n v="1.355"/>
    <n v="840"/>
  </r>
  <r>
    <x v="7"/>
    <x v="12"/>
    <x v="3"/>
    <n v="1.26816"/>
    <n v="1.3129999999999999"/>
    <n v="1.397"/>
    <n v="1.355"/>
    <n v="840"/>
  </r>
  <r>
    <x v="7"/>
    <x v="12"/>
    <x v="3"/>
    <n v="1.26816"/>
    <n v="1.3129999999999999"/>
    <n v="1.397"/>
    <n v="1.355"/>
    <n v="840"/>
  </r>
  <r>
    <x v="7"/>
    <x v="12"/>
    <x v="3"/>
    <n v="1.26816"/>
    <n v="1.3129999999999999"/>
    <n v="1.397"/>
    <n v="1.355"/>
    <n v="840"/>
  </r>
  <r>
    <x v="7"/>
    <x v="12"/>
    <x v="3"/>
    <n v="1.26816"/>
    <n v="1.3129999999999999"/>
    <n v="1.397"/>
    <n v="1.355"/>
    <n v="840"/>
  </r>
  <r>
    <x v="7"/>
    <x v="12"/>
    <x v="3"/>
    <n v="1.26816"/>
    <n v="1.3129999999999999"/>
    <n v="1.397"/>
    <n v="1.355"/>
    <n v="840"/>
  </r>
  <r>
    <x v="7"/>
    <x v="12"/>
    <x v="3"/>
    <n v="1.26816"/>
    <n v="1.3129999999999999"/>
    <n v="1.397"/>
    <n v="1.355"/>
    <n v="840"/>
  </r>
  <r>
    <x v="7"/>
    <x v="12"/>
    <x v="3"/>
    <n v="1.26816"/>
    <n v="1.3129999999999999"/>
    <n v="1.397"/>
    <n v="1.355"/>
    <n v="840"/>
  </r>
  <r>
    <x v="7"/>
    <x v="12"/>
    <x v="3"/>
    <n v="1.26816"/>
    <n v="1.3129999999999999"/>
    <n v="1.397"/>
    <n v="1.355"/>
    <n v="840"/>
  </r>
  <r>
    <x v="7"/>
    <x v="12"/>
    <x v="3"/>
    <n v="1.26816"/>
    <n v="1.3129999999999999"/>
    <n v="1.397"/>
    <n v="1.355"/>
    <n v="840"/>
  </r>
  <r>
    <x v="7"/>
    <x v="12"/>
    <x v="3"/>
    <n v="1.26816"/>
    <n v="1.3129999999999999"/>
    <n v="1.397"/>
    <n v="1.355"/>
    <n v="840"/>
  </r>
  <r>
    <x v="7"/>
    <x v="12"/>
    <x v="3"/>
    <n v="1.26816"/>
    <n v="1.3129999999999999"/>
    <n v="1.397"/>
    <n v="1.355"/>
    <n v="840"/>
  </r>
  <r>
    <x v="7"/>
    <x v="12"/>
    <x v="3"/>
    <n v="1.26816"/>
    <n v="1.3129999999999999"/>
    <n v="1.397"/>
    <n v="1.355"/>
    <n v="840"/>
  </r>
  <r>
    <x v="7"/>
    <x v="12"/>
    <x v="3"/>
    <n v="1.26816"/>
    <n v="1.3129999999999999"/>
    <n v="1.397"/>
    <n v="1.355"/>
    <n v="840"/>
  </r>
  <r>
    <x v="7"/>
    <x v="12"/>
    <x v="3"/>
    <n v="1.26816"/>
    <n v="1.3129999999999999"/>
    <n v="1.397"/>
    <n v="1.355"/>
    <n v="840"/>
  </r>
  <r>
    <x v="7"/>
    <x v="12"/>
    <x v="3"/>
    <n v="1.26816"/>
    <n v="1.3129999999999999"/>
    <n v="1.397"/>
    <n v="1.355"/>
    <n v="840"/>
  </r>
  <r>
    <x v="7"/>
    <x v="12"/>
    <x v="3"/>
    <n v="1.26816"/>
    <n v="1.3129999999999999"/>
    <n v="1.397"/>
    <n v="1.355"/>
    <n v="840"/>
  </r>
  <r>
    <x v="7"/>
    <x v="12"/>
    <x v="3"/>
    <n v="1.26816"/>
    <n v="1.3129999999999999"/>
    <n v="1.397"/>
    <n v="1.355"/>
    <n v="840"/>
  </r>
  <r>
    <x v="7"/>
    <x v="12"/>
    <x v="3"/>
    <n v="1.26816"/>
    <n v="1.3129999999999999"/>
    <n v="1.397"/>
    <n v="1.355"/>
    <n v="840"/>
  </r>
  <r>
    <x v="7"/>
    <x v="12"/>
    <x v="6"/>
    <n v="0.78600999999999999"/>
    <n v="0.80779999999999996"/>
    <n v="0.87961999999999996"/>
    <n v="0.84370999999999996"/>
    <n v="718.2"/>
  </r>
  <r>
    <x v="7"/>
    <x v="12"/>
    <x v="6"/>
    <n v="0.78600999999999999"/>
    <n v="0.80779999999999996"/>
    <n v="0.87961999999999996"/>
    <n v="0.84370999999999996"/>
    <n v="718.2"/>
  </r>
  <r>
    <x v="7"/>
    <x v="12"/>
    <x v="6"/>
    <n v="0.78600999999999999"/>
    <n v="0.80779999999999996"/>
    <n v="0.87961999999999996"/>
    <n v="0.84370999999999996"/>
    <n v="718.2"/>
  </r>
  <r>
    <x v="7"/>
    <x v="13"/>
    <x v="6"/>
    <n v="0.77566000000000002"/>
    <n v="0.80779999999999996"/>
    <n v="0.87961999999999996"/>
    <n v="0.84370999999999996"/>
    <n v="718.2"/>
  </r>
  <r>
    <x v="7"/>
    <x v="13"/>
    <x v="6"/>
    <n v="0.77566000000000002"/>
    <n v="0.80779999999999996"/>
    <n v="0.87961999999999996"/>
    <n v="0.84370999999999996"/>
    <n v="718.2"/>
  </r>
  <r>
    <x v="7"/>
    <x v="13"/>
    <x v="6"/>
    <n v="0.77566000000000002"/>
    <n v="0.80779999999999996"/>
    <n v="0.87961999999999996"/>
    <n v="0.84370999999999996"/>
    <n v="718.2"/>
  </r>
  <r>
    <x v="7"/>
    <x v="13"/>
    <x v="6"/>
    <n v="0.77566000000000002"/>
    <n v="0.80779999999999996"/>
    <n v="0.87961999999999996"/>
    <n v="0.84370999999999996"/>
    <n v="718.2"/>
  </r>
  <r>
    <x v="7"/>
    <x v="13"/>
    <x v="6"/>
    <n v="0.77566000000000002"/>
    <n v="0.80779999999999996"/>
    <n v="0.87961999999999996"/>
    <n v="0.84370999999999996"/>
    <n v="718.2"/>
  </r>
  <r>
    <x v="7"/>
    <x v="13"/>
    <x v="6"/>
    <n v="0.77566000000000002"/>
    <n v="0.80779999999999996"/>
    <n v="0.87961999999999996"/>
    <n v="0.84370999999999996"/>
    <n v="718.2"/>
  </r>
  <r>
    <x v="7"/>
    <x v="13"/>
    <x v="6"/>
    <n v="0.77566000000000002"/>
    <n v="0.80779999999999996"/>
    <n v="0.87961999999999996"/>
    <n v="0.84370999999999996"/>
    <n v="718.2"/>
  </r>
  <r>
    <x v="7"/>
    <x v="13"/>
    <x v="6"/>
    <n v="0.77566000000000002"/>
    <n v="0.80779999999999996"/>
    <n v="0.87961999999999996"/>
    <n v="0.84370999999999996"/>
    <n v="718.2"/>
  </r>
  <r>
    <x v="7"/>
    <x v="13"/>
    <x v="6"/>
    <n v="0.77566000000000002"/>
    <n v="0.80779999999999996"/>
    <n v="0.87961999999999996"/>
    <n v="0.84370999999999996"/>
    <n v="718.2"/>
  </r>
  <r>
    <x v="7"/>
    <x v="13"/>
    <x v="6"/>
    <n v="0.77566000000000002"/>
    <n v="0.80779999999999996"/>
    <n v="0.87961999999999996"/>
    <n v="0.84370999999999996"/>
    <n v="718.2"/>
  </r>
  <r>
    <x v="7"/>
    <x v="13"/>
    <x v="6"/>
    <n v="0.77566000000000002"/>
    <n v="0.80779999999999996"/>
    <n v="0.87961999999999996"/>
    <n v="0.84370999999999996"/>
    <n v="718.2"/>
  </r>
  <r>
    <x v="7"/>
    <x v="13"/>
    <x v="6"/>
    <n v="0.77566000000000002"/>
    <n v="0.80779999999999996"/>
    <n v="0.87961999999999996"/>
    <n v="0.84370999999999996"/>
    <n v="718.2"/>
  </r>
  <r>
    <x v="7"/>
    <x v="13"/>
    <x v="6"/>
    <n v="0.77566000000000002"/>
    <n v="0.80779999999999996"/>
    <n v="0.87961999999999996"/>
    <n v="0.84370999999999996"/>
    <n v="718.2"/>
  </r>
  <r>
    <x v="7"/>
    <x v="13"/>
    <x v="6"/>
    <n v="0.77566000000000002"/>
    <n v="0.80779999999999996"/>
    <n v="0.87961999999999996"/>
    <n v="0.84370999999999996"/>
    <n v="718.2"/>
  </r>
  <r>
    <x v="7"/>
    <x v="13"/>
    <x v="6"/>
    <n v="0.77566000000000002"/>
    <n v="0.80779999999999996"/>
    <n v="0.87961999999999996"/>
    <n v="0.84370999999999996"/>
    <n v="718.2"/>
  </r>
  <r>
    <x v="7"/>
    <x v="13"/>
    <x v="6"/>
    <n v="0.77566000000000002"/>
    <n v="0.80779999999999996"/>
    <n v="0.87961999999999996"/>
    <n v="0.84370999999999996"/>
    <n v="718.2"/>
  </r>
  <r>
    <x v="7"/>
    <x v="13"/>
    <x v="6"/>
    <n v="0.77566000000000002"/>
    <n v="0.80779999999999996"/>
    <n v="0.87961999999999996"/>
    <n v="0.84370999999999996"/>
    <n v="718.2"/>
  </r>
  <r>
    <x v="7"/>
    <x v="13"/>
    <x v="6"/>
    <n v="0.77566000000000002"/>
    <n v="0.80779999999999996"/>
    <n v="0.87961999999999996"/>
    <n v="0.84370999999999996"/>
    <n v="718.2"/>
  </r>
  <r>
    <x v="7"/>
    <x v="13"/>
    <x v="4"/>
    <n v="95.165999999999997"/>
    <n v="88.756"/>
    <n v="97.421000000000006"/>
    <n v="93.088499999999996"/>
    <n v="866.5"/>
  </r>
  <r>
    <x v="7"/>
    <x v="13"/>
    <x v="4"/>
    <n v="95.165999999999997"/>
    <n v="88.756"/>
    <n v="97.421000000000006"/>
    <n v="93.088499999999996"/>
    <n v="866.5"/>
  </r>
  <r>
    <x v="7"/>
    <x v="13"/>
    <x v="4"/>
    <n v="95.165999999999997"/>
    <n v="88.756"/>
    <n v="97.421000000000006"/>
    <n v="93.088499999999996"/>
    <n v="866.5"/>
  </r>
  <r>
    <x v="7"/>
    <x v="13"/>
    <x v="4"/>
    <n v="95.165999999999997"/>
    <n v="88.756"/>
    <n v="97.421000000000006"/>
    <n v="93.088499999999996"/>
    <n v="866.5"/>
  </r>
  <r>
    <x v="7"/>
    <x v="13"/>
    <x v="4"/>
    <n v="95.165999999999997"/>
    <n v="88.756"/>
    <n v="97.421000000000006"/>
    <n v="93.088499999999996"/>
    <n v="866.5"/>
  </r>
  <r>
    <x v="7"/>
    <x v="13"/>
    <x v="4"/>
    <n v="95.165999999999997"/>
    <n v="88.756"/>
    <n v="97.421000000000006"/>
    <n v="93.088499999999996"/>
    <n v="866.5"/>
  </r>
  <r>
    <x v="7"/>
    <x v="13"/>
    <x v="4"/>
    <n v="95.165999999999997"/>
    <n v="88.756"/>
    <n v="97.421000000000006"/>
    <n v="93.088499999999996"/>
    <n v="866.5"/>
  </r>
  <r>
    <x v="7"/>
    <x v="13"/>
    <x v="4"/>
    <n v="95.165999999999997"/>
    <n v="88.756"/>
    <n v="97.421000000000006"/>
    <n v="93.088499999999996"/>
    <n v="866.5"/>
  </r>
  <r>
    <x v="7"/>
    <x v="13"/>
    <x v="4"/>
    <n v="95.165999999999997"/>
    <n v="88.756"/>
    <n v="97.421000000000006"/>
    <n v="93.088499999999996"/>
    <n v="866.5"/>
  </r>
  <r>
    <x v="7"/>
    <x v="13"/>
    <x v="4"/>
    <n v="95.165999999999997"/>
    <n v="88.756"/>
    <n v="97.421000000000006"/>
    <n v="93.088499999999996"/>
    <n v="866.5"/>
  </r>
  <r>
    <x v="7"/>
    <x v="13"/>
    <x v="4"/>
    <n v="95.165999999999997"/>
    <n v="88.756"/>
    <n v="97.421000000000006"/>
    <n v="93.088499999999996"/>
    <n v="866.5"/>
  </r>
  <r>
    <x v="7"/>
    <x v="13"/>
    <x v="4"/>
    <n v="95.165999999999997"/>
    <n v="88.756"/>
    <n v="97.421000000000006"/>
    <n v="93.088499999999996"/>
    <n v="866.5"/>
  </r>
  <r>
    <x v="7"/>
    <x v="13"/>
    <x v="4"/>
    <n v="95.165999999999997"/>
    <n v="88.756"/>
    <n v="97.421000000000006"/>
    <n v="93.088499999999996"/>
    <n v="866.5"/>
  </r>
  <r>
    <x v="7"/>
    <x v="13"/>
    <x v="4"/>
    <n v="95.165999999999997"/>
    <n v="88.756"/>
    <n v="97.421000000000006"/>
    <n v="93.088499999999996"/>
    <n v="866.5"/>
  </r>
  <r>
    <x v="7"/>
    <x v="13"/>
    <x v="4"/>
    <n v="95.165999999999997"/>
    <n v="88.756"/>
    <n v="97.421000000000006"/>
    <n v="93.088499999999996"/>
    <n v="866.5"/>
  </r>
  <r>
    <x v="7"/>
    <x v="13"/>
    <x v="4"/>
    <n v="95.165999999999997"/>
    <n v="88.756"/>
    <n v="97.421000000000006"/>
    <n v="93.088499999999996"/>
    <n v="866.5"/>
  </r>
  <r>
    <x v="7"/>
    <x v="13"/>
    <x v="4"/>
    <n v="95.165999999999997"/>
    <n v="88.756"/>
    <n v="97.421000000000006"/>
    <n v="93.088499999999996"/>
    <n v="866.5"/>
  </r>
  <r>
    <x v="7"/>
    <x v="13"/>
    <x v="4"/>
    <n v="95.165999999999997"/>
    <n v="88.756"/>
    <n v="97.421000000000006"/>
    <n v="93.088499999999996"/>
    <n v="866.5"/>
  </r>
  <r>
    <x v="7"/>
    <x v="13"/>
    <x v="4"/>
    <n v="95.165999999999997"/>
    <n v="88.756"/>
    <n v="97.421000000000006"/>
    <n v="93.088499999999996"/>
    <n v="866.5"/>
  </r>
  <r>
    <x v="7"/>
    <x v="13"/>
    <x v="4"/>
    <n v="95.165999999999997"/>
    <n v="88.756"/>
    <n v="97.421000000000006"/>
    <n v="93.088499999999996"/>
    <n v="866.5"/>
  </r>
  <r>
    <x v="7"/>
    <x v="13"/>
    <x v="4"/>
    <n v="95.165999999999997"/>
    <n v="88.756"/>
    <n v="97.421000000000006"/>
    <n v="93.088499999999996"/>
    <n v="866.5"/>
  </r>
  <r>
    <x v="7"/>
    <x v="13"/>
    <x v="4"/>
    <n v="95.165999999999997"/>
    <n v="88.756"/>
    <n v="97.421000000000006"/>
    <n v="93.088499999999996"/>
    <n v="866.5"/>
  </r>
  <r>
    <x v="7"/>
    <x v="13"/>
    <x v="4"/>
    <n v="95.165999999999997"/>
    <n v="88.756"/>
    <n v="97.421000000000006"/>
    <n v="93.088499999999996"/>
    <n v="866.5"/>
  </r>
  <r>
    <x v="7"/>
    <x v="13"/>
    <x v="4"/>
    <n v="95.165999999999997"/>
    <n v="88.756"/>
    <n v="97.421000000000006"/>
    <n v="93.088499999999996"/>
    <n v="866.5"/>
  </r>
  <r>
    <x v="7"/>
    <x v="13"/>
    <x v="4"/>
    <n v="95.165999999999997"/>
    <n v="88.756"/>
    <n v="97.421000000000006"/>
    <n v="93.088499999999996"/>
    <n v="866.5"/>
  </r>
  <r>
    <x v="7"/>
    <x v="13"/>
    <x v="4"/>
    <n v="95.165999999999997"/>
    <n v="88.756"/>
    <n v="97.421000000000006"/>
    <n v="93.088499999999996"/>
    <n v="866.5"/>
  </r>
  <r>
    <x v="7"/>
    <x v="13"/>
    <x v="4"/>
    <n v="95.165999999999997"/>
    <n v="88.756"/>
    <n v="97.421000000000006"/>
    <n v="93.088499999999996"/>
    <n v="866.5"/>
  </r>
  <r>
    <x v="7"/>
    <x v="13"/>
    <x v="4"/>
    <n v="95.165999999999997"/>
    <n v="88.756"/>
    <n v="97.421000000000006"/>
    <n v="93.088499999999996"/>
    <n v="866.5"/>
  </r>
  <r>
    <x v="7"/>
    <x v="13"/>
    <x v="4"/>
    <n v="95.165999999999997"/>
    <n v="88.756"/>
    <n v="97.421000000000006"/>
    <n v="93.088499999999996"/>
    <n v="866.5"/>
  </r>
  <r>
    <x v="7"/>
    <x v="13"/>
    <x v="3"/>
    <n v="1.2514000000000001"/>
    <n v="1.3129999999999999"/>
    <n v="1.397"/>
    <n v="1.355"/>
    <n v="840"/>
  </r>
  <r>
    <x v="7"/>
    <x v="13"/>
    <x v="3"/>
    <n v="1.2514000000000001"/>
    <n v="1.3129999999999999"/>
    <n v="1.397"/>
    <n v="1.355"/>
    <n v="840"/>
  </r>
  <r>
    <x v="7"/>
    <x v="13"/>
    <x v="3"/>
    <n v="1.2514000000000001"/>
    <n v="1.3129999999999999"/>
    <n v="1.397"/>
    <n v="1.355"/>
    <n v="840"/>
  </r>
  <r>
    <x v="7"/>
    <x v="13"/>
    <x v="3"/>
    <n v="1.2514000000000001"/>
    <n v="1.3129999999999999"/>
    <n v="1.397"/>
    <n v="1.355"/>
    <n v="840"/>
  </r>
  <r>
    <x v="7"/>
    <x v="13"/>
    <x v="3"/>
    <n v="1.2514000000000001"/>
    <n v="1.3129999999999999"/>
    <n v="1.397"/>
    <n v="1.355"/>
    <n v="840"/>
  </r>
  <r>
    <x v="7"/>
    <x v="13"/>
    <x v="3"/>
    <n v="1.2514000000000001"/>
    <n v="1.3129999999999999"/>
    <n v="1.397"/>
    <n v="1.355"/>
    <n v="840"/>
  </r>
  <r>
    <x v="7"/>
    <x v="13"/>
    <x v="3"/>
    <n v="1.2514000000000001"/>
    <n v="1.3129999999999999"/>
    <n v="1.397"/>
    <n v="1.355"/>
    <n v="840"/>
  </r>
  <r>
    <x v="7"/>
    <x v="13"/>
    <x v="3"/>
    <n v="1.2514000000000001"/>
    <n v="1.3129999999999999"/>
    <n v="1.397"/>
    <n v="1.355"/>
    <n v="840"/>
  </r>
  <r>
    <x v="7"/>
    <x v="13"/>
    <x v="3"/>
    <n v="1.2514000000000001"/>
    <n v="1.3129999999999999"/>
    <n v="1.397"/>
    <n v="1.355"/>
    <n v="840"/>
  </r>
  <r>
    <x v="7"/>
    <x v="13"/>
    <x v="3"/>
    <n v="1.2514000000000001"/>
    <n v="1.3129999999999999"/>
    <n v="1.397"/>
    <n v="1.355"/>
    <n v="840"/>
  </r>
  <r>
    <x v="7"/>
    <x v="13"/>
    <x v="3"/>
    <n v="1.2514000000000001"/>
    <n v="1.3129999999999999"/>
    <n v="1.397"/>
    <n v="1.355"/>
    <n v="840"/>
  </r>
  <r>
    <x v="7"/>
    <x v="13"/>
    <x v="3"/>
    <n v="1.2514000000000001"/>
    <n v="1.3129999999999999"/>
    <n v="1.397"/>
    <n v="1.355"/>
    <n v="840"/>
  </r>
  <r>
    <x v="7"/>
    <x v="13"/>
    <x v="3"/>
    <n v="1.2514000000000001"/>
    <n v="1.3129999999999999"/>
    <n v="1.397"/>
    <n v="1.355"/>
    <n v="840"/>
  </r>
  <r>
    <x v="7"/>
    <x v="13"/>
    <x v="3"/>
    <n v="1.2514000000000001"/>
    <n v="1.3129999999999999"/>
    <n v="1.397"/>
    <n v="1.355"/>
    <n v="840"/>
  </r>
  <r>
    <x v="7"/>
    <x v="13"/>
    <x v="3"/>
    <n v="1.2514000000000001"/>
    <n v="1.3129999999999999"/>
    <n v="1.397"/>
    <n v="1.355"/>
    <n v="840"/>
  </r>
  <r>
    <x v="7"/>
    <x v="13"/>
    <x v="3"/>
    <n v="1.2514000000000001"/>
    <n v="1.3129999999999999"/>
    <n v="1.397"/>
    <n v="1.355"/>
    <n v="840"/>
  </r>
  <r>
    <x v="7"/>
    <x v="13"/>
    <x v="3"/>
    <n v="1.2514000000000001"/>
    <n v="1.3129999999999999"/>
    <n v="1.397"/>
    <n v="1.355"/>
    <n v="840"/>
  </r>
  <r>
    <x v="7"/>
    <x v="13"/>
    <x v="3"/>
    <n v="1.2514000000000001"/>
    <n v="1.3129999999999999"/>
    <n v="1.397"/>
    <n v="1.355"/>
    <n v="840"/>
  </r>
  <r>
    <x v="7"/>
    <x v="13"/>
    <x v="3"/>
    <n v="1.2514000000000001"/>
    <n v="1.3129999999999999"/>
    <n v="1.397"/>
    <n v="1.355"/>
    <n v="840"/>
  </r>
  <r>
    <x v="7"/>
    <x v="13"/>
    <x v="3"/>
    <n v="1.2514000000000001"/>
    <n v="1.3129999999999999"/>
    <n v="1.397"/>
    <n v="1.355"/>
    <n v="840"/>
  </r>
  <r>
    <x v="7"/>
    <x v="13"/>
    <x v="3"/>
    <n v="1.2514000000000001"/>
    <n v="1.3129999999999999"/>
    <n v="1.397"/>
    <n v="1.355"/>
    <n v="840"/>
  </r>
  <r>
    <x v="7"/>
    <x v="13"/>
    <x v="3"/>
    <n v="1.2514000000000001"/>
    <n v="1.3129999999999999"/>
    <n v="1.397"/>
    <n v="1.355"/>
    <n v="840"/>
  </r>
  <r>
    <x v="7"/>
    <x v="13"/>
    <x v="3"/>
    <n v="1.2514000000000001"/>
    <n v="1.3129999999999999"/>
    <n v="1.397"/>
    <n v="1.355"/>
    <n v="840"/>
  </r>
  <r>
    <x v="7"/>
    <x v="13"/>
    <x v="3"/>
    <n v="1.2514000000000001"/>
    <n v="1.3129999999999999"/>
    <n v="1.397"/>
    <n v="1.355"/>
    <n v="840"/>
  </r>
  <r>
    <x v="7"/>
    <x v="13"/>
    <x v="3"/>
    <n v="1.2514000000000001"/>
    <n v="1.3129999999999999"/>
    <n v="1.397"/>
    <n v="1.355"/>
    <n v="840"/>
  </r>
  <r>
    <x v="7"/>
    <x v="13"/>
    <x v="3"/>
    <n v="1.2514000000000001"/>
    <n v="1.3129999999999999"/>
    <n v="1.397"/>
    <n v="1.355"/>
    <n v="840"/>
  </r>
  <r>
    <x v="7"/>
    <x v="13"/>
    <x v="3"/>
    <n v="1.2514000000000001"/>
    <n v="1.3129999999999999"/>
    <n v="1.397"/>
    <n v="1.355"/>
    <n v="840"/>
  </r>
  <r>
    <x v="7"/>
    <x v="13"/>
    <x v="3"/>
    <n v="1.2514000000000001"/>
    <n v="1.3129999999999999"/>
    <n v="1.397"/>
    <n v="1.355"/>
    <n v="840"/>
  </r>
  <r>
    <x v="7"/>
    <x v="13"/>
    <x v="3"/>
    <n v="1.2514000000000001"/>
    <n v="1.3129999999999999"/>
    <n v="1.397"/>
    <n v="1.355"/>
    <n v="840"/>
  </r>
  <r>
    <x v="7"/>
    <x v="13"/>
    <x v="3"/>
    <n v="1.2514000000000001"/>
    <n v="1.3129999999999999"/>
    <n v="1.397"/>
    <n v="1.355"/>
    <n v="840"/>
  </r>
  <r>
    <x v="7"/>
    <x v="13"/>
    <x v="6"/>
    <n v="0.77566000000000002"/>
    <n v="0.80779999999999996"/>
    <n v="0.87961999999999996"/>
    <n v="0.84370999999999996"/>
    <n v="718.2"/>
  </r>
  <r>
    <x v="7"/>
    <x v="13"/>
    <x v="6"/>
    <n v="0.77566000000000002"/>
    <n v="0.80779999999999996"/>
    <n v="0.87961999999999996"/>
    <n v="0.84370999999999996"/>
    <n v="718.2"/>
  </r>
  <r>
    <x v="7"/>
    <x v="13"/>
    <x v="6"/>
    <n v="0.77566000000000002"/>
    <n v="0.80779999999999996"/>
    <n v="0.87961999999999996"/>
    <n v="0.84370999999999996"/>
    <n v="718.2"/>
  </r>
  <r>
    <x v="7"/>
    <x v="13"/>
    <x v="6"/>
    <n v="0.77566000000000002"/>
    <n v="0.80779999999999996"/>
    <n v="0.87961999999999996"/>
    <n v="0.84370999999999996"/>
    <n v="718.2"/>
  </r>
  <r>
    <x v="7"/>
    <x v="13"/>
    <x v="6"/>
    <n v="0.77566000000000002"/>
    <n v="0.80779999999999996"/>
    <n v="0.87961999999999996"/>
    <n v="0.84370999999999996"/>
    <n v="718.2"/>
  </r>
  <r>
    <x v="7"/>
    <x v="14"/>
    <x v="3"/>
    <n v="1.26264"/>
    <n v="1.3129999999999999"/>
    <n v="1.397"/>
    <n v="1.355"/>
    <n v="840"/>
  </r>
  <r>
    <x v="7"/>
    <x v="14"/>
    <x v="3"/>
    <n v="1.26264"/>
    <n v="1.3129999999999999"/>
    <n v="1.397"/>
    <n v="1.355"/>
    <n v="840"/>
  </r>
  <r>
    <x v="7"/>
    <x v="14"/>
    <x v="3"/>
    <n v="1.26264"/>
    <n v="1.3129999999999999"/>
    <n v="1.397"/>
    <n v="1.355"/>
    <n v="840"/>
  </r>
  <r>
    <x v="7"/>
    <x v="14"/>
    <x v="3"/>
    <n v="1.26264"/>
    <n v="1.3129999999999999"/>
    <n v="1.397"/>
    <n v="1.355"/>
    <n v="840"/>
  </r>
  <r>
    <x v="7"/>
    <x v="14"/>
    <x v="3"/>
    <n v="1.26264"/>
    <n v="1.3129999999999999"/>
    <n v="1.397"/>
    <n v="1.355"/>
    <n v="840"/>
  </r>
  <r>
    <x v="7"/>
    <x v="14"/>
    <x v="3"/>
    <n v="1.26264"/>
    <n v="1.3129999999999999"/>
    <n v="1.397"/>
    <n v="1.355"/>
    <n v="840"/>
  </r>
  <r>
    <x v="7"/>
    <x v="14"/>
    <x v="3"/>
    <n v="1.26264"/>
    <n v="1.3129999999999999"/>
    <n v="1.397"/>
    <n v="1.355"/>
    <n v="840"/>
  </r>
  <r>
    <x v="7"/>
    <x v="14"/>
    <x v="3"/>
    <n v="1.26264"/>
    <n v="1.3129999999999999"/>
    <n v="1.397"/>
    <n v="1.355"/>
    <n v="840"/>
  </r>
  <r>
    <x v="7"/>
    <x v="14"/>
    <x v="3"/>
    <n v="1.26264"/>
    <n v="1.3129999999999999"/>
    <n v="1.397"/>
    <n v="1.355"/>
    <n v="840"/>
  </r>
  <r>
    <x v="7"/>
    <x v="14"/>
    <x v="3"/>
    <n v="1.26264"/>
    <n v="1.3129999999999999"/>
    <n v="1.397"/>
    <n v="1.355"/>
    <n v="840"/>
  </r>
  <r>
    <x v="7"/>
    <x v="14"/>
    <x v="3"/>
    <n v="1.26264"/>
    <n v="1.3129999999999999"/>
    <n v="1.397"/>
    <n v="1.355"/>
    <n v="840"/>
  </r>
  <r>
    <x v="7"/>
    <x v="14"/>
    <x v="3"/>
    <n v="1.26264"/>
    <n v="1.3129999999999999"/>
    <n v="1.397"/>
    <n v="1.355"/>
    <n v="840"/>
  </r>
  <r>
    <x v="7"/>
    <x v="14"/>
    <x v="3"/>
    <n v="1.26264"/>
    <n v="1.3129999999999999"/>
    <n v="1.397"/>
    <n v="1.355"/>
    <n v="840"/>
  </r>
  <r>
    <x v="7"/>
    <x v="14"/>
    <x v="3"/>
    <n v="1.26264"/>
    <n v="1.3129999999999999"/>
    <n v="1.397"/>
    <n v="1.355"/>
    <n v="840"/>
  </r>
  <r>
    <x v="7"/>
    <x v="14"/>
    <x v="3"/>
    <n v="1.26264"/>
    <n v="1.3129999999999999"/>
    <n v="1.397"/>
    <n v="1.355"/>
    <n v="840"/>
  </r>
  <r>
    <x v="7"/>
    <x v="14"/>
    <x v="3"/>
    <n v="1.26264"/>
    <n v="1.3129999999999999"/>
    <n v="1.397"/>
    <n v="1.355"/>
    <n v="840"/>
  </r>
  <r>
    <x v="7"/>
    <x v="14"/>
    <x v="3"/>
    <n v="1.26264"/>
    <n v="1.3129999999999999"/>
    <n v="1.397"/>
    <n v="1.355"/>
    <n v="840"/>
  </r>
  <r>
    <x v="7"/>
    <x v="14"/>
    <x v="3"/>
    <n v="1.26264"/>
    <n v="1.3129999999999999"/>
    <n v="1.397"/>
    <n v="1.355"/>
    <n v="840"/>
  </r>
  <r>
    <x v="7"/>
    <x v="14"/>
    <x v="3"/>
    <n v="1.26264"/>
    <n v="1.3129999999999999"/>
    <n v="1.397"/>
    <n v="1.355"/>
    <n v="840"/>
  </r>
  <r>
    <x v="7"/>
    <x v="14"/>
    <x v="3"/>
    <n v="1.26264"/>
    <n v="1.3129999999999999"/>
    <n v="1.397"/>
    <n v="1.355"/>
    <n v="840"/>
  </r>
  <r>
    <x v="7"/>
    <x v="14"/>
    <x v="3"/>
    <n v="1.26264"/>
    <n v="1.3129999999999999"/>
    <n v="1.397"/>
    <n v="1.355"/>
    <n v="840"/>
  </r>
  <r>
    <x v="7"/>
    <x v="14"/>
    <x v="3"/>
    <n v="1.26264"/>
    <n v="1.3129999999999999"/>
    <n v="1.397"/>
    <n v="1.355"/>
    <n v="840"/>
  </r>
  <r>
    <x v="7"/>
    <x v="14"/>
    <x v="3"/>
    <n v="1.26264"/>
    <n v="1.3129999999999999"/>
    <n v="1.397"/>
    <n v="1.355"/>
    <n v="840"/>
  </r>
  <r>
    <x v="7"/>
    <x v="14"/>
    <x v="3"/>
    <n v="1.26264"/>
    <n v="1.3129999999999999"/>
    <n v="1.397"/>
    <n v="1.355"/>
    <n v="840"/>
  </r>
  <r>
    <x v="7"/>
    <x v="14"/>
    <x v="3"/>
    <n v="1.26264"/>
    <n v="1.3129999999999999"/>
    <n v="1.397"/>
    <n v="1.355"/>
    <n v="840"/>
  </r>
  <r>
    <x v="7"/>
    <x v="14"/>
    <x v="3"/>
    <n v="1.26264"/>
    <n v="1.3129999999999999"/>
    <n v="1.397"/>
    <n v="1.355"/>
    <n v="840"/>
  </r>
  <r>
    <x v="7"/>
    <x v="14"/>
    <x v="3"/>
    <n v="1.26264"/>
    <n v="1.3129999999999999"/>
    <n v="1.397"/>
    <n v="1.355"/>
    <n v="840"/>
  </r>
  <r>
    <x v="7"/>
    <x v="14"/>
    <x v="3"/>
    <n v="1.26264"/>
    <n v="1.3129999999999999"/>
    <n v="1.397"/>
    <n v="1.355"/>
    <n v="840"/>
  </r>
  <r>
    <x v="7"/>
    <x v="14"/>
    <x v="3"/>
    <n v="1.26264"/>
    <n v="1.3129999999999999"/>
    <n v="1.397"/>
    <n v="1.355"/>
    <n v="840"/>
  </r>
  <r>
    <x v="7"/>
    <x v="14"/>
    <x v="3"/>
    <n v="1.26264"/>
    <n v="1.3129999999999999"/>
    <n v="1.397"/>
    <n v="1.355"/>
    <n v="840"/>
  </r>
  <r>
    <x v="7"/>
    <x v="14"/>
    <x v="6"/>
    <n v="0.78112999999999999"/>
    <n v="0.79549999999999998"/>
    <n v="0.87961999999999996"/>
    <n v="0.83755999999999997"/>
    <n v="841.2"/>
  </r>
  <r>
    <x v="7"/>
    <x v="14"/>
    <x v="6"/>
    <n v="0.78112999999999999"/>
    <n v="0.79549999999999998"/>
    <n v="0.87961999999999996"/>
    <n v="0.83755999999999997"/>
    <n v="841.2"/>
  </r>
  <r>
    <x v="7"/>
    <x v="14"/>
    <x v="6"/>
    <n v="0.78112999999999999"/>
    <n v="0.79549999999999998"/>
    <n v="0.87961999999999996"/>
    <n v="0.83755999999999997"/>
    <n v="841.2"/>
  </r>
  <r>
    <x v="7"/>
    <x v="14"/>
    <x v="6"/>
    <n v="0.78112999999999999"/>
    <n v="0.79549999999999998"/>
    <n v="0.87961999999999996"/>
    <n v="0.83755999999999997"/>
    <n v="841.2"/>
  </r>
  <r>
    <x v="7"/>
    <x v="14"/>
    <x v="6"/>
    <n v="0.78112999999999999"/>
    <n v="0.79549999999999998"/>
    <n v="0.87961999999999996"/>
    <n v="0.83755999999999997"/>
    <n v="841.2"/>
  </r>
  <r>
    <x v="7"/>
    <x v="14"/>
    <x v="6"/>
    <n v="0.78112999999999999"/>
    <n v="0.79549999999999998"/>
    <n v="0.87961999999999996"/>
    <n v="0.83755999999999997"/>
    <n v="841.2"/>
  </r>
  <r>
    <x v="7"/>
    <x v="14"/>
    <x v="6"/>
    <n v="0.78112999999999999"/>
    <n v="0.79549999999999998"/>
    <n v="0.87961999999999996"/>
    <n v="0.83755999999999997"/>
    <n v="841.2"/>
  </r>
  <r>
    <x v="7"/>
    <x v="14"/>
    <x v="6"/>
    <n v="0.78112999999999999"/>
    <n v="0.79549999999999998"/>
    <n v="0.87961999999999996"/>
    <n v="0.83755999999999997"/>
    <n v="841.2"/>
  </r>
  <r>
    <x v="7"/>
    <x v="14"/>
    <x v="6"/>
    <n v="0.78112999999999999"/>
    <n v="0.79549999999999998"/>
    <n v="0.87961999999999996"/>
    <n v="0.83755999999999997"/>
    <n v="841.2"/>
  </r>
  <r>
    <x v="7"/>
    <x v="14"/>
    <x v="6"/>
    <n v="0.78112999999999999"/>
    <n v="0.79549999999999998"/>
    <n v="0.87961999999999996"/>
    <n v="0.83755999999999997"/>
    <n v="841.2"/>
  </r>
  <r>
    <x v="7"/>
    <x v="14"/>
    <x v="6"/>
    <n v="0.78112999999999999"/>
    <n v="0.79549999999999998"/>
    <n v="0.87961999999999996"/>
    <n v="0.83755999999999997"/>
    <n v="841.2"/>
  </r>
  <r>
    <x v="7"/>
    <x v="14"/>
    <x v="6"/>
    <n v="0.78112999999999999"/>
    <n v="0.79549999999999998"/>
    <n v="0.87961999999999996"/>
    <n v="0.83755999999999997"/>
    <n v="841.2"/>
  </r>
  <r>
    <x v="7"/>
    <x v="14"/>
    <x v="6"/>
    <n v="0.78112999999999999"/>
    <n v="0.79549999999999998"/>
    <n v="0.87961999999999996"/>
    <n v="0.83755999999999997"/>
    <n v="841.2"/>
  </r>
  <r>
    <x v="7"/>
    <x v="14"/>
    <x v="6"/>
    <n v="0.78112999999999999"/>
    <n v="0.79549999999999998"/>
    <n v="0.87961999999999996"/>
    <n v="0.83755999999999997"/>
    <n v="841.2"/>
  </r>
  <r>
    <x v="7"/>
    <x v="14"/>
    <x v="6"/>
    <n v="0.78112999999999999"/>
    <n v="0.79549999999999998"/>
    <n v="0.87961999999999996"/>
    <n v="0.83755999999999997"/>
    <n v="841.2"/>
  </r>
  <r>
    <x v="7"/>
    <x v="14"/>
    <x v="6"/>
    <n v="0.78112999999999999"/>
    <n v="0.79549999999999998"/>
    <n v="0.87961999999999996"/>
    <n v="0.83755999999999997"/>
    <n v="841.2"/>
  </r>
  <r>
    <x v="7"/>
    <x v="14"/>
    <x v="6"/>
    <n v="0.78112999999999999"/>
    <n v="0.79549999999999998"/>
    <n v="0.87961999999999996"/>
    <n v="0.83755999999999997"/>
    <n v="841.2"/>
  </r>
  <r>
    <x v="7"/>
    <x v="14"/>
    <x v="6"/>
    <n v="0.78112999999999999"/>
    <n v="0.79549999999999998"/>
    <n v="0.87961999999999996"/>
    <n v="0.83755999999999997"/>
    <n v="841.2"/>
  </r>
  <r>
    <x v="7"/>
    <x v="14"/>
    <x v="6"/>
    <n v="0.78112999999999999"/>
    <n v="0.79549999999999998"/>
    <n v="0.87961999999999996"/>
    <n v="0.83755999999999997"/>
    <n v="841.2"/>
  </r>
  <r>
    <x v="7"/>
    <x v="14"/>
    <x v="6"/>
    <n v="0.78112999999999999"/>
    <n v="0.79549999999999998"/>
    <n v="0.87961999999999996"/>
    <n v="0.83755999999999997"/>
    <n v="841.2"/>
  </r>
  <r>
    <x v="7"/>
    <x v="14"/>
    <x v="6"/>
    <n v="0.78112999999999999"/>
    <n v="0.79549999999999998"/>
    <n v="0.87961999999999996"/>
    <n v="0.83755999999999997"/>
    <n v="841.2"/>
  </r>
  <r>
    <x v="7"/>
    <x v="14"/>
    <x v="6"/>
    <n v="0.78112999999999999"/>
    <n v="0.79549999999999998"/>
    <n v="0.87961999999999996"/>
    <n v="0.83755999999999997"/>
    <n v="841.2"/>
  </r>
  <r>
    <x v="7"/>
    <x v="14"/>
    <x v="6"/>
    <n v="0.78112999999999999"/>
    <n v="0.79549999999999998"/>
    <n v="0.87961999999999996"/>
    <n v="0.83755999999999997"/>
    <n v="841.2"/>
  </r>
  <r>
    <x v="7"/>
    <x v="14"/>
    <x v="6"/>
    <n v="0.78112999999999999"/>
    <n v="0.79549999999999998"/>
    <n v="0.87961999999999996"/>
    <n v="0.83755999999999997"/>
    <n v="841.2"/>
  </r>
  <r>
    <x v="7"/>
    <x v="14"/>
    <x v="6"/>
    <n v="0.78112999999999999"/>
    <n v="0.79549999999999998"/>
    <n v="0.87961999999999996"/>
    <n v="0.83755999999999997"/>
    <n v="841.2"/>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3"/>
    <n v="1.2758799999999999"/>
    <n v="1.2829999999999999"/>
    <n v="1.397"/>
    <n v="1.34"/>
    <n v="1140"/>
  </r>
  <r>
    <x v="7"/>
    <x v="15"/>
    <x v="6"/>
    <n v="0.79078999999999999"/>
    <n v="0.79349999999999998"/>
    <n v="0.87961999999999996"/>
    <n v="0.83655999999999997"/>
    <n v="861.2"/>
  </r>
  <r>
    <x v="7"/>
    <x v="15"/>
    <x v="6"/>
    <n v="0.79078999999999999"/>
    <n v="0.79349999999999998"/>
    <n v="0.87961999999999996"/>
    <n v="0.83655999999999997"/>
    <n v="861.2"/>
  </r>
  <r>
    <x v="7"/>
    <x v="15"/>
    <x v="6"/>
    <n v="0.79078999999999999"/>
    <n v="0.79349999999999998"/>
    <n v="0.87961999999999996"/>
    <n v="0.83655999999999997"/>
    <n v="861.2"/>
  </r>
  <r>
    <x v="7"/>
    <x v="15"/>
    <x v="6"/>
    <n v="0.79078999999999999"/>
    <n v="0.79349999999999998"/>
    <n v="0.87961999999999996"/>
    <n v="0.83655999999999997"/>
    <n v="861.2"/>
  </r>
  <r>
    <x v="7"/>
    <x v="15"/>
    <x v="6"/>
    <n v="0.79078999999999999"/>
    <n v="0.79349999999999998"/>
    <n v="0.87961999999999996"/>
    <n v="0.83655999999999997"/>
    <n v="861.2"/>
  </r>
  <r>
    <x v="7"/>
    <x v="15"/>
    <x v="6"/>
    <n v="0.79078999999999999"/>
    <n v="0.79349999999999998"/>
    <n v="0.87961999999999996"/>
    <n v="0.83655999999999997"/>
    <n v="861.2"/>
  </r>
  <r>
    <x v="7"/>
    <x v="15"/>
    <x v="6"/>
    <n v="0.79078999999999999"/>
    <n v="0.79349999999999998"/>
    <n v="0.87961999999999996"/>
    <n v="0.83655999999999997"/>
    <n v="861.2"/>
  </r>
  <r>
    <x v="7"/>
    <x v="15"/>
    <x v="6"/>
    <n v="0.79078999999999999"/>
    <n v="0.79349999999999998"/>
    <n v="0.87961999999999996"/>
    <n v="0.83655999999999997"/>
    <n v="861.2"/>
  </r>
  <r>
    <x v="7"/>
    <x v="15"/>
    <x v="6"/>
    <n v="0.79078999999999999"/>
    <n v="0.79349999999999998"/>
    <n v="0.87961999999999996"/>
    <n v="0.83655999999999997"/>
    <n v="861.2"/>
  </r>
  <r>
    <x v="7"/>
    <x v="15"/>
    <x v="6"/>
    <n v="0.79078999999999999"/>
    <n v="0.79349999999999998"/>
    <n v="0.87961999999999996"/>
    <n v="0.83655999999999997"/>
    <n v="861.2"/>
  </r>
  <r>
    <x v="7"/>
    <x v="15"/>
    <x v="6"/>
    <n v="0.79078999999999999"/>
    <n v="0.79349999999999998"/>
    <n v="0.87961999999999996"/>
    <n v="0.83655999999999997"/>
    <n v="861.2"/>
  </r>
  <r>
    <x v="7"/>
    <x v="15"/>
    <x v="6"/>
    <n v="0.79078999999999999"/>
    <n v="0.79349999999999998"/>
    <n v="0.87961999999999996"/>
    <n v="0.83655999999999997"/>
    <n v="861.2"/>
  </r>
  <r>
    <x v="7"/>
    <x v="15"/>
    <x v="6"/>
    <n v="0.79078999999999999"/>
    <n v="0.79349999999999998"/>
    <n v="0.87961999999999996"/>
    <n v="0.83655999999999997"/>
    <n v="861.2"/>
  </r>
  <r>
    <x v="7"/>
    <x v="15"/>
    <x v="6"/>
    <n v="0.79078999999999999"/>
    <n v="0.79349999999999998"/>
    <n v="0.87961999999999996"/>
    <n v="0.83655999999999997"/>
    <n v="861.2"/>
  </r>
  <r>
    <x v="7"/>
    <x v="15"/>
    <x v="6"/>
    <n v="0.79078999999999999"/>
    <n v="0.79349999999999998"/>
    <n v="0.87961999999999996"/>
    <n v="0.83655999999999997"/>
    <n v="861.2"/>
  </r>
  <r>
    <x v="7"/>
    <x v="15"/>
    <x v="6"/>
    <n v="0.79078999999999999"/>
    <n v="0.79349999999999998"/>
    <n v="0.87961999999999996"/>
    <n v="0.83655999999999997"/>
    <n v="861.2"/>
  </r>
  <r>
    <x v="7"/>
    <x v="15"/>
    <x v="6"/>
    <n v="0.79078999999999999"/>
    <n v="0.79349999999999998"/>
    <n v="0.87961999999999996"/>
    <n v="0.83655999999999997"/>
    <n v="861.2"/>
  </r>
  <r>
    <x v="7"/>
    <x v="15"/>
    <x v="6"/>
    <n v="0.79078999999999999"/>
    <n v="0.79349999999999998"/>
    <n v="0.87961999999999996"/>
    <n v="0.83655999999999997"/>
    <n v="861.2"/>
  </r>
  <r>
    <x v="7"/>
    <x v="15"/>
    <x v="6"/>
    <n v="0.79078999999999999"/>
    <n v="0.79349999999999998"/>
    <n v="0.87961999999999996"/>
    <n v="0.83655999999999997"/>
    <n v="861.2"/>
  </r>
  <r>
    <x v="7"/>
    <x v="15"/>
    <x v="6"/>
    <n v="0.79078999999999999"/>
    <n v="0.79349999999999998"/>
    <n v="0.87961999999999996"/>
    <n v="0.83655999999999997"/>
    <n v="861.2"/>
  </r>
  <r>
    <x v="7"/>
    <x v="15"/>
    <x v="6"/>
    <n v="0.79078999999999999"/>
    <n v="0.79349999999999998"/>
    <n v="0.87961999999999996"/>
    <n v="0.83655999999999997"/>
    <n v="861.2"/>
  </r>
  <r>
    <x v="7"/>
    <x v="15"/>
    <x v="6"/>
    <n v="0.79078999999999999"/>
    <n v="0.79349999999999998"/>
    <n v="0.87961999999999996"/>
    <n v="0.83655999999999997"/>
    <n v="861.2"/>
  </r>
  <r>
    <x v="7"/>
    <x v="15"/>
    <x v="6"/>
    <n v="0.79078999999999999"/>
    <n v="0.79349999999999998"/>
    <n v="0.87961999999999996"/>
    <n v="0.83655999999999997"/>
    <n v="861.2"/>
  </r>
  <r>
    <x v="7"/>
    <x v="15"/>
    <x v="6"/>
    <n v="0.79078999999999999"/>
    <n v="0.79349999999999998"/>
    <n v="0.87961999999999996"/>
    <n v="0.83655999999999997"/>
    <n v="861.2"/>
  </r>
  <r>
    <x v="7"/>
    <x v="15"/>
    <x v="6"/>
    <n v="0.79078999999999999"/>
    <n v="0.79349999999999998"/>
    <n v="0.87961999999999996"/>
    <n v="0.83655999999999997"/>
    <n v="861.2"/>
  </r>
  <r>
    <x v="7"/>
    <x v="15"/>
    <x v="6"/>
    <n v="0.79078999999999999"/>
    <n v="0.79349999999999998"/>
    <n v="0.87961999999999996"/>
    <n v="0.83655999999999997"/>
    <n v="861.2"/>
  </r>
  <r>
    <x v="7"/>
    <x v="15"/>
    <x v="6"/>
    <n v="0.79078999999999999"/>
    <n v="0.79349999999999998"/>
    <n v="0.87961999999999996"/>
    <n v="0.83655999999999997"/>
    <n v="861.2"/>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3"/>
    <n v="1.2668600000000001"/>
    <n v="1.27999"/>
    <n v="1.397"/>
    <n v="1.338495"/>
    <n v="1170.0999999999999"/>
  </r>
  <r>
    <x v="7"/>
    <x v="16"/>
    <x v="6"/>
    <n v="0.78403999999999996"/>
    <n v="0.79349999999999998"/>
    <n v="0.87961999999999996"/>
    <n v="0.83655999999999997"/>
    <n v="861.2"/>
  </r>
  <r>
    <x v="7"/>
    <x v="16"/>
    <x v="6"/>
    <n v="0.78403999999999996"/>
    <n v="0.79349999999999998"/>
    <n v="0.87961999999999996"/>
    <n v="0.83655999999999997"/>
    <n v="861.2"/>
  </r>
  <r>
    <x v="7"/>
    <x v="16"/>
    <x v="6"/>
    <n v="0.78403999999999996"/>
    <n v="0.79349999999999998"/>
    <n v="0.87961999999999996"/>
    <n v="0.83655999999999997"/>
    <n v="861.2"/>
  </r>
  <r>
    <x v="7"/>
    <x v="16"/>
    <x v="6"/>
    <n v="0.78403999999999996"/>
    <n v="0.79349999999999998"/>
    <n v="0.87961999999999996"/>
    <n v="0.83655999999999997"/>
    <n v="861.2"/>
  </r>
  <r>
    <x v="7"/>
    <x v="16"/>
    <x v="6"/>
    <n v="0.78403999999999996"/>
    <n v="0.79349999999999998"/>
    <n v="0.87961999999999996"/>
    <n v="0.83655999999999997"/>
    <n v="861.2"/>
  </r>
  <r>
    <x v="7"/>
    <x v="16"/>
    <x v="6"/>
    <n v="0.78403999999999996"/>
    <n v="0.79349999999999998"/>
    <n v="0.87961999999999996"/>
    <n v="0.83655999999999997"/>
    <n v="861.2"/>
  </r>
  <r>
    <x v="7"/>
    <x v="16"/>
    <x v="6"/>
    <n v="0.78403999999999996"/>
    <n v="0.79349999999999998"/>
    <n v="0.87961999999999996"/>
    <n v="0.83655999999999997"/>
    <n v="861.2"/>
  </r>
  <r>
    <x v="7"/>
    <x v="16"/>
    <x v="6"/>
    <n v="0.78403999999999996"/>
    <n v="0.79349999999999998"/>
    <n v="0.87961999999999996"/>
    <n v="0.83655999999999997"/>
    <n v="861.2"/>
  </r>
  <r>
    <x v="7"/>
    <x v="16"/>
    <x v="6"/>
    <n v="0.78403999999999996"/>
    <n v="0.79349999999999998"/>
    <n v="0.87961999999999996"/>
    <n v="0.83655999999999997"/>
    <n v="861.2"/>
  </r>
  <r>
    <x v="7"/>
    <x v="16"/>
    <x v="6"/>
    <n v="0.78403999999999996"/>
    <n v="0.79349999999999998"/>
    <n v="0.87961999999999996"/>
    <n v="0.83655999999999997"/>
    <n v="861.2"/>
  </r>
  <r>
    <x v="7"/>
    <x v="16"/>
    <x v="6"/>
    <n v="0.78403999999999996"/>
    <n v="0.79349999999999998"/>
    <n v="0.87961999999999996"/>
    <n v="0.83655999999999997"/>
    <n v="861.2"/>
  </r>
  <r>
    <x v="7"/>
    <x v="16"/>
    <x v="6"/>
    <n v="0.78403999999999996"/>
    <n v="0.79349999999999998"/>
    <n v="0.87961999999999996"/>
    <n v="0.83655999999999997"/>
    <n v="861.2"/>
  </r>
  <r>
    <x v="7"/>
    <x v="16"/>
    <x v="6"/>
    <n v="0.78403999999999996"/>
    <n v="0.79349999999999998"/>
    <n v="0.87961999999999996"/>
    <n v="0.83655999999999997"/>
    <n v="861.2"/>
  </r>
  <r>
    <x v="7"/>
    <x v="16"/>
    <x v="6"/>
    <n v="0.78403999999999996"/>
    <n v="0.79349999999999998"/>
    <n v="0.87961999999999996"/>
    <n v="0.83655999999999997"/>
    <n v="861.2"/>
  </r>
  <r>
    <x v="7"/>
    <x v="16"/>
    <x v="6"/>
    <n v="0.78403999999999996"/>
    <n v="0.79349999999999998"/>
    <n v="0.87961999999999996"/>
    <n v="0.83655999999999997"/>
    <n v="861.2"/>
  </r>
  <r>
    <x v="7"/>
    <x v="16"/>
    <x v="6"/>
    <n v="0.78403999999999996"/>
    <n v="0.79349999999999998"/>
    <n v="0.87961999999999996"/>
    <n v="0.83655999999999997"/>
    <n v="861.2"/>
  </r>
  <r>
    <x v="7"/>
    <x v="16"/>
    <x v="6"/>
    <n v="0.78403999999999996"/>
    <n v="0.79349999999999998"/>
    <n v="0.87961999999999996"/>
    <n v="0.83655999999999997"/>
    <n v="861.2"/>
  </r>
  <r>
    <x v="7"/>
    <x v="16"/>
    <x v="6"/>
    <n v="0.78403999999999996"/>
    <n v="0.79349999999999998"/>
    <n v="0.87961999999999996"/>
    <n v="0.83655999999999997"/>
    <n v="861.2"/>
  </r>
  <r>
    <x v="7"/>
    <x v="16"/>
    <x v="6"/>
    <n v="0.78403999999999996"/>
    <n v="0.79349999999999998"/>
    <n v="0.87961999999999996"/>
    <n v="0.83655999999999997"/>
    <n v="861.2"/>
  </r>
  <r>
    <x v="7"/>
    <x v="16"/>
    <x v="6"/>
    <n v="0.78403999999999996"/>
    <n v="0.79349999999999998"/>
    <n v="0.87961999999999996"/>
    <n v="0.83655999999999997"/>
    <n v="861.2"/>
  </r>
  <r>
    <x v="7"/>
    <x v="16"/>
    <x v="6"/>
    <n v="0.78403999999999996"/>
    <n v="0.79349999999999998"/>
    <n v="0.87961999999999996"/>
    <n v="0.83655999999999997"/>
    <n v="861.2"/>
  </r>
  <r>
    <x v="7"/>
    <x v="16"/>
    <x v="6"/>
    <n v="0.78403999999999996"/>
    <n v="0.79349999999999998"/>
    <n v="0.87961999999999996"/>
    <n v="0.83655999999999997"/>
    <n v="861.2"/>
  </r>
  <r>
    <x v="7"/>
    <x v="16"/>
    <x v="6"/>
    <n v="0.78403999999999996"/>
    <n v="0.79349999999999998"/>
    <n v="0.87961999999999996"/>
    <n v="0.83655999999999997"/>
    <n v="861.2"/>
  </r>
  <r>
    <x v="7"/>
    <x v="16"/>
    <x v="6"/>
    <n v="0.78403999999999996"/>
    <n v="0.79349999999999998"/>
    <n v="0.87961999999999996"/>
    <n v="0.83655999999999997"/>
    <n v="861.2"/>
  </r>
  <r>
    <x v="7"/>
    <x v="16"/>
    <x v="6"/>
    <n v="0.78403999999999996"/>
    <n v="0.79349999999999998"/>
    <n v="0.87961999999999996"/>
    <n v="0.83655999999999997"/>
    <n v="861.2"/>
  </r>
  <r>
    <x v="7"/>
    <x v="16"/>
    <x v="6"/>
    <n v="0.78403999999999996"/>
    <n v="0.79349999999999998"/>
    <n v="0.87961999999999996"/>
    <n v="0.83655999999999997"/>
    <n v="861.2"/>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3"/>
    <n v="1.2522200000000001"/>
    <n v="1.27999"/>
    <n v="1.397"/>
    <n v="1.338495"/>
    <n v="1170.0999999999999"/>
  </r>
  <r>
    <x v="7"/>
    <x v="17"/>
    <x v="6"/>
    <n v="0.77807999999999999"/>
    <n v="0.79349999999999998"/>
    <n v="0.87961999999999996"/>
    <n v="0.83655999999999997"/>
    <n v="861.2"/>
  </r>
  <r>
    <x v="7"/>
    <x v="17"/>
    <x v="6"/>
    <n v="0.77807999999999999"/>
    <n v="0.79349999999999998"/>
    <n v="0.87961999999999996"/>
    <n v="0.83655999999999997"/>
    <n v="861.2"/>
  </r>
  <r>
    <x v="7"/>
    <x v="17"/>
    <x v="6"/>
    <n v="0.77807999999999999"/>
    <n v="0.79349999999999998"/>
    <n v="0.87961999999999996"/>
    <n v="0.83655999999999997"/>
    <n v="861.2"/>
  </r>
  <r>
    <x v="7"/>
    <x v="17"/>
    <x v="6"/>
    <n v="0.77807999999999999"/>
    <n v="0.79349999999999998"/>
    <n v="0.87961999999999996"/>
    <n v="0.83655999999999997"/>
    <n v="861.2"/>
  </r>
  <r>
    <x v="7"/>
    <x v="17"/>
    <x v="6"/>
    <n v="0.77807999999999999"/>
    <n v="0.79349999999999998"/>
    <n v="0.87961999999999996"/>
    <n v="0.83655999999999997"/>
    <n v="861.2"/>
  </r>
  <r>
    <x v="7"/>
    <x v="17"/>
    <x v="6"/>
    <n v="0.77807999999999999"/>
    <n v="0.79349999999999998"/>
    <n v="0.87961999999999996"/>
    <n v="0.83655999999999997"/>
    <n v="861.2"/>
  </r>
  <r>
    <x v="7"/>
    <x v="17"/>
    <x v="6"/>
    <n v="0.77807999999999999"/>
    <n v="0.79349999999999998"/>
    <n v="0.87961999999999996"/>
    <n v="0.83655999999999997"/>
    <n v="861.2"/>
  </r>
  <r>
    <x v="7"/>
    <x v="17"/>
    <x v="6"/>
    <n v="0.77807999999999999"/>
    <n v="0.79349999999999998"/>
    <n v="0.87961999999999996"/>
    <n v="0.83655999999999997"/>
    <n v="861.2"/>
  </r>
  <r>
    <x v="7"/>
    <x v="17"/>
    <x v="6"/>
    <n v="0.77807999999999999"/>
    <n v="0.79349999999999998"/>
    <n v="0.87961999999999996"/>
    <n v="0.83655999999999997"/>
    <n v="861.2"/>
  </r>
  <r>
    <x v="7"/>
    <x v="17"/>
    <x v="6"/>
    <n v="0.77807999999999999"/>
    <n v="0.79349999999999998"/>
    <n v="0.87961999999999996"/>
    <n v="0.83655999999999997"/>
    <n v="861.2"/>
  </r>
  <r>
    <x v="7"/>
    <x v="17"/>
    <x v="6"/>
    <n v="0.77807999999999999"/>
    <n v="0.79349999999999998"/>
    <n v="0.87961999999999996"/>
    <n v="0.83655999999999997"/>
    <n v="861.2"/>
  </r>
  <r>
    <x v="7"/>
    <x v="17"/>
    <x v="6"/>
    <n v="0.77807999999999999"/>
    <n v="0.79349999999999998"/>
    <n v="0.87961999999999996"/>
    <n v="0.83655999999999997"/>
    <n v="861.2"/>
  </r>
  <r>
    <x v="7"/>
    <x v="17"/>
    <x v="6"/>
    <n v="0.77807999999999999"/>
    <n v="0.79349999999999998"/>
    <n v="0.87961999999999996"/>
    <n v="0.83655999999999997"/>
    <n v="861.2"/>
  </r>
  <r>
    <x v="7"/>
    <x v="17"/>
    <x v="6"/>
    <n v="0.77807999999999999"/>
    <n v="0.79349999999999998"/>
    <n v="0.87961999999999996"/>
    <n v="0.83655999999999997"/>
    <n v="861.2"/>
  </r>
  <r>
    <x v="7"/>
    <x v="17"/>
    <x v="6"/>
    <n v="0.77807999999999999"/>
    <n v="0.79349999999999998"/>
    <n v="0.87961999999999996"/>
    <n v="0.83655999999999997"/>
    <n v="861.2"/>
  </r>
  <r>
    <x v="7"/>
    <x v="17"/>
    <x v="6"/>
    <n v="0.77807999999999999"/>
    <n v="0.79349999999999998"/>
    <n v="0.87961999999999996"/>
    <n v="0.83655999999999997"/>
    <n v="861.2"/>
  </r>
  <r>
    <x v="7"/>
    <x v="17"/>
    <x v="6"/>
    <n v="0.77807999999999999"/>
    <n v="0.79349999999999998"/>
    <n v="0.87961999999999996"/>
    <n v="0.83655999999999997"/>
    <n v="861.2"/>
  </r>
  <r>
    <x v="7"/>
    <x v="17"/>
    <x v="6"/>
    <n v="0.77807999999999999"/>
    <n v="0.79349999999999998"/>
    <n v="0.87961999999999996"/>
    <n v="0.83655999999999997"/>
    <n v="861.2"/>
  </r>
  <r>
    <x v="7"/>
    <x v="17"/>
    <x v="6"/>
    <n v="0.77807999999999999"/>
    <n v="0.79349999999999998"/>
    <n v="0.87961999999999996"/>
    <n v="0.83655999999999997"/>
    <n v="861.2"/>
  </r>
  <r>
    <x v="7"/>
    <x v="17"/>
    <x v="6"/>
    <n v="0.77807999999999999"/>
    <n v="0.79349999999999998"/>
    <n v="0.87961999999999996"/>
    <n v="0.83655999999999997"/>
    <n v="861.2"/>
  </r>
  <r>
    <x v="7"/>
    <x v="17"/>
    <x v="6"/>
    <n v="0.77807999999999999"/>
    <n v="0.79349999999999998"/>
    <n v="0.87961999999999996"/>
    <n v="0.83655999999999997"/>
    <n v="861.2"/>
  </r>
  <r>
    <x v="7"/>
    <x v="17"/>
    <x v="6"/>
    <n v="0.77807999999999999"/>
    <n v="0.79349999999999998"/>
    <n v="0.87961999999999996"/>
    <n v="0.83655999999999997"/>
    <n v="861.2"/>
  </r>
  <r>
    <x v="7"/>
    <x v="17"/>
    <x v="6"/>
    <n v="0.77807999999999999"/>
    <n v="0.79349999999999998"/>
    <n v="0.87961999999999996"/>
    <n v="0.83655999999999997"/>
    <n v="861.2"/>
  </r>
  <r>
    <x v="7"/>
    <x v="17"/>
    <x v="6"/>
    <n v="0.77807999999999999"/>
    <n v="0.79349999999999998"/>
    <n v="0.87961999999999996"/>
    <n v="0.83655999999999997"/>
    <n v="861.2"/>
  </r>
  <r>
    <x v="7"/>
    <x v="17"/>
    <x v="6"/>
    <n v="0.77807999999999999"/>
    <n v="0.79349999999999998"/>
    <n v="0.87961999999999996"/>
    <n v="0.83655999999999997"/>
    <n v="861.2"/>
  </r>
  <r>
    <x v="7"/>
    <x v="17"/>
    <x v="6"/>
    <n v="0.77807999999999999"/>
    <n v="0.79349999999999998"/>
    <n v="0.87961999999999996"/>
    <n v="0.83655999999999997"/>
    <n v="861.2"/>
  </r>
  <r>
    <x v="7"/>
    <x v="18"/>
    <x v="3"/>
    <n v="1.2453700000000001"/>
    <n v="1.27999"/>
    <n v="1.397"/>
    <n v="1.338495"/>
    <n v="1170.0999999999999"/>
  </r>
  <r>
    <x v="7"/>
    <x v="18"/>
    <x v="3"/>
    <n v="1.2453700000000001"/>
    <n v="1.27999"/>
    <n v="1.397"/>
    <n v="1.338495"/>
    <n v="1170.0999999999999"/>
  </r>
  <r>
    <x v="7"/>
    <x v="18"/>
    <x v="3"/>
    <n v="1.2453700000000001"/>
    <n v="1.27999"/>
    <n v="1.397"/>
    <n v="1.338495"/>
    <n v="1170.0999999999999"/>
  </r>
  <r>
    <x v="7"/>
    <x v="18"/>
    <x v="3"/>
    <n v="1.2453700000000001"/>
    <n v="1.27999"/>
    <n v="1.397"/>
    <n v="1.338495"/>
    <n v="1170.0999999999999"/>
  </r>
  <r>
    <x v="7"/>
    <x v="18"/>
    <x v="3"/>
    <n v="1.2453700000000001"/>
    <n v="1.27999"/>
    <n v="1.397"/>
    <n v="1.338495"/>
    <n v="1170.0999999999999"/>
  </r>
  <r>
    <x v="7"/>
    <x v="18"/>
    <x v="3"/>
    <n v="1.2453700000000001"/>
    <n v="1.27999"/>
    <n v="1.397"/>
    <n v="1.338495"/>
    <n v="1170.0999999999999"/>
  </r>
  <r>
    <x v="7"/>
    <x v="18"/>
    <x v="3"/>
    <n v="1.2453700000000001"/>
    <n v="1.27999"/>
    <n v="1.397"/>
    <n v="1.338495"/>
    <n v="1170.0999999999999"/>
  </r>
  <r>
    <x v="7"/>
    <x v="18"/>
    <x v="3"/>
    <n v="1.2453700000000001"/>
    <n v="1.27999"/>
    <n v="1.397"/>
    <n v="1.338495"/>
    <n v="1170.0999999999999"/>
  </r>
  <r>
    <x v="7"/>
    <x v="18"/>
    <x v="3"/>
    <n v="1.2453700000000001"/>
    <n v="1.27999"/>
    <n v="1.397"/>
    <n v="1.338495"/>
    <n v="1170.0999999999999"/>
  </r>
  <r>
    <x v="7"/>
    <x v="18"/>
    <x v="3"/>
    <n v="1.2453700000000001"/>
    <n v="1.27999"/>
    <n v="1.397"/>
    <n v="1.338495"/>
    <n v="1170.0999999999999"/>
  </r>
  <r>
    <x v="7"/>
    <x v="18"/>
    <x v="3"/>
    <n v="1.2453700000000001"/>
    <n v="1.27999"/>
    <n v="1.397"/>
    <n v="1.338495"/>
    <n v="1170.0999999999999"/>
  </r>
  <r>
    <x v="7"/>
    <x v="18"/>
    <x v="3"/>
    <n v="1.2453700000000001"/>
    <n v="1.27999"/>
    <n v="1.397"/>
    <n v="1.338495"/>
    <n v="1170.0999999999999"/>
  </r>
  <r>
    <x v="7"/>
    <x v="18"/>
    <x v="3"/>
    <n v="1.2453700000000001"/>
    <n v="1.27999"/>
    <n v="1.397"/>
    <n v="1.338495"/>
    <n v="1170.0999999999999"/>
  </r>
  <r>
    <x v="7"/>
    <x v="18"/>
    <x v="6"/>
    <n v="0.77478999999999998"/>
    <n v="0.79349999999999998"/>
    <n v="0.87961999999999996"/>
    <n v="0.83655999999999997"/>
    <n v="861.2"/>
  </r>
  <r>
    <x v="7"/>
    <x v="18"/>
    <x v="6"/>
    <n v="0.77478999999999998"/>
    <n v="0.79349999999999998"/>
    <n v="0.87961999999999996"/>
    <n v="0.83655999999999997"/>
    <n v="861.2"/>
  </r>
  <r>
    <x v="7"/>
    <x v="18"/>
    <x v="6"/>
    <n v="0.77478999999999998"/>
    <n v="0.79349999999999998"/>
    <n v="0.87961999999999996"/>
    <n v="0.83655999999999997"/>
    <n v="861.2"/>
  </r>
  <r>
    <x v="7"/>
    <x v="18"/>
    <x v="6"/>
    <n v="0.77478999999999998"/>
    <n v="0.79349999999999998"/>
    <n v="0.87961999999999996"/>
    <n v="0.83655999999999997"/>
    <n v="861.2"/>
  </r>
  <r>
    <x v="7"/>
    <x v="18"/>
    <x v="6"/>
    <n v="0.77478999999999998"/>
    <n v="0.79349999999999998"/>
    <n v="0.87961999999999996"/>
    <n v="0.83655999999999997"/>
    <n v="861.2"/>
  </r>
  <r>
    <x v="7"/>
    <x v="18"/>
    <x v="6"/>
    <n v="0.77478999999999998"/>
    <n v="0.79349999999999998"/>
    <n v="0.87961999999999996"/>
    <n v="0.83655999999999997"/>
    <n v="861.2"/>
  </r>
  <r>
    <x v="7"/>
    <x v="18"/>
    <x v="6"/>
    <n v="0.77478999999999998"/>
    <n v="0.79349999999999998"/>
    <n v="0.87961999999999996"/>
    <n v="0.83655999999999997"/>
    <n v="861.2"/>
  </r>
  <r>
    <x v="7"/>
    <x v="18"/>
    <x v="6"/>
    <n v="0.77478999999999998"/>
    <n v="0.79349999999999998"/>
    <n v="0.87961999999999996"/>
    <n v="0.83655999999999997"/>
    <n v="861.2"/>
  </r>
  <r>
    <x v="7"/>
    <x v="18"/>
    <x v="6"/>
    <n v="0.77478999999999998"/>
    <n v="0.79349999999999998"/>
    <n v="0.87961999999999996"/>
    <n v="0.83655999999999997"/>
    <n v="861.2"/>
  </r>
  <r>
    <x v="7"/>
    <x v="18"/>
    <x v="6"/>
    <n v="0.77478999999999998"/>
    <n v="0.79349999999999998"/>
    <n v="0.87961999999999996"/>
    <n v="0.83655999999999997"/>
    <n v="861.2"/>
  </r>
  <r>
    <x v="7"/>
    <x v="18"/>
    <x v="6"/>
    <n v="0.77478999999999998"/>
    <n v="0.79349999999999998"/>
    <n v="0.87961999999999996"/>
    <n v="0.83655999999999997"/>
    <n v="861.2"/>
  </r>
  <r>
    <x v="7"/>
    <x v="18"/>
    <x v="6"/>
    <n v="0.77478999999999998"/>
    <n v="0.79349999999999998"/>
    <n v="0.87961999999999996"/>
    <n v="0.83655999999999997"/>
    <n v="861.2"/>
  </r>
  <r>
    <x v="7"/>
    <x v="18"/>
    <x v="6"/>
    <n v="0.77478999999999998"/>
    <n v="0.79349999999999998"/>
    <n v="0.87961999999999996"/>
    <n v="0.83655999999999997"/>
    <n v="861.2"/>
  </r>
  <r>
    <x v="7"/>
    <x v="18"/>
    <x v="6"/>
    <n v="0.77478999999999998"/>
    <n v="0.79349999999999998"/>
    <n v="0.87961999999999996"/>
    <n v="0.83655999999999997"/>
    <n v="861.2"/>
  </r>
  <r>
    <x v="7"/>
    <x v="18"/>
    <x v="6"/>
    <n v="0.77478999999999998"/>
    <n v="0.79349999999999998"/>
    <n v="0.87961999999999996"/>
    <n v="0.83655999999999997"/>
    <n v="861.2"/>
  </r>
  <r>
    <x v="7"/>
    <x v="18"/>
    <x v="6"/>
    <n v="0.77478999999999998"/>
    <n v="0.79349999999999998"/>
    <n v="0.87961999999999996"/>
    <n v="0.83655999999999997"/>
    <n v="861.2"/>
  </r>
  <r>
    <x v="7"/>
    <x v="18"/>
    <x v="6"/>
    <n v="0.77478999999999998"/>
    <n v="0.79349999999999998"/>
    <n v="0.87961999999999996"/>
    <n v="0.83655999999999997"/>
    <n v="861.2"/>
  </r>
  <r>
    <x v="7"/>
    <x v="18"/>
    <x v="6"/>
    <n v="0.77478999999999998"/>
    <n v="0.79349999999999998"/>
    <n v="0.87961999999999996"/>
    <n v="0.83655999999999997"/>
    <n v="861.2"/>
  </r>
  <r>
    <x v="7"/>
    <x v="18"/>
    <x v="6"/>
    <n v="0.77478999999999998"/>
    <n v="0.79349999999999998"/>
    <n v="0.87961999999999996"/>
    <n v="0.83655999999999997"/>
    <n v="861.2"/>
  </r>
  <r>
    <x v="7"/>
    <x v="19"/>
    <x v="3"/>
    <n v="1.25244"/>
    <n v="1.27999"/>
    <n v="1.397"/>
    <n v="1.338495"/>
    <n v="1170.0999999999999"/>
  </r>
  <r>
    <x v="7"/>
    <x v="19"/>
    <x v="3"/>
    <n v="1.25244"/>
    <n v="1.27999"/>
    <n v="1.397"/>
    <n v="1.338495"/>
    <n v="1170.0999999999999"/>
  </r>
  <r>
    <x v="7"/>
    <x v="19"/>
    <x v="3"/>
    <n v="1.25244"/>
    <n v="1.27999"/>
    <n v="1.397"/>
    <n v="1.338495"/>
    <n v="1170.0999999999999"/>
  </r>
  <r>
    <x v="7"/>
    <x v="19"/>
    <x v="3"/>
    <n v="1.25244"/>
    <n v="1.27999"/>
    <n v="1.397"/>
    <n v="1.338495"/>
    <n v="1170.0999999999999"/>
  </r>
  <r>
    <x v="7"/>
    <x v="19"/>
    <x v="3"/>
    <n v="1.25244"/>
    <n v="1.27999"/>
    <n v="1.397"/>
    <n v="1.338495"/>
    <n v="1170.0999999999999"/>
  </r>
  <r>
    <x v="7"/>
    <x v="19"/>
    <x v="3"/>
    <n v="1.25244"/>
    <n v="1.27999"/>
    <n v="1.397"/>
    <n v="1.338495"/>
    <n v="1170.0999999999999"/>
  </r>
  <r>
    <x v="7"/>
    <x v="19"/>
    <x v="3"/>
    <n v="1.25244"/>
    <n v="1.27999"/>
    <n v="1.397"/>
    <n v="1.338495"/>
    <n v="1170.0999999999999"/>
  </r>
  <r>
    <x v="7"/>
    <x v="19"/>
    <x v="3"/>
    <n v="1.25244"/>
    <n v="1.27999"/>
    <n v="1.397"/>
    <n v="1.338495"/>
    <n v="1170.0999999999999"/>
  </r>
  <r>
    <x v="7"/>
    <x v="19"/>
    <x v="3"/>
    <n v="1.25244"/>
    <n v="1.27999"/>
    <n v="1.397"/>
    <n v="1.338495"/>
    <n v="1170.0999999999999"/>
  </r>
  <r>
    <x v="7"/>
    <x v="19"/>
    <x v="3"/>
    <n v="1.25244"/>
    <n v="1.27999"/>
    <n v="1.397"/>
    <n v="1.338495"/>
    <n v="1170.0999999999999"/>
  </r>
  <r>
    <x v="7"/>
    <x v="19"/>
    <x v="3"/>
    <n v="1.25244"/>
    <n v="1.27999"/>
    <n v="1.397"/>
    <n v="1.338495"/>
    <n v="1170.0999999999999"/>
  </r>
  <r>
    <x v="7"/>
    <x v="19"/>
    <x v="3"/>
    <n v="1.25244"/>
    <n v="1.27999"/>
    <n v="1.397"/>
    <n v="1.338495"/>
    <n v="1170.0999999999999"/>
  </r>
  <r>
    <x v="7"/>
    <x v="19"/>
    <x v="3"/>
    <n v="1.25244"/>
    <n v="1.27999"/>
    <n v="1.397"/>
    <n v="1.338495"/>
    <n v="1170.0999999999999"/>
  </r>
  <r>
    <x v="7"/>
    <x v="19"/>
    <x v="6"/>
    <n v="0.78974"/>
    <n v="0.79349999999999998"/>
    <n v="0.87961999999999996"/>
    <n v="0.83655999999999997"/>
    <n v="861.2"/>
  </r>
  <r>
    <x v="7"/>
    <x v="19"/>
    <x v="6"/>
    <n v="0.78974"/>
    <n v="0.79349999999999998"/>
    <n v="0.87961999999999996"/>
    <n v="0.83655999999999997"/>
    <n v="861.2"/>
  </r>
  <r>
    <x v="7"/>
    <x v="19"/>
    <x v="6"/>
    <n v="0.78974"/>
    <n v="0.79349999999999998"/>
    <n v="0.87961999999999996"/>
    <n v="0.83655999999999997"/>
    <n v="861.2"/>
  </r>
  <r>
    <x v="7"/>
    <x v="19"/>
    <x v="6"/>
    <n v="0.78974"/>
    <n v="0.79349999999999998"/>
    <n v="0.87961999999999996"/>
    <n v="0.83655999999999997"/>
    <n v="861.2"/>
  </r>
  <r>
    <x v="7"/>
    <x v="19"/>
    <x v="6"/>
    <n v="0.78974"/>
    <n v="0.79349999999999998"/>
    <n v="0.87961999999999996"/>
    <n v="0.83655999999999997"/>
    <n v="861.2"/>
  </r>
  <r>
    <x v="7"/>
    <x v="19"/>
    <x v="6"/>
    <n v="0.78974"/>
    <n v="0.79349999999999998"/>
    <n v="0.87961999999999996"/>
    <n v="0.83655999999999997"/>
    <n v="861.2"/>
  </r>
  <r>
    <x v="7"/>
    <x v="19"/>
    <x v="6"/>
    <n v="0.78974"/>
    <n v="0.79349999999999998"/>
    <n v="0.87961999999999996"/>
    <n v="0.83655999999999997"/>
    <n v="861.2"/>
  </r>
  <r>
    <x v="7"/>
    <x v="19"/>
    <x v="6"/>
    <n v="0.78974"/>
    <n v="0.79349999999999998"/>
    <n v="0.87961999999999996"/>
    <n v="0.83655999999999997"/>
    <n v="861.2"/>
  </r>
  <r>
    <x v="7"/>
    <x v="19"/>
    <x v="6"/>
    <n v="0.78974"/>
    <n v="0.79349999999999998"/>
    <n v="0.87961999999999996"/>
    <n v="0.83655999999999997"/>
    <n v="861.2"/>
  </r>
  <r>
    <x v="7"/>
    <x v="19"/>
    <x v="6"/>
    <n v="0.78974"/>
    <n v="0.79349999999999998"/>
    <n v="0.87961999999999996"/>
    <n v="0.83655999999999997"/>
    <n v="861.2"/>
  </r>
  <r>
    <x v="7"/>
    <x v="19"/>
    <x v="6"/>
    <n v="0.78974"/>
    <n v="0.79349999999999998"/>
    <n v="0.87961999999999996"/>
    <n v="0.83655999999999997"/>
    <n v="861.2"/>
  </r>
  <r>
    <x v="7"/>
    <x v="19"/>
    <x v="6"/>
    <n v="0.78974"/>
    <n v="0.79349999999999998"/>
    <n v="0.87961999999999996"/>
    <n v="0.83655999999999997"/>
    <n v="861.2"/>
  </r>
  <r>
    <x v="7"/>
    <x v="19"/>
    <x v="6"/>
    <n v="0.78974"/>
    <n v="0.79349999999999998"/>
    <n v="0.87961999999999996"/>
    <n v="0.83655999999999997"/>
    <n v="861.2"/>
  </r>
  <r>
    <x v="7"/>
    <x v="19"/>
    <x v="6"/>
    <n v="0.78974"/>
    <n v="0.79349999999999998"/>
    <n v="0.87961999999999996"/>
    <n v="0.83655999999999997"/>
    <n v="861.2"/>
  </r>
  <r>
    <x v="7"/>
    <x v="19"/>
    <x v="6"/>
    <n v="0.78974"/>
    <n v="0.79349999999999998"/>
    <n v="0.87961999999999996"/>
    <n v="0.83655999999999997"/>
    <n v="861.2"/>
  </r>
  <r>
    <x v="7"/>
    <x v="19"/>
    <x v="6"/>
    <n v="0.78974"/>
    <n v="0.79349999999999998"/>
    <n v="0.87961999999999996"/>
    <n v="0.83655999999999997"/>
    <n v="861.2"/>
  </r>
  <r>
    <x v="7"/>
    <x v="19"/>
    <x v="6"/>
    <n v="0.78974"/>
    <n v="0.79349999999999998"/>
    <n v="0.87961999999999996"/>
    <n v="0.83655999999999997"/>
    <n v="861.2"/>
  </r>
  <r>
    <x v="7"/>
    <x v="19"/>
    <x v="6"/>
    <n v="0.78974"/>
    <n v="0.79349999999999998"/>
    <n v="0.87961999999999996"/>
    <n v="0.83655999999999997"/>
    <n v="861.2"/>
  </r>
  <r>
    <x v="7"/>
    <x v="19"/>
    <x v="6"/>
    <n v="0.78974"/>
    <n v="0.79349999999999998"/>
    <n v="0.87961999999999996"/>
    <n v="0.83655999999999997"/>
    <n v="861.2"/>
  </r>
  <r>
    <x v="7"/>
    <x v="20"/>
    <x v="3"/>
    <n v="1.2390099999999999"/>
    <n v="1.27999"/>
    <n v="1.397"/>
    <n v="1.338495"/>
    <n v="1170.0999999999999"/>
  </r>
  <r>
    <x v="7"/>
    <x v="20"/>
    <x v="3"/>
    <n v="1.2390099999999999"/>
    <n v="1.27999"/>
    <n v="1.397"/>
    <n v="1.338495"/>
    <n v="1170.0999999999999"/>
  </r>
  <r>
    <x v="7"/>
    <x v="20"/>
    <x v="3"/>
    <n v="1.2390099999999999"/>
    <n v="1.27999"/>
    <n v="1.397"/>
    <n v="1.338495"/>
    <n v="1170.0999999999999"/>
  </r>
  <r>
    <x v="7"/>
    <x v="20"/>
    <x v="3"/>
    <n v="1.2390099999999999"/>
    <n v="1.27999"/>
    <n v="1.397"/>
    <n v="1.338495"/>
    <n v="1170.0999999999999"/>
  </r>
  <r>
    <x v="7"/>
    <x v="20"/>
    <x v="3"/>
    <n v="1.2390099999999999"/>
    <n v="1.27999"/>
    <n v="1.397"/>
    <n v="1.338495"/>
    <n v="1170.0999999999999"/>
  </r>
  <r>
    <x v="7"/>
    <x v="20"/>
    <x v="3"/>
    <n v="1.2390099999999999"/>
    <n v="1.27999"/>
    <n v="1.397"/>
    <n v="1.338495"/>
    <n v="1170.0999999999999"/>
  </r>
  <r>
    <x v="7"/>
    <x v="20"/>
    <x v="3"/>
    <n v="1.2390099999999999"/>
    <n v="1.27999"/>
    <n v="1.397"/>
    <n v="1.338495"/>
    <n v="1170.0999999999999"/>
  </r>
  <r>
    <x v="7"/>
    <x v="20"/>
    <x v="3"/>
    <n v="1.2390099999999999"/>
    <n v="1.27999"/>
    <n v="1.397"/>
    <n v="1.338495"/>
    <n v="1170.0999999999999"/>
  </r>
  <r>
    <x v="7"/>
    <x v="20"/>
    <x v="3"/>
    <n v="1.2390099999999999"/>
    <n v="1.27999"/>
    <n v="1.397"/>
    <n v="1.338495"/>
    <n v="1170.0999999999999"/>
  </r>
  <r>
    <x v="7"/>
    <x v="20"/>
    <x v="3"/>
    <n v="1.2390099999999999"/>
    <n v="1.27999"/>
    <n v="1.397"/>
    <n v="1.338495"/>
    <n v="1170.0999999999999"/>
  </r>
  <r>
    <x v="7"/>
    <x v="20"/>
    <x v="3"/>
    <n v="1.2390099999999999"/>
    <n v="1.27999"/>
    <n v="1.397"/>
    <n v="1.338495"/>
    <n v="1170.0999999999999"/>
  </r>
  <r>
    <x v="7"/>
    <x v="20"/>
    <x v="3"/>
    <n v="1.2390099999999999"/>
    <n v="1.27999"/>
    <n v="1.397"/>
    <n v="1.338495"/>
    <n v="1170.0999999999999"/>
  </r>
  <r>
    <x v="7"/>
    <x v="20"/>
    <x v="3"/>
    <n v="1.2390099999999999"/>
    <n v="1.27999"/>
    <n v="1.397"/>
    <n v="1.338495"/>
    <n v="1170.0999999999999"/>
  </r>
  <r>
    <x v="7"/>
    <x v="20"/>
    <x v="6"/>
    <n v="0.78695000000000004"/>
    <n v="0.79349999999999998"/>
    <n v="0.87961999999999996"/>
    <n v="0.83655999999999997"/>
    <n v="861.2"/>
  </r>
  <r>
    <x v="7"/>
    <x v="20"/>
    <x v="6"/>
    <n v="0.78695000000000004"/>
    <n v="0.79349999999999998"/>
    <n v="0.87961999999999996"/>
    <n v="0.83655999999999997"/>
    <n v="861.2"/>
  </r>
  <r>
    <x v="7"/>
    <x v="20"/>
    <x v="6"/>
    <n v="0.78695000000000004"/>
    <n v="0.79349999999999998"/>
    <n v="0.87961999999999996"/>
    <n v="0.83655999999999997"/>
    <n v="861.2"/>
  </r>
  <r>
    <x v="7"/>
    <x v="20"/>
    <x v="6"/>
    <n v="0.78695000000000004"/>
    <n v="0.79349999999999998"/>
    <n v="0.87961999999999996"/>
    <n v="0.83655999999999997"/>
    <n v="861.2"/>
  </r>
  <r>
    <x v="7"/>
    <x v="20"/>
    <x v="6"/>
    <n v="0.78695000000000004"/>
    <n v="0.79349999999999998"/>
    <n v="0.87961999999999996"/>
    <n v="0.83655999999999997"/>
    <n v="861.2"/>
  </r>
  <r>
    <x v="7"/>
    <x v="20"/>
    <x v="6"/>
    <n v="0.78695000000000004"/>
    <n v="0.79349999999999998"/>
    <n v="0.87961999999999996"/>
    <n v="0.83655999999999997"/>
    <n v="861.2"/>
  </r>
  <r>
    <x v="7"/>
    <x v="20"/>
    <x v="6"/>
    <n v="0.78695000000000004"/>
    <n v="0.79349999999999998"/>
    <n v="0.87961999999999996"/>
    <n v="0.83655999999999997"/>
    <n v="861.2"/>
  </r>
  <r>
    <x v="7"/>
    <x v="20"/>
    <x v="6"/>
    <n v="0.78695000000000004"/>
    <n v="0.79349999999999998"/>
    <n v="0.87961999999999996"/>
    <n v="0.83655999999999997"/>
    <n v="861.2"/>
  </r>
  <r>
    <x v="7"/>
    <x v="20"/>
    <x v="6"/>
    <n v="0.78695000000000004"/>
    <n v="0.79349999999999998"/>
    <n v="0.87961999999999996"/>
    <n v="0.83655999999999997"/>
    <n v="861.2"/>
  </r>
  <r>
    <x v="7"/>
    <x v="20"/>
    <x v="6"/>
    <n v="0.78695000000000004"/>
    <n v="0.79349999999999998"/>
    <n v="0.87961999999999996"/>
    <n v="0.83655999999999997"/>
    <n v="861.2"/>
  </r>
  <r>
    <x v="7"/>
    <x v="20"/>
    <x v="6"/>
    <n v="0.78695000000000004"/>
    <n v="0.79349999999999998"/>
    <n v="0.87961999999999996"/>
    <n v="0.83655999999999997"/>
    <n v="861.2"/>
  </r>
  <r>
    <x v="7"/>
    <x v="20"/>
    <x v="6"/>
    <n v="0.78695000000000004"/>
    <n v="0.79349999999999998"/>
    <n v="0.87961999999999996"/>
    <n v="0.83655999999999997"/>
    <n v="861.2"/>
  </r>
  <r>
    <x v="7"/>
    <x v="20"/>
    <x v="6"/>
    <n v="0.78695000000000004"/>
    <n v="0.79349999999999998"/>
    <n v="0.87961999999999996"/>
    <n v="0.83655999999999997"/>
    <n v="861.2"/>
  </r>
  <r>
    <x v="7"/>
    <x v="20"/>
    <x v="6"/>
    <n v="0.78695000000000004"/>
    <n v="0.79349999999999998"/>
    <n v="0.87961999999999996"/>
    <n v="0.83655999999999997"/>
    <n v="861.2"/>
  </r>
  <r>
    <x v="7"/>
    <x v="20"/>
    <x v="6"/>
    <n v="0.78695000000000004"/>
    <n v="0.79349999999999998"/>
    <n v="0.87961999999999996"/>
    <n v="0.83655999999999997"/>
    <n v="861.2"/>
  </r>
  <r>
    <x v="7"/>
    <x v="20"/>
    <x v="6"/>
    <n v="0.78695000000000004"/>
    <n v="0.79349999999999998"/>
    <n v="0.87961999999999996"/>
    <n v="0.83655999999999997"/>
    <n v="861.2"/>
  </r>
  <r>
    <x v="7"/>
    <x v="20"/>
    <x v="6"/>
    <n v="0.78695000000000004"/>
    <n v="0.79349999999999998"/>
    <n v="0.87961999999999996"/>
    <n v="0.83655999999999997"/>
    <n v="861.2"/>
  </r>
  <r>
    <x v="7"/>
    <x v="20"/>
    <x v="6"/>
    <n v="0.78695000000000004"/>
    <n v="0.79349999999999998"/>
    <n v="0.87961999999999996"/>
    <n v="0.83655999999999997"/>
    <n v="861.2"/>
  </r>
  <r>
    <x v="7"/>
    <x v="20"/>
    <x v="6"/>
    <n v="0.78695000000000004"/>
    <n v="0.79349999999999998"/>
    <n v="0.87961999999999996"/>
    <n v="0.83655999999999997"/>
    <n v="861.2"/>
  </r>
  <r>
    <x v="7"/>
    <x v="21"/>
    <x v="3"/>
    <n v="1.24491"/>
    <n v="1.27999"/>
    <n v="1.397"/>
    <n v="1.338495"/>
    <n v="1170.0999999999999"/>
  </r>
  <r>
    <x v="7"/>
    <x v="21"/>
    <x v="3"/>
    <n v="1.24491"/>
    <n v="1.27999"/>
    <n v="1.397"/>
    <n v="1.338495"/>
    <n v="1170.0999999999999"/>
  </r>
  <r>
    <x v="7"/>
    <x v="21"/>
    <x v="3"/>
    <n v="1.24491"/>
    <n v="1.27999"/>
    <n v="1.397"/>
    <n v="1.338495"/>
    <n v="1170.0999999999999"/>
  </r>
  <r>
    <x v="7"/>
    <x v="21"/>
    <x v="3"/>
    <n v="1.24491"/>
    <n v="1.27999"/>
    <n v="1.397"/>
    <n v="1.338495"/>
    <n v="1170.0999999999999"/>
  </r>
  <r>
    <x v="7"/>
    <x v="21"/>
    <x v="3"/>
    <n v="1.24491"/>
    <n v="1.27999"/>
    <n v="1.397"/>
    <n v="1.338495"/>
    <n v="1170.0999999999999"/>
  </r>
  <r>
    <x v="7"/>
    <x v="21"/>
    <x v="3"/>
    <n v="1.24491"/>
    <n v="1.27999"/>
    <n v="1.397"/>
    <n v="1.338495"/>
    <n v="1170.0999999999999"/>
  </r>
  <r>
    <x v="7"/>
    <x v="21"/>
    <x v="3"/>
    <n v="1.24491"/>
    <n v="1.27999"/>
    <n v="1.397"/>
    <n v="1.338495"/>
    <n v="1170.0999999999999"/>
  </r>
  <r>
    <x v="7"/>
    <x v="21"/>
    <x v="3"/>
    <n v="1.24491"/>
    <n v="1.27999"/>
    <n v="1.397"/>
    <n v="1.338495"/>
    <n v="1170.0999999999999"/>
  </r>
  <r>
    <x v="7"/>
    <x v="21"/>
    <x v="3"/>
    <n v="1.24491"/>
    <n v="1.27999"/>
    <n v="1.397"/>
    <n v="1.338495"/>
    <n v="1170.0999999999999"/>
  </r>
  <r>
    <x v="7"/>
    <x v="21"/>
    <x v="3"/>
    <n v="1.24491"/>
    <n v="1.27999"/>
    <n v="1.397"/>
    <n v="1.338495"/>
    <n v="1170.0999999999999"/>
  </r>
  <r>
    <x v="7"/>
    <x v="21"/>
    <x v="3"/>
    <n v="1.24491"/>
    <n v="1.27999"/>
    <n v="1.397"/>
    <n v="1.338495"/>
    <n v="1170.0999999999999"/>
  </r>
  <r>
    <x v="7"/>
    <x v="21"/>
    <x v="3"/>
    <n v="1.24491"/>
    <n v="1.27999"/>
    <n v="1.397"/>
    <n v="1.338495"/>
    <n v="1170.0999999999999"/>
  </r>
  <r>
    <x v="7"/>
    <x v="21"/>
    <x v="3"/>
    <n v="1.24491"/>
    <n v="1.27999"/>
    <n v="1.397"/>
    <n v="1.338495"/>
    <n v="1170.0999999999999"/>
  </r>
  <r>
    <x v="7"/>
    <x v="21"/>
    <x v="6"/>
    <n v="0.78186999999999995"/>
    <n v="0.79349999999999998"/>
    <n v="0.87961999999999996"/>
    <n v="0.83655999999999997"/>
    <n v="861.2"/>
  </r>
  <r>
    <x v="7"/>
    <x v="21"/>
    <x v="6"/>
    <n v="0.78186999999999995"/>
    <n v="0.79349999999999998"/>
    <n v="0.87961999999999996"/>
    <n v="0.83655999999999997"/>
    <n v="861.2"/>
  </r>
  <r>
    <x v="7"/>
    <x v="21"/>
    <x v="6"/>
    <n v="0.78186999999999995"/>
    <n v="0.79349999999999998"/>
    <n v="0.87961999999999996"/>
    <n v="0.83655999999999997"/>
    <n v="861.2"/>
  </r>
  <r>
    <x v="7"/>
    <x v="21"/>
    <x v="6"/>
    <n v="0.78186999999999995"/>
    <n v="0.79349999999999998"/>
    <n v="0.87961999999999996"/>
    <n v="0.83655999999999997"/>
    <n v="861.2"/>
  </r>
  <r>
    <x v="7"/>
    <x v="21"/>
    <x v="6"/>
    <n v="0.78186999999999995"/>
    <n v="0.79349999999999998"/>
    <n v="0.87961999999999996"/>
    <n v="0.83655999999999997"/>
    <n v="861.2"/>
  </r>
  <r>
    <x v="7"/>
    <x v="21"/>
    <x v="6"/>
    <n v="0.78186999999999995"/>
    <n v="0.79349999999999998"/>
    <n v="0.87961999999999996"/>
    <n v="0.83655999999999997"/>
    <n v="861.2"/>
  </r>
  <r>
    <x v="7"/>
    <x v="21"/>
    <x v="6"/>
    <n v="0.78186999999999995"/>
    <n v="0.79349999999999998"/>
    <n v="0.87961999999999996"/>
    <n v="0.83655999999999997"/>
    <n v="861.2"/>
  </r>
  <r>
    <x v="7"/>
    <x v="21"/>
    <x v="6"/>
    <n v="0.78186999999999995"/>
    <n v="0.79349999999999998"/>
    <n v="0.87961999999999996"/>
    <n v="0.83655999999999997"/>
    <n v="861.2"/>
  </r>
  <r>
    <x v="7"/>
    <x v="21"/>
    <x v="6"/>
    <n v="0.78186999999999995"/>
    <n v="0.79349999999999998"/>
    <n v="0.87961999999999996"/>
    <n v="0.83655999999999997"/>
    <n v="861.2"/>
  </r>
  <r>
    <x v="7"/>
    <x v="21"/>
    <x v="6"/>
    <n v="0.78186999999999995"/>
    <n v="0.79349999999999998"/>
    <n v="0.87961999999999996"/>
    <n v="0.83655999999999997"/>
    <n v="861.2"/>
  </r>
  <r>
    <x v="7"/>
    <x v="21"/>
    <x v="6"/>
    <n v="0.78186999999999995"/>
    <n v="0.79349999999999998"/>
    <n v="0.87961999999999996"/>
    <n v="0.83655999999999997"/>
    <n v="861.2"/>
  </r>
  <r>
    <x v="7"/>
    <x v="21"/>
    <x v="6"/>
    <n v="0.78186999999999995"/>
    <n v="0.79349999999999998"/>
    <n v="0.87961999999999996"/>
    <n v="0.83655999999999997"/>
    <n v="861.2"/>
  </r>
  <r>
    <x v="7"/>
    <x v="21"/>
    <x v="6"/>
    <n v="0.78186999999999995"/>
    <n v="0.79349999999999998"/>
    <n v="0.87961999999999996"/>
    <n v="0.83655999999999997"/>
    <n v="861.2"/>
  </r>
  <r>
    <x v="7"/>
    <x v="21"/>
    <x v="6"/>
    <n v="0.78186999999999995"/>
    <n v="0.79349999999999998"/>
    <n v="0.87961999999999996"/>
    <n v="0.83655999999999997"/>
    <n v="861.2"/>
  </r>
  <r>
    <x v="7"/>
    <x v="21"/>
    <x v="6"/>
    <n v="0.78186999999999995"/>
    <n v="0.79349999999999998"/>
    <n v="0.87961999999999996"/>
    <n v="0.83655999999999997"/>
    <n v="861.2"/>
  </r>
  <r>
    <x v="7"/>
    <x v="21"/>
    <x v="6"/>
    <n v="0.78186999999999995"/>
    <n v="0.79349999999999998"/>
    <n v="0.87961999999999996"/>
    <n v="0.83655999999999997"/>
    <n v="861.2"/>
  </r>
  <r>
    <x v="7"/>
    <x v="21"/>
    <x v="6"/>
    <n v="0.78186999999999995"/>
    <n v="0.79349999999999998"/>
    <n v="0.87961999999999996"/>
    <n v="0.83655999999999997"/>
    <n v="861.2"/>
  </r>
  <r>
    <x v="7"/>
    <x v="21"/>
    <x v="6"/>
    <n v="0.78186999999999995"/>
    <n v="0.79349999999999998"/>
    <n v="0.87961999999999996"/>
    <n v="0.83655999999999997"/>
    <n v="861.2"/>
  </r>
  <r>
    <x v="7"/>
    <x v="21"/>
    <x v="6"/>
    <n v="0.78186999999999995"/>
    <n v="0.79349999999999998"/>
    <n v="0.87961999999999996"/>
    <n v="0.83655999999999997"/>
    <n v="861.2"/>
  </r>
  <r>
    <x v="7"/>
    <x v="22"/>
    <x v="3"/>
    <n v="1.2281899999999999"/>
    <n v="1.27999"/>
    <n v="1.397"/>
    <n v="1.338495"/>
    <n v="1170.0999999999999"/>
  </r>
  <r>
    <x v="7"/>
    <x v="22"/>
    <x v="3"/>
    <n v="1.2281899999999999"/>
    <n v="1.27999"/>
    <n v="1.397"/>
    <n v="1.338495"/>
    <n v="1170.0999999999999"/>
  </r>
  <r>
    <x v="7"/>
    <x v="22"/>
    <x v="3"/>
    <n v="1.2281899999999999"/>
    <n v="1.27999"/>
    <n v="1.397"/>
    <n v="1.338495"/>
    <n v="1170.0999999999999"/>
  </r>
  <r>
    <x v="7"/>
    <x v="22"/>
    <x v="3"/>
    <n v="1.2281899999999999"/>
    <n v="1.27999"/>
    <n v="1.397"/>
    <n v="1.338495"/>
    <n v="1170.0999999999999"/>
  </r>
  <r>
    <x v="7"/>
    <x v="22"/>
    <x v="3"/>
    <n v="1.2281899999999999"/>
    <n v="1.27999"/>
    <n v="1.397"/>
    <n v="1.338495"/>
    <n v="1170.0999999999999"/>
  </r>
  <r>
    <x v="7"/>
    <x v="22"/>
    <x v="3"/>
    <n v="1.2281899999999999"/>
    <n v="1.27999"/>
    <n v="1.397"/>
    <n v="1.338495"/>
    <n v="1170.0999999999999"/>
  </r>
  <r>
    <x v="7"/>
    <x v="22"/>
    <x v="3"/>
    <n v="1.2281899999999999"/>
    <n v="1.27999"/>
    <n v="1.397"/>
    <n v="1.338495"/>
    <n v="1170.0999999999999"/>
  </r>
  <r>
    <x v="7"/>
    <x v="22"/>
    <x v="3"/>
    <n v="1.2281899999999999"/>
    <n v="1.27999"/>
    <n v="1.397"/>
    <n v="1.338495"/>
    <n v="1170.0999999999999"/>
  </r>
  <r>
    <x v="7"/>
    <x v="22"/>
    <x v="3"/>
    <n v="1.2281899999999999"/>
    <n v="1.27999"/>
    <n v="1.397"/>
    <n v="1.338495"/>
    <n v="1170.0999999999999"/>
  </r>
  <r>
    <x v="7"/>
    <x v="22"/>
    <x v="3"/>
    <n v="1.2281899999999999"/>
    <n v="1.27999"/>
    <n v="1.397"/>
    <n v="1.338495"/>
    <n v="1170.0999999999999"/>
  </r>
  <r>
    <x v="7"/>
    <x v="22"/>
    <x v="6"/>
    <n v="0.77076999999999996"/>
    <n v="0.79349999999999998"/>
    <n v="0.87961999999999996"/>
    <n v="0.83655999999999997"/>
    <n v="861.2"/>
  </r>
  <r>
    <x v="7"/>
    <x v="22"/>
    <x v="6"/>
    <n v="0.77076999999999996"/>
    <n v="0.79349999999999998"/>
    <n v="0.87961999999999996"/>
    <n v="0.83655999999999997"/>
    <n v="861.2"/>
  </r>
  <r>
    <x v="7"/>
    <x v="22"/>
    <x v="6"/>
    <n v="0.77076999999999996"/>
    <n v="0.79349999999999998"/>
    <n v="0.87961999999999996"/>
    <n v="0.83655999999999997"/>
    <n v="861.2"/>
  </r>
  <r>
    <x v="7"/>
    <x v="22"/>
    <x v="6"/>
    <n v="0.77076999999999996"/>
    <n v="0.79349999999999998"/>
    <n v="0.87961999999999996"/>
    <n v="0.83655999999999997"/>
    <n v="861.2"/>
  </r>
  <r>
    <x v="7"/>
    <x v="22"/>
    <x v="6"/>
    <n v="0.77076999999999996"/>
    <n v="0.79349999999999998"/>
    <n v="0.87961999999999996"/>
    <n v="0.83655999999999997"/>
    <n v="861.2"/>
  </r>
  <r>
    <x v="7"/>
    <x v="22"/>
    <x v="6"/>
    <n v="0.77076999999999996"/>
    <n v="0.79349999999999998"/>
    <n v="0.87961999999999996"/>
    <n v="0.83655999999999997"/>
    <n v="861.2"/>
  </r>
  <r>
    <x v="7"/>
    <x v="22"/>
    <x v="6"/>
    <n v="0.77076999999999996"/>
    <n v="0.79349999999999998"/>
    <n v="0.87961999999999996"/>
    <n v="0.83655999999999997"/>
    <n v="861.2"/>
  </r>
  <r>
    <x v="7"/>
    <x v="22"/>
    <x v="6"/>
    <n v="0.77076999999999996"/>
    <n v="0.79349999999999998"/>
    <n v="0.87961999999999996"/>
    <n v="0.83655999999999997"/>
    <n v="861.2"/>
  </r>
  <r>
    <x v="7"/>
    <x v="22"/>
    <x v="6"/>
    <n v="0.77076999999999996"/>
    <n v="0.79349999999999998"/>
    <n v="0.87961999999999996"/>
    <n v="0.83655999999999997"/>
    <n v="861.2"/>
  </r>
  <r>
    <x v="7"/>
    <x v="22"/>
    <x v="6"/>
    <n v="0.77076999999999996"/>
    <n v="0.79349999999999998"/>
    <n v="0.87961999999999996"/>
    <n v="0.83655999999999997"/>
    <n v="861.2"/>
  </r>
  <r>
    <x v="7"/>
    <x v="22"/>
    <x v="6"/>
    <n v="0.77076999999999996"/>
    <n v="0.79349999999999998"/>
    <n v="0.87961999999999996"/>
    <n v="0.83655999999999997"/>
    <n v="861.2"/>
  </r>
  <r>
    <x v="7"/>
    <x v="22"/>
    <x v="6"/>
    <n v="0.77076999999999996"/>
    <n v="0.79349999999999998"/>
    <n v="0.87961999999999996"/>
    <n v="0.83655999999999997"/>
    <n v="861.2"/>
  </r>
  <r>
    <x v="7"/>
    <x v="22"/>
    <x v="6"/>
    <n v="0.77076999999999996"/>
    <n v="0.79349999999999998"/>
    <n v="0.87961999999999996"/>
    <n v="0.83655999999999997"/>
    <n v="861.2"/>
  </r>
  <r>
    <x v="7"/>
    <x v="22"/>
    <x v="6"/>
    <n v="0.77076999999999996"/>
    <n v="0.79349999999999998"/>
    <n v="0.87961999999999996"/>
    <n v="0.83655999999999997"/>
    <n v="861.2"/>
  </r>
  <r>
    <x v="7"/>
    <x v="22"/>
    <x v="6"/>
    <n v="0.77076999999999996"/>
    <n v="0.79349999999999998"/>
    <n v="0.87961999999999996"/>
    <n v="0.83655999999999997"/>
    <n v="861.2"/>
  </r>
  <r>
    <x v="7"/>
    <x v="22"/>
    <x v="6"/>
    <n v="0.77076999999999996"/>
    <n v="0.79349999999999998"/>
    <n v="0.87961999999999996"/>
    <n v="0.83655999999999997"/>
    <n v="861.2"/>
  </r>
  <r>
    <x v="7"/>
    <x v="22"/>
    <x v="6"/>
    <n v="0.77076999999999996"/>
    <n v="0.79349999999999998"/>
    <n v="0.87961999999999996"/>
    <n v="0.83655999999999997"/>
    <n v="861.2"/>
  </r>
  <r>
    <x v="7"/>
    <x v="22"/>
    <x v="6"/>
    <n v="0.77076999999999996"/>
    <n v="0.79349999999999998"/>
    <n v="0.87961999999999996"/>
    <n v="0.83655999999999997"/>
    <n v="861.2"/>
  </r>
  <r>
    <x v="7"/>
    <x v="22"/>
    <x v="6"/>
    <n v="0.77076999999999996"/>
    <n v="0.79349999999999998"/>
    <n v="0.87961999999999996"/>
    <n v="0.83655999999999997"/>
    <n v="861.2"/>
  </r>
  <r>
    <x v="7"/>
    <x v="23"/>
    <x v="3"/>
    <n v="1.24594"/>
    <n v="1.27999"/>
    <n v="1.397"/>
    <n v="1.338495"/>
    <n v="1170.0999999999999"/>
  </r>
  <r>
    <x v="7"/>
    <x v="23"/>
    <x v="3"/>
    <n v="1.24594"/>
    <n v="1.27999"/>
    <n v="1.397"/>
    <n v="1.338495"/>
    <n v="1170.0999999999999"/>
  </r>
  <r>
    <x v="7"/>
    <x v="23"/>
    <x v="3"/>
    <n v="1.24594"/>
    <n v="1.27999"/>
    <n v="1.397"/>
    <n v="1.338495"/>
    <n v="1170.0999999999999"/>
  </r>
  <r>
    <x v="7"/>
    <x v="23"/>
    <x v="6"/>
    <n v="0.77754999999999996"/>
    <n v="0.79349999999999998"/>
    <n v="0.87961999999999996"/>
    <n v="0.83655999999999997"/>
    <n v="861.2"/>
  </r>
  <r>
    <x v="7"/>
    <x v="23"/>
    <x v="6"/>
    <n v="0.77754999999999996"/>
    <n v="0.79349999999999998"/>
    <n v="0.87961999999999996"/>
    <n v="0.83655999999999997"/>
    <n v="861.2"/>
  </r>
  <r>
    <x v="7"/>
    <x v="23"/>
    <x v="6"/>
    <n v="0.77754999999999996"/>
    <n v="0.79349999999999998"/>
    <n v="0.87961999999999996"/>
    <n v="0.83655999999999997"/>
    <n v="861.2"/>
  </r>
  <r>
    <x v="7"/>
    <x v="23"/>
    <x v="6"/>
    <n v="0.77754999999999996"/>
    <n v="0.79349999999999998"/>
    <n v="0.87961999999999996"/>
    <n v="0.83655999999999997"/>
    <n v="861.2"/>
  </r>
  <r>
    <x v="7"/>
    <x v="23"/>
    <x v="6"/>
    <n v="0.77754999999999996"/>
    <n v="0.79349999999999998"/>
    <n v="0.87961999999999996"/>
    <n v="0.83655999999999997"/>
    <n v="861.2"/>
  </r>
  <r>
    <x v="7"/>
    <x v="23"/>
    <x v="6"/>
    <n v="0.77754999999999996"/>
    <n v="0.79349999999999998"/>
    <n v="0.87961999999999996"/>
    <n v="0.83655999999999997"/>
    <n v="861.2"/>
  </r>
  <r>
    <x v="7"/>
    <x v="23"/>
    <x v="6"/>
    <n v="0.77754999999999996"/>
    <n v="0.79349999999999998"/>
    <n v="0.87961999999999996"/>
    <n v="0.83655999999999997"/>
    <n v="861.2"/>
  </r>
  <r>
    <x v="7"/>
    <x v="23"/>
    <x v="6"/>
    <n v="0.77754999999999996"/>
    <n v="0.79349999999999998"/>
    <n v="0.87961999999999996"/>
    <n v="0.83655999999999997"/>
    <n v="861.2"/>
  </r>
  <r>
    <x v="7"/>
    <x v="23"/>
    <x v="6"/>
    <n v="0.77754999999999996"/>
    <n v="0.79349999999999998"/>
    <n v="0.87961999999999996"/>
    <n v="0.83655999999999997"/>
    <n v="861.2"/>
  </r>
  <r>
    <x v="7"/>
    <x v="23"/>
    <x v="6"/>
    <n v="0.77754999999999996"/>
    <n v="0.79349999999999998"/>
    <n v="0.87961999999999996"/>
    <n v="0.83655999999999997"/>
    <n v="861.2"/>
  </r>
  <r>
    <x v="7"/>
    <x v="24"/>
    <x v="3"/>
    <n v="1.2473000000000001"/>
    <n v="1.27999"/>
    <n v="1.397"/>
    <n v="1.338495"/>
    <n v="1170.0999999999999"/>
  </r>
  <r>
    <x v="7"/>
    <x v="24"/>
    <x v="3"/>
    <n v="1.2473000000000001"/>
    <n v="1.27999"/>
    <n v="1.397"/>
    <n v="1.338495"/>
    <n v="1170.0999999999999"/>
  </r>
  <r>
    <x v="7"/>
    <x v="24"/>
    <x v="3"/>
    <n v="1.2473000000000001"/>
    <n v="1.27999"/>
    <n v="1.397"/>
    <n v="1.338495"/>
    <n v="1170.0999999999999"/>
  </r>
  <r>
    <x v="7"/>
    <x v="24"/>
    <x v="6"/>
    <n v="0.77410999999999996"/>
    <n v="0.79349999999999998"/>
    <n v="0.87961999999999996"/>
    <n v="0.83655999999999997"/>
    <n v="861.2"/>
  </r>
  <r>
    <x v="7"/>
    <x v="24"/>
    <x v="6"/>
    <n v="0.77410999999999996"/>
    <n v="0.79349999999999998"/>
    <n v="0.87961999999999996"/>
    <n v="0.83655999999999997"/>
    <n v="861.2"/>
  </r>
  <r>
    <x v="7"/>
    <x v="24"/>
    <x v="6"/>
    <n v="0.77410999999999996"/>
    <n v="0.79349999999999998"/>
    <n v="0.87961999999999996"/>
    <n v="0.83655999999999997"/>
    <n v="861.2"/>
  </r>
  <r>
    <x v="7"/>
    <x v="24"/>
    <x v="6"/>
    <n v="0.77410999999999996"/>
    <n v="0.79349999999999998"/>
    <n v="0.87961999999999996"/>
    <n v="0.83655999999999997"/>
    <n v="861.2"/>
  </r>
  <r>
    <x v="7"/>
    <x v="24"/>
    <x v="6"/>
    <n v="0.77410999999999996"/>
    <n v="0.79349999999999998"/>
    <n v="0.87961999999999996"/>
    <n v="0.83655999999999997"/>
    <n v="861.2"/>
  </r>
  <r>
    <x v="7"/>
    <x v="24"/>
    <x v="6"/>
    <n v="0.77410999999999996"/>
    <n v="0.79349999999999998"/>
    <n v="0.87961999999999996"/>
    <n v="0.83655999999999997"/>
    <n v="861.2"/>
  </r>
  <r>
    <x v="7"/>
    <x v="24"/>
    <x v="6"/>
    <n v="0.77410999999999996"/>
    <n v="0.79349999999999998"/>
    <n v="0.87961999999999996"/>
    <n v="0.83655999999999997"/>
    <n v="861.2"/>
  </r>
  <r>
    <x v="7"/>
    <x v="24"/>
    <x v="6"/>
    <n v="0.77410999999999996"/>
    <n v="0.79349999999999998"/>
    <n v="0.87961999999999996"/>
    <n v="0.83655999999999997"/>
    <n v="861.2"/>
  </r>
  <r>
    <x v="7"/>
    <x v="24"/>
    <x v="6"/>
    <n v="0.77410999999999996"/>
    <n v="0.79349999999999998"/>
    <n v="0.87961999999999996"/>
    <n v="0.83655999999999997"/>
    <n v="861.2"/>
  </r>
  <r>
    <x v="7"/>
    <x v="24"/>
    <x v="6"/>
    <n v="0.77410999999999996"/>
    <n v="0.79349999999999998"/>
    <n v="0.87961999999999996"/>
    <n v="0.83655999999999997"/>
    <n v="861.2"/>
  </r>
  <r>
    <x v="8"/>
    <x v="39"/>
    <x v="12"/>
    <m/>
    <n v="95.102000000000004"/>
    <n v="95.227999999999994"/>
    <n v="95.165000000000006"/>
    <n v="12.6"/>
  </r>
  <r>
    <x v="8"/>
    <x v="39"/>
    <x v="12"/>
    <m/>
    <n v="95.102000000000004"/>
    <n v="95.227999999999994"/>
    <n v="95.165000000000006"/>
    <n v="12.6"/>
  </r>
  <r>
    <x v="8"/>
    <x v="39"/>
    <x v="12"/>
    <m/>
    <n v="95.102000000000004"/>
    <n v="95.227999999999994"/>
    <n v="95.165000000000006"/>
    <n v="12.6"/>
  </r>
  <r>
    <x v="8"/>
    <x v="39"/>
    <x v="12"/>
    <m/>
    <n v="95.102000000000004"/>
    <n v="95.227999999999994"/>
    <n v="95.165000000000006"/>
    <n v="12.6"/>
  </r>
  <r>
    <x v="8"/>
    <x v="39"/>
    <x v="12"/>
    <m/>
    <n v="95.102000000000004"/>
    <n v="95.227999999999994"/>
    <n v="95.165000000000006"/>
    <n v="12.6"/>
  </r>
  <r>
    <x v="8"/>
    <x v="39"/>
    <x v="12"/>
    <m/>
    <n v="95.102000000000004"/>
    <n v="95.227999999999994"/>
    <n v="95.165000000000006"/>
    <n v="12.6"/>
  </r>
  <r>
    <x v="8"/>
    <x v="39"/>
    <x v="3"/>
    <m/>
    <n v="1.3539300000000001"/>
    <n v="1.3543000000000001"/>
    <n v="1.354115"/>
    <n v="3.7"/>
  </r>
  <r>
    <x v="8"/>
    <x v="39"/>
    <x v="3"/>
    <m/>
    <n v="1.3539300000000001"/>
    <n v="1.3543000000000001"/>
    <n v="1.354115"/>
    <n v="3.7"/>
  </r>
  <r>
    <x v="8"/>
    <x v="39"/>
    <x v="3"/>
    <m/>
    <n v="1.3539300000000001"/>
    <n v="1.3543000000000001"/>
    <n v="1.354115"/>
    <n v="3.7"/>
  </r>
  <r>
    <x v="8"/>
    <x v="39"/>
    <x v="3"/>
    <m/>
    <n v="1.3539300000000001"/>
    <n v="1.3543000000000001"/>
    <n v="1.354115"/>
    <n v="3.7"/>
  </r>
  <r>
    <x v="8"/>
    <x v="39"/>
    <x v="3"/>
    <m/>
    <n v="1.3539300000000001"/>
    <n v="1.3543000000000001"/>
    <n v="1.354115"/>
    <n v="3.7"/>
  </r>
  <r>
    <x v="8"/>
    <x v="39"/>
    <x v="3"/>
    <m/>
    <n v="1.3539300000000001"/>
    <n v="1.3543000000000001"/>
    <n v="1.354115"/>
    <n v="3.7"/>
  </r>
  <r>
    <x v="8"/>
    <x v="39"/>
    <x v="0"/>
    <m/>
    <n v="1.9871099999999999"/>
    <n v="1.9891099999999999"/>
    <n v="1.98811"/>
    <n v="20"/>
  </r>
  <r>
    <x v="8"/>
    <x v="39"/>
    <x v="0"/>
    <m/>
    <n v="1.9871099999999999"/>
    <n v="1.9891099999999999"/>
    <n v="1.98811"/>
    <n v="20"/>
  </r>
  <r>
    <x v="8"/>
    <x v="39"/>
    <x v="0"/>
    <m/>
    <n v="1.9871099999999999"/>
    <n v="1.9891099999999999"/>
    <n v="1.98811"/>
    <n v="20"/>
  </r>
  <r>
    <x v="8"/>
    <x v="39"/>
    <x v="0"/>
    <m/>
    <n v="1.9871099999999999"/>
    <n v="1.9891099999999999"/>
    <n v="1.98811"/>
    <n v="20"/>
  </r>
  <r>
    <x v="8"/>
    <x v="39"/>
    <x v="0"/>
    <m/>
    <n v="1.9871099999999999"/>
    <n v="1.9891099999999999"/>
    <n v="1.98811"/>
    <n v="20"/>
  </r>
  <r>
    <x v="8"/>
    <x v="39"/>
    <x v="0"/>
    <m/>
    <n v="1.9871099999999999"/>
    <n v="1.9891099999999999"/>
    <n v="1.98811"/>
    <n v="20"/>
  </r>
  <r>
    <x v="8"/>
    <x v="39"/>
    <x v="0"/>
    <m/>
    <n v="1.9871099999999999"/>
    <n v="1.9891099999999999"/>
    <n v="1.98811"/>
    <n v="20"/>
  </r>
  <r>
    <x v="8"/>
    <x v="39"/>
    <x v="0"/>
    <m/>
    <n v="1.9871099999999999"/>
    <n v="1.9891099999999999"/>
    <n v="1.98811"/>
    <n v="20"/>
  </r>
  <r>
    <x v="8"/>
    <x v="39"/>
    <x v="0"/>
    <m/>
    <n v="1.9871099999999999"/>
    <n v="1.9891099999999999"/>
    <n v="1.98811"/>
    <n v="20"/>
  </r>
  <r>
    <x v="8"/>
    <x v="39"/>
    <x v="0"/>
    <m/>
    <n v="1.9871099999999999"/>
    <n v="1.9891099999999999"/>
    <n v="1.98811"/>
    <n v="20"/>
  </r>
  <r>
    <x v="8"/>
    <x v="39"/>
    <x v="0"/>
    <m/>
    <n v="1.9871099999999999"/>
    <n v="1.9891099999999999"/>
    <n v="1.98811"/>
    <n v="20"/>
  </r>
  <r>
    <x v="8"/>
    <x v="39"/>
    <x v="0"/>
    <m/>
    <n v="1.9871099999999999"/>
    <n v="1.9891099999999999"/>
    <n v="1.98811"/>
    <n v="20"/>
  </r>
  <r>
    <x v="8"/>
    <x v="40"/>
    <x v="12"/>
    <m/>
    <n v="92.248000000000005"/>
    <n v="95.227999999999994"/>
    <n v="93.738"/>
    <n v="298"/>
  </r>
  <r>
    <x v="8"/>
    <x v="40"/>
    <x v="12"/>
    <m/>
    <n v="92.248000000000005"/>
    <n v="95.227999999999994"/>
    <n v="93.738"/>
    <n v="298"/>
  </r>
  <r>
    <x v="8"/>
    <x v="40"/>
    <x v="12"/>
    <m/>
    <n v="92.248000000000005"/>
    <n v="95.227999999999994"/>
    <n v="93.738"/>
    <n v="298"/>
  </r>
  <r>
    <x v="8"/>
    <x v="40"/>
    <x v="12"/>
    <m/>
    <n v="92.248000000000005"/>
    <n v="95.227999999999994"/>
    <n v="93.738"/>
    <n v="298"/>
  </r>
  <r>
    <x v="8"/>
    <x v="40"/>
    <x v="12"/>
    <m/>
    <n v="92.248000000000005"/>
    <n v="95.227999999999994"/>
    <n v="93.738"/>
    <n v="298"/>
  </r>
  <r>
    <x v="8"/>
    <x v="40"/>
    <x v="12"/>
    <m/>
    <n v="92.248000000000005"/>
    <n v="95.227999999999994"/>
    <n v="93.738"/>
    <n v="298"/>
  </r>
  <r>
    <x v="8"/>
    <x v="40"/>
    <x v="12"/>
    <m/>
    <n v="92.248000000000005"/>
    <n v="95.227999999999994"/>
    <n v="93.738"/>
    <n v="298"/>
  </r>
  <r>
    <x v="8"/>
    <x v="40"/>
    <x v="12"/>
    <m/>
    <n v="92.248000000000005"/>
    <n v="95.227999999999994"/>
    <n v="93.738"/>
    <n v="298"/>
  </r>
  <r>
    <x v="8"/>
    <x v="40"/>
    <x v="12"/>
    <m/>
    <n v="92.248000000000005"/>
    <n v="95.227999999999994"/>
    <n v="93.738"/>
    <n v="298"/>
  </r>
  <r>
    <x v="8"/>
    <x v="40"/>
    <x v="12"/>
    <m/>
    <n v="92.248000000000005"/>
    <n v="95.227999999999994"/>
    <n v="93.738"/>
    <n v="298"/>
  </r>
  <r>
    <x v="8"/>
    <x v="40"/>
    <x v="12"/>
    <m/>
    <n v="92.248000000000005"/>
    <n v="95.227999999999994"/>
    <n v="93.738"/>
    <n v="298"/>
  </r>
  <r>
    <x v="8"/>
    <x v="40"/>
    <x v="12"/>
    <m/>
    <n v="92.248000000000005"/>
    <n v="95.227999999999994"/>
    <n v="93.738"/>
    <n v="298"/>
  </r>
  <r>
    <x v="8"/>
    <x v="40"/>
    <x v="12"/>
    <m/>
    <n v="92.248000000000005"/>
    <n v="95.227999999999994"/>
    <n v="93.738"/>
    <n v="298"/>
  </r>
  <r>
    <x v="8"/>
    <x v="40"/>
    <x v="12"/>
    <m/>
    <n v="92.248000000000005"/>
    <n v="95.227999999999994"/>
    <n v="93.738"/>
    <n v="298"/>
  </r>
  <r>
    <x v="8"/>
    <x v="40"/>
    <x v="12"/>
    <m/>
    <n v="92.248000000000005"/>
    <n v="95.227999999999994"/>
    <n v="93.738"/>
    <n v="298"/>
  </r>
  <r>
    <x v="8"/>
    <x v="40"/>
    <x v="12"/>
    <m/>
    <n v="92.248000000000005"/>
    <n v="95.227999999999994"/>
    <n v="93.738"/>
    <n v="298"/>
  </r>
  <r>
    <x v="8"/>
    <x v="40"/>
    <x v="12"/>
    <m/>
    <n v="92.248000000000005"/>
    <n v="95.227999999999994"/>
    <n v="93.738"/>
    <n v="298"/>
  </r>
  <r>
    <x v="8"/>
    <x v="40"/>
    <x v="12"/>
    <m/>
    <n v="92.248000000000005"/>
    <n v="95.227999999999994"/>
    <n v="93.738"/>
    <n v="298"/>
  </r>
  <r>
    <x v="8"/>
    <x v="40"/>
    <x v="12"/>
    <m/>
    <n v="92.248000000000005"/>
    <n v="95.227999999999994"/>
    <n v="93.738"/>
    <n v="298"/>
  </r>
  <r>
    <x v="8"/>
    <x v="40"/>
    <x v="12"/>
    <m/>
    <n v="92.248000000000005"/>
    <n v="95.227999999999994"/>
    <n v="93.738"/>
    <n v="298"/>
  </r>
  <r>
    <x v="8"/>
    <x v="40"/>
    <x v="3"/>
    <m/>
    <n v="1.3539300000000001"/>
    <n v="1.3680600000000001"/>
    <n v="1.360995"/>
    <n v="141.30000000000001"/>
  </r>
  <r>
    <x v="8"/>
    <x v="40"/>
    <x v="3"/>
    <m/>
    <n v="1.3539300000000001"/>
    <n v="1.3680600000000001"/>
    <n v="1.360995"/>
    <n v="141.30000000000001"/>
  </r>
  <r>
    <x v="8"/>
    <x v="40"/>
    <x v="3"/>
    <m/>
    <n v="1.3539300000000001"/>
    <n v="1.3680600000000001"/>
    <n v="1.360995"/>
    <n v="141.30000000000001"/>
  </r>
  <r>
    <x v="8"/>
    <x v="40"/>
    <x v="3"/>
    <m/>
    <n v="1.3539300000000001"/>
    <n v="1.3680600000000001"/>
    <n v="1.360995"/>
    <n v="141.30000000000001"/>
  </r>
  <r>
    <x v="8"/>
    <x v="40"/>
    <x v="3"/>
    <m/>
    <n v="1.3539300000000001"/>
    <n v="1.3680600000000001"/>
    <n v="1.360995"/>
    <n v="141.30000000000001"/>
  </r>
  <r>
    <x v="8"/>
    <x v="40"/>
    <x v="3"/>
    <m/>
    <n v="1.3539300000000001"/>
    <n v="1.3680600000000001"/>
    <n v="1.360995"/>
    <n v="141.30000000000001"/>
  </r>
  <r>
    <x v="8"/>
    <x v="40"/>
    <x v="3"/>
    <m/>
    <n v="1.3539300000000001"/>
    <n v="1.3680600000000001"/>
    <n v="1.360995"/>
    <n v="141.30000000000001"/>
  </r>
  <r>
    <x v="8"/>
    <x v="40"/>
    <x v="3"/>
    <m/>
    <n v="1.3539300000000001"/>
    <n v="1.3680600000000001"/>
    <n v="1.360995"/>
    <n v="141.30000000000001"/>
  </r>
  <r>
    <x v="8"/>
    <x v="40"/>
    <x v="3"/>
    <m/>
    <n v="1.3539300000000001"/>
    <n v="1.3680600000000001"/>
    <n v="1.360995"/>
    <n v="141.30000000000001"/>
  </r>
  <r>
    <x v="8"/>
    <x v="40"/>
    <x v="0"/>
    <m/>
    <n v="1.9871099999999999"/>
    <n v="2.0049000000000001"/>
    <n v="1.996005"/>
    <n v="177.9"/>
  </r>
  <r>
    <x v="8"/>
    <x v="40"/>
    <x v="0"/>
    <m/>
    <n v="1.9871099999999999"/>
    <n v="2.0049000000000001"/>
    <n v="1.996005"/>
    <n v="177.9"/>
  </r>
  <r>
    <x v="8"/>
    <x v="40"/>
    <x v="0"/>
    <m/>
    <n v="1.9871099999999999"/>
    <n v="2.0049000000000001"/>
    <n v="1.996005"/>
    <n v="177.9"/>
  </r>
  <r>
    <x v="8"/>
    <x v="40"/>
    <x v="0"/>
    <m/>
    <n v="1.9871099999999999"/>
    <n v="2.0049000000000001"/>
    <n v="1.996005"/>
    <n v="177.9"/>
  </r>
  <r>
    <x v="8"/>
    <x v="40"/>
    <x v="0"/>
    <m/>
    <n v="1.9871099999999999"/>
    <n v="2.0049000000000001"/>
    <n v="1.996005"/>
    <n v="177.9"/>
  </r>
  <r>
    <x v="8"/>
    <x v="40"/>
    <x v="0"/>
    <m/>
    <n v="1.9871099999999999"/>
    <n v="2.0049000000000001"/>
    <n v="1.996005"/>
    <n v="177.9"/>
  </r>
  <r>
    <x v="8"/>
    <x v="40"/>
    <x v="0"/>
    <m/>
    <n v="1.9871099999999999"/>
    <n v="2.0049000000000001"/>
    <n v="1.996005"/>
    <n v="177.9"/>
  </r>
  <r>
    <x v="8"/>
    <x v="40"/>
    <x v="0"/>
    <m/>
    <n v="1.9871099999999999"/>
    <n v="2.0049000000000001"/>
    <n v="1.996005"/>
    <n v="177.9"/>
  </r>
  <r>
    <x v="8"/>
    <x v="40"/>
    <x v="0"/>
    <m/>
    <n v="1.9871099999999999"/>
    <n v="2.0049000000000001"/>
    <n v="1.996005"/>
    <n v="177.9"/>
  </r>
  <r>
    <x v="8"/>
    <x v="40"/>
    <x v="0"/>
    <m/>
    <n v="1.9871099999999999"/>
    <n v="2.0049000000000001"/>
    <n v="1.996005"/>
    <n v="177.9"/>
  </r>
  <r>
    <x v="8"/>
    <x v="40"/>
    <x v="0"/>
    <m/>
    <n v="1.9871099999999999"/>
    <n v="2.0049000000000001"/>
    <n v="1.996005"/>
    <n v="177.9"/>
  </r>
  <r>
    <x v="8"/>
    <x v="40"/>
    <x v="0"/>
    <m/>
    <n v="1.9871099999999999"/>
    <n v="2.0049000000000001"/>
    <n v="1.996005"/>
    <n v="177.9"/>
  </r>
  <r>
    <x v="8"/>
    <x v="40"/>
    <x v="0"/>
    <m/>
    <n v="1.9871099999999999"/>
    <n v="2.0049000000000001"/>
    <n v="1.996005"/>
    <n v="177.9"/>
  </r>
  <r>
    <x v="8"/>
    <x v="40"/>
    <x v="0"/>
    <m/>
    <n v="1.9871099999999999"/>
    <n v="2.0049000000000001"/>
    <n v="1.996005"/>
    <n v="177.9"/>
  </r>
  <r>
    <x v="8"/>
    <x v="40"/>
    <x v="0"/>
    <m/>
    <n v="1.9871099999999999"/>
    <n v="2.0049000000000001"/>
    <n v="1.996005"/>
    <n v="177.9"/>
  </r>
  <r>
    <x v="8"/>
    <x v="40"/>
    <x v="0"/>
    <m/>
    <n v="1.9871099999999999"/>
    <n v="2.0049000000000001"/>
    <n v="1.996005"/>
    <n v="177.9"/>
  </r>
  <r>
    <x v="8"/>
    <x v="40"/>
    <x v="0"/>
    <m/>
    <n v="1.9871099999999999"/>
    <n v="2.0049000000000001"/>
    <n v="1.996005"/>
    <n v="177.9"/>
  </r>
  <r>
    <x v="8"/>
    <x v="40"/>
    <x v="0"/>
    <m/>
    <n v="1.9871099999999999"/>
    <n v="2.0049000000000001"/>
    <n v="1.996005"/>
    <n v="177.9"/>
  </r>
  <r>
    <x v="8"/>
    <x v="40"/>
    <x v="0"/>
    <m/>
    <n v="1.9871099999999999"/>
    <n v="2.0049000000000001"/>
    <n v="1.996005"/>
    <n v="177.9"/>
  </r>
  <r>
    <x v="8"/>
    <x v="40"/>
    <x v="0"/>
    <m/>
    <n v="1.9871099999999999"/>
    <n v="2.0049000000000001"/>
    <n v="1.996005"/>
    <n v="177.9"/>
  </r>
  <r>
    <x v="8"/>
    <x v="41"/>
    <x v="12"/>
    <m/>
    <n v="91.638999999999996"/>
    <n v="95.227999999999994"/>
    <n v="93.433499999999995"/>
    <n v="358.9"/>
  </r>
  <r>
    <x v="8"/>
    <x v="41"/>
    <x v="12"/>
    <m/>
    <n v="91.638999999999996"/>
    <n v="95.227999999999994"/>
    <n v="93.433499999999995"/>
    <n v="358.9"/>
  </r>
  <r>
    <x v="8"/>
    <x v="41"/>
    <x v="12"/>
    <m/>
    <n v="91.638999999999996"/>
    <n v="95.227999999999994"/>
    <n v="93.433499999999995"/>
    <n v="358.9"/>
  </r>
  <r>
    <x v="8"/>
    <x v="41"/>
    <x v="12"/>
    <m/>
    <n v="91.638999999999996"/>
    <n v="95.227999999999994"/>
    <n v="93.433499999999995"/>
    <n v="358.9"/>
  </r>
  <r>
    <x v="8"/>
    <x v="41"/>
    <x v="12"/>
    <m/>
    <n v="91.638999999999996"/>
    <n v="95.227999999999994"/>
    <n v="93.433499999999995"/>
    <n v="358.9"/>
  </r>
  <r>
    <x v="8"/>
    <x v="41"/>
    <x v="12"/>
    <m/>
    <n v="91.638999999999996"/>
    <n v="95.227999999999994"/>
    <n v="93.433499999999995"/>
    <n v="358.9"/>
  </r>
  <r>
    <x v="8"/>
    <x v="41"/>
    <x v="12"/>
    <m/>
    <n v="91.638999999999996"/>
    <n v="95.227999999999994"/>
    <n v="93.433499999999995"/>
    <n v="358.9"/>
  </r>
  <r>
    <x v="8"/>
    <x v="41"/>
    <x v="12"/>
    <m/>
    <n v="91.638999999999996"/>
    <n v="95.227999999999994"/>
    <n v="93.433499999999995"/>
    <n v="358.9"/>
  </r>
  <r>
    <x v="8"/>
    <x v="41"/>
    <x v="12"/>
    <m/>
    <n v="91.638999999999996"/>
    <n v="95.227999999999994"/>
    <n v="93.433499999999995"/>
    <n v="358.9"/>
  </r>
  <r>
    <x v="8"/>
    <x v="41"/>
    <x v="12"/>
    <m/>
    <n v="91.638999999999996"/>
    <n v="95.227999999999994"/>
    <n v="93.433499999999995"/>
    <n v="358.9"/>
  </r>
  <r>
    <x v="8"/>
    <x v="41"/>
    <x v="12"/>
    <m/>
    <n v="91.638999999999996"/>
    <n v="95.227999999999994"/>
    <n v="93.433499999999995"/>
    <n v="358.9"/>
  </r>
  <r>
    <x v="8"/>
    <x v="41"/>
    <x v="12"/>
    <m/>
    <n v="91.638999999999996"/>
    <n v="95.227999999999994"/>
    <n v="93.433499999999995"/>
    <n v="358.9"/>
  </r>
  <r>
    <x v="8"/>
    <x v="41"/>
    <x v="12"/>
    <m/>
    <n v="91.638999999999996"/>
    <n v="95.227999999999994"/>
    <n v="93.433499999999995"/>
    <n v="358.9"/>
  </r>
  <r>
    <x v="8"/>
    <x v="41"/>
    <x v="12"/>
    <m/>
    <n v="91.638999999999996"/>
    <n v="95.227999999999994"/>
    <n v="93.433499999999995"/>
    <n v="358.9"/>
  </r>
  <r>
    <x v="8"/>
    <x v="41"/>
    <x v="12"/>
    <m/>
    <n v="91.638999999999996"/>
    <n v="95.227999999999994"/>
    <n v="93.433499999999995"/>
    <n v="358.9"/>
  </r>
  <r>
    <x v="8"/>
    <x v="41"/>
    <x v="12"/>
    <m/>
    <n v="91.638999999999996"/>
    <n v="95.227999999999994"/>
    <n v="93.433499999999995"/>
    <n v="358.9"/>
  </r>
  <r>
    <x v="8"/>
    <x v="41"/>
    <x v="12"/>
    <m/>
    <n v="91.638999999999996"/>
    <n v="95.227999999999994"/>
    <n v="93.433499999999995"/>
    <n v="358.9"/>
  </r>
  <r>
    <x v="8"/>
    <x v="41"/>
    <x v="12"/>
    <m/>
    <n v="91.638999999999996"/>
    <n v="95.227999999999994"/>
    <n v="93.433499999999995"/>
    <n v="358.9"/>
  </r>
  <r>
    <x v="8"/>
    <x v="41"/>
    <x v="12"/>
    <m/>
    <n v="91.638999999999996"/>
    <n v="95.227999999999994"/>
    <n v="93.433499999999995"/>
    <n v="358.9"/>
  </r>
  <r>
    <x v="8"/>
    <x v="41"/>
    <x v="12"/>
    <m/>
    <n v="91.638999999999996"/>
    <n v="95.227999999999994"/>
    <n v="93.433499999999995"/>
    <n v="358.9"/>
  </r>
  <r>
    <x v="8"/>
    <x v="41"/>
    <x v="12"/>
    <m/>
    <n v="91.638999999999996"/>
    <n v="95.227999999999994"/>
    <n v="93.433499999999995"/>
    <n v="358.9"/>
  </r>
  <r>
    <x v="8"/>
    <x v="41"/>
    <x v="12"/>
    <m/>
    <n v="91.638999999999996"/>
    <n v="95.227999999999994"/>
    <n v="93.433499999999995"/>
    <n v="358.9"/>
  </r>
  <r>
    <x v="8"/>
    <x v="41"/>
    <x v="12"/>
    <m/>
    <n v="91.638999999999996"/>
    <n v="95.227999999999994"/>
    <n v="93.433499999999995"/>
    <n v="358.9"/>
  </r>
  <r>
    <x v="8"/>
    <x v="41"/>
    <x v="12"/>
    <m/>
    <n v="91.638999999999996"/>
    <n v="95.227999999999994"/>
    <n v="93.433499999999995"/>
    <n v="358.9"/>
  </r>
  <r>
    <x v="8"/>
    <x v="41"/>
    <x v="12"/>
    <m/>
    <n v="91.638999999999996"/>
    <n v="95.227999999999994"/>
    <n v="93.433499999999995"/>
    <n v="358.9"/>
  </r>
  <r>
    <x v="8"/>
    <x v="41"/>
    <x v="3"/>
    <m/>
    <n v="1.3484100000000001"/>
    <n v="1.3680600000000001"/>
    <n v="1.3582350000000001"/>
    <n v="196.5"/>
  </r>
  <r>
    <x v="8"/>
    <x v="41"/>
    <x v="3"/>
    <m/>
    <n v="1.3484100000000001"/>
    <n v="1.3680600000000001"/>
    <n v="1.3582350000000001"/>
    <n v="196.5"/>
  </r>
  <r>
    <x v="8"/>
    <x v="41"/>
    <x v="3"/>
    <m/>
    <n v="1.3484100000000001"/>
    <n v="1.3680600000000001"/>
    <n v="1.3582350000000001"/>
    <n v="196.5"/>
  </r>
  <r>
    <x v="8"/>
    <x v="41"/>
    <x v="3"/>
    <m/>
    <n v="1.3484100000000001"/>
    <n v="1.3680600000000001"/>
    <n v="1.3582350000000001"/>
    <n v="196.5"/>
  </r>
  <r>
    <x v="8"/>
    <x v="41"/>
    <x v="3"/>
    <m/>
    <n v="1.3484100000000001"/>
    <n v="1.3680600000000001"/>
    <n v="1.3582350000000001"/>
    <n v="196.5"/>
  </r>
  <r>
    <x v="8"/>
    <x v="41"/>
    <x v="3"/>
    <m/>
    <n v="1.3484100000000001"/>
    <n v="1.3680600000000001"/>
    <n v="1.3582350000000001"/>
    <n v="196.5"/>
  </r>
  <r>
    <x v="8"/>
    <x v="41"/>
    <x v="3"/>
    <m/>
    <n v="1.3484100000000001"/>
    <n v="1.3680600000000001"/>
    <n v="1.3582350000000001"/>
    <n v="196.5"/>
  </r>
  <r>
    <x v="8"/>
    <x v="41"/>
    <x v="3"/>
    <m/>
    <n v="1.3484100000000001"/>
    <n v="1.3680600000000001"/>
    <n v="1.3582350000000001"/>
    <n v="196.5"/>
  </r>
  <r>
    <x v="8"/>
    <x v="41"/>
    <x v="3"/>
    <m/>
    <n v="1.3484100000000001"/>
    <n v="1.3680600000000001"/>
    <n v="1.3582350000000001"/>
    <n v="196.5"/>
  </r>
  <r>
    <x v="8"/>
    <x v="41"/>
    <x v="3"/>
    <m/>
    <n v="1.3484100000000001"/>
    <n v="1.3680600000000001"/>
    <n v="1.3582350000000001"/>
    <n v="196.5"/>
  </r>
  <r>
    <x v="8"/>
    <x v="41"/>
    <x v="0"/>
    <m/>
    <n v="1.9871099999999999"/>
    <n v="2.0350999999999999"/>
    <n v="2.0111050000000001"/>
    <n v="479.9"/>
  </r>
  <r>
    <x v="8"/>
    <x v="41"/>
    <x v="0"/>
    <m/>
    <n v="1.9871099999999999"/>
    <n v="2.0350999999999999"/>
    <n v="2.0111050000000001"/>
    <n v="479.9"/>
  </r>
  <r>
    <x v="8"/>
    <x v="41"/>
    <x v="0"/>
    <m/>
    <n v="1.9871099999999999"/>
    <n v="2.0350999999999999"/>
    <n v="2.0111050000000001"/>
    <n v="479.9"/>
  </r>
  <r>
    <x v="8"/>
    <x v="41"/>
    <x v="0"/>
    <m/>
    <n v="1.9871099999999999"/>
    <n v="2.0350999999999999"/>
    <n v="2.0111050000000001"/>
    <n v="479.9"/>
  </r>
  <r>
    <x v="8"/>
    <x v="41"/>
    <x v="0"/>
    <m/>
    <n v="1.9871099999999999"/>
    <n v="2.0350999999999999"/>
    <n v="2.0111050000000001"/>
    <n v="479.9"/>
  </r>
  <r>
    <x v="8"/>
    <x v="41"/>
    <x v="0"/>
    <m/>
    <n v="1.9871099999999999"/>
    <n v="2.0350999999999999"/>
    <n v="2.0111050000000001"/>
    <n v="479.9"/>
  </r>
  <r>
    <x v="8"/>
    <x v="41"/>
    <x v="0"/>
    <m/>
    <n v="1.9871099999999999"/>
    <n v="2.0350999999999999"/>
    <n v="2.0111050000000001"/>
    <n v="479.9"/>
  </r>
  <r>
    <x v="8"/>
    <x v="41"/>
    <x v="0"/>
    <m/>
    <n v="1.9871099999999999"/>
    <n v="2.0350999999999999"/>
    <n v="2.0111050000000001"/>
    <n v="479.9"/>
  </r>
  <r>
    <x v="8"/>
    <x v="41"/>
    <x v="0"/>
    <m/>
    <n v="1.9871099999999999"/>
    <n v="2.0350999999999999"/>
    <n v="2.0111050000000001"/>
    <n v="479.9"/>
  </r>
  <r>
    <x v="8"/>
    <x v="41"/>
    <x v="0"/>
    <m/>
    <n v="1.9871099999999999"/>
    <n v="2.0350999999999999"/>
    <n v="2.0111050000000001"/>
    <n v="479.9"/>
  </r>
  <r>
    <x v="8"/>
    <x v="41"/>
    <x v="0"/>
    <m/>
    <n v="1.9871099999999999"/>
    <n v="2.0350999999999999"/>
    <n v="2.0111050000000001"/>
    <n v="479.9"/>
  </r>
  <r>
    <x v="8"/>
    <x v="41"/>
    <x v="0"/>
    <m/>
    <n v="1.9871099999999999"/>
    <n v="2.0350999999999999"/>
    <n v="2.0111050000000001"/>
    <n v="479.9"/>
  </r>
  <r>
    <x v="8"/>
    <x v="41"/>
    <x v="0"/>
    <m/>
    <n v="1.9871099999999999"/>
    <n v="2.0350999999999999"/>
    <n v="2.0111050000000001"/>
    <n v="479.9"/>
  </r>
  <r>
    <x v="8"/>
    <x v="41"/>
    <x v="0"/>
    <m/>
    <n v="1.9871099999999999"/>
    <n v="2.0350999999999999"/>
    <n v="2.0111050000000001"/>
    <n v="479.9"/>
  </r>
  <r>
    <x v="8"/>
    <x v="41"/>
    <x v="0"/>
    <m/>
    <n v="1.9871099999999999"/>
    <n v="2.0350999999999999"/>
    <n v="2.0111050000000001"/>
    <n v="479.9"/>
  </r>
  <r>
    <x v="8"/>
    <x v="41"/>
    <x v="0"/>
    <m/>
    <n v="1.9871099999999999"/>
    <n v="2.0350999999999999"/>
    <n v="2.0111050000000001"/>
    <n v="479.9"/>
  </r>
  <r>
    <x v="8"/>
    <x v="41"/>
    <x v="0"/>
    <m/>
    <n v="1.9871099999999999"/>
    <n v="2.0350999999999999"/>
    <n v="2.0111050000000001"/>
    <n v="479.9"/>
  </r>
  <r>
    <x v="8"/>
    <x v="41"/>
    <x v="0"/>
    <m/>
    <n v="1.9871099999999999"/>
    <n v="2.0350999999999999"/>
    <n v="2.0111050000000001"/>
    <n v="479.9"/>
  </r>
  <r>
    <x v="8"/>
    <x v="41"/>
    <x v="0"/>
    <m/>
    <n v="1.9871099999999999"/>
    <n v="2.0350999999999999"/>
    <n v="2.0111050000000001"/>
    <n v="479.9"/>
  </r>
  <r>
    <x v="8"/>
    <x v="41"/>
    <x v="0"/>
    <m/>
    <n v="1.9871099999999999"/>
    <n v="2.0350999999999999"/>
    <n v="2.0111050000000001"/>
    <n v="479.9"/>
  </r>
  <r>
    <x v="8"/>
    <x v="41"/>
    <x v="0"/>
    <m/>
    <n v="1.9871099999999999"/>
    <n v="2.0350999999999999"/>
    <n v="2.0111050000000001"/>
    <n v="479.9"/>
  </r>
  <r>
    <x v="8"/>
    <x v="41"/>
    <x v="0"/>
    <m/>
    <n v="1.9871099999999999"/>
    <n v="2.0350999999999999"/>
    <n v="2.0111050000000001"/>
    <n v="479.9"/>
  </r>
  <r>
    <x v="8"/>
    <x v="41"/>
    <x v="0"/>
    <m/>
    <n v="1.9871099999999999"/>
    <n v="2.0350999999999999"/>
    <n v="2.0111050000000001"/>
    <n v="479.9"/>
  </r>
  <r>
    <x v="8"/>
    <x v="41"/>
    <x v="0"/>
    <m/>
    <n v="1.9871099999999999"/>
    <n v="2.0350999999999999"/>
    <n v="2.0111050000000001"/>
    <n v="479.9"/>
  </r>
  <r>
    <x v="8"/>
    <x v="41"/>
    <x v="0"/>
    <m/>
    <n v="1.9871099999999999"/>
    <n v="2.0350999999999999"/>
    <n v="2.0111050000000001"/>
    <n v="479.9"/>
  </r>
  <r>
    <x v="8"/>
    <x v="42"/>
    <x v="12"/>
    <m/>
    <n v="91.638999999999996"/>
    <n v="95.227999999999994"/>
    <n v="93.433499999999995"/>
    <n v="358.9"/>
  </r>
  <r>
    <x v="8"/>
    <x v="42"/>
    <x v="12"/>
    <m/>
    <n v="91.638999999999996"/>
    <n v="95.227999999999994"/>
    <n v="93.433499999999995"/>
    <n v="358.9"/>
  </r>
  <r>
    <x v="8"/>
    <x v="42"/>
    <x v="12"/>
    <m/>
    <n v="91.638999999999996"/>
    <n v="95.227999999999994"/>
    <n v="93.433499999999995"/>
    <n v="358.9"/>
  </r>
  <r>
    <x v="8"/>
    <x v="42"/>
    <x v="12"/>
    <m/>
    <n v="91.638999999999996"/>
    <n v="95.227999999999994"/>
    <n v="93.433499999999995"/>
    <n v="358.9"/>
  </r>
  <r>
    <x v="8"/>
    <x v="42"/>
    <x v="12"/>
    <m/>
    <n v="91.638999999999996"/>
    <n v="95.227999999999994"/>
    <n v="93.433499999999995"/>
    <n v="358.9"/>
  </r>
  <r>
    <x v="8"/>
    <x v="42"/>
    <x v="12"/>
    <m/>
    <n v="91.638999999999996"/>
    <n v="95.227999999999994"/>
    <n v="93.433499999999995"/>
    <n v="358.9"/>
  </r>
  <r>
    <x v="8"/>
    <x v="42"/>
    <x v="12"/>
    <m/>
    <n v="91.638999999999996"/>
    <n v="95.227999999999994"/>
    <n v="93.433499999999995"/>
    <n v="358.9"/>
  </r>
  <r>
    <x v="8"/>
    <x v="42"/>
    <x v="12"/>
    <m/>
    <n v="91.638999999999996"/>
    <n v="95.227999999999994"/>
    <n v="93.433499999999995"/>
    <n v="358.9"/>
  </r>
  <r>
    <x v="8"/>
    <x v="42"/>
    <x v="12"/>
    <m/>
    <n v="91.638999999999996"/>
    <n v="95.227999999999994"/>
    <n v="93.433499999999995"/>
    <n v="358.9"/>
  </r>
  <r>
    <x v="8"/>
    <x v="42"/>
    <x v="12"/>
    <m/>
    <n v="91.638999999999996"/>
    <n v="95.227999999999994"/>
    <n v="93.433499999999995"/>
    <n v="358.9"/>
  </r>
  <r>
    <x v="8"/>
    <x v="42"/>
    <x v="12"/>
    <m/>
    <n v="91.638999999999996"/>
    <n v="95.227999999999994"/>
    <n v="93.433499999999995"/>
    <n v="358.9"/>
  </r>
  <r>
    <x v="8"/>
    <x v="42"/>
    <x v="12"/>
    <m/>
    <n v="91.638999999999996"/>
    <n v="95.227999999999994"/>
    <n v="93.433499999999995"/>
    <n v="358.9"/>
  </r>
  <r>
    <x v="8"/>
    <x v="42"/>
    <x v="12"/>
    <m/>
    <n v="91.638999999999996"/>
    <n v="95.227999999999994"/>
    <n v="93.433499999999995"/>
    <n v="358.9"/>
  </r>
  <r>
    <x v="8"/>
    <x v="42"/>
    <x v="12"/>
    <m/>
    <n v="91.638999999999996"/>
    <n v="95.227999999999994"/>
    <n v="93.433499999999995"/>
    <n v="358.9"/>
  </r>
  <r>
    <x v="8"/>
    <x v="42"/>
    <x v="12"/>
    <m/>
    <n v="91.638999999999996"/>
    <n v="95.227999999999994"/>
    <n v="93.433499999999995"/>
    <n v="358.9"/>
  </r>
  <r>
    <x v="8"/>
    <x v="42"/>
    <x v="12"/>
    <m/>
    <n v="91.638999999999996"/>
    <n v="95.227999999999994"/>
    <n v="93.433499999999995"/>
    <n v="358.9"/>
  </r>
  <r>
    <x v="8"/>
    <x v="42"/>
    <x v="12"/>
    <m/>
    <n v="91.638999999999996"/>
    <n v="95.227999999999994"/>
    <n v="93.433499999999995"/>
    <n v="358.9"/>
  </r>
  <r>
    <x v="8"/>
    <x v="42"/>
    <x v="12"/>
    <m/>
    <n v="91.638999999999996"/>
    <n v="95.227999999999994"/>
    <n v="93.433499999999995"/>
    <n v="358.9"/>
  </r>
  <r>
    <x v="8"/>
    <x v="42"/>
    <x v="12"/>
    <m/>
    <n v="91.638999999999996"/>
    <n v="95.227999999999994"/>
    <n v="93.433499999999995"/>
    <n v="358.9"/>
  </r>
  <r>
    <x v="8"/>
    <x v="42"/>
    <x v="12"/>
    <m/>
    <n v="91.638999999999996"/>
    <n v="95.227999999999994"/>
    <n v="93.433499999999995"/>
    <n v="358.9"/>
  </r>
  <r>
    <x v="8"/>
    <x v="42"/>
    <x v="12"/>
    <m/>
    <n v="91.638999999999996"/>
    <n v="95.227999999999994"/>
    <n v="93.433499999999995"/>
    <n v="358.9"/>
  </r>
  <r>
    <x v="8"/>
    <x v="42"/>
    <x v="12"/>
    <m/>
    <n v="91.638999999999996"/>
    <n v="95.227999999999994"/>
    <n v="93.433499999999995"/>
    <n v="358.9"/>
  </r>
  <r>
    <x v="8"/>
    <x v="42"/>
    <x v="12"/>
    <m/>
    <n v="91.638999999999996"/>
    <n v="95.227999999999994"/>
    <n v="93.433499999999995"/>
    <n v="358.9"/>
  </r>
  <r>
    <x v="8"/>
    <x v="42"/>
    <x v="12"/>
    <m/>
    <n v="91.638999999999996"/>
    <n v="95.227999999999994"/>
    <n v="93.433499999999995"/>
    <n v="358.9"/>
  </r>
  <r>
    <x v="8"/>
    <x v="42"/>
    <x v="12"/>
    <m/>
    <n v="91.638999999999996"/>
    <n v="95.227999999999994"/>
    <n v="93.433499999999995"/>
    <n v="358.9"/>
  </r>
  <r>
    <x v="8"/>
    <x v="42"/>
    <x v="12"/>
    <m/>
    <n v="91.638999999999996"/>
    <n v="95.227999999999994"/>
    <n v="93.433499999999995"/>
    <n v="358.9"/>
  </r>
  <r>
    <x v="8"/>
    <x v="42"/>
    <x v="12"/>
    <m/>
    <n v="91.638999999999996"/>
    <n v="95.227999999999994"/>
    <n v="93.433499999999995"/>
    <n v="358.9"/>
  </r>
  <r>
    <x v="8"/>
    <x v="42"/>
    <x v="3"/>
    <m/>
    <n v="1.3484100000000001"/>
    <n v="1.3680600000000001"/>
    <n v="1.3582350000000001"/>
    <n v="196.5"/>
  </r>
  <r>
    <x v="8"/>
    <x v="42"/>
    <x v="3"/>
    <m/>
    <n v="1.3484100000000001"/>
    <n v="1.3680600000000001"/>
    <n v="1.3582350000000001"/>
    <n v="196.5"/>
  </r>
  <r>
    <x v="8"/>
    <x v="42"/>
    <x v="3"/>
    <m/>
    <n v="1.3484100000000001"/>
    <n v="1.3680600000000001"/>
    <n v="1.3582350000000001"/>
    <n v="196.5"/>
  </r>
  <r>
    <x v="8"/>
    <x v="42"/>
    <x v="3"/>
    <m/>
    <n v="1.3484100000000001"/>
    <n v="1.3680600000000001"/>
    <n v="1.3582350000000001"/>
    <n v="196.5"/>
  </r>
  <r>
    <x v="8"/>
    <x v="42"/>
    <x v="3"/>
    <m/>
    <n v="1.3484100000000001"/>
    <n v="1.3680600000000001"/>
    <n v="1.3582350000000001"/>
    <n v="196.5"/>
  </r>
  <r>
    <x v="8"/>
    <x v="42"/>
    <x v="3"/>
    <m/>
    <n v="1.3484100000000001"/>
    <n v="1.3680600000000001"/>
    <n v="1.3582350000000001"/>
    <n v="196.5"/>
  </r>
  <r>
    <x v="8"/>
    <x v="42"/>
    <x v="3"/>
    <m/>
    <n v="1.3484100000000001"/>
    <n v="1.3680600000000001"/>
    <n v="1.3582350000000001"/>
    <n v="196.5"/>
  </r>
  <r>
    <x v="8"/>
    <x v="42"/>
    <x v="3"/>
    <m/>
    <n v="1.3484100000000001"/>
    <n v="1.3680600000000001"/>
    <n v="1.3582350000000001"/>
    <n v="196.5"/>
  </r>
  <r>
    <x v="8"/>
    <x v="42"/>
    <x v="3"/>
    <m/>
    <n v="1.3484100000000001"/>
    <n v="1.3680600000000001"/>
    <n v="1.3582350000000001"/>
    <n v="196.5"/>
  </r>
  <r>
    <x v="8"/>
    <x v="42"/>
    <x v="3"/>
    <m/>
    <n v="1.3484100000000001"/>
    <n v="1.3680600000000001"/>
    <n v="1.3582350000000001"/>
    <n v="196.5"/>
  </r>
  <r>
    <x v="8"/>
    <x v="42"/>
    <x v="0"/>
    <m/>
    <n v="1.97664"/>
    <n v="2.0350999999999999"/>
    <n v="2.0058699999999998"/>
    <n v="584.6"/>
  </r>
  <r>
    <x v="8"/>
    <x v="42"/>
    <x v="0"/>
    <m/>
    <n v="1.97664"/>
    <n v="2.0350999999999999"/>
    <n v="2.0058699999999998"/>
    <n v="584.6"/>
  </r>
  <r>
    <x v="8"/>
    <x v="42"/>
    <x v="0"/>
    <m/>
    <n v="1.97664"/>
    <n v="2.0350999999999999"/>
    <n v="2.0058699999999998"/>
    <n v="584.6"/>
  </r>
  <r>
    <x v="8"/>
    <x v="42"/>
    <x v="0"/>
    <m/>
    <n v="1.97664"/>
    <n v="2.0350999999999999"/>
    <n v="2.0058699999999998"/>
    <n v="584.6"/>
  </r>
  <r>
    <x v="8"/>
    <x v="42"/>
    <x v="0"/>
    <m/>
    <n v="1.97664"/>
    <n v="2.0350999999999999"/>
    <n v="2.0058699999999998"/>
    <n v="584.6"/>
  </r>
  <r>
    <x v="8"/>
    <x v="42"/>
    <x v="0"/>
    <m/>
    <n v="1.97664"/>
    <n v="2.0350999999999999"/>
    <n v="2.0058699999999998"/>
    <n v="584.6"/>
  </r>
  <r>
    <x v="8"/>
    <x v="42"/>
    <x v="0"/>
    <m/>
    <n v="1.97664"/>
    <n v="2.0350999999999999"/>
    <n v="2.0058699999999998"/>
    <n v="584.6"/>
  </r>
  <r>
    <x v="8"/>
    <x v="42"/>
    <x v="0"/>
    <m/>
    <n v="1.97664"/>
    <n v="2.0350999999999999"/>
    <n v="2.0058699999999998"/>
    <n v="584.6"/>
  </r>
  <r>
    <x v="8"/>
    <x v="42"/>
    <x v="0"/>
    <m/>
    <n v="1.97664"/>
    <n v="2.0350999999999999"/>
    <n v="2.0058699999999998"/>
    <n v="584.6"/>
  </r>
  <r>
    <x v="8"/>
    <x v="42"/>
    <x v="0"/>
    <m/>
    <n v="1.97664"/>
    <n v="2.0350999999999999"/>
    <n v="2.0058699999999998"/>
    <n v="584.6"/>
  </r>
  <r>
    <x v="8"/>
    <x v="42"/>
    <x v="0"/>
    <m/>
    <n v="1.97664"/>
    <n v="2.0350999999999999"/>
    <n v="2.0058699999999998"/>
    <n v="584.6"/>
  </r>
  <r>
    <x v="8"/>
    <x v="42"/>
    <x v="0"/>
    <m/>
    <n v="1.97664"/>
    <n v="2.0350999999999999"/>
    <n v="2.0058699999999998"/>
    <n v="584.6"/>
  </r>
  <r>
    <x v="8"/>
    <x v="42"/>
    <x v="0"/>
    <m/>
    <n v="1.97664"/>
    <n v="2.0350999999999999"/>
    <n v="2.0058699999999998"/>
    <n v="584.6"/>
  </r>
  <r>
    <x v="8"/>
    <x v="42"/>
    <x v="0"/>
    <m/>
    <n v="1.97664"/>
    <n v="2.0350999999999999"/>
    <n v="2.0058699999999998"/>
    <n v="584.6"/>
  </r>
  <r>
    <x v="8"/>
    <x v="42"/>
    <x v="0"/>
    <m/>
    <n v="1.97664"/>
    <n v="2.0350999999999999"/>
    <n v="2.0058699999999998"/>
    <n v="584.6"/>
  </r>
  <r>
    <x v="8"/>
    <x v="42"/>
    <x v="0"/>
    <m/>
    <n v="1.97664"/>
    <n v="2.0350999999999999"/>
    <n v="2.0058699999999998"/>
    <n v="584.6"/>
  </r>
  <r>
    <x v="8"/>
    <x v="42"/>
    <x v="0"/>
    <m/>
    <n v="1.97664"/>
    <n v="2.0350999999999999"/>
    <n v="2.0058699999999998"/>
    <n v="584.6"/>
  </r>
  <r>
    <x v="8"/>
    <x v="42"/>
    <x v="0"/>
    <m/>
    <n v="1.97664"/>
    <n v="2.0350999999999999"/>
    <n v="2.0058699999999998"/>
    <n v="584.6"/>
  </r>
  <r>
    <x v="8"/>
    <x v="42"/>
    <x v="0"/>
    <m/>
    <n v="1.97664"/>
    <n v="2.0350999999999999"/>
    <n v="2.0058699999999998"/>
    <n v="584.6"/>
  </r>
  <r>
    <x v="8"/>
    <x v="42"/>
    <x v="0"/>
    <m/>
    <n v="1.97664"/>
    <n v="2.0350999999999999"/>
    <n v="2.0058699999999998"/>
    <n v="584.6"/>
  </r>
  <r>
    <x v="8"/>
    <x v="42"/>
    <x v="0"/>
    <m/>
    <n v="1.97664"/>
    <n v="2.0350999999999999"/>
    <n v="2.0058699999999998"/>
    <n v="584.6"/>
  </r>
  <r>
    <x v="8"/>
    <x v="42"/>
    <x v="0"/>
    <m/>
    <n v="1.97664"/>
    <n v="2.0350999999999999"/>
    <n v="2.0058699999999998"/>
    <n v="584.6"/>
  </r>
  <r>
    <x v="8"/>
    <x v="42"/>
    <x v="0"/>
    <m/>
    <n v="1.97664"/>
    <n v="2.0350999999999999"/>
    <n v="2.0058699999999998"/>
    <n v="584.6"/>
  </r>
  <r>
    <x v="8"/>
    <x v="42"/>
    <x v="0"/>
    <m/>
    <n v="1.97664"/>
    <n v="2.0350999999999999"/>
    <n v="2.0058699999999998"/>
    <n v="584.6"/>
  </r>
  <r>
    <x v="8"/>
    <x v="42"/>
    <x v="0"/>
    <m/>
    <n v="1.97664"/>
    <n v="2.0350999999999999"/>
    <n v="2.0058699999999998"/>
    <n v="584.6"/>
  </r>
  <r>
    <x v="8"/>
    <x v="43"/>
    <x v="12"/>
    <m/>
    <n v="91.638999999999996"/>
    <n v="95.227999999999994"/>
    <n v="93.433499999999995"/>
    <n v="358.9"/>
  </r>
  <r>
    <x v="8"/>
    <x v="43"/>
    <x v="12"/>
    <m/>
    <n v="91.638999999999996"/>
    <n v="95.227999999999994"/>
    <n v="93.433499999999995"/>
    <n v="358.9"/>
  </r>
  <r>
    <x v="8"/>
    <x v="43"/>
    <x v="12"/>
    <m/>
    <n v="91.638999999999996"/>
    <n v="95.227999999999994"/>
    <n v="93.433499999999995"/>
    <n v="358.9"/>
  </r>
  <r>
    <x v="8"/>
    <x v="43"/>
    <x v="12"/>
    <m/>
    <n v="91.638999999999996"/>
    <n v="95.227999999999994"/>
    <n v="93.433499999999995"/>
    <n v="358.9"/>
  </r>
  <r>
    <x v="8"/>
    <x v="43"/>
    <x v="12"/>
    <m/>
    <n v="91.638999999999996"/>
    <n v="95.227999999999994"/>
    <n v="93.433499999999995"/>
    <n v="358.9"/>
  </r>
  <r>
    <x v="8"/>
    <x v="43"/>
    <x v="12"/>
    <m/>
    <n v="91.638999999999996"/>
    <n v="95.227999999999994"/>
    <n v="93.433499999999995"/>
    <n v="358.9"/>
  </r>
  <r>
    <x v="8"/>
    <x v="43"/>
    <x v="12"/>
    <m/>
    <n v="91.638999999999996"/>
    <n v="95.227999999999994"/>
    <n v="93.433499999999995"/>
    <n v="358.9"/>
  </r>
  <r>
    <x v="8"/>
    <x v="43"/>
    <x v="12"/>
    <m/>
    <n v="91.638999999999996"/>
    <n v="95.227999999999994"/>
    <n v="93.433499999999995"/>
    <n v="358.9"/>
  </r>
  <r>
    <x v="8"/>
    <x v="43"/>
    <x v="12"/>
    <m/>
    <n v="91.638999999999996"/>
    <n v="95.227999999999994"/>
    <n v="93.433499999999995"/>
    <n v="358.9"/>
  </r>
  <r>
    <x v="8"/>
    <x v="43"/>
    <x v="12"/>
    <m/>
    <n v="91.638999999999996"/>
    <n v="95.227999999999994"/>
    <n v="93.433499999999995"/>
    <n v="358.9"/>
  </r>
  <r>
    <x v="8"/>
    <x v="43"/>
    <x v="12"/>
    <m/>
    <n v="91.638999999999996"/>
    <n v="95.227999999999994"/>
    <n v="93.433499999999995"/>
    <n v="358.9"/>
  </r>
  <r>
    <x v="8"/>
    <x v="43"/>
    <x v="12"/>
    <m/>
    <n v="91.638999999999996"/>
    <n v="95.227999999999994"/>
    <n v="93.433499999999995"/>
    <n v="358.9"/>
  </r>
  <r>
    <x v="8"/>
    <x v="43"/>
    <x v="12"/>
    <m/>
    <n v="91.638999999999996"/>
    <n v="95.227999999999994"/>
    <n v="93.433499999999995"/>
    <n v="358.9"/>
  </r>
  <r>
    <x v="8"/>
    <x v="43"/>
    <x v="12"/>
    <m/>
    <n v="91.638999999999996"/>
    <n v="95.227999999999994"/>
    <n v="93.433499999999995"/>
    <n v="358.9"/>
  </r>
  <r>
    <x v="8"/>
    <x v="43"/>
    <x v="12"/>
    <m/>
    <n v="91.638999999999996"/>
    <n v="95.227999999999994"/>
    <n v="93.433499999999995"/>
    <n v="358.9"/>
  </r>
  <r>
    <x v="8"/>
    <x v="43"/>
    <x v="12"/>
    <m/>
    <n v="91.638999999999996"/>
    <n v="95.227999999999994"/>
    <n v="93.433499999999995"/>
    <n v="358.9"/>
  </r>
  <r>
    <x v="8"/>
    <x v="43"/>
    <x v="12"/>
    <m/>
    <n v="91.638999999999996"/>
    <n v="95.227999999999994"/>
    <n v="93.433499999999995"/>
    <n v="358.9"/>
  </r>
  <r>
    <x v="8"/>
    <x v="43"/>
    <x v="12"/>
    <m/>
    <n v="91.638999999999996"/>
    <n v="95.227999999999994"/>
    <n v="93.433499999999995"/>
    <n v="358.9"/>
  </r>
  <r>
    <x v="8"/>
    <x v="43"/>
    <x v="12"/>
    <m/>
    <n v="91.638999999999996"/>
    <n v="95.227999999999994"/>
    <n v="93.433499999999995"/>
    <n v="358.9"/>
  </r>
  <r>
    <x v="8"/>
    <x v="43"/>
    <x v="12"/>
    <m/>
    <n v="91.638999999999996"/>
    <n v="95.227999999999994"/>
    <n v="93.433499999999995"/>
    <n v="358.9"/>
  </r>
  <r>
    <x v="8"/>
    <x v="43"/>
    <x v="12"/>
    <m/>
    <n v="91.638999999999996"/>
    <n v="95.227999999999994"/>
    <n v="93.433499999999995"/>
    <n v="358.9"/>
  </r>
  <r>
    <x v="8"/>
    <x v="43"/>
    <x v="12"/>
    <m/>
    <n v="91.638999999999996"/>
    <n v="95.227999999999994"/>
    <n v="93.433499999999995"/>
    <n v="358.9"/>
  </r>
  <r>
    <x v="8"/>
    <x v="43"/>
    <x v="12"/>
    <m/>
    <n v="91.638999999999996"/>
    <n v="95.227999999999994"/>
    <n v="93.433499999999995"/>
    <n v="358.9"/>
  </r>
  <r>
    <x v="8"/>
    <x v="43"/>
    <x v="12"/>
    <m/>
    <n v="91.638999999999996"/>
    <n v="95.227999999999994"/>
    <n v="93.433499999999995"/>
    <n v="358.9"/>
  </r>
  <r>
    <x v="8"/>
    <x v="43"/>
    <x v="12"/>
    <m/>
    <n v="91.638999999999996"/>
    <n v="95.227999999999994"/>
    <n v="93.433499999999995"/>
    <n v="358.9"/>
  </r>
  <r>
    <x v="8"/>
    <x v="43"/>
    <x v="12"/>
    <m/>
    <n v="91.638999999999996"/>
    <n v="95.227999999999994"/>
    <n v="93.433499999999995"/>
    <n v="358.9"/>
  </r>
  <r>
    <x v="8"/>
    <x v="43"/>
    <x v="12"/>
    <m/>
    <n v="91.638999999999996"/>
    <n v="95.227999999999994"/>
    <n v="93.433499999999995"/>
    <n v="358.9"/>
  </r>
  <r>
    <x v="8"/>
    <x v="43"/>
    <x v="3"/>
    <m/>
    <n v="1.3484100000000001"/>
    <n v="1.36941"/>
    <n v="1.3589100000000001"/>
    <n v="210"/>
  </r>
  <r>
    <x v="8"/>
    <x v="43"/>
    <x v="3"/>
    <m/>
    <n v="1.3484100000000001"/>
    <n v="1.36941"/>
    <n v="1.3589100000000001"/>
    <n v="210"/>
  </r>
  <r>
    <x v="8"/>
    <x v="43"/>
    <x v="3"/>
    <m/>
    <n v="1.3484100000000001"/>
    <n v="1.36941"/>
    <n v="1.3589100000000001"/>
    <n v="210"/>
  </r>
  <r>
    <x v="8"/>
    <x v="43"/>
    <x v="3"/>
    <m/>
    <n v="1.3484100000000001"/>
    <n v="1.36941"/>
    <n v="1.3589100000000001"/>
    <n v="210"/>
  </r>
  <r>
    <x v="8"/>
    <x v="43"/>
    <x v="3"/>
    <m/>
    <n v="1.3484100000000001"/>
    <n v="1.36941"/>
    <n v="1.3589100000000001"/>
    <n v="210"/>
  </r>
  <r>
    <x v="8"/>
    <x v="43"/>
    <x v="3"/>
    <m/>
    <n v="1.3484100000000001"/>
    <n v="1.36941"/>
    <n v="1.3589100000000001"/>
    <n v="210"/>
  </r>
  <r>
    <x v="8"/>
    <x v="43"/>
    <x v="3"/>
    <m/>
    <n v="1.3484100000000001"/>
    <n v="1.36941"/>
    <n v="1.3589100000000001"/>
    <n v="210"/>
  </r>
  <r>
    <x v="8"/>
    <x v="43"/>
    <x v="3"/>
    <m/>
    <n v="1.3484100000000001"/>
    <n v="1.36941"/>
    <n v="1.3589100000000001"/>
    <n v="210"/>
  </r>
  <r>
    <x v="8"/>
    <x v="43"/>
    <x v="3"/>
    <m/>
    <n v="1.3484100000000001"/>
    <n v="1.36941"/>
    <n v="1.3589100000000001"/>
    <n v="210"/>
  </r>
  <r>
    <x v="8"/>
    <x v="43"/>
    <x v="3"/>
    <m/>
    <n v="1.3484100000000001"/>
    <n v="1.36941"/>
    <n v="1.3589100000000001"/>
    <n v="210"/>
  </r>
  <r>
    <x v="8"/>
    <x v="43"/>
    <x v="0"/>
    <m/>
    <n v="1.97664"/>
    <n v="2.0350999999999999"/>
    <n v="2.0058699999999998"/>
    <n v="584.6"/>
  </r>
  <r>
    <x v="8"/>
    <x v="43"/>
    <x v="0"/>
    <m/>
    <n v="1.97664"/>
    <n v="2.0350999999999999"/>
    <n v="2.0058699999999998"/>
    <n v="584.6"/>
  </r>
  <r>
    <x v="8"/>
    <x v="43"/>
    <x v="0"/>
    <m/>
    <n v="1.97664"/>
    <n v="2.0350999999999999"/>
    <n v="2.0058699999999998"/>
    <n v="584.6"/>
  </r>
  <r>
    <x v="8"/>
    <x v="43"/>
    <x v="0"/>
    <m/>
    <n v="1.97664"/>
    <n v="2.0350999999999999"/>
    <n v="2.0058699999999998"/>
    <n v="584.6"/>
  </r>
  <r>
    <x v="8"/>
    <x v="43"/>
    <x v="0"/>
    <m/>
    <n v="1.97664"/>
    <n v="2.0350999999999999"/>
    <n v="2.0058699999999998"/>
    <n v="584.6"/>
  </r>
  <r>
    <x v="8"/>
    <x v="43"/>
    <x v="0"/>
    <m/>
    <n v="1.97664"/>
    <n v="2.0350999999999999"/>
    <n v="2.0058699999999998"/>
    <n v="584.6"/>
  </r>
  <r>
    <x v="8"/>
    <x v="43"/>
    <x v="0"/>
    <m/>
    <n v="1.97664"/>
    <n v="2.0350999999999999"/>
    <n v="2.0058699999999998"/>
    <n v="584.6"/>
  </r>
  <r>
    <x v="8"/>
    <x v="43"/>
    <x v="0"/>
    <m/>
    <n v="1.97664"/>
    <n v="2.0350999999999999"/>
    <n v="2.0058699999999998"/>
    <n v="584.6"/>
  </r>
  <r>
    <x v="8"/>
    <x v="43"/>
    <x v="0"/>
    <m/>
    <n v="1.97664"/>
    <n v="2.0350999999999999"/>
    <n v="2.0058699999999998"/>
    <n v="584.6"/>
  </r>
  <r>
    <x v="8"/>
    <x v="43"/>
    <x v="0"/>
    <m/>
    <n v="1.97664"/>
    <n v="2.0350999999999999"/>
    <n v="2.0058699999999998"/>
    <n v="584.6"/>
  </r>
  <r>
    <x v="8"/>
    <x v="43"/>
    <x v="0"/>
    <m/>
    <n v="1.97664"/>
    <n v="2.0350999999999999"/>
    <n v="2.0058699999999998"/>
    <n v="584.6"/>
  </r>
  <r>
    <x v="8"/>
    <x v="43"/>
    <x v="0"/>
    <m/>
    <n v="1.97664"/>
    <n v="2.0350999999999999"/>
    <n v="2.0058699999999998"/>
    <n v="584.6"/>
  </r>
  <r>
    <x v="8"/>
    <x v="43"/>
    <x v="0"/>
    <m/>
    <n v="1.97664"/>
    <n v="2.0350999999999999"/>
    <n v="2.0058699999999998"/>
    <n v="584.6"/>
  </r>
  <r>
    <x v="8"/>
    <x v="43"/>
    <x v="0"/>
    <m/>
    <n v="1.97664"/>
    <n v="2.0350999999999999"/>
    <n v="2.0058699999999998"/>
    <n v="584.6"/>
  </r>
  <r>
    <x v="8"/>
    <x v="43"/>
    <x v="0"/>
    <m/>
    <n v="1.97664"/>
    <n v="2.0350999999999999"/>
    <n v="2.0058699999999998"/>
    <n v="584.6"/>
  </r>
  <r>
    <x v="8"/>
    <x v="43"/>
    <x v="0"/>
    <m/>
    <n v="1.97664"/>
    <n v="2.0350999999999999"/>
    <n v="2.0058699999999998"/>
    <n v="584.6"/>
  </r>
  <r>
    <x v="8"/>
    <x v="43"/>
    <x v="0"/>
    <m/>
    <n v="1.97664"/>
    <n v="2.0350999999999999"/>
    <n v="2.0058699999999998"/>
    <n v="584.6"/>
  </r>
  <r>
    <x v="8"/>
    <x v="43"/>
    <x v="0"/>
    <m/>
    <n v="1.97664"/>
    <n v="2.0350999999999999"/>
    <n v="2.0058699999999998"/>
    <n v="584.6"/>
  </r>
  <r>
    <x v="8"/>
    <x v="43"/>
    <x v="0"/>
    <m/>
    <n v="1.97664"/>
    <n v="2.0350999999999999"/>
    <n v="2.0058699999999998"/>
    <n v="584.6"/>
  </r>
  <r>
    <x v="8"/>
    <x v="43"/>
    <x v="0"/>
    <m/>
    <n v="1.97664"/>
    <n v="2.0350999999999999"/>
    <n v="2.0058699999999998"/>
    <n v="584.6"/>
  </r>
  <r>
    <x v="8"/>
    <x v="43"/>
    <x v="0"/>
    <m/>
    <n v="1.97664"/>
    <n v="2.0350999999999999"/>
    <n v="2.0058699999999998"/>
    <n v="584.6"/>
  </r>
  <r>
    <x v="8"/>
    <x v="43"/>
    <x v="0"/>
    <m/>
    <n v="1.97664"/>
    <n v="2.0350999999999999"/>
    <n v="2.0058699999999998"/>
    <n v="584.6"/>
  </r>
  <r>
    <x v="8"/>
    <x v="43"/>
    <x v="0"/>
    <m/>
    <n v="1.97664"/>
    <n v="2.0350999999999999"/>
    <n v="2.0058699999999998"/>
    <n v="584.6"/>
  </r>
  <r>
    <x v="8"/>
    <x v="43"/>
    <x v="0"/>
    <m/>
    <n v="1.97664"/>
    <n v="2.0350999999999999"/>
    <n v="2.0058699999999998"/>
    <n v="584.6"/>
  </r>
  <r>
    <x v="8"/>
    <x v="43"/>
    <x v="0"/>
    <m/>
    <n v="1.97664"/>
    <n v="2.0350999999999999"/>
    <n v="2.0058699999999998"/>
    <n v="584.6"/>
  </r>
  <r>
    <x v="8"/>
    <x v="44"/>
    <x v="12"/>
    <m/>
    <n v="91.638999999999996"/>
    <n v="95.227999999999994"/>
    <n v="93.433499999999995"/>
    <n v="358.9"/>
  </r>
  <r>
    <x v="8"/>
    <x v="44"/>
    <x v="12"/>
    <m/>
    <n v="91.638999999999996"/>
    <n v="95.227999999999994"/>
    <n v="93.433499999999995"/>
    <n v="358.9"/>
  </r>
  <r>
    <x v="8"/>
    <x v="44"/>
    <x v="12"/>
    <m/>
    <n v="91.638999999999996"/>
    <n v="95.227999999999994"/>
    <n v="93.433499999999995"/>
    <n v="358.9"/>
  </r>
  <r>
    <x v="8"/>
    <x v="44"/>
    <x v="12"/>
    <m/>
    <n v="91.638999999999996"/>
    <n v="95.227999999999994"/>
    <n v="93.433499999999995"/>
    <n v="358.9"/>
  </r>
  <r>
    <x v="8"/>
    <x v="44"/>
    <x v="12"/>
    <m/>
    <n v="91.638999999999996"/>
    <n v="95.227999999999994"/>
    <n v="93.433499999999995"/>
    <n v="358.9"/>
  </r>
  <r>
    <x v="8"/>
    <x v="44"/>
    <x v="12"/>
    <m/>
    <n v="91.638999999999996"/>
    <n v="95.227999999999994"/>
    <n v="93.433499999999995"/>
    <n v="358.9"/>
  </r>
  <r>
    <x v="8"/>
    <x v="44"/>
    <x v="12"/>
    <m/>
    <n v="91.638999999999996"/>
    <n v="95.227999999999994"/>
    <n v="93.433499999999995"/>
    <n v="358.9"/>
  </r>
  <r>
    <x v="8"/>
    <x v="44"/>
    <x v="12"/>
    <m/>
    <n v="91.638999999999996"/>
    <n v="95.227999999999994"/>
    <n v="93.433499999999995"/>
    <n v="358.9"/>
  </r>
  <r>
    <x v="8"/>
    <x v="44"/>
    <x v="12"/>
    <m/>
    <n v="91.638999999999996"/>
    <n v="95.227999999999994"/>
    <n v="93.433499999999995"/>
    <n v="358.9"/>
  </r>
  <r>
    <x v="8"/>
    <x v="44"/>
    <x v="12"/>
    <m/>
    <n v="91.638999999999996"/>
    <n v="95.227999999999994"/>
    <n v="93.433499999999995"/>
    <n v="358.9"/>
  </r>
  <r>
    <x v="8"/>
    <x v="44"/>
    <x v="12"/>
    <m/>
    <n v="91.638999999999996"/>
    <n v="95.227999999999994"/>
    <n v="93.433499999999995"/>
    <n v="358.9"/>
  </r>
  <r>
    <x v="8"/>
    <x v="44"/>
    <x v="12"/>
    <m/>
    <n v="91.638999999999996"/>
    <n v="95.227999999999994"/>
    <n v="93.433499999999995"/>
    <n v="358.9"/>
  </r>
  <r>
    <x v="8"/>
    <x v="44"/>
    <x v="12"/>
    <m/>
    <n v="91.638999999999996"/>
    <n v="95.227999999999994"/>
    <n v="93.433499999999995"/>
    <n v="358.9"/>
  </r>
  <r>
    <x v="8"/>
    <x v="44"/>
    <x v="12"/>
    <m/>
    <n v="91.638999999999996"/>
    <n v="95.227999999999994"/>
    <n v="93.433499999999995"/>
    <n v="358.9"/>
  </r>
  <r>
    <x v="8"/>
    <x v="44"/>
    <x v="12"/>
    <m/>
    <n v="91.638999999999996"/>
    <n v="95.227999999999994"/>
    <n v="93.433499999999995"/>
    <n v="358.9"/>
  </r>
  <r>
    <x v="8"/>
    <x v="44"/>
    <x v="12"/>
    <m/>
    <n v="91.638999999999996"/>
    <n v="95.227999999999994"/>
    <n v="93.433499999999995"/>
    <n v="358.9"/>
  </r>
  <r>
    <x v="8"/>
    <x v="44"/>
    <x v="12"/>
    <m/>
    <n v="91.638999999999996"/>
    <n v="95.227999999999994"/>
    <n v="93.433499999999995"/>
    <n v="358.9"/>
  </r>
  <r>
    <x v="8"/>
    <x v="44"/>
    <x v="12"/>
    <m/>
    <n v="91.638999999999996"/>
    <n v="95.227999999999994"/>
    <n v="93.433499999999995"/>
    <n v="358.9"/>
  </r>
  <r>
    <x v="8"/>
    <x v="44"/>
    <x v="12"/>
    <m/>
    <n v="91.638999999999996"/>
    <n v="95.227999999999994"/>
    <n v="93.433499999999995"/>
    <n v="358.9"/>
  </r>
  <r>
    <x v="8"/>
    <x v="44"/>
    <x v="12"/>
    <m/>
    <n v="91.638999999999996"/>
    <n v="95.227999999999994"/>
    <n v="93.433499999999995"/>
    <n v="358.9"/>
  </r>
  <r>
    <x v="8"/>
    <x v="44"/>
    <x v="12"/>
    <m/>
    <n v="91.638999999999996"/>
    <n v="95.227999999999994"/>
    <n v="93.433499999999995"/>
    <n v="358.9"/>
  </r>
  <r>
    <x v="8"/>
    <x v="44"/>
    <x v="12"/>
    <m/>
    <n v="91.638999999999996"/>
    <n v="95.227999999999994"/>
    <n v="93.433499999999995"/>
    <n v="358.9"/>
  </r>
  <r>
    <x v="8"/>
    <x v="44"/>
    <x v="12"/>
    <m/>
    <n v="91.638999999999996"/>
    <n v="95.227999999999994"/>
    <n v="93.433499999999995"/>
    <n v="358.9"/>
  </r>
  <r>
    <x v="8"/>
    <x v="44"/>
    <x v="12"/>
    <m/>
    <n v="91.638999999999996"/>
    <n v="95.227999999999994"/>
    <n v="93.433499999999995"/>
    <n v="358.9"/>
  </r>
  <r>
    <x v="8"/>
    <x v="44"/>
    <x v="12"/>
    <m/>
    <n v="91.638999999999996"/>
    <n v="95.227999999999994"/>
    <n v="93.433499999999995"/>
    <n v="358.9"/>
  </r>
  <r>
    <x v="8"/>
    <x v="44"/>
    <x v="12"/>
    <m/>
    <n v="91.638999999999996"/>
    <n v="95.227999999999994"/>
    <n v="93.433499999999995"/>
    <n v="358.9"/>
  </r>
  <r>
    <x v="8"/>
    <x v="44"/>
    <x v="12"/>
    <m/>
    <n v="91.638999999999996"/>
    <n v="95.227999999999994"/>
    <n v="93.433499999999995"/>
    <n v="358.9"/>
  </r>
  <r>
    <x v="8"/>
    <x v="44"/>
    <x v="3"/>
    <m/>
    <n v="1.3484100000000001"/>
    <n v="1.37409"/>
    <n v="1.3612500000000001"/>
    <n v="256.8"/>
  </r>
  <r>
    <x v="8"/>
    <x v="44"/>
    <x v="3"/>
    <m/>
    <n v="1.3484100000000001"/>
    <n v="1.37409"/>
    <n v="1.3612500000000001"/>
    <n v="256.8"/>
  </r>
  <r>
    <x v="8"/>
    <x v="44"/>
    <x v="3"/>
    <m/>
    <n v="1.3484100000000001"/>
    <n v="1.37409"/>
    <n v="1.3612500000000001"/>
    <n v="256.8"/>
  </r>
  <r>
    <x v="8"/>
    <x v="44"/>
    <x v="3"/>
    <m/>
    <n v="1.3484100000000001"/>
    <n v="1.37409"/>
    <n v="1.3612500000000001"/>
    <n v="256.8"/>
  </r>
  <r>
    <x v="8"/>
    <x v="44"/>
    <x v="3"/>
    <m/>
    <n v="1.3484100000000001"/>
    <n v="1.37409"/>
    <n v="1.3612500000000001"/>
    <n v="256.8"/>
  </r>
  <r>
    <x v="8"/>
    <x v="44"/>
    <x v="3"/>
    <m/>
    <n v="1.3484100000000001"/>
    <n v="1.37409"/>
    <n v="1.3612500000000001"/>
    <n v="256.8"/>
  </r>
  <r>
    <x v="8"/>
    <x v="44"/>
    <x v="3"/>
    <m/>
    <n v="1.3484100000000001"/>
    <n v="1.37409"/>
    <n v="1.3612500000000001"/>
    <n v="256.8"/>
  </r>
  <r>
    <x v="8"/>
    <x v="44"/>
    <x v="3"/>
    <m/>
    <n v="1.3484100000000001"/>
    <n v="1.37409"/>
    <n v="1.3612500000000001"/>
    <n v="256.8"/>
  </r>
  <r>
    <x v="8"/>
    <x v="44"/>
    <x v="3"/>
    <m/>
    <n v="1.3484100000000001"/>
    <n v="1.37409"/>
    <n v="1.3612500000000001"/>
    <n v="256.8"/>
  </r>
  <r>
    <x v="8"/>
    <x v="44"/>
    <x v="3"/>
    <m/>
    <n v="1.3484100000000001"/>
    <n v="1.37409"/>
    <n v="1.3612500000000001"/>
    <n v="256.8"/>
  </r>
  <r>
    <x v="8"/>
    <x v="44"/>
    <x v="3"/>
    <m/>
    <n v="1.3484100000000001"/>
    <n v="1.37409"/>
    <n v="1.3612500000000001"/>
    <n v="256.8"/>
  </r>
  <r>
    <x v="8"/>
    <x v="44"/>
    <x v="0"/>
    <m/>
    <n v="1.97664"/>
    <n v="2.0350999999999999"/>
    <n v="2.0058699999999998"/>
    <n v="584.6"/>
  </r>
  <r>
    <x v="8"/>
    <x v="44"/>
    <x v="0"/>
    <m/>
    <n v="1.97664"/>
    <n v="2.0350999999999999"/>
    <n v="2.0058699999999998"/>
    <n v="584.6"/>
  </r>
  <r>
    <x v="8"/>
    <x v="44"/>
    <x v="0"/>
    <m/>
    <n v="1.97664"/>
    <n v="2.0350999999999999"/>
    <n v="2.0058699999999998"/>
    <n v="584.6"/>
  </r>
  <r>
    <x v="8"/>
    <x v="44"/>
    <x v="0"/>
    <m/>
    <n v="1.97664"/>
    <n v="2.0350999999999999"/>
    <n v="2.0058699999999998"/>
    <n v="584.6"/>
  </r>
  <r>
    <x v="8"/>
    <x v="44"/>
    <x v="0"/>
    <m/>
    <n v="1.97664"/>
    <n v="2.0350999999999999"/>
    <n v="2.0058699999999998"/>
    <n v="584.6"/>
  </r>
  <r>
    <x v="8"/>
    <x v="44"/>
    <x v="0"/>
    <m/>
    <n v="1.97664"/>
    <n v="2.0350999999999999"/>
    <n v="2.0058699999999998"/>
    <n v="584.6"/>
  </r>
  <r>
    <x v="8"/>
    <x v="44"/>
    <x v="0"/>
    <m/>
    <n v="1.97664"/>
    <n v="2.0350999999999999"/>
    <n v="2.0058699999999998"/>
    <n v="584.6"/>
  </r>
  <r>
    <x v="8"/>
    <x v="44"/>
    <x v="0"/>
    <m/>
    <n v="1.97664"/>
    <n v="2.0350999999999999"/>
    <n v="2.0058699999999998"/>
    <n v="584.6"/>
  </r>
  <r>
    <x v="8"/>
    <x v="44"/>
    <x v="0"/>
    <m/>
    <n v="1.97664"/>
    <n v="2.0350999999999999"/>
    <n v="2.0058699999999998"/>
    <n v="584.6"/>
  </r>
  <r>
    <x v="8"/>
    <x v="44"/>
    <x v="0"/>
    <m/>
    <n v="1.97664"/>
    <n v="2.0350999999999999"/>
    <n v="2.0058699999999998"/>
    <n v="584.6"/>
  </r>
  <r>
    <x v="8"/>
    <x v="44"/>
    <x v="0"/>
    <m/>
    <n v="1.97664"/>
    <n v="2.0350999999999999"/>
    <n v="2.0058699999999998"/>
    <n v="584.6"/>
  </r>
  <r>
    <x v="8"/>
    <x v="44"/>
    <x v="0"/>
    <m/>
    <n v="1.97664"/>
    <n v="2.0350999999999999"/>
    <n v="2.0058699999999998"/>
    <n v="584.6"/>
  </r>
  <r>
    <x v="8"/>
    <x v="44"/>
    <x v="0"/>
    <m/>
    <n v="1.97664"/>
    <n v="2.0350999999999999"/>
    <n v="2.0058699999999998"/>
    <n v="584.6"/>
  </r>
  <r>
    <x v="8"/>
    <x v="44"/>
    <x v="0"/>
    <m/>
    <n v="1.97664"/>
    <n v="2.0350999999999999"/>
    <n v="2.0058699999999998"/>
    <n v="584.6"/>
  </r>
  <r>
    <x v="8"/>
    <x v="44"/>
    <x v="0"/>
    <m/>
    <n v="1.97664"/>
    <n v="2.0350999999999999"/>
    <n v="2.0058699999999998"/>
    <n v="584.6"/>
  </r>
  <r>
    <x v="8"/>
    <x v="44"/>
    <x v="0"/>
    <m/>
    <n v="1.97664"/>
    <n v="2.0350999999999999"/>
    <n v="2.0058699999999998"/>
    <n v="584.6"/>
  </r>
  <r>
    <x v="8"/>
    <x v="44"/>
    <x v="0"/>
    <m/>
    <n v="1.97664"/>
    <n v="2.0350999999999999"/>
    <n v="2.0058699999999998"/>
    <n v="584.6"/>
  </r>
  <r>
    <x v="8"/>
    <x v="44"/>
    <x v="0"/>
    <m/>
    <n v="1.97664"/>
    <n v="2.0350999999999999"/>
    <n v="2.0058699999999998"/>
    <n v="584.6"/>
  </r>
  <r>
    <x v="8"/>
    <x v="44"/>
    <x v="0"/>
    <m/>
    <n v="1.97664"/>
    <n v="2.0350999999999999"/>
    <n v="2.0058699999999998"/>
    <n v="584.6"/>
  </r>
  <r>
    <x v="8"/>
    <x v="44"/>
    <x v="0"/>
    <m/>
    <n v="1.97664"/>
    <n v="2.0350999999999999"/>
    <n v="2.0058699999999998"/>
    <n v="584.6"/>
  </r>
  <r>
    <x v="8"/>
    <x v="44"/>
    <x v="0"/>
    <m/>
    <n v="1.97664"/>
    <n v="2.0350999999999999"/>
    <n v="2.0058699999999998"/>
    <n v="584.6"/>
  </r>
  <r>
    <x v="8"/>
    <x v="44"/>
    <x v="0"/>
    <m/>
    <n v="1.97664"/>
    <n v="2.0350999999999999"/>
    <n v="2.0058699999999998"/>
    <n v="584.6"/>
  </r>
  <r>
    <x v="8"/>
    <x v="44"/>
    <x v="0"/>
    <m/>
    <n v="1.97664"/>
    <n v="2.0350999999999999"/>
    <n v="2.0058699999999998"/>
    <n v="584.6"/>
  </r>
  <r>
    <x v="8"/>
    <x v="44"/>
    <x v="0"/>
    <m/>
    <n v="1.97664"/>
    <n v="2.0350999999999999"/>
    <n v="2.0058699999999998"/>
    <n v="584.6"/>
  </r>
  <r>
    <x v="8"/>
    <x v="45"/>
    <x v="0"/>
    <m/>
    <n v="1.97664"/>
    <n v="2.0350999999999999"/>
    <n v="2.0058699999999998"/>
    <n v="584.6"/>
  </r>
  <r>
    <x v="8"/>
    <x v="45"/>
    <x v="12"/>
    <m/>
    <n v="91.638999999999996"/>
    <n v="95.227999999999994"/>
    <n v="93.433499999999995"/>
    <n v="358.9"/>
  </r>
  <r>
    <x v="8"/>
    <x v="45"/>
    <x v="12"/>
    <m/>
    <n v="91.638999999999996"/>
    <n v="95.227999999999994"/>
    <n v="93.433499999999995"/>
    <n v="358.9"/>
  </r>
  <r>
    <x v="8"/>
    <x v="45"/>
    <x v="12"/>
    <m/>
    <n v="91.638999999999996"/>
    <n v="95.227999999999994"/>
    <n v="93.433499999999995"/>
    <n v="358.9"/>
  </r>
  <r>
    <x v="8"/>
    <x v="45"/>
    <x v="12"/>
    <m/>
    <n v="91.638999999999996"/>
    <n v="95.227999999999994"/>
    <n v="93.433499999999995"/>
    <n v="358.9"/>
  </r>
  <r>
    <x v="8"/>
    <x v="45"/>
    <x v="12"/>
    <m/>
    <n v="91.638999999999996"/>
    <n v="95.227999999999994"/>
    <n v="93.433499999999995"/>
    <n v="358.9"/>
  </r>
  <r>
    <x v="8"/>
    <x v="45"/>
    <x v="12"/>
    <m/>
    <n v="91.638999999999996"/>
    <n v="95.227999999999994"/>
    <n v="93.433499999999995"/>
    <n v="358.9"/>
  </r>
  <r>
    <x v="8"/>
    <x v="45"/>
    <x v="12"/>
    <m/>
    <n v="91.638999999999996"/>
    <n v="95.227999999999994"/>
    <n v="93.433499999999995"/>
    <n v="358.9"/>
  </r>
  <r>
    <x v="8"/>
    <x v="45"/>
    <x v="12"/>
    <m/>
    <n v="91.638999999999996"/>
    <n v="95.227999999999994"/>
    <n v="93.433499999999995"/>
    <n v="358.9"/>
  </r>
  <r>
    <x v="8"/>
    <x v="45"/>
    <x v="12"/>
    <m/>
    <n v="91.638999999999996"/>
    <n v="95.227999999999994"/>
    <n v="93.433499999999995"/>
    <n v="358.9"/>
  </r>
  <r>
    <x v="8"/>
    <x v="45"/>
    <x v="12"/>
    <m/>
    <n v="91.638999999999996"/>
    <n v="95.227999999999994"/>
    <n v="93.433499999999995"/>
    <n v="358.9"/>
  </r>
  <r>
    <x v="8"/>
    <x v="45"/>
    <x v="12"/>
    <m/>
    <n v="91.638999999999996"/>
    <n v="95.227999999999994"/>
    <n v="93.433499999999995"/>
    <n v="358.9"/>
  </r>
  <r>
    <x v="8"/>
    <x v="45"/>
    <x v="12"/>
    <m/>
    <n v="91.638999999999996"/>
    <n v="95.227999999999994"/>
    <n v="93.433499999999995"/>
    <n v="358.9"/>
  </r>
  <r>
    <x v="8"/>
    <x v="45"/>
    <x v="12"/>
    <m/>
    <n v="91.638999999999996"/>
    <n v="95.227999999999994"/>
    <n v="93.433499999999995"/>
    <n v="358.9"/>
  </r>
  <r>
    <x v="8"/>
    <x v="45"/>
    <x v="12"/>
    <m/>
    <n v="91.638999999999996"/>
    <n v="95.227999999999994"/>
    <n v="93.433499999999995"/>
    <n v="358.9"/>
  </r>
  <r>
    <x v="8"/>
    <x v="45"/>
    <x v="12"/>
    <m/>
    <n v="91.638999999999996"/>
    <n v="95.227999999999994"/>
    <n v="93.433499999999995"/>
    <n v="358.9"/>
  </r>
  <r>
    <x v="8"/>
    <x v="45"/>
    <x v="12"/>
    <m/>
    <n v="91.638999999999996"/>
    <n v="95.227999999999994"/>
    <n v="93.433499999999995"/>
    <n v="358.9"/>
  </r>
  <r>
    <x v="8"/>
    <x v="45"/>
    <x v="12"/>
    <m/>
    <n v="91.638999999999996"/>
    <n v="95.227999999999994"/>
    <n v="93.433499999999995"/>
    <n v="358.9"/>
  </r>
  <r>
    <x v="8"/>
    <x v="45"/>
    <x v="12"/>
    <m/>
    <n v="91.638999999999996"/>
    <n v="95.227999999999994"/>
    <n v="93.433499999999995"/>
    <n v="358.9"/>
  </r>
  <r>
    <x v="8"/>
    <x v="45"/>
    <x v="12"/>
    <m/>
    <n v="91.638999999999996"/>
    <n v="95.227999999999994"/>
    <n v="93.433499999999995"/>
    <n v="358.9"/>
  </r>
  <r>
    <x v="8"/>
    <x v="45"/>
    <x v="12"/>
    <m/>
    <n v="91.638999999999996"/>
    <n v="95.227999999999994"/>
    <n v="93.433499999999995"/>
    <n v="358.9"/>
  </r>
  <r>
    <x v="8"/>
    <x v="45"/>
    <x v="12"/>
    <m/>
    <n v="91.638999999999996"/>
    <n v="95.227999999999994"/>
    <n v="93.433499999999995"/>
    <n v="358.9"/>
  </r>
  <r>
    <x v="8"/>
    <x v="45"/>
    <x v="12"/>
    <m/>
    <n v="91.638999999999996"/>
    <n v="95.227999999999994"/>
    <n v="93.433499999999995"/>
    <n v="358.9"/>
  </r>
  <r>
    <x v="8"/>
    <x v="45"/>
    <x v="12"/>
    <m/>
    <n v="91.638999999999996"/>
    <n v="95.227999999999994"/>
    <n v="93.433499999999995"/>
    <n v="358.9"/>
  </r>
  <r>
    <x v="8"/>
    <x v="45"/>
    <x v="12"/>
    <m/>
    <n v="91.638999999999996"/>
    <n v="95.227999999999994"/>
    <n v="93.433499999999995"/>
    <n v="358.9"/>
  </r>
  <r>
    <x v="8"/>
    <x v="45"/>
    <x v="12"/>
    <m/>
    <n v="91.638999999999996"/>
    <n v="95.227999999999994"/>
    <n v="93.433499999999995"/>
    <n v="358.9"/>
  </r>
  <r>
    <x v="8"/>
    <x v="45"/>
    <x v="12"/>
    <m/>
    <n v="91.638999999999996"/>
    <n v="95.227999999999994"/>
    <n v="93.433499999999995"/>
    <n v="358.9"/>
  </r>
  <r>
    <x v="8"/>
    <x v="45"/>
    <x v="12"/>
    <m/>
    <n v="91.638999999999996"/>
    <n v="95.227999999999994"/>
    <n v="93.433499999999995"/>
    <n v="358.9"/>
  </r>
  <r>
    <x v="8"/>
    <x v="45"/>
    <x v="3"/>
    <m/>
    <n v="1.3484100000000001"/>
    <n v="1.38045"/>
    <n v="1.36443"/>
    <n v="320.39999999999998"/>
  </r>
  <r>
    <x v="8"/>
    <x v="45"/>
    <x v="3"/>
    <m/>
    <n v="1.3484100000000001"/>
    <n v="1.38045"/>
    <n v="1.36443"/>
    <n v="320.39999999999998"/>
  </r>
  <r>
    <x v="8"/>
    <x v="45"/>
    <x v="3"/>
    <m/>
    <n v="1.3484100000000001"/>
    <n v="1.38045"/>
    <n v="1.36443"/>
    <n v="320.39999999999998"/>
  </r>
  <r>
    <x v="8"/>
    <x v="45"/>
    <x v="3"/>
    <m/>
    <n v="1.3484100000000001"/>
    <n v="1.38045"/>
    <n v="1.36443"/>
    <n v="320.39999999999998"/>
  </r>
  <r>
    <x v="8"/>
    <x v="45"/>
    <x v="3"/>
    <m/>
    <n v="1.3484100000000001"/>
    <n v="1.38045"/>
    <n v="1.36443"/>
    <n v="320.39999999999998"/>
  </r>
  <r>
    <x v="8"/>
    <x v="45"/>
    <x v="3"/>
    <m/>
    <n v="1.3484100000000001"/>
    <n v="1.38045"/>
    <n v="1.36443"/>
    <n v="320.39999999999998"/>
  </r>
  <r>
    <x v="8"/>
    <x v="45"/>
    <x v="3"/>
    <m/>
    <n v="1.3484100000000001"/>
    <n v="1.38045"/>
    <n v="1.36443"/>
    <n v="320.39999999999998"/>
  </r>
  <r>
    <x v="8"/>
    <x v="45"/>
    <x v="3"/>
    <m/>
    <n v="1.3484100000000001"/>
    <n v="1.38045"/>
    <n v="1.36443"/>
    <n v="320.39999999999998"/>
  </r>
  <r>
    <x v="8"/>
    <x v="45"/>
    <x v="3"/>
    <m/>
    <n v="1.3484100000000001"/>
    <n v="1.38045"/>
    <n v="1.36443"/>
    <n v="320.39999999999998"/>
  </r>
  <r>
    <x v="8"/>
    <x v="45"/>
    <x v="3"/>
    <m/>
    <n v="1.3484100000000001"/>
    <n v="1.38045"/>
    <n v="1.36443"/>
    <n v="320.39999999999998"/>
  </r>
  <r>
    <x v="8"/>
    <x v="45"/>
    <x v="3"/>
    <m/>
    <n v="1.3484100000000001"/>
    <n v="1.38045"/>
    <n v="1.36443"/>
    <n v="320.39999999999998"/>
  </r>
  <r>
    <x v="8"/>
    <x v="45"/>
    <x v="3"/>
    <m/>
    <n v="1.3484100000000001"/>
    <n v="1.38045"/>
    <n v="1.36443"/>
    <n v="320.39999999999998"/>
  </r>
  <r>
    <x v="8"/>
    <x v="45"/>
    <x v="3"/>
    <m/>
    <n v="1.3484100000000001"/>
    <n v="1.38045"/>
    <n v="1.36443"/>
    <n v="320.39999999999998"/>
  </r>
  <r>
    <x v="8"/>
    <x v="45"/>
    <x v="0"/>
    <m/>
    <n v="1.97664"/>
    <n v="2.0350999999999999"/>
    <n v="2.0058699999999998"/>
    <n v="584.6"/>
  </r>
  <r>
    <x v="8"/>
    <x v="45"/>
    <x v="0"/>
    <m/>
    <n v="1.97664"/>
    <n v="2.0350999999999999"/>
    <n v="2.0058699999999998"/>
    <n v="584.6"/>
  </r>
  <r>
    <x v="8"/>
    <x v="45"/>
    <x v="0"/>
    <m/>
    <n v="1.97664"/>
    <n v="2.0350999999999999"/>
    <n v="2.0058699999999998"/>
    <n v="584.6"/>
  </r>
  <r>
    <x v="8"/>
    <x v="45"/>
    <x v="0"/>
    <m/>
    <n v="1.97664"/>
    <n v="2.0350999999999999"/>
    <n v="2.0058699999999998"/>
    <n v="584.6"/>
  </r>
  <r>
    <x v="8"/>
    <x v="45"/>
    <x v="0"/>
    <m/>
    <n v="1.97664"/>
    <n v="2.0350999999999999"/>
    <n v="2.0058699999999998"/>
    <n v="584.6"/>
  </r>
  <r>
    <x v="8"/>
    <x v="45"/>
    <x v="0"/>
    <m/>
    <n v="1.97664"/>
    <n v="2.0350999999999999"/>
    <n v="2.0058699999999998"/>
    <n v="584.6"/>
  </r>
  <r>
    <x v="8"/>
    <x v="45"/>
    <x v="0"/>
    <m/>
    <n v="1.97664"/>
    <n v="2.0350999999999999"/>
    <n v="2.0058699999999998"/>
    <n v="584.6"/>
  </r>
  <r>
    <x v="8"/>
    <x v="45"/>
    <x v="0"/>
    <m/>
    <n v="1.97664"/>
    <n v="2.0350999999999999"/>
    <n v="2.0058699999999998"/>
    <n v="584.6"/>
  </r>
  <r>
    <x v="8"/>
    <x v="45"/>
    <x v="0"/>
    <m/>
    <n v="1.97664"/>
    <n v="2.0350999999999999"/>
    <n v="2.0058699999999998"/>
    <n v="584.6"/>
  </r>
  <r>
    <x v="8"/>
    <x v="45"/>
    <x v="0"/>
    <m/>
    <n v="1.97664"/>
    <n v="2.0350999999999999"/>
    <n v="2.0058699999999998"/>
    <n v="584.6"/>
  </r>
  <r>
    <x v="8"/>
    <x v="45"/>
    <x v="0"/>
    <m/>
    <n v="1.97664"/>
    <n v="2.0350999999999999"/>
    <n v="2.0058699999999998"/>
    <n v="584.6"/>
  </r>
  <r>
    <x v="8"/>
    <x v="45"/>
    <x v="0"/>
    <m/>
    <n v="1.97664"/>
    <n v="2.0350999999999999"/>
    <n v="2.0058699999999998"/>
    <n v="584.6"/>
  </r>
  <r>
    <x v="8"/>
    <x v="45"/>
    <x v="0"/>
    <m/>
    <n v="1.97664"/>
    <n v="2.0350999999999999"/>
    <n v="2.0058699999999998"/>
    <n v="584.6"/>
  </r>
  <r>
    <x v="8"/>
    <x v="45"/>
    <x v="0"/>
    <m/>
    <n v="1.97664"/>
    <n v="2.0350999999999999"/>
    <n v="2.0058699999999998"/>
    <n v="584.6"/>
  </r>
  <r>
    <x v="8"/>
    <x v="45"/>
    <x v="0"/>
    <m/>
    <n v="1.97664"/>
    <n v="2.0350999999999999"/>
    <n v="2.0058699999999998"/>
    <n v="584.6"/>
  </r>
  <r>
    <x v="8"/>
    <x v="45"/>
    <x v="0"/>
    <m/>
    <n v="1.97664"/>
    <n v="2.0350999999999999"/>
    <n v="2.0058699999999998"/>
    <n v="584.6"/>
  </r>
  <r>
    <x v="8"/>
    <x v="45"/>
    <x v="0"/>
    <m/>
    <n v="1.97664"/>
    <n v="2.0350999999999999"/>
    <n v="2.0058699999999998"/>
    <n v="584.6"/>
  </r>
  <r>
    <x v="8"/>
    <x v="45"/>
    <x v="0"/>
    <m/>
    <n v="1.97664"/>
    <n v="2.0350999999999999"/>
    <n v="2.0058699999999998"/>
    <n v="584.6"/>
  </r>
  <r>
    <x v="8"/>
    <x v="45"/>
    <x v="0"/>
    <m/>
    <n v="1.97664"/>
    <n v="2.0350999999999999"/>
    <n v="2.0058699999999998"/>
    <n v="584.6"/>
  </r>
  <r>
    <x v="8"/>
    <x v="45"/>
    <x v="0"/>
    <m/>
    <n v="1.97664"/>
    <n v="2.0350999999999999"/>
    <n v="2.0058699999999998"/>
    <n v="584.6"/>
  </r>
  <r>
    <x v="8"/>
    <x v="45"/>
    <x v="0"/>
    <m/>
    <n v="1.97664"/>
    <n v="2.0350999999999999"/>
    <n v="2.0058699999999998"/>
    <n v="584.6"/>
  </r>
  <r>
    <x v="8"/>
    <x v="45"/>
    <x v="0"/>
    <m/>
    <n v="1.97664"/>
    <n v="2.0350999999999999"/>
    <n v="2.0058699999999998"/>
    <n v="584.6"/>
  </r>
  <r>
    <x v="8"/>
    <x v="45"/>
    <x v="0"/>
    <m/>
    <n v="1.97664"/>
    <n v="2.0350999999999999"/>
    <n v="2.0058699999999998"/>
    <n v="584.6"/>
  </r>
  <r>
    <x v="8"/>
    <x v="45"/>
    <x v="0"/>
    <m/>
    <n v="1.97664"/>
    <n v="2.0350999999999999"/>
    <n v="2.0058699999999998"/>
    <n v="584.6"/>
  </r>
  <r>
    <x v="8"/>
    <x v="46"/>
    <x v="0"/>
    <m/>
    <n v="1.9717"/>
    <n v="2.0350999999999999"/>
    <n v="2.0034000000000001"/>
    <n v="634"/>
  </r>
  <r>
    <x v="8"/>
    <x v="46"/>
    <x v="0"/>
    <m/>
    <n v="1.9717"/>
    <n v="2.0350999999999999"/>
    <n v="2.0034000000000001"/>
    <n v="634"/>
  </r>
  <r>
    <x v="8"/>
    <x v="46"/>
    <x v="0"/>
    <m/>
    <n v="1.9717"/>
    <n v="2.0350999999999999"/>
    <n v="2.0034000000000001"/>
    <n v="634"/>
  </r>
  <r>
    <x v="8"/>
    <x v="46"/>
    <x v="0"/>
    <m/>
    <n v="1.9717"/>
    <n v="2.0350999999999999"/>
    <n v="2.0034000000000001"/>
    <n v="634"/>
  </r>
  <r>
    <x v="8"/>
    <x v="46"/>
    <x v="12"/>
    <m/>
    <n v="91.638999999999996"/>
    <n v="95.227999999999994"/>
    <n v="93.433499999999995"/>
    <n v="358.9"/>
  </r>
  <r>
    <x v="8"/>
    <x v="46"/>
    <x v="12"/>
    <m/>
    <n v="91.638999999999996"/>
    <n v="95.227999999999994"/>
    <n v="93.433499999999995"/>
    <n v="358.9"/>
  </r>
  <r>
    <x v="8"/>
    <x v="46"/>
    <x v="12"/>
    <m/>
    <n v="91.638999999999996"/>
    <n v="95.227999999999994"/>
    <n v="93.433499999999995"/>
    <n v="358.9"/>
  </r>
  <r>
    <x v="8"/>
    <x v="46"/>
    <x v="12"/>
    <m/>
    <n v="91.638999999999996"/>
    <n v="95.227999999999994"/>
    <n v="93.433499999999995"/>
    <n v="358.9"/>
  </r>
  <r>
    <x v="8"/>
    <x v="46"/>
    <x v="12"/>
    <m/>
    <n v="91.638999999999996"/>
    <n v="95.227999999999994"/>
    <n v="93.433499999999995"/>
    <n v="358.9"/>
  </r>
  <r>
    <x v="8"/>
    <x v="46"/>
    <x v="12"/>
    <m/>
    <n v="91.638999999999996"/>
    <n v="95.227999999999994"/>
    <n v="93.433499999999995"/>
    <n v="358.9"/>
  </r>
  <r>
    <x v="8"/>
    <x v="46"/>
    <x v="12"/>
    <m/>
    <n v="91.638999999999996"/>
    <n v="95.227999999999994"/>
    <n v="93.433499999999995"/>
    <n v="358.9"/>
  </r>
  <r>
    <x v="8"/>
    <x v="46"/>
    <x v="12"/>
    <m/>
    <n v="91.638999999999996"/>
    <n v="95.227999999999994"/>
    <n v="93.433499999999995"/>
    <n v="358.9"/>
  </r>
  <r>
    <x v="8"/>
    <x v="46"/>
    <x v="12"/>
    <m/>
    <n v="91.638999999999996"/>
    <n v="95.227999999999994"/>
    <n v="93.433499999999995"/>
    <n v="358.9"/>
  </r>
  <r>
    <x v="8"/>
    <x v="46"/>
    <x v="12"/>
    <m/>
    <n v="91.638999999999996"/>
    <n v="95.227999999999994"/>
    <n v="93.433499999999995"/>
    <n v="358.9"/>
  </r>
  <r>
    <x v="8"/>
    <x v="46"/>
    <x v="12"/>
    <m/>
    <n v="91.638999999999996"/>
    <n v="95.227999999999994"/>
    <n v="93.433499999999995"/>
    <n v="358.9"/>
  </r>
  <r>
    <x v="8"/>
    <x v="46"/>
    <x v="12"/>
    <m/>
    <n v="91.638999999999996"/>
    <n v="95.227999999999994"/>
    <n v="93.433499999999995"/>
    <n v="358.9"/>
  </r>
  <r>
    <x v="8"/>
    <x v="46"/>
    <x v="12"/>
    <m/>
    <n v="91.638999999999996"/>
    <n v="95.227999999999994"/>
    <n v="93.433499999999995"/>
    <n v="358.9"/>
  </r>
  <r>
    <x v="8"/>
    <x v="46"/>
    <x v="12"/>
    <m/>
    <n v="91.638999999999996"/>
    <n v="95.227999999999994"/>
    <n v="93.433499999999995"/>
    <n v="358.9"/>
  </r>
  <r>
    <x v="8"/>
    <x v="46"/>
    <x v="12"/>
    <m/>
    <n v="91.638999999999996"/>
    <n v="95.227999999999994"/>
    <n v="93.433499999999995"/>
    <n v="358.9"/>
  </r>
  <r>
    <x v="8"/>
    <x v="46"/>
    <x v="12"/>
    <m/>
    <n v="91.638999999999996"/>
    <n v="95.227999999999994"/>
    <n v="93.433499999999995"/>
    <n v="358.9"/>
  </r>
  <r>
    <x v="8"/>
    <x v="46"/>
    <x v="12"/>
    <m/>
    <n v="91.638999999999996"/>
    <n v="95.227999999999994"/>
    <n v="93.433499999999995"/>
    <n v="358.9"/>
  </r>
  <r>
    <x v="8"/>
    <x v="46"/>
    <x v="12"/>
    <m/>
    <n v="91.638999999999996"/>
    <n v="95.227999999999994"/>
    <n v="93.433499999999995"/>
    <n v="358.9"/>
  </r>
  <r>
    <x v="8"/>
    <x v="46"/>
    <x v="12"/>
    <m/>
    <n v="91.638999999999996"/>
    <n v="95.227999999999994"/>
    <n v="93.433499999999995"/>
    <n v="358.9"/>
  </r>
  <r>
    <x v="8"/>
    <x v="46"/>
    <x v="12"/>
    <m/>
    <n v="91.638999999999996"/>
    <n v="95.227999999999994"/>
    <n v="93.433499999999995"/>
    <n v="358.9"/>
  </r>
  <r>
    <x v="8"/>
    <x v="46"/>
    <x v="12"/>
    <m/>
    <n v="91.638999999999996"/>
    <n v="95.227999999999994"/>
    <n v="93.433499999999995"/>
    <n v="358.9"/>
  </r>
  <r>
    <x v="8"/>
    <x v="46"/>
    <x v="12"/>
    <m/>
    <n v="91.638999999999996"/>
    <n v="95.227999999999994"/>
    <n v="93.433499999999995"/>
    <n v="358.9"/>
  </r>
  <r>
    <x v="8"/>
    <x v="46"/>
    <x v="12"/>
    <m/>
    <n v="91.638999999999996"/>
    <n v="95.227999999999994"/>
    <n v="93.433499999999995"/>
    <n v="358.9"/>
  </r>
  <r>
    <x v="8"/>
    <x v="46"/>
    <x v="12"/>
    <m/>
    <n v="91.638999999999996"/>
    <n v="95.227999999999994"/>
    <n v="93.433499999999995"/>
    <n v="358.9"/>
  </r>
  <r>
    <x v="8"/>
    <x v="46"/>
    <x v="12"/>
    <m/>
    <n v="91.638999999999996"/>
    <n v="95.227999999999994"/>
    <n v="93.433499999999995"/>
    <n v="358.9"/>
  </r>
  <r>
    <x v="8"/>
    <x v="46"/>
    <x v="12"/>
    <m/>
    <n v="91.638999999999996"/>
    <n v="95.227999999999994"/>
    <n v="93.433499999999995"/>
    <n v="358.9"/>
  </r>
  <r>
    <x v="8"/>
    <x v="46"/>
    <x v="12"/>
    <m/>
    <n v="91.638999999999996"/>
    <n v="95.227999999999994"/>
    <n v="93.433499999999995"/>
    <n v="358.9"/>
  </r>
  <r>
    <x v="8"/>
    <x v="46"/>
    <x v="3"/>
    <m/>
    <n v="1.3484100000000001"/>
    <n v="1.3877900000000001"/>
    <n v="1.3681000000000001"/>
    <n v="393.8"/>
  </r>
  <r>
    <x v="8"/>
    <x v="46"/>
    <x v="3"/>
    <m/>
    <n v="1.3484100000000001"/>
    <n v="1.3877900000000001"/>
    <n v="1.3681000000000001"/>
    <n v="393.8"/>
  </r>
  <r>
    <x v="8"/>
    <x v="46"/>
    <x v="3"/>
    <m/>
    <n v="1.3484100000000001"/>
    <n v="1.3877900000000001"/>
    <n v="1.3681000000000001"/>
    <n v="393.8"/>
  </r>
  <r>
    <x v="8"/>
    <x v="46"/>
    <x v="3"/>
    <m/>
    <n v="1.3484100000000001"/>
    <n v="1.3877900000000001"/>
    <n v="1.3681000000000001"/>
    <n v="393.8"/>
  </r>
  <r>
    <x v="8"/>
    <x v="46"/>
    <x v="3"/>
    <m/>
    <n v="1.3484100000000001"/>
    <n v="1.3877900000000001"/>
    <n v="1.3681000000000001"/>
    <n v="393.8"/>
  </r>
  <r>
    <x v="8"/>
    <x v="46"/>
    <x v="3"/>
    <m/>
    <n v="1.3484100000000001"/>
    <n v="1.3877900000000001"/>
    <n v="1.3681000000000001"/>
    <n v="393.8"/>
  </r>
  <r>
    <x v="8"/>
    <x v="46"/>
    <x v="3"/>
    <m/>
    <n v="1.3484100000000001"/>
    <n v="1.3877900000000001"/>
    <n v="1.3681000000000001"/>
    <n v="393.8"/>
  </r>
  <r>
    <x v="8"/>
    <x v="46"/>
    <x v="3"/>
    <m/>
    <n v="1.3484100000000001"/>
    <n v="1.3877900000000001"/>
    <n v="1.3681000000000001"/>
    <n v="393.8"/>
  </r>
  <r>
    <x v="8"/>
    <x v="46"/>
    <x v="3"/>
    <m/>
    <n v="1.3484100000000001"/>
    <n v="1.3877900000000001"/>
    <n v="1.3681000000000001"/>
    <n v="393.8"/>
  </r>
  <r>
    <x v="8"/>
    <x v="46"/>
    <x v="3"/>
    <m/>
    <n v="1.3484100000000001"/>
    <n v="1.3877900000000001"/>
    <n v="1.3681000000000001"/>
    <n v="393.8"/>
  </r>
  <r>
    <x v="8"/>
    <x v="46"/>
    <x v="3"/>
    <m/>
    <n v="1.3484100000000001"/>
    <n v="1.3877900000000001"/>
    <n v="1.3681000000000001"/>
    <n v="393.8"/>
  </r>
  <r>
    <x v="8"/>
    <x v="46"/>
    <x v="3"/>
    <m/>
    <n v="1.3484100000000001"/>
    <n v="1.3877900000000001"/>
    <n v="1.3681000000000001"/>
    <n v="393.8"/>
  </r>
  <r>
    <x v="8"/>
    <x v="46"/>
    <x v="3"/>
    <m/>
    <n v="1.3484100000000001"/>
    <n v="1.3877900000000001"/>
    <n v="1.3681000000000001"/>
    <n v="393.8"/>
  </r>
  <r>
    <x v="8"/>
    <x v="46"/>
    <x v="3"/>
    <m/>
    <n v="1.3484100000000001"/>
    <n v="1.3877900000000001"/>
    <n v="1.3681000000000001"/>
    <n v="393.8"/>
  </r>
  <r>
    <x v="8"/>
    <x v="46"/>
    <x v="3"/>
    <m/>
    <n v="1.3484100000000001"/>
    <n v="1.3877900000000001"/>
    <n v="1.3681000000000001"/>
    <n v="393.8"/>
  </r>
  <r>
    <x v="8"/>
    <x v="46"/>
    <x v="3"/>
    <m/>
    <n v="1.3484100000000001"/>
    <n v="1.3877900000000001"/>
    <n v="1.3681000000000001"/>
    <n v="393.8"/>
  </r>
  <r>
    <x v="8"/>
    <x v="46"/>
    <x v="0"/>
    <m/>
    <n v="1.9717"/>
    <n v="2.0350999999999999"/>
    <n v="2.0034000000000001"/>
    <n v="634"/>
  </r>
  <r>
    <x v="8"/>
    <x v="46"/>
    <x v="0"/>
    <m/>
    <n v="1.9717"/>
    <n v="2.0350999999999999"/>
    <n v="2.0034000000000001"/>
    <n v="634"/>
  </r>
  <r>
    <x v="8"/>
    <x v="46"/>
    <x v="0"/>
    <m/>
    <n v="1.9717"/>
    <n v="2.0350999999999999"/>
    <n v="2.0034000000000001"/>
    <n v="634"/>
  </r>
  <r>
    <x v="8"/>
    <x v="46"/>
    <x v="0"/>
    <m/>
    <n v="1.9717"/>
    <n v="2.0350999999999999"/>
    <n v="2.0034000000000001"/>
    <n v="634"/>
  </r>
  <r>
    <x v="8"/>
    <x v="46"/>
    <x v="0"/>
    <m/>
    <n v="1.9717"/>
    <n v="2.0350999999999999"/>
    <n v="2.0034000000000001"/>
    <n v="634"/>
  </r>
  <r>
    <x v="8"/>
    <x v="46"/>
    <x v="0"/>
    <m/>
    <n v="1.9717"/>
    <n v="2.0350999999999999"/>
    <n v="2.0034000000000001"/>
    <n v="634"/>
  </r>
  <r>
    <x v="8"/>
    <x v="46"/>
    <x v="0"/>
    <m/>
    <n v="1.9717"/>
    <n v="2.0350999999999999"/>
    <n v="2.0034000000000001"/>
    <n v="634"/>
  </r>
  <r>
    <x v="8"/>
    <x v="46"/>
    <x v="0"/>
    <m/>
    <n v="1.9717"/>
    <n v="2.0350999999999999"/>
    <n v="2.0034000000000001"/>
    <n v="634"/>
  </r>
  <r>
    <x v="8"/>
    <x v="46"/>
    <x v="0"/>
    <m/>
    <n v="1.9717"/>
    <n v="2.0350999999999999"/>
    <n v="2.0034000000000001"/>
    <n v="634"/>
  </r>
  <r>
    <x v="8"/>
    <x v="46"/>
    <x v="0"/>
    <m/>
    <n v="1.9717"/>
    <n v="2.0350999999999999"/>
    <n v="2.0034000000000001"/>
    <n v="634"/>
  </r>
  <r>
    <x v="8"/>
    <x v="46"/>
    <x v="0"/>
    <m/>
    <n v="1.9717"/>
    <n v="2.0350999999999999"/>
    <n v="2.0034000000000001"/>
    <n v="634"/>
  </r>
  <r>
    <x v="8"/>
    <x v="46"/>
    <x v="0"/>
    <m/>
    <n v="1.9717"/>
    <n v="2.0350999999999999"/>
    <n v="2.0034000000000001"/>
    <n v="634"/>
  </r>
  <r>
    <x v="8"/>
    <x v="46"/>
    <x v="0"/>
    <m/>
    <n v="1.9717"/>
    <n v="2.0350999999999999"/>
    <n v="2.0034000000000001"/>
    <n v="634"/>
  </r>
  <r>
    <x v="8"/>
    <x v="46"/>
    <x v="0"/>
    <m/>
    <n v="1.9717"/>
    <n v="2.0350999999999999"/>
    <n v="2.0034000000000001"/>
    <n v="634"/>
  </r>
  <r>
    <x v="8"/>
    <x v="46"/>
    <x v="0"/>
    <m/>
    <n v="1.9717"/>
    <n v="2.0350999999999999"/>
    <n v="2.0034000000000001"/>
    <n v="634"/>
  </r>
  <r>
    <x v="8"/>
    <x v="46"/>
    <x v="0"/>
    <m/>
    <n v="1.9717"/>
    <n v="2.0350999999999999"/>
    <n v="2.0034000000000001"/>
    <n v="634"/>
  </r>
  <r>
    <x v="8"/>
    <x v="46"/>
    <x v="0"/>
    <m/>
    <n v="1.9717"/>
    <n v="2.0350999999999999"/>
    <n v="2.0034000000000001"/>
    <n v="634"/>
  </r>
  <r>
    <x v="8"/>
    <x v="46"/>
    <x v="0"/>
    <m/>
    <n v="1.9717"/>
    <n v="2.0350999999999999"/>
    <n v="2.0034000000000001"/>
    <n v="634"/>
  </r>
  <r>
    <x v="8"/>
    <x v="46"/>
    <x v="0"/>
    <m/>
    <n v="1.9717"/>
    <n v="2.0350999999999999"/>
    <n v="2.0034000000000001"/>
    <n v="634"/>
  </r>
  <r>
    <x v="8"/>
    <x v="46"/>
    <x v="0"/>
    <m/>
    <n v="1.9717"/>
    <n v="2.0350999999999999"/>
    <n v="2.0034000000000001"/>
    <n v="634"/>
  </r>
  <r>
    <x v="8"/>
    <x v="46"/>
    <x v="0"/>
    <m/>
    <n v="1.9717"/>
    <n v="2.0350999999999999"/>
    <n v="2.0034000000000001"/>
    <n v="634"/>
  </r>
  <r>
    <x v="8"/>
    <x v="47"/>
    <x v="0"/>
    <m/>
    <n v="1.95038"/>
    <n v="2.0350999999999999"/>
    <n v="1.99274"/>
    <n v="847.2"/>
  </r>
  <r>
    <x v="8"/>
    <x v="47"/>
    <x v="0"/>
    <m/>
    <n v="1.95038"/>
    <n v="2.0350999999999999"/>
    <n v="1.99274"/>
    <n v="847.2"/>
  </r>
  <r>
    <x v="8"/>
    <x v="47"/>
    <x v="0"/>
    <m/>
    <n v="1.95038"/>
    <n v="2.0350999999999999"/>
    <n v="1.99274"/>
    <n v="847.2"/>
  </r>
  <r>
    <x v="8"/>
    <x v="47"/>
    <x v="0"/>
    <m/>
    <n v="1.95038"/>
    <n v="2.0350999999999999"/>
    <n v="1.99274"/>
    <n v="847.2"/>
  </r>
  <r>
    <x v="8"/>
    <x v="47"/>
    <x v="0"/>
    <m/>
    <n v="1.95038"/>
    <n v="2.0350999999999999"/>
    <n v="1.99274"/>
    <n v="847.2"/>
  </r>
  <r>
    <x v="8"/>
    <x v="47"/>
    <x v="0"/>
    <m/>
    <n v="1.95038"/>
    <n v="2.0350999999999999"/>
    <n v="1.99274"/>
    <n v="847.2"/>
  </r>
  <r>
    <x v="8"/>
    <x v="47"/>
    <x v="0"/>
    <m/>
    <n v="1.95038"/>
    <n v="2.0350999999999999"/>
    <n v="1.99274"/>
    <n v="847.2"/>
  </r>
  <r>
    <x v="8"/>
    <x v="47"/>
    <x v="12"/>
    <m/>
    <n v="91.227000000000004"/>
    <n v="95.227999999999994"/>
    <n v="93.227500000000006"/>
    <n v="400.1"/>
  </r>
  <r>
    <x v="8"/>
    <x v="47"/>
    <x v="12"/>
    <m/>
    <n v="91.227000000000004"/>
    <n v="95.227999999999994"/>
    <n v="93.227500000000006"/>
    <n v="400.1"/>
  </r>
  <r>
    <x v="8"/>
    <x v="47"/>
    <x v="12"/>
    <m/>
    <n v="91.227000000000004"/>
    <n v="95.227999999999994"/>
    <n v="93.227500000000006"/>
    <n v="400.1"/>
  </r>
  <r>
    <x v="8"/>
    <x v="47"/>
    <x v="12"/>
    <m/>
    <n v="91.227000000000004"/>
    <n v="95.227999999999994"/>
    <n v="93.227500000000006"/>
    <n v="400.1"/>
  </r>
  <r>
    <x v="8"/>
    <x v="47"/>
    <x v="12"/>
    <m/>
    <n v="91.227000000000004"/>
    <n v="95.227999999999994"/>
    <n v="93.227500000000006"/>
    <n v="400.1"/>
  </r>
  <r>
    <x v="8"/>
    <x v="47"/>
    <x v="12"/>
    <m/>
    <n v="91.227000000000004"/>
    <n v="95.227999999999994"/>
    <n v="93.227500000000006"/>
    <n v="400.1"/>
  </r>
  <r>
    <x v="8"/>
    <x v="47"/>
    <x v="12"/>
    <m/>
    <n v="91.227000000000004"/>
    <n v="95.227999999999994"/>
    <n v="93.227500000000006"/>
    <n v="400.1"/>
  </r>
  <r>
    <x v="8"/>
    <x v="47"/>
    <x v="12"/>
    <m/>
    <n v="91.227000000000004"/>
    <n v="95.227999999999994"/>
    <n v="93.227500000000006"/>
    <n v="400.1"/>
  </r>
  <r>
    <x v="8"/>
    <x v="47"/>
    <x v="12"/>
    <m/>
    <n v="91.227000000000004"/>
    <n v="95.227999999999994"/>
    <n v="93.227500000000006"/>
    <n v="400.1"/>
  </r>
  <r>
    <x v="8"/>
    <x v="47"/>
    <x v="12"/>
    <m/>
    <n v="91.227000000000004"/>
    <n v="95.227999999999994"/>
    <n v="93.227500000000006"/>
    <n v="400.1"/>
  </r>
  <r>
    <x v="8"/>
    <x v="47"/>
    <x v="12"/>
    <m/>
    <n v="91.227000000000004"/>
    <n v="95.227999999999994"/>
    <n v="93.227500000000006"/>
    <n v="400.1"/>
  </r>
  <r>
    <x v="8"/>
    <x v="47"/>
    <x v="12"/>
    <m/>
    <n v="91.227000000000004"/>
    <n v="95.227999999999994"/>
    <n v="93.227500000000006"/>
    <n v="400.1"/>
  </r>
  <r>
    <x v="8"/>
    <x v="47"/>
    <x v="12"/>
    <m/>
    <n v="91.227000000000004"/>
    <n v="95.227999999999994"/>
    <n v="93.227500000000006"/>
    <n v="400.1"/>
  </r>
  <r>
    <x v="8"/>
    <x v="47"/>
    <x v="12"/>
    <m/>
    <n v="91.227000000000004"/>
    <n v="95.227999999999994"/>
    <n v="93.227500000000006"/>
    <n v="400.1"/>
  </r>
  <r>
    <x v="8"/>
    <x v="47"/>
    <x v="12"/>
    <m/>
    <n v="91.227000000000004"/>
    <n v="95.227999999999994"/>
    <n v="93.227500000000006"/>
    <n v="400.1"/>
  </r>
  <r>
    <x v="8"/>
    <x v="47"/>
    <x v="12"/>
    <m/>
    <n v="91.227000000000004"/>
    <n v="95.227999999999994"/>
    <n v="93.227500000000006"/>
    <n v="400.1"/>
  </r>
  <r>
    <x v="8"/>
    <x v="47"/>
    <x v="12"/>
    <m/>
    <n v="91.227000000000004"/>
    <n v="95.227999999999994"/>
    <n v="93.227500000000006"/>
    <n v="400.1"/>
  </r>
  <r>
    <x v="8"/>
    <x v="47"/>
    <x v="12"/>
    <m/>
    <n v="91.227000000000004"/>
    <n v="95.227999999999994"/>
    <n v="93.227500000000006"/>
    <n v="400.1"/>
  </r>
  <r>
    <x v="8"/>
    <x v="47"/>
    <x v="12"/>
    <m/>
    <n v="91.227000000000004"/>
    <n v="95.227999999999994"/>
    <n v="93.227500000000006"/>
    <n v="400.1"/>
  </r>
  <r>
    <x v="8"/>
    <x v="47"/>
    <x v="12"/>
    <m/>
    <n v="91.227000000000004"/>
    <n v="95.227999999999994"/>
    <n v="93.227500000000006"/>
    <n v="400.1"/>
  </r>
  <r>
    <x v="8"/>
    <x v="47"/>
    <x v="12"/>
    <m/>
    <n v="91.227000000000004"/>
    <n v="95.227999999999994"/>
    <n v="93.227500000000006"/>
    <n v="400.1"/>
  </r>
  <r>
    <x v="8"/>
    <x v="47"/>
    <x v="12"/>
    <m/>
    <n v="91.227000000000004"/>
    <n v="95.227999999999994"/>
    <n v="93.227500000000006"/>
    <n v="400.1"/>
  </r>
  <r>
    <x v="8"/>
    <x v="47"/>
    <x v="12"/>
    <m/>
    <n v="91.227000000000004"/>
    <n v="95.227999999999994"/>
    <n v="93.227500000000006"/>
    <n v="400.1"/>
  </r>
  <r>
    <x v="8"/>
    <x v="47"/>
    <x v="12"/>
    <m/>
    <n v="91.227000000000004"/>
    <n v="95.227999999999994"/>
    <n v="93.227500000000006"/>
    <n v="400.1"/>
  </r>
  <r>
    <x v="8"/>
    <x v="47"/>
    <x v="12"/>
    <m/>
    <n v="91.227000000000004"/>
    <n v="95.227999999999994"/>
    <n v="93.227500000000006"/>
    <n v="400.1"/>
  </r>
  <r>
    <x v="8"/>
    <x v="47"/>
    <x v="12"/>
    <m/>
    <n v="91.227000000000004"/>
    <n v="95.227999999999994"/>
    <n v="93.227500000000006"/>
    <n v="400.1"/>
  </r>
  <r>
    <x v="8"/>
    <x v="47"/>
    <x v="12"/>
    <m/>
    <n v="91.227000000000004"/>
    <n v="95.227999999999994"/>
    <n v="93.227500000000006"/>
    <n v="400.1"/>
  </r>
  <r>
    <x v="8"/>
    <x v="47"/>
    <x v="3"/>
    <m/>
    <n v="1.3484100000000001"/>
    <n v="1.39151"/>
    <n v="1.3699600000000001"/>
    <n v="431"/>
  </r>
  <r>
    <x v="8"/>
    <x v="47"/>
    <x v="3"/>
    <m/>
    <n v="1.3484100000000001"/>
    <n v="1.39151"/>
    <n v="1.3699600000000001"/>
    <n v="431"/>
  </r>
  <r>
    <x v="8"/>
    <x v="47"/>
    <x v="3"/>
    <m/>
    <n v="1.3484100000000001"/>
    <n v="1.39151"/>
    <n v="1.3699600000000001"/>
    <n v="431"/>
  </r>
  <r>
    <x v="8"/>
    <x v="47"/>
    <x v="3"/>
    <m/>
    <n v="1.3484100000000001"/>
    <n v="1.39151"/>
    <n v="1.3699600000000001"/>
    <n v="431"/>
  </r>
  <r>
    <x v="8"/>
    <x v="47"/>
    <x v="3"/>
    <m/>
    <n v="1.3484100000000001"/>
    <n v="1.39151"/>
    <n v="1.3699600000000001"/>
    <n v="431"/>
  </r>
  <r>
    <x v="8"/>
    <x v="47"/>
    <x v="3"/>
    <m/>
    <n v="1.3484100000000001"/>
    <n v="1.39151"/>
    <n v="1.3699600000000001"/>
    <n v="431"/>
  </r>
  <r>
    <x v="8"/>
    <x v="47"/>
    <x v="3"/>
    <m/>
    <n v="1.3484100000000001"/>
    <n v="1.39151"/>
    <n v="1.3699600000000001"/>
    <n v="431"/>
  </r>
  <r>
    <x v="8"/>
    <x v="47"/>
    <x v="3"/>
    <m/>
    <n v="1.3484100000000001"/>
    <n v="1.39151"/>
    <n v="1.3699600000000001"/>
    <n v="431"/>
  </r>
  <r>
    <x v="8"/>
    <x v="47"/>
    <x v="3"/>
    <m/>
    <n v="1.3484100000000001"/>
    <n v="1.39151"/>
    <n v="1.3699600000000001"/>
    <n v="431"/>
  </r>
  <r>
    <x v="8"/>
    <x v="47"/>
    <x v="3"/>
    <m/>
    <n v="1.3484100000000001"/>
    <n v="1.39151"/>
    <n v="1.3699600000000001"/>
    <n v="431"/>
  </r>
  <r>
    <x v="8"/>
    <x v="47"/>
    <x v="3"/>
    <m/>
    <n v="1.3484100000000001"/>
    <n v="1.39151"/>
    <n v="1.3699600000000001"/>
    <n v="431"/>
  </r>
  <r>
    <x v="8"/>
    <x v="47"/>
    <x v="3"/>
    <m/>
    <n v="1.3484100000000001"/>
    <n v="1.39151"/>
    <n v="1.3699600000000001"/>
    <n v="431"/>
  </r>
  <r>
    <x v="8"/>
    <x v="47"/>
    <x v="3"/>
    <m/>
    <n v="1.3484100000000001"/>
    <n v="1.39151"/>
    <n v="1.3699600000000001"/>
    <n v="431"/>
  </r>
  <r>
    <x v="8"/>
    <x v="47"/>
    <x v="3"/>
    <m/>
    <n v="1.3484100000000001"/>
    <n v="1.39151"/>
    <n v="1.3699600000000001"/>
    <n v="431"/>
  </r>
  <r>
    <x v="8"/>
    <x v="47"/>
    <x v="3"/>
    <m/>
    <n v="1.3484100000000001"/>
    <n v="1.39151"/>
    <n v="1.3699600000000001"/>
    <n v="431"/>
  </r>
  <r>
    <x v="8"/>
    <x v="47"/>
    <x v="3"/>
    <m/>
    <n v="1.3484100000000001"/>
    <n v="1.39151"/>
    <n v="1.3699600000000001"/>
    <n v="431"/>
  </r>
  <r>
    <x v="8"/>
    <x v="47"/>
    <x v="3"/>
    <m/>
    <n v="1.3484100000000001"/>
    <n v="1.39151"/>
    <n v="1.3699600000000001"/>
    <n v="431"/>
  </r>
  <r>
    <x v="8"/>
    <x v="47"/>
    <x v="0"/>
    <m/>
    <n v="1.95038"/>
    <n v="2.0350999999999999"/>
    <n v="1.99274"/>
    <n v="847.2"/>
  </r>
  <r>
    <x v="8"/>
    <x v="47"/>
    <x v="0"/>
    <m/>
    <n v="1.95038"/>
    <n v="2.0350999999999999"/>
    <n v="1.99274"/>
    <n v="847.2"/>
  </r>
  <r>
    <x v="8"/>
    <x v="47"/>
    <x v="0"/>
    <m/>
    <n v="1.95038"/>
    <n v="2.0350999999999999"/>
    <n v="1.99274"/>
    <n v="847.2"/>
  </r>
  <r>
    <x v="8"/>
    <x v="47"/>
    <x v="0"/>
    <m/>
    <n v="1.95038"/>
    <n v="2.0350999999999999"/>
    <n v="1.99274"/>
    <n v="847.2"/>
  </r>
  <r>
    <x v="8"/>
    <x v="47"/>
    <x v="0"/>
    <m/>
    <n v="1.95038"/>
    <n v="2.0350999999999999"/>
    <n v="1.99274"/>
    <n v="847.2"/>
  </r>
  <r>
    <x v="8"/>
    <x v="47"/>
    <x v="0"/>
    <m/>
    <n v="1.95038"/>
    <n v="2.0350999999999999"/>
    <n v="1.99274"/>
    <n v="847.2"/>
  </r>
  <r>
    <x v="8"/>
    <x v="47"/>
    <x v="0"/>
    <m/>
    <n v="1.95038"/>
    <n v="2.0350999999999999"/>
    <n v="1.99274"/>
    <n v="847.2"/>
  </r>
  <r>
    <x v="8"/>
    <x v="47"/>
    <x v="0"/>
    <m/>
    <n v="1.95038"/>
    <n v="2.0350999999999999"/>
    <n v="1.99274"/>
    <n v="847.2"/>
  </r>
  <r>
    <x v="8"/>
    <x v="47"/>
    <x v="0"/>
    <m/>
    <n v="1.95038"/>
    <n v="2.0350999999999999"/>
    <n v="1.99274"/>
    <n v="847.2"/>
  </r>
  <r>
    <x v="8"/>
    <x v="47"/>
    <x v="0"/>
    <m/>
    <n v="1.95038"/>
    <n v="2.0350999999999999"/>
    <n v="1.99274"/>
    <n v="847.2"/>
  </r>
  <r>
    <x v="8"/>
    <x v="47"/>
    <x v="0"/>
    <m/>
    <n v="1.95038"/>
    <n v="2.0350999999999999"/>
    <n v="1.99274"/>
    <n v="847.2"/>
  </r>
  <r>
    <x v="8"/>
    <x v="47"/>
    <x v="0"/>
    <m/>
    <n v="1.95038"/>
    <n v="2.0350999999999999"/>
    <n v="1.99274"/>
    <n v="847.2"/>
  </r>
  <r>
    <x v="8"/>
    <x v="47"/>
    <x v="0"/>
    <m/>
    <n v="1.95038"/>
    <n v="2.0350999999999999"/>
    <n v="1.99274"/>
    <n v="847.2"/>
  </r>
  <r>
    <x v="8"/>
    <x v="47"/>
    <x v="0"/>
    <m/>
    <n v="1.95038"/>
    <n v="2.0350999999999999"/>
    <n v="1.99274"/>
    <n v="847.2"/>
  </r>
  <r>
    <x v="8"/>
    <x v="47"/>
    <x v="0"/>
    <m/>
    <n v="1.95038"/>
    <n v="2.0350999999999999"/>
    <n v="1.99274"/>
    <n v="847.2"/>
  </r>
  <r>
    <x v="8"/>
    <x v="47"/>
    <x v="0"/>
    <m/>
    <n v="1.95038"/>
    <n v="2.0350999999999999"/>
    <n v="1.99274"/>
    <n v="847.2"/>
  </r>
  <r>
    <x v="8"/>
    <x v="47"/>
    <x v="0"/>
    <m/>
    <n v="1.95038"/>
    <n v="2.0350999999999999"/>
    <n v="1.99274"/>
    <n v="847.2"/>
  </r>
  <r>
    <x v="8"/>
    <x v="47"/>
    <x v="0"/>
    <m/>
    <n v="1.95038"/>
    <n v="2.0350999999999999"/>
    <n v="1.99274"/>
    <n v="847.2"/>
  </r>
  <r>
    <x v="8"/>
    <x v="47"/>
    <x v="0"/>
    <m/>
    <n v="1.95038"/>
    <n v="2.0350999999999999"/>
    <n v="1.99274"/>
    <n v="847.2"/>
  </r>
  <r>
    <x v="8"/>
    <x v="47"/>
    <x v="0"/>
    <m/>
    <n v="1.95038"/>
    <n v="2.0350999999999999"/>
    <n v="1.99274"/>
    <n v="847.2"/>
  </r>
  <r>
    <x v="8"/>
    <x v="48"/>
    <x v="0"/>
    <m/>
    <n v="1.93"/>
    <n v="2.0350999999999999"/>
    <n v="1.98255"/>
    <n v="1051"/>
  </r>
  <r>
    <x v="8"/>
    <x v="48"/>
    <x v="0"/>
    <m/>
    <n v="1.93"/>
    <n v="2.0350999999999999"/>
    <n v="1.98255"/>
    <n v="1051"/>
  </r>
  <r>
    <x v="8"/>
    <x v="48"/>
    <x v="0"/>
    <m/>
    <n v="1.93"/>
    <n v="2.0350999999999999"/>
    <n v="1.98255"/>
    <n v="1051"/>
  </r>
  <r>
    <x v="8"/>
    <x v="48"/>
    <x v="0"/>
    <m/>
    <n v="1.93"/>
    <n v="2.0350999999999999"/>
    <n v="1.98255"/>
    <n v="1051"/>
  </r>
  <r>
    <x v="8"/>
    <x v="48"/>
    <x v="0"/>
    <m/>
    <n v="1.93"/>
    <n v="2.0350999999999999"/>
    <n v="1.98255"/>
    <n v="1051"/>
  </r>
  <r>
    <x v="8"/>
    <x v="48"/>
    <x v="0"/>
    <m/>
    <n v="1.93"/>
    <n v="2.0350999999999999"/>
    <n v="1.98255"/>
    <n v="1051"/>
  </r>
  <r>
    <x v="8"/>
    <x v="48"/>
    <x v="0"/>
    <m/>
    <n v="1.93"/>
    <n v="2.0350999999999999"/>
    <n v="1.98255"/>
    <n v="1051"/>
  </r>
  <r>
    <x v="8"/>
    <x v="48"/>
    <x v="0"/>
    <m/>
    <n v="1.93"/>
    <n v="2.0350999999999999"/>
    <n v="1.98255"/>
    <n v="1051"/>
  </r>
  <r>
    <x v="8"/>
    <x v="48"/>
    <x v="0"/>
    <m/>
    <n v="1.93"/>
    <n v="2.0350999999999999"/>
    <n v="1.98255"/>
    <n v="1051"/>
  </r>
  <r>
    <x v="8"/>
    <x v="48"/>
    <x v="0"/>
    <m/>
    <n v="1.93"/>
    <n v="2.0350999999999999"/>
    <n v="1.98255"/>
    <n v="1051"/>
  </r>
  <r>
    <x v="8"/>
    <x v="48"/>
    <x v="0"/>
    <m/>
    <n v="1.93"/>
    <n v="2.0350999999999999"/>
    <n v="1.98255"/>
    <n v="1051"/>
  </r>
  <r>
    <x v="8"/>
    <x v="48"/>
    <x v="0"/>
    <m/>
    <n v="1.93"/>
    <n v="2.0350999999999999"/>
    <n v="1.98255"/>
    <n v="1051"/>
  </r>
  <r>
    <x v="8"/>
    <x v="48"/>
    <x v="0"/>
    <m/>
    <n v="1.93"/>
    <n v="2.0350999999999999"/>
    <n v="1.98255"/>
    <n v="1051"/>
  </r>
  <r>
    <x v="8"/>
    <x v="48"/>
    <x v="12"/>
    <m/>
    <n v="91.099000000000004"/>
    <n v="95.227999999999994"/>
    <n v="93.163499999999999"/>
    <n v="412.9"/>
  </r>
  <r>
    <x v="8"/>
    <x v="48"/>
    <x v="12"/>
    <m/>
    <n v="91.099000000000004"/>
    <n v="95.227999999999994"/>
    <n v="93.163499999999999"/>
    <n v="412.9"/>
  </r>
  <r>
    <x v="8"/>
    <x v="48"/>
    <x v="12"/>
    <m/>
    <n v="91.099000000000004"/>
    <n v="95.227999999999994"/>
    <n v="93.163499999999999"/>
    <n v="412.9"/>
  </r>
  <r>
    <x v="8"/>
    <x v="48"/>
    <x v="12"/>
    <m/>
    <n v="91.099000000000004"/>
    <n v="95.227999999999994"/>
    <n v="93.163499999999999"/>
    <n v="412.9"/>
  </r>
  <r>
    <x v="8"/>
    <x v="48"/>
    <x v="12"/>
    <m/>
    <n v="91.099000000000004"/>
    <n v="95.227999999999994"/>
    <n v="93.163499999999999"/>
    <n v="412.9"/>
  </r>
  <r>
    <x v="8"/>
    <x v="48"/>
    <x v="12"/>
    <m/>
    <n v="91.099000000000004"/>
    <n v="95.227999999999994"/>
    <n v="93.163499999999999"/>
    <n v="412.9"/>
  </r>
  <r>
    <x v="8"/>
    <x v="48"/>
    <x v="12"/>
    <m/>
    <n v="91.099000000000004"/>
    <n v="95.227999999999994"/>
    <n v="93.163499999999999"/>
    <n v="412.9"/>
  </r>
  <r>
    <x v="8"/>
    <x v="48"/>
    <x v="12"/>
    <m/>
    <n v="91.099000000000004"/>
    <n v="95.227999999999994"/>
    <n v="93.163499999999999"/>
    <n v="412.9"/>
  </r>
  <r>
    <x v="8"/>
    <x v="48"/>
    <x v="12"/>
    <m/>
    <n v="91.099000000000004"/>
    <n v="95.227999999999994"/>
    <n v="93.163499999999999"/>
    <n v="412.9"/>
  </r>
  <r>
    <x v="8"/>
    <x v="48"/>
    <x v="12"/>
    <m/>
    <n v="91.099000000000004"/>
    <n v="95.227999999999994"/>
    <n v="93.163499999999999"/>
    <n v="412.9"/>
  </r>
  <r>
    <x v="8"/>
    <x v="48"/>
    <x v="12"/>
    <m/>
    <n v="91.099000000000004"/>
    <n v="95.227999999999994"/>
    <n v="93.163499999999999"/>
    <n v="412.9"/>
  </r>
  <r>
    <x v="8"/>
    <x v="48"/>
    <x v="12"/>
    <m/>
    <n v="91.099000000000004"/>
    <n v="95.227999999999994"/>
    <n v="93.163499999999999"/>
    <n v="412.9"/>
  </r>
  <r>
    <x v="8"/>
    <x v="48"/>
    <x v="12"/>
    <m/>
    <n v="91.099000000000004"/>
    <n v="95.227999999999994"/>
    <n v="93.163499999999999"/>
    <n v="412.9"/>
  </r>
  <r>
    <x v="8"/>
    <x v="48"/>
    <x v="12"/>
    <m/>
    <n v="91.099000000000004"/>
    <n v="95.227999999999994"/>
    <n v="93.163499999999999"/>
    <n v="412.9"/>
  </r>
  <r>
    <x v="8"/>
    <x v="48"/>
    <x v="12"/>
    <m/>
    <n v="91.099000000000004"/>
    <n v="95.227999999999994"/>
    <n v="93.163499999999999"/>
    <n v="412.9"/>
  </r>
  <r>
    <x v="8"/>
    <x v="48"/>
    <x v="12"/>
    <m/>
    <n v="91.099000000000004"/>
    <n v="95.227999999999994"/>
    <n v="93.163499999999999"/>
    <n v="412.9"/>
  </r>
  <r>
    <x v="8"/>
    <x v="48"/>
    <x v="12"/>
    <m/>
    <n v="91.099000000000004"/>
    <n v="95.227999999999994"/>
    <n v="93.163499999999999"/>
    <n v="412.9"/>
  </r>
  <r>
    <x v="8"/>
    <x v="48"/>
    <x v="12"/>
    <m/>
    <n v="91.099000000000004"/>
    <n v="95.227999999999994"/>
    <n v="93.163499999999999"/>
    <n v="412.9"/>
  </r>
  <r>
    <x v="8"/>
    <x v="48"/>
    <x v="12"/>
    <m/>
    <n v="91.099000000000004"/>
    <n v="95.227999999999994"/>
    <n v="93.163499999999999"/>
    <n v="412.9"/>
  </r>
  <r>
    <x v="8"/>
    <x v="48"/>
    <x v="12"/>
    <m/>
    <n v="91.099000000000004"/>
    <n v="95.227999999999994"/>
    <n v="93.163499999999999"/>
    <n v="412.9"/>
  </r>
  <r>
    <x v="8"/>
    <x v="48"/>
    <x v="12"/>
    <m/>
    <n v="91.099000000000004"/>
    <n v="95.227999999999994"/>
    <n v="93.163499999999999"/>
    <n v="412.9"/>
  </r>
  <r>
    <x v="8"/>
    <x v="48"/>
    <x v="12"/>
    <m/>
    <n v="91.099000000000004"/>
    <n v="95.227999999999994"/>
    <n v="93.163499999999999"/>
    <n v="412.9"/>
  </r>
  <r>
    <x v="8"/>
    <x v="48"/>
    <x v="12"/>
    <m/>
    <n v="91.099000000000004"/>
    <n v="95.227999999999994"/>
    <n v="93.163499999999999"/>
    <n v="412.9"/>
  </r>
  <r>
    <x v="8"/>
    <x v="48"/>
    <x v="12"/>
    <m/>
    <n v="91.099000000000004"/>
    <n v="95.227999999999994"/>
    <n v="93.163499999999999"/>
    <n v="412.9"/>
  </r>
  <r>
    <x v="8"/>
    <x v="48"/>
    <x v="12"/>
    <m/>
    <n v="91.099000000000004"/>
    <n v="95.227999999999994"/>
    <n v="93.163499999999999"/>
    <n v="412.9"/>
  </r>
  <r>
    <x v="8"/>
    <x v="48"/>
    <x v="12"/>
    <m/>
    <n v="91.099000000000004"/>
    <n v="95.227999999999994"/>
    <n v="93.163499999999999"/>
    <n v="412.9"/>
  </r>
  <r>
    <x v="8"/>
    <x v="48"/>
    <x v="12"/>
    <m/>
    <n v="91.099000000000004"/>
    <n v="95.227999999999994"/>
    <n v="93.163499999999999"/>
    <n v="412.9"/>
  </r>
  <r>
    <x v="8"/>
    <x v="48"/>
    <x v="3"/>
    <m/>
    <n v="1.3484100000000001"/>
    <n v="1.39151"/>
    <n v="1.3699600000000001"/>
    <n v="431"/>
  </r>
  <r>
    <x v="8"/>
    <x v="48"/>
    <x v="3"/>
    <m/>
    <n v="1.3484100000000001"/>
    <n v="1.39151"/>
    <n v="1.3699600000000001"/>
    <n v="431"/>
  </r>
  <r>
    <x v="8"/>
    <x v="48"/>
    <x v="3"/>
    <m/>
    <n v="1.3484100000000001"/>
    <n v="1.39151"/>
    <n v="1.3699600000000001"/>
    <n v="431"/>
  </r>
  <r>
    <x v="8"/>
    <x v="48"/>
    <x v="3"/>
    <m/>
    <n v="1.3484100000000001"/>
    <n v="1.39151"/>
    <n v="1.3699600000000001"/>
    <n v="431"/>
  </r>
  <r>
    <x v="8"/>
    <x v="48"/>
    <x v="3"/>
    <m/>
    <n v="1.3484100000000001"/>
    <n v="1.39151"/>
    <n v="1.3699600000000001"/>
    <n v="431"/>
  </r>
  <r>
    <x v="8"/>
    <x v="48"/>
    <x v="3"/>
    <m/>
    <n v="1.3484100000000001"/>
    <n v="1.39151"/>
    <n v="1.3699600000000001"/>
    <n v="431"/>
  </r>
  <r>
    <x v="8"/>
    <x v="48"/>
    <x v="3"/>
    <m/>
    <n v="1.3484100000000001"/>
    <n v="1.39151"/>
    <n v="1.3699600000000001"/>
    <n v="431"/>
  </r>
  <r>
    <x v="8"/>
    <x v="48"/>
    <x v="3"/>
    <m/>
    <n v="1.3484100000000001"/>
    <n v="1.39151"/>
    <n v="1.3699600000000001"/>
    <n v="431"/>
  </r>
  <r>
    <x v="8"/>
    <x v="48"/>
    <x v="3"/>
    <m/>
    <n v="1.3484100000000001"/>
    <n v="1.39151"/>
    <n v="1.3699600000000001"/>
    <n v="431"/>
  </r>
  <r>
    <x v="8"/>
    <x v="48"/>
    <x v="3"/>
    <m/>
    <n v="1.3484100000000001"/>
    <n v="1.39151"/>
    <n v="1.3699600000000001"/>
    <n v="431"/>
  </r>
  <r>
    <x v="8"/>
    <x v="48"/>
    <x v="3"/>
    <m/>
    <n v="1.3484100000000001"/>
    <n v="1.39151"/>
    <n v="1.3699600000000001"/>
    <n v="431"/>
  </r>
  <r>
    <x v="8"/>
    <x v="48"/>
    <x v="3"/>
    <m/>
    <n v="1.3484100000000001"/>
    <n v="1.39151"/>
    <n v="1.3699600000000001"/>
    <n v="431"/>
  </r>
  <r>
    <x v="8"/>
    <x v="48"/>
    <x v="3"/>
    <m/>
    <n v="1.3484100000000001"/>
    <n v="1.39151"/>
    <n v="1.3699600000000001"/>
    <n v="431"/>
  </r>
  <r>
    <x v="8"/>
    <x v="48"/>
    <x v="3"/>
    <m/>
    <n v="1.3484100000000001"/>
    <n v="1.39151"/>
    <n v="1.3699600000000001"/>
    <n v="431"/>
  </r>
  <r>
    <x v="8"/>
    <x v="48"/>
    <x v="3"/>
    <m/>
    <n v="1.3484100000000001"/>
    <n v="1.39151"/>
    <n v="1.3699600000000001"/>
    <n v="431"/>
  </r>
  <r>
    <x v="8"/>
    <x v="48"/>
    <x v="3"/>
    <m/>
    <n v="1.3484100000000001"/>
    <n v="1.39151"/>
    <n v="1.3699600000000001"/>
    <n v="431"/>
  </r>
  <r>
    <x v="8"/>
    <x v="48"/>
    <x v="3"/>
    <m/>
    <n v="1.3484100000000001"/>
    <n v="1.39151"/>
    <n v="1.3699600000000001"/>
    <n v="431"/>
  </r>
  <r>
    <x v="8"/>
    <x v="48"/>
    <x v="0"/>
    <m/>
    <n v="1.93"/>
    <n v="2.0350999999999999"/>
    <n v="1.98255"/>
    <n v="1051"/>
  </r>
  <r>
    <x v="8"/>
    <x v="48"/>
    <x v="0"/>
    <m/>
    <n v="1.93"/>
    <n v="2.0350999999999999"/>
    <n v="1.98255"/>
    <n v="1051"/>
  </r>
  <r>
    <x v="8"/>
    <x v="48"/>
    <x v="0"/>
    <m/>
    <n v="1.93"/>
    <n v="2.0350999999999999"/>
    <n v="1.98255"/>
    <n v="1051"/>
  </r>
  <r>
    <x v="8"/>
    <x v="48"/>
    <x v="0"/>
    <m/>
    <n v="1.93"/>
    <n v="2.0350999999999999"/>
    <n v="1.98255"/>
    <n v="1051"/>
  </r>
  <r>
    <x v="8"/>
    <x v="48"/>
    <x v="0"/>
    <m/>
    <n v="1.93"/>
    <n v="2.0350999999999999"/>
    <n v="1.98255"/>
    <n v="1051"/>
  </r>
  <r>
    <x v="8"/>
    <x v="48"/>
    <x v="0"/>
    <m/>
    <n v="1.93"/>
    <n v="2.0350999999999999"/>
    <n v="1.98255"/>
    <n v="1051"/>
  </r>
  <r>
    <x v="8"/>
    <x v="48"/>
    <x v="0"/>
    <m/>
    <n v="1.93"/>
    <n v="2.0350999999999999"/>
    <n v="1.98255"/>
    <n v="1051"/>
  </r>
  <r>
    <x v="8"/>
    <x v="48"/>
    <x v="0"/>
    <m/>
    <n v="1.93"/>
    <n v="2.0350999999999999"/>
    <n v="1.98255"/>
    <n v="1051"/>
  </r>
  <r>
    <x v="8"/>
    <x v="48"/>
    <x v="0"/>
    <m/>
    <n v="1.93"/>
    <n v="2.0350999999999999"/>
    <n v="1.98255"/>
    <n v="1051"/>
  </r>
  <r>
    <x v="8"/>
    <x v="48"/>
    <x v="0"/>
    <m/>
    <n v="1.93"/>
    <n v="2.0350999999999999"/>
    <n v="1.98255"/>
    <n v="1051"/>
  </r>
  <r>
    <x v="8"/>
    <x v="48"/>
    <x v="0"/>
    <m/>
    <n v="1.93"/>
    <n v="2.0350999999999999"/>
    <n v="1.98255"/>
    <n v="1051"/>
  </r>
  <r>
    <x v="8"/>
    <x v="48"/>
    <x v="0"/>
    <m/>
    <n v="1.93"/>
    <n v="2.0350999999999999"/>
    <n v="1.98255"/>
    <n v="1051"/>
  </r>
  <r>
    <x v="8"/>
    <x v="48"/>
    <x v="0"/>
    <m/>
    <n v="1.93"/>
    <n v="2.0350999999999999"/>
    <n v="1.98255"/>
    <n v="1051"/>
  </r>
  <r>
    <x v="8"/>
    <x v="48"/>
    <x v="0"/>
    <m/>
    <n v="1.93"/>
    <n v="2.0350999999999999"/>
    <n v="1.98255"/>
    <n v="1051"/>
  </r>
  <r>
    <x v="8"/>
    <x v="48"/>
    <x v="0"/>
    <m/>
    <n v="1.93"/>
    <n v="2.0350999999999999"/>
    <n v="1.98255"/>
    <n v="1051"/>
  </r>
  <r>
    <x v="8"/>
    <x v="48"/>
    <x v="0"/>
    <m/>
    <n v="1.93"/>
    <n v="2.0350999999999999"/>
    <n v="1.98255"/>
    <n v="1051"/>
  </r>
  <r>
    <x v="8"/>
    <x v="48"/>
    <x v="0"/>
    <m/>
    <n v="1.93"/>
    <n v="2.0350999999999999"/>
    <n v="1.98255"/>
    <n v="1051"/>
  </r>
  <r>
    <x v="8"/>
    <x v="48"/>
    <x v="0"/>
    <m/>
    <n v="1.93"/>
    <n v="2.0350999999999999"/>
    <n v="1.98255"/>
    <n v="1051"/>
  </r>
  <r>
    <x v="8"/>
    <x v="48"/>
    <x v="0"/>
    <m/>
    <n v="1.93"/>
    <n v="2.0350999999999999"/>
    <n v="1.98255"/>
    <n v="1051"/>
  </r>
  <r>
    <x v="8"/>
    <x v="48"/>
    <x v="0"/>
    <m/>
    <n v="1.93"/>
    <n v="2.0350999999999999"/>
    <n v="1.98255"/>
    <n v="1051"/>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12"/>
    <m/>
    <n v="91.099000000000004"/>
    <n v="95.227999999999994"/>
    <n v="93.163499999999999"/>
    <n v="412.9"/>
  </r>
  <r>
    <x v="8"/>
    <x v="49"/>
    <x v="12"/>
    <m/>
    <n v="91.099000000000004"/>
    <n v="95.227999999999994"/>
    <n v="93.163499999999999"/>
    <n v="412.9"/>
  </r>
  <r>
    <x v="8"/>
    <x v="49"/>
    <x v="12"/>
    <m/>
    <n v="91.099000000000004"/>
    <n v="95.227999999999994"/>
    <n v="93.163499999999999"/>
    <n v="412.9"/>
  </r>
  <r>
    <x v="8"/>
    <x v="49"/>
    <x v="12"/>
    <m/>
    <n v="91.099000000000004"/>
    <n v="95.227999999999994"/>
    <n v="93.163499999999999"/>
    <n v="412.9"/>
  </r>
  <r>
    <x v="8"/>
    <x v="49"/>
    <x v="12"/>
    <m/>
    <n v="91.099000000000004"/>
    <n v="95.227999999999994"/>
    <n v="93.163499999999999"/>
    <n v="412.9"/>
  </r>
  <r>
    <x v="8"/>
    <x v="49"/>
    <x v="12"/>
    <m/>
    <n v="91.099000000000004"/>
    <n v="95.227999999999994"/>
    <n v="93.163499999999999"/>
    <n v="412.9"/>
  </r>
  <r>
    <x v="8"/>
    <x v="49"/>
    <x v="12"/>
    <m/>
    <n v="91.099000000000004"/>
    <n v="95.227999999999994"/>
    <n v="93.163499999999999"/>
    <n v="412.9"/>
  </r>
  <r>
    <x v="8"/>
    <x v="49"/>
    <x v="12"/>
    <m/>
    <n v="91.099000000000004"/>
    <n v="95.227999999999994"/>
    <n v="93.163499999999999"/>
    <n v="412.9"/>
  </r>
  <r>
    <x v="8"/>
    <x v="49"/>
    <x v="12"/>
    <m/>
    <n v="91.099000000000004"/>
    <n v="95.227999999999994"/>
    <n v="93.163499999999999"/>
    <n v="412.9"/>
  </r>
  <r>
    <x v="8"/>
    <x v="49"/>
    <x v="12"/>
    <m/>
    <n v="91.099000000000004"/>
    <n v="95.227999999999994"/>
    <n v="93.163499999999999"/>
    <n v="412.9"/>
  </r>
  <r>
    <x v="8"/>
    <x v="49"/>
    <x v="12"/>
    <m/>
    <n v="91.099000000000004"/>
    <n v="95.227999999999994"/>
    <n v="93.163499999999999"/>
    <n v="412.9"/>
  </r>
  <r>
    <x v="8"/>
    <x v="49"/>
    <x v="12"/>
    <m/>
    <n v="91.099000000000004"/>
    <n v="95.227999999999994"/>
    <n v="93.163499999999999"/>
    <n v="412.9"/>
  </r>
  <r>
    <x v="8"/>
    <x v="49"/>
    <x v="12"/>
    <m/>
    <n v="91.099000000000004"/>
    <n v="95.227999999999994"/>
    <n v="93.163499999999999"/>
    <n v="412.9"/>
  </r>
  <r>
    <x v="8"/>
    <x v="49"/>
    <x v="12"/>
    <m/>
    <n v="91.099000000000004"/>
    <n v="95.227999999999994"/>
    <n v="93.163499999999999"/>
    <n v="412.9"/>
  </r>
  <r>
    <x v="8"/>
    <x v="49"/>
    <x v="12"/>
    <m/>
    <n v="91.099000000000004"/>
    <n v="95.227999999999994"/>
    <n v="93.163499999999999"/>
    <n v="412.9"/>
  </r>
  <r>
    <x v="8"/>
    <x v="49"/>
    <x v="12"/>
    <m/>
    <n v="91.099000000000004"/>
    <n v="95.227999999999994"/>
    <n v="93.163499999999999"/>
    <n v="412.9"/>
  </r>
  <r>
    <x v="8"/>
    <x v="49"/>
    <x v="12"/>
    <m/>
    <n v="91.099000000000004"/>
    <n v="95.227999999999994"/>
    <n v="93.163499999999999"/>
    <n v="412.9"/>
  </r>
  <r>
    <x v="8"/>
    <x v="49"/>
    <x v="12"/>
    <m/>
    <n v="91.099000000000004"/>
    <n v="95.227999999999994"/>
    <n v="93.163499999999999"/>
    <n v="412.9"/>
  </r>
  <r>
    <x v="8"/>
    <x v="49"/>
    <x v="12"/>
    <m/>
    <n v="91.099000000000004"/>
    <n v="95.227999999999994"/>
    <n v="93.163499999999999"/>
    <n v="412.9"/>
  </r>
  <r>
    <x v="8"/>
    <x v="49"/>
    <x v="12"/>
    <m/>
    <n v="91.099000000000004"/>
    <n v="95.227999999999994"/>
    <n v="93.163499999999999"/>
    <n v="412.9"/>
  </r>
  <r>
    <x v="8"/>
    <x v="49"/>
    <x v="12"/>
    <m/>
    <n v="91.099000000000004"/>
    <n v="95.227999999999994"/>
    <n v="93.163499999999999"/>
    <n v="412.9"/>
  </r>
  <r>
    <x v="8"/>
    <x v="49"/>
    <x v="12"/>
    <m/>
    <n v="91.099000000000004"/>
    <n v="95.227999999999994"/>
    <n v="93.163499999999999"/>
    <n v="412.9"/>
  </r>
  <r>
    <x v="8"/>
    <x v="49"/>
    <x v="12"/>
    <m/>
    <n v="91.099000000000004"/>
    <n v="95.227999999999994"/>
    <n v="93.163499999999999"/>
    <n v="412.9"/>
  </r>
  <r>
    <x v="8"/>
    <x v="49"/>
    <x v="12"/>
    <m/>
    <n v="91.099000000000004"/>
    <n v="95.227999999999994"/>
    <n v="93.163499999999999"/>
    <n v="412.9"/>
  </r>
  <r>
    <x v="8"/>
    <x v="49"/>
    <x v="12"/>
    <m/>
    <n v="91.099000000000004"/>
    <n v="95.227999999999994"/>
    <n v="93.163499999999999"/>
    <n v="412.9"/>
  </r>
  <r>
    <x v="8"/>
    <x v="49"/>
    <x v="12"/>
    <m/>
    <n v="91.099000000000004"/>
    <n v="95.227999999999994"/>
    <n v="93.163499999999999"/>
    <n v="412.9"/>
  </r>
  <r>
    <x v="8"/>
    <x v="49"/>
    <x v="12"/>
    <m/>
    <n v="91.099000000000004"/>
    <n v="95.227999999999994"/>
    <n v="93.163499999999999"/>
    <n v="412.9"/>
  </r>
  <r>
    <x v="8"/>
    <x v="49"/>
    <x v="3"/>
    <m/>
    <n v="1.3484100000000001"/>
    <n v="1.39151"/>
    <n v="1.3699600000000001"/>
    <n v="431"/>
  </r>
  <r>
    <x v="8"/>
    <x v="49"/>
    <x v="3"/>
    <m/>
    <n v="1.3484100000000001"/>
    <n v="1.39151"/>
    <n v="1.3699600000000001"/>
    <n v="431"/>
  </r>
  <r>
    <x v="8"/>
    <x v="49"/>
    <x v="3"/>
    <m/>
    <n v="1.3484100000000001"/>
    <n v="1.39151"/>
    <n v="1.3699600000000001"/>
    <n v="431"/>
  </r>
  <r>
    <x v="8"/>
    <x v="49"/>
    <x v="3"/>
    <m/>
    <n v="1.3484100000000001"/>
    <n v="1.39151"/>
    <n v="1.3699600000000001"/>
    <n v="431"/>
  </r>
  <r>
    <x v="8"/>
    <x v="49"/>
    <x v="3"/>
    <m/>
    <n v="1.3484100000000001"/>
    <n v="1.39151"/>
    <n v="1.3699600000000001"/>
    <n v="431"/>
  </r>
  <r>
    <x v="8"/>
    <x v="49"/>
    <x v="3"/>
    <m/>
    <n v="1.3484100000000001"/>
    <n v="1.39151"/>
    <n v="1.3699600000000001"/>
    <n v="431"/>
  </r>
  <r>
    <x v="8"/>
    <x v="49"/>
    <x v="3"/>
    <m/>
    <n v="1.3484100000000001"/>
    <n v="1.39151"/>
    <n v="1.3699600000000001"/>
    <n v="431"/>
  </r>
  <r>
    <x v="8"/>
    <x v="49"/>
    <x v="3"/>
    <m/>
    <n v="1.3484100000000001"/>
    <n v="1.39151"/>
    <n v="1.3699600000000001"/>
    <n v="431"/>
  </r>
  <r>
    <x v="8"/>
    <x v="49"/>
    <x v="3"/>
    <m/>
    <n v="1.3484100000000001"/>
    <n v="1.39151"/>
    <n v="1.3699600000000001"/>
    <n v="431"/>
  </r>
  <r>
    <x v="8"/>
    <x v="49"/>
    <x v="3"/>
    <m/>
    <n v="1.3484100000000001"/>
    <n v="1.39151"/>
    <n v="1.3699600000000001"/>
    <n v="431"/>
  </r>
  <r>
    <x v="8"/>
    <x v="49"/>
    <x v="3"/>
    <m/>
    <n v="1.3484100000000001"/>
    <n v="1.39151"/>
    <n v="1.3699600000000001"/>
    <n v="431"/>
  </r>
  <r>
    <x v="8"/>
    <x v="49"/>
    <x v="3"/>
    <m/>
    <n v="1.3484100000000001"/>
    <n v="1.39151"/>
    <n v="1.3699600000000001"/>
    <n v="431"/>
  </r>
  <r>
    <x v="8"/>
    <x v="49"/>
    <x v="3"/>
    <m/>
    <n v="1.3484100000000001"/>
    <n v="1.39151"/>
    <n v="1.3699600000000001"/>
    <n v="431"/>
  </r>
  <r>
    <x v="8"/>
    <x v="49"/>
    <x v="3"/>
    <m/>
    <n v="1.3484100000000001"/>
    <n v="1.39151"/>
    <n v="1.3699600000000001"/>
    <n v="431"/>
  </r>
  <r>
    <x v="8"/>
    <x v="49"/>
    <x v="3"/>
    <m/>
    <n v="1.3484100000000001"/>
    <n v="1.39151"/>
    <n v="1.3699600000000001"/>
    <n v="431"/>
  </r>
  <r>
    <x v="8"/>
    <x v="49"/>
    <x v="3"/>
    <m/>
    <n v="1.3484100000000001"/>
    <n v="1.39151"/>
    <n v="1.3699600000000001"/>
    <n v="431"/>
  </r>
  <r>
    <x v="8"/>
    <x v="49"/>
    <x v="3"/>
    <m/>
    <n v="1.3484100000000001"/>
    <n v="1.39151"/>
    <n v="1.3699600000000001"/>
    <n v="431"/>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49"/>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12"/>
    <m/>
    <n v="91.099000000000004"/>
    <n v="95.227999999999994"/>
    <n v="93.163499999999999"/>
    <n v="412.9"/>
  </r>
  <r>
    <x v="8"/>
    <x v="50"/>
    <x v="12"/>
    <m/>
    <n v="91.099000000000004"/>
    <n v="95.227999999999994"/>
    <n v="93.163499999999999"/>
    <n v="412.9"/>
  </r>
  <r>
    <x v="8"/>
    <x v="50"/>
    <x v="12"/>
    <m/>
    <n v="91.099000000000004"/>
    <n v="95.227999999999994"/>
    <n v="93.163499999999999"/>
    <n v="412.9"/>
  </r>
  <r>
    <x v="8"/>
    <x v="50"/>
    <x v="12"/>
    <m/>
    <n v="91.099000000000004"/>
    <n v="95.227999999999994"/>
    <n v="93.163499999999999"/>
    <n v="412.9"/>
  </r>
  <r>
    <x v="8"/>
    <x v="50"/>
    <x v="12"/>
    <m/>
    <n v="91.099000000000004"/>
    <n v="95.227999999999994"/>
    <n v="93.163499999999999"/>
    <n v="412.9"/>
  </r>
  <r>
    <x v="8"/>
    <x v="50"/>
    <x v="12"/>
    <m/>
    <n v="91.099000000000004"/>
    <n v="95.227999999999994"/>
    <n v="93.163499999999999"/>
    <n v="412.9"/>
  </r>
  <r>
    <x v="8"/>
    <x v="50"/>
    <x v="12"/>
    <m/>
    <n v="91.099000000000004"/>
    <n v="95.227999999999994"/>
    <n v="93.163499999999999"/>
    <n v="412.9"/>
  </r>
  <r>
    <x v="8"/>
    <x v="50"/>
    <x v="12"/>
    <m/>
    <n v="91.099000000000004"/>
    <n v="95.227999999999994"/>
    <n v="93.163499999999999"/>
    <n v="412.9"/>
  </r>
  <r>
    <x v="8"/>
    <x v="50"/>
    <x v="12"/>
    <m/>
    <n v="91.099000000000004"/>
    <n v="95.227999999999994"/>
    <n v="93.163499999999999"/>
    <n v="412.9"/>
  </r>
  <r>
    <x v="8"/>
    <x v="50"/>
    <x v="12"/>
    <m/>
    <n v="91.099000000000004"/>
    <n v="95.227999999999994"/>
    <n v="93.163499999999999"/>
    <n v="412.9"/>
  </r>
  <r>
    <x v="8"/>
    <x v="50"/>
    <x v="12"/>
    <m/>
    <n v="91.099000000000004"/>
    <n v="95.227999999999994"/>
    <n v="93.163499999999999"/>
    <n v="412.9"/>
  </r>
  <r>
    <x v="8"/>
    <x v="50"/>
    <x v="12"/>
    <m/>
    <n v="91.099000000000004"/>
    <n v="95.227999999999994"/>
    <n v="93.163499999999999"/>
    <n v="412.9"/>
  </r>
  <r>
    <x v="8"/>
    <x v="50"/>
    <x v="12"/>
    <m/>
    <n v="91.099000000000004"/>
    <n v="95.227999999999994"/>
    <n v="93.163499999999999"/>
    <n v="412.9"/>
  </r>
  <r>
    <x v="8"/>
    <x v="50"/>
    <x v="12"/>
    <m/>
    <n v="91.099000000000004"/>
    <n v="95.227999999999994"/>
    <n v="93.163499999999999"/>
    <n v="412.9"/>
  </r>
  <r>
    <x v="8"/>
    <x v="50"/>
    <x v="12"/>
    <m/>
    <n v="91.099000000000004"/>
    <n v="95.227999999999994"/>
    <n v="93.163499999999999"/>
    <n v="412.9"/>
  </r>
  <r>
    <x v="8"/>
    <x v="50"/>
    <x v="12"/>
    <m/>
    <n v="91.099000000000004"/>
    <n v="95.227999999999994"/>
    <n v="93.163499999999999"/>
    <n v="412.9"/>
  </r>
  <r>
    <x v="8"/>
    <x v="50"/>
    <x v="12"/>
    <m/>
    <n v="91.099000000000004"/>
    <n v="95.227999999999994"/>
    <n v="93.163499999999999"/>
    <n v="412.9"/>
  </r>
  <r>
    <x v="8"/>
    <x v="50"/>
    <x v="12"/>
    <m/>
    <n v="91.099000000000004"/>
    <n v="95.227999999999994"/>
    <n v="93.163499999999999"/>
    <n v="412.9"/>
  </r>
  <r>
    <x v="8"/>
    <x v="50"/>
    <x v="12"/>
    <m/>
    <n v="91.099000000000004"/>
    <n v="95.227999999999994"/>
    <n v="93.163499999999999"/>
    <n v="412.9"/>
  </r>
  <r>
    <x v="8"/>
    <x v="50"/>
    <x v="12"/>
    <m/>
    <n v="91.099000000000004"/>
    <n v="95.227999999999994"/>
    <n v="93.163499999999999"/>
    <n v="412.9"/>
  </r>
  <r>
    <x v="8"/>
    <x v="50"/>
    <x v="12"/>
    <m/>
    <n v="91.099000000000004"/>
    <n v="95.227999999999994"/>
    <n v="93.163499999999999"/>
    <n v="412.9"/>
  </r>
  <r>
    <x v="8"/>
    <x v="50"/>
    <x v="12"/>
    <m/>
    <n v="91.099000000000004"/>
    <n v="95.227999999999994"/>
    <n v="93.163499999999999"/>
    <n v="412.9"/>
  </r>
  <r>
    <x v="8"/>
    <x v="50"/>
    <x v="12"/>
    <m/>
    <n v="91.099000000000004"/>
    <n v="95.227999999999994"/>
    <n v="93.163499999999999"/>
    <n v="412.9"/>
  </r>
  <r>
    <x v="8"/>
    <x v="50"/>
    <x v="12"/>
    <m/>
    <n v="91.099000000000004"/>
    <n v="95.227999999999994"/>
    <n v="93.163499999999999"/>
    <n v="412.9"/>
  </r>
  <r>
    <x v="8"/>
    <x v="50"/>
    <x v="12"/>
    <m/>
    <n v="91.099000000000004"/>
    <n v="95.227999999999994"/>
    <n v="93.163499999999999"/>
    <n v="412.9"/>
  </r>
  <r>
    <x v="8"/>
    <x v="50"/>
    <x v="12"/>
    <m/>
    <n v="91.099000000000004"/>
    <n v="95.227999999999994"/>
    <n v="93.163499999999999"/>
    <n v="412.9"/>
  </r>
  <r>
    <x v="8"/>
    <x v="50"/>
    <x v="12"/>
    <m/>
    <n v="91.099000000000004"/>
    <n v="95.227999999999994"/>
    <n v="93.163499999999999"/>
    <n v="412.9"/>
  </r>
  <r>
    <x v="8"/>
    <x v="50"/>
    <x v="3"/>
    <m/>
    <n v="1.3484100000000001"/>
    <n v="1.39151"/>
    <n v="1.3699600000000001"/>
    <n v="431"/>
  </r>
  <r>
    <x v="8"/>
    <x v="50"/>
    <x v="3"/>
    <m/>
    <n v="1.3484100000000001"/>
    <n v="1.39151"/>
    <n v="1.3699600000000001"/>
    <n v="431"/>
  </r>
  <r>
    <x v="8"/>
    <x v="50"/>
    <x v="3"/>
    <m/>
    <n v="1.3484100000000001"/>
    <n v="1.39151"/>
    <n v="1.3699600000000001"/>
    <n v="431"/>
  </r>
  <r>
    <x v="8"/>
    <x v="50"/>
    <x v="3"/>
    <m/>
    <n v="1.3484100000000001"/>
    <n v="1.39151"/>
    <n v="1.3699600000000001"/>
    <n v="431"/>
  </r>
  <r>
    <x v="8"/>
    <x v="50"/>
    <x v="3"/>
    <m/>
    <n v="1.3484100000000001"/>
    <n v="1.39151"/>
    <n v="1.3699600000000001"/>
    <n v="431"/>
  </r>
  <r>
    <x v="8"/>
    <x v="50"/>
    <x v="3"/>
    <m/>
    <n v="1.3484100000000001"/>
    <n v="1.39151"/>
    <n v="1.3699600000000001"/>
    <n v="431"/>
  </r>
  <r>
    <x v="8"/>
    <x v="50"/>
    <x v="3"/>
    <m/>
    <n v="1.3484100000000001"/>
    <n v="1.39151"/>
    <n v="1.3699600000000001"/>
    <n v="431"/>
  </r>
  <r>
    <x v="8"/>
    <x v="50"/>
    <x v="3"/>
    <m/>
    <n v="1.3484100000000001"/>
    <n v="1.39151"/>
    <n v="1.3699600000000001"/>
    <n v="431"/>
  </r>
  <r>
    <x v="8"/>
    <x v="50"/>
    <x v="3"/>
    <m/>
    <n v="1.3484100000000001"/>
    <n v="1.39151"/>
    <n v="1.3699600000000001"/>
    <n v="431"/>
  </r>
  <r>
    <x v="8"/>
    <x v="50"/>
    <x v="3"/>
    <m/>
    <n v="1.3484100000000001"/>
    <n v="1.39151"/>
    <n v="1.3699600000000001"/>
    <n v="431"/>
  </r>
  <r>
    <x v="8"/>
    <x v="50"/>
    <x v="3"/>
    <m/>
    <n v="1.3484100000000001"/>
    <n v="1.39151"/>
    <n v="1.3699600000000001"/>
    <n v="431"/>
  </r>
  <r>
    <x v="8"/>
    <x v="50"/>
    <x v="3"/>
    <m/>
    <n v="1.3484100000000001"/>
    <n v="1.39151"/>
    <n v="1.3699600000000001"/>
    <n v="431"/>
  </r>
  <r>
    <x v="8"/>
    <x v="50"/>
    <x v="3"/>
    <m/>
    <n v="1.3484100000000001"/>
    <n v="1.39151"/>
    <n v="1.3699600000000001"/>
    <n v="431"/>
  </r>
  <r>
    <x v="8"/>
    <x v="50"/>
    <x v="3"/>
    <m/>
    <n v="1.3484100000000001"/>
    <n v="1.39151"/>
    <n v="1.3699600000000001"/>
    <n v="431"/>
  </r>
  <r>
    <x v="8"/>
    <x v="50"/>
    <x v="3"/>
    <m/>
    <n v="1.3484100000000001"/>
    <n v="1.39151"/>
    <n v="1.3699600000000001"/>
    <n v="431"/>
  </r>
  <r>
    <x v="8"/>
    <x v="50"/>
    <x v="3"/>
    <m/>
    <n v="1.3484100000000001"/>
    <n v="1.39151"/>
    <n v="1.3699600000000001"/>
    <n v="431"/>
  </r>
  <r>
    <x v="8"/>
    <x v="50"/>
    <x v="3"/>
    <m/>
    <n v="1.3484100000000001"/>
    <n v="1.39151"/>
    <n v="1.3699600000000001"/>
    <n v="431"/>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0"/>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12"/>
    <m/>
    <n v="91.099000000000004"/>
    <n v="95.227999999999994"/>
    <n v="93.163499999999999"/>
    <n v="412.9"/>
  </r>
  <r>
    <x v="8"/>
    <x v="51"/>
    <x v="12"/>
    <m/>
    <n v="91.099000000000004"/>
    <n v="95.227999999999994"/>
    <n v="93.163499999999999"/>
    <n v="412.9"/>
  </r>
  <r>
    <x v="8"/>
    <x v="51"/>
    <x v="12"/>
    <m/>
    <n v="91.099000000000004"/>
    <n v="95.227999999999994"/>
    <n v="93.163499999999999"/>
    <n v="412.9"/>
  </r>
  <r>
    <x v="8"/>
    <x v="51"/>
    <x v="12"/>
    <m/>
    <n v="91.099000000000004"/>
    <n v="95.227999999999994"/>
    <n v="93.163499999999999"/>
    <n v="412.9"/>
  </r>
  <r>
    <x v="8"/>
    <x v="51"/>
    <x v="12"/>
    <m/>
    <n v="91.099000000000004"/>
    <n v="95.227999999999994"/>
    <n v="93.163499999999999"/>
    <n v="412.9"/>
  </r>
  <r>
    <x v="8"/>
    <x v="51"/>
    <x v="12"/>
    <m/>
    <n v="91.099000000000004"/>
    <n v="95.227999999999994"/>
    <n v="93.163499999999999"/>
    <n v="412.9"/>
  </r>
  <r>
    <x v="8"/>
    <x v="51"/>
    <x v="12"/>
    <m/>
    <n v="91.099000000000004"/>
    <n v="95.227999999999994"/>
    <n v="93.163499999999999"/>
    <n v="412.9"/>
  </r>
  <r>
    <x v="8"/>
    <x v="51"/>
    <x v="12"/>
    <m/>
    <n v="91.099000000000004"/>
    <n v="95.227999999999994"/>
    <n v="93.163499999999999"/>
    <n v="412.9"/>
  </r>
  <r>
    <x v="8"/>
    <x v="51"/>
    <x v="12"/>
    <m/>
    <n v="91.099000000000004"/>
    <n v="95.227999999999994"/>
    <n v="93.163499999999999"/>
    <n v="412.9"/>
  </r>
  <r>
    <x v="8"/>
    <x v="51"/>
    <x v="12"/>
    <m/>
    <n v="91.099000000000004"/>
    <n v="95.227999999999994"/>
    <n v="93.163499999999999"/>
    <n v="412.9"/>
  </r>
  <r>
    <x v="8"/>
    <x v="51"/>
    <x v="12"/>
    <m/>
    <n v="91.099000000000004"/>
    <n v="95.227999999999994"/>
    <n v="93.163499999999999"/>
    <n v="412.9"/>
  </r>
  <r>
    <x v="8"/>
    <x v="51"/>
    <x v="12"/>
    <m/>
    <n v="91.099000000000004"/>
    <n v="95.227999999999994"/>
    <n v="93.163499999999999"/>
    <n v="412.9"/>
  </r>
  <r>
    <x v="8"/>
    <x v="51"/>
    <x v="12"/>
    <m/>
    <n v="91.099000000000004"/>
    <n v="95.227999999999994"/>
    <n v="93.163499999999999"/>
    <n v="412.9"/>
  </r>
  <r>
    <x v="8"/>
    <x v="51"/>
    <x v="12"/>
    <m/>
    <n v="91.099000000000004"/>
    <n v="95.227999999999994"/>
    <n v="93.163499999999999"/>
    <n v="412.9"/>
  </r>
  <r>
    <x v="8"/>
    <x v="51"/>
    <x v="12"/>
    <m/>
    <n v="91.099000000000004"/>
    <n v="95.227999999999994"/>
    <n v="93.163499999999999"/>
    <n v="412.9"/>
  </r>
  <r>
    <x v="8"/>
    <x v="51"/>
    <x v="12"/>
    <m/>
    <n v="91.099000000000004"/>
    <n v="95.227999999999994"/>
    <n v="93.163499999999999"/>
    <n v="412.9"/>
  </r>
  <r>
    <x v="8"/>
    <x v="51"/>
    <x v="12"/>
    <m/>
    <n v="91.099000000000004"/>
    <n v="95.227999999999994"/>
    <n v="93.163499999999999"/>
    <n v="412.9"/>
  </r>
  <r>
    <x v="8"/>
    <x v="51"/>
    <x v="12"/>
    <m/>
    <n v="91.099000000000004"/>
    <n v="95.227999999999994"/>
    <n v="93.163499999999999"/>
    <n v="412.9"/>
  </r>
  <r>
    <x v="8"/>
    <x v="51"/>
    <x v="12"/>
    <m/>
    <n v="91.099000000000004"/>
    <n v="95.227999999999994"/>
    <n v="93.163499999999999"/>
    <n v="412.9"/>
  </r>
  <r>
    <x v="8"/>
    <x v="51"/>
    <x v="12"/>
    <m/>
    <n v="91.099000000000004"/>
    <n v="95.227999999999994"/>
    <n v="93.163499999999999"/>
    <n v="412.9"/>
  </r>
  <r>
    <x v="8"/>
    <x v="51"/>
    <x v="12"/>
    <m/>
    <n v="91.099000000000004"/>
    <n v="95.227999999999994"/>
    <n v="93.163499999999999"/>
    <n v="412.9"/>
  </r>
  <r>
    <x v="8"/>
    <x v="51"/>
    <x v="12"/>
    <m/>
    <n v="91.099000000000004"/>
    <n v="95.227999999999994"/>
    <n v="93.163499999999999"/>
    <n v="412.9"/>
  </r>
  <r>
    <x v="8"/>
    <x v="51"/>
    <x v="12"/>
    <m/>
    <n v="91.099000000000004"/>
    <n v="95.227999999999994"/>
    <n v="93.163499999999999"/>
    <n v="412.9"/>
  </r>
  <r>
    <x v="8"/>
    <x v="51"/>
    <x v="12"/>
    <m/>
    <n v="91.099000000000004"/>
    <n v="95.227999999999994"/>
    <n v="93.163499999999999"/>
    <n v="412.9"/>
  </r>
  <r>
    <x v="8"/>
    <x v="51"/>
    <x v="12"/>
    <m/>
    <n v="91.099000000000004"/>
    <n v="95.227999999999994"/>
    <n v="93.163499999999999"/>
    <n v="412.9"/>
  </r>
  <r>
    <x v="8"/>
    <x v="51"/>
    <x v="12"/>
    <m/>
    <n v="91.099000000000004"/>
    <n v="95.227999999999994"/>
    <n v="93.163499999999999"/>
    <n v="412.9"/>
  </r>
  <r>
    <x v="8"/>
    <x v="51"/>
    <x v="12"/>
    <m/>
    <n v="91.099000000000004"/>
    <n v="95.227999999999994"/>
    <n v="93.163499999999999"/>
    <n v="412.9"/>
  </r>
  <r>
    <x v="8"/>
    <x v="51"/>
    <x v="3"/>
    <m/>
    <n v="1.3484100000000001"/>
    <n v="1.39151"/>
    <n v="1.3699600000000001"/>
    <n v="431"/>
  </r>
  <r>
    <x v="8"/>
    <x v="51"/>
    <x v="3"/>
    <m/>
    <n v="1.3484100000000001"/>
    <n v="1.39151"/>
    <n v="1.3699600000000001"/>
    <n v="431"/>
  </r>
  <r>
    <x v="8"/>
    <x v="51"/>
    <x v="3"/>
    <m/>
    <n v="1.3484100000000001"/>
    <n v="1.39151"/>
    <n v="1.3699600000000001"/>
    <n v="431"/>
  </r>
  <r>
    <x v="8"/>
    <x v="51"/>
    <x v="3"/>
    <m/>
    <n v="1.3484100000000001"/>
    <n v="1.39151"/>
    <n v="1.3699600000000001"/>
    <n v="431"/>
  </r>
  <r>
    <x v="8"/>
    <x v="51"/>
    <x v="3"/>
    <m/>
    <n v="1.3484100000000001"/>
    <n v="1.39151"/>
    <n v="1.3699600000000001"/>
    <n v="431"/>
  </r>
  <r>
    <x v="8"/>
    <x v="51"/>
    <x v="3"/>
    <m/>
    <n v="1.3484100000000001"/>
    <n v="1.39151"/>
    <n v="1.3699600000000001"/>
    <n v="431"/>
  </r>
  <r>
    <x v="8"/>
    <x v="51"/>
    <x v="3"/>
    <m/>
    <n v="1.3484100000000001"/>
    <n v="1.39151"/>
    <n v="1.3699600000000001"/>
    <n v="431"/>
  </r>
  <r>
    <x v="8"/>
    <x v="51"/>
    <x v="3"/>
    <m/>
    <n v="1.3484100000000001"/>
    <n v="1.39151"/>
    <n v="1.3699600000000001"/>
    <n v="431"/>
  </r>
  <r>
    <x v="8"/>
    <x v="51"/>
    <x v="3"/>
    <m/>
    <n v="1.3484100000000001"/>
    <n v="1.39151"/>
    <n v="1.3699600000000001"/>
    <n v="431"/>
  </r>
  <r>
    <x v="8"/>
    <x v="51"/>
    <x v="3"/>
    <m/>
    <n v="1.3484100000000001"/>
    <n v="1.39151"/>
    <n v="1.3699600000000001"/>
    <n v="431"/>
  </r>
  <r>
    <x v="8"/>
    <x v="51"/>
    <x v="3"/>
    <m/>
    <n v="1.3484100000000001"/>
    <n v="1.39151"/>
    <n v="1.3699600000000001"/>
    <n v="431"/>
  </r>
  <r>
    <x v="8"/>
    <x v="51"/>
    <x v="3"/>
    <m/>
    <n v="1.3484100000000001"/>
    <n v="1.39151"/>
    <n v="1.3699600000000001"/>
    <n v="431"/>
  </r>
  <r>
    <x v="8"/>
    <x v="51"/>
    <x v="3"/>
    <m/>
    <n v="1.3484100000000001"/>
    <n v="1.39151"/>
    <n v="1.3699600000000001"/>
    <n v="431"/>
  </r>
  <r>
    <x v="8"/>
    <x v="51"/>
    <x v="3"/>
    <m/>
    <n v="1.3484100000000001"/>
    <n v="1.39151"/>
    <n v="1.3699600000000001"/>
    <n v="431"/>
  </r>
  <r>
    <x v="8"/>
    <x v="51"/>
    <x v="3"/>
    <m/>
    <n v="1.3484100000000001"/>
    <n v="1.39151"/>
    <n v="1.3699600000000001"/>
    <n v="431"/>
  </r>
  <r>
    <x v="8"/>
    <x v="51"/>
    <x v="3"/>
    <m/>
    <n v="1.3484100000000001"/>
    <n v="1.39151"/>
    <n v="1.3699600000000001"/>
    <n v="431"/>
  </r>
  <r>
    <x v="8"/>
    <x v="51"/>
    <x v="3"/>
    <m/>
    <n v="1.3484100000000001"/>
    <n v="1.39151"/>
    <n v="1.3699600000000001"/>
    <n v="431"/>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1"/>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12"/>
    <m/>
    <n v="91.099000000000004"/>
    <n v="95.227999999999994"/>
    <n v="93.163499999999999"/>
    <n v="412.9"/>
  </r>
  <r>
    <x v="8"/>
    <x v="52"/>
    <x v="12"/>
    <m/>
    <n v="91.099000000000004"/>
    <n v="95.227999999999994"/>
    <n v="93.163499999999999"/>
    <n v="412.9"/>
  </r>
  <r>
    <x v="8"/>
    <x v="52"/>
    <x v="12"/>
    <m/>
    <n v="91.099000000000004"/>
    <n v="95.227999999999994"/>
    <n v="93.163499999999999"/>
    <n v="412.9"/>
  </r>
  <r>
    <x v="8"/>
    <x v="52"/>
    <x v="12"/>
    <m/>
    <n v="91.099000000000004"/>
    <n v="95.227999999999994"/>
    <n v="93.163499999999999"/>
    <n v="412.9"/>
  </r>
  <r>
    <x v="8"/>
    <x v="52"/>
    <x v="12"/>
    <m/>
    <n v="91.099000000000004"/>
    <n v="95.227999999999994"/>
    <n v="93.163499999999999"/>
    <n v="412.9"/>
  </r>
  <r>
    <x v="8"/>
    <x v="52"/>
    <x v="12"/>
    <m/>
    <n v="91.099000000000004"/>
    <n v="95.227999999999994"/>
    <n v="93.163499999999999"/>
    <n v="412.9"/>
  </r>
  <r>
    <x v="8"/>
    <x v="52"/>
    <x v="12"/>
    <m/>
    <n v="91.099000000000004"/>
    <n v="95.227999999999994"/>
    <n v="93.163499999999999"/>
    <n v="412.9"/>
  </r>
  <r>
    <x v="8"/>
    <x v="52"/>
    <x v="12"/>
    <m/>
    <n v="91.099000000000004"/>
    <n v="95.227999999999994"/>
    <n v="93.163499999999999"/>
    <n v="412.9"/>
  </r>
  <r>
    <x v="8"/>
    <x v="52"/>
    <x v="12"/>
    <m/>
    <n v="91.099000000000004"/>
    <n v="95.227999999999994"/>
    <n v="93.163499999999999"/>
    <n v="412.9"/>
  </r>
  <r>
    <x v="8"/>
    <x v="52"/>
    <x v="12"/>
    <m/>
    <n v="91.099000000000004"/>
    <n v="95.227999999999994"/>
    <n v="93.163499999999999"/>
    <n v="412.9"/>
  </r>
  <r>
    <x v="8"/>
    <x v="52"/>
    <x v="12"/>
    <m/>
    <n v="91.099000000000004"/>
    <n v="95.227999999999994"/>
    <n v="93.163499999999999"/>
    <n v="412.9"/>
  </r>
  <r>
    <x v="8"/>
    <x v="52"/>
    <x v="12"/>
    <m/>
    <n v="91.099000000000004"/>
    <n v="95.227999999999994"/>
    <n v="93.163499999999999"/>
    <n v="412.9"/>
  </r>
  <r>
    <x v="8"/>
    <x v="52"/>
    <x v="12"/>
    <m/>
    <n v="91.099000000000004"/>
    <n v="95.227999999999994"/>
    <n v="93.163499999999999"/>
    <n v="412.9"/>
  </r>
  <r>
    <x v="8"/>
    <x v="52"/>
    <x v="12"/>
    <m/>
    <n v="91.099000000000004"/>
    <n v="95.227999999999994"/>
    <n v="93.163499999999999"/>
    <n v="412.9"/>
  </r>
  <r>
    <x v="8"/>
    <x v="52"/>
    <x v="12"/>
    <m/>
    <n v="91.099000000000004"/>
    <n v="95.227999999999994"/>
    <n v="93.163499999999999"/>
    <n v="412.9"/>
  </r>
  <r>
    <x v="8"/>
    <x v="52"/>
    <x v="12"/>
    <m/>
    <n v="91.099000000000004"/>
    <n v="95.227999999999994"/>
    <n v="93.163499999999999"/>
    <n v="412.9"/>
  </r>
  <r>
    <x v="8"/>
    <x v="52"/>
    <x v="12"/>
    <m/>
    <n v="91.099000000000004"/>
    <n v="95.227999999999994"/>
    <n v="93.163499999999999"/>
    <n v="412.9"/>
  </r>
  <r>
    <x v="8"/>
    <x v="52"/>
    <x v="12"/>
    <m/>
    <n v="91.099000000000004"/>
    <n v="95.227999999999994"/>
    <n v="93.163499999999999"/>
    <n v="412.9"/>
  </r>
  <r>
    <x v="8"/>
    <x v="52"/>
    <x v="12"/>
    <m/>
    <n v="91.099000000000004"/>
    <n v="95.227999999999994"/>
    <n v="93.163499999999999"/>
    <n v="412.9"/>
  </r>
  <r>
    <x v="8"/>
    <x v="52"/>
    <x v="12"/>
    <m/>
    <n v="91.099000000000004"/>
    <n v="95.227999999999994"/>
    <n v="93.163499999999999"/>
    <n v="412.9"/>
  </r>
  <r>
    <x v="8"/>
    <x v="52"/>
    <x v="12"/>
    <m/>
    <n v="91.099000000000004"/>
    <n v="95.227999999999994"/>
    <n v="93.163499999999999"/>
    <n v="412.9"/>
  </r>
  <r>
    <x v="8"/>
    <x v="52"/>
    <x v="12"/>
    <m/>
    <n v="91.099000000000004"/>
    <n v="95.227999999999994"/>
    <n v="93.163499999999999"/>
    <n v="412.9"/>
  </r>
  <r>
    <x v="8"/>
    <x v="52"/>
    <x v="12"/>
    <m/>
    <n v="91.099000000000004"/>
    <n v="95.227999999999994"/>
    <n v="93.163499999999999"/>
    <n v="412.9"/>
  </r>
  <r>
    <x v="8"/>
    <x v="52"/>
    <x v="12"/>
    <m/>
    <n v="91.099000000000004"/>
    <n v="95.227999999999994"/>
    <n v="93.163499999999999"/>
    <n v="412.9"/>
  </r>
  <r>
    <x v="8"/>
    <x v="52"/>
    <x v="12"/>
    <m/>
    <n v="91.099000000000004"/>
    <n v="95.227999999999994"/>
    <n v="93.163499999999999"/>
    <n v="412.9"/>
  </r>
  <r>
    <x v="8"/>
    <x v="52"/>
    <x v="12"/>
    <m/>
    <n v="91.099000000000004"/>
    <n v="95.227999999999994"/>
    <n v="93.163499999999999"/>
    <n v="412.9"/>
  </r>
  <r>
    <x v="8"/>
    <x v="52"/>
    <x v="12"/>
    <m/>
    <n v="91.099000000000004"/>
    <n v="95.227999999999994"/>
    <n v="93.163499999999999"/>
    <n v="412.9"/>
  </r>
  <r>
    <x v="8"/>
    <x v="52"/>
    <x v="3"/>
    <m/>
    <n v="1.3484100000000001"/>
    <n v="1.39151"/>
    <n v="1.3699600000000001"/>
    <n v="431"/>
  </r>
  <r>
    <x v="8"/>
    <x v="52"/>
    <x v="3"/>
    <m/>
    <n v="1.3484100000000001"/>
    <n v="1.39151"/>
    <n v="1.3699600000000001"/>
    <n v="431"/>
  </r>
  <r>
    <x v="8"/>
    <x v="52"/>
    <x v="3"/>
    <m/>
    <n v="1.3484100000000001"/>
    <n v="1.39151"/>
    <n v="1.3699600000000001"/>
    <n v="431"/>
  </r>
  <r>
    <x v="8"/>
    <x v="52"/>
    <x v="3"/>
    <m/>
    <n v="1.3484100000000001"/>
    <n v="1.39151"/>
    <n v="1.3699600000000001"/>
    <n v="431"/>
  </r>
  <r>
    <x v="8"/>
    <x v="52"/>
    <x v="3"/>
    <m/>
    <n v="1.3484100000000001"/>
    <n v="1.39151"/>
    <n v="1.3699600000000001"/>
    <n v="431"/>
  </r>
  <r>
    <x v="8"/>
    <x v="52"/>
    <x v="3"/>
    <m/>
    <n v="1.3484100000000001"/>
    <n v="1.39151"/>
    <n v="1.3699600000000001"/>
    <n v="431"/>
  </r>
  <r>
    <x v="8"/>
    <x v="52"/>
    <x v="3"/>
    <m/>
    <n v="1.3484100000000001"/>
    <n v="1.39151"/>
    <n v="1.3699600000000001"/>
    <n v="431"/>
  </r>
  <r>
    <x v="8"/>
    <x v="52"/>
    <x v="3"/>
    <m/>
    <n v="1.3484100000000001"/>
    <n v="1.39151"/>
    <n v="1.3699600000000001"/>
    <n v="431"/>
  </r>
  <r>
    <x v="8"/>
    <x v="52"/>
    <x v="3"/>
    <m/>
    <n v="1.3484100000000001"/>
    <n v="1.39151"/>
    <n v="1.3699600000000001"/>
    <n v="431"/>
  </r>
  <r>
    <x v="8"/>
    <x v="52"/>
    <x v="3"/>
    <m/>
    <n v="1.3484100000000001"/>
    <n v="1.39151"/>
    <n v="1.3699600000000001"/>
    <n v="431"/>
  </r>
  <r>
    <x v="8"/>
    <x v="52"/>
    <x v="3"/>
    <m/>
    <n v="1.3484100000000001"/>
    <n v="1.39151"/>
    <n v="1.3699600000000001"/>
    <n v="431"/>
  </r>
  <r>
    <x v="8"/>
    <x v="52"/>
    <x v="3"/>
    <m/>
    <n v="1.3484100000000001"/>
    <n v="1.39151"/>
    <n v="1.3699600000000001"/>
    <n v="431"/>
  </r>
  <r>
    <x v="8"/>
    <x v="52"/>
    <x v="3"/>
    <m/>
    <n v="1.3484100000000001"/>
    <n v="1.39151"/>
    <n v="1.3699600000000001"/>
    <n v="431"/>
  </r>
  <r>
    <x v="8"/>
    <x v="52"/>
    <x v="3"/>
    <m/>
    <n v="1.3484100000000001"/>
    <n v="1.39151"/>
    <n v="1.3699600000000001"/>
    <n v="431"/>
  </r>
  <r>
    <x v="8"/>
    <x v="52"/>
    <x v="3"/>
    <m/>
    <n v="1.3484100000000001"/>
    <n v="1.39151"/>
    <n v="1.3699600000000001"/>
    <n v="431"/>
  </r>
  <r>
    <x v="8"/>
    <x v="52"/>
    <x v="3"/>
    <m/>
    <n v="1.3484100000000001"/>
    <n v="1.39151"/>
    <n v="1.3699600000000001"/>
    <n v="431"/>
  </r>
  <r>
    <x v="8"/>
    <x v="52"/>
    <x v="3"/>
    <m/>
    <n v="1.3484100000000001"/>
    <n v="1.39151"/>
    <n v="1.3699600000000001"/>
    <n v="431"/>
  </r>
  <r>
    <x v="8"/>
    <x v="52"/>
    <x v="3"/>
    <m/>
    <n v="1.3484100000000001"/>
    <n v="1.39151"/>
    <n v="1.3699600000000001"/>
    <n v="431"/>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2"/>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12"/>
    <m/>
    <n v="91.099000000000004"/>
    <n v="95.227999999999994"/>
    <n v="93.163499999999999"/>
    <n v="412.9"/>
  </r>
  <r>
    <x v="8"/>
    <x v="53"/>
    <x v="12"/>
    <m/>
    <n v="91.099000000000004"/>
    <n v="95.227999999999994"/>
    <n v="93.163499999999999"/>
    <n v="412.9"/>
  </r>
  <r>
    <x v="8"/>
    <x v="53"/>
    <x v="12"/>
    <m/>
    <n v="91.099000000000004"/>
    <n v="95.227999999999994"/>
    <n v="93.163499999999999"/>
    <n v="412.9"/>
  </r>
  <r>
    <x v="8"/>
    <x v="53"/>
    <x v="12"/>
    <m/>
    <n v="91.099000000000004"/>
    <n v="95.227999999999994"/>
    <n v="93.163499999999999"/>
    <n v="412.9"/>
  </r>
  <r>
    <x v="8"/>
    <x v="53"/>
    <x v="12"/>
    <m/>
    <n v="91.099000000000004"/>
    <n v="95.227999999999994"/>
    <n v="93.163499999999999"/>
    <n v="412.9"/>
  </r>
  <r>
    <x v="8"/>
    <x v="53"/>
    <x v="12"/>
    <m/>
    <n v="91.099000000000004"/>
    <n v="95.227999999999994"/>
    <n v="93.163499999999999"/>
    <n v="412.9"/>
  </r>
  <r>
    <x v="8"/>
    <x v="53"/>
    <x v="12"/>
    <m/>
    <n v="91.099000000000004"/>
    <n v="95.227999999999994"/>
    <n v="93.163499999999999"/>
    <n v="412.9"/>
  </r>
  <r>
    <x v="8"/>
    <x v="53"/>
    <x v="12"/>
    <m/>
    <n v="91.099000000000004"/>
    <n v="95.227999999999994"/>
    <n v="93.163499999999999"/>
    <n v="412.9"/>
  </r>
  <r>
    <x v="8"/>
    <x v="53"/>
    <x v="12"/>
    <m/>
    <n v="91.099000000000004"/>
    <n v="95.227999999999994"/>
    <n v="93.163499999999999"/>
    <n v="412.9"/>
  </r>
  <r>
    <x v="8"/>
    <x v="53"/>
    <x v="12"/>
    <m/>
    <n v="91.099000000000004"/>
    <n v="95.227999999999994"/>
    <n v="93.163499999999999"/>
    <n v="412.9"/>
  </r>
  <r>
    <x v="8"/>
    <x v="53"/>
    <x v="12"/>
    <m/>
    <n v="91.099000000000004"/>
    <n v="95.227999999999994"/>
    <n v="93.163499999999999"/>
    <n v="412.9"/>
  </r>
  <r>
    <x v="8"/>
    <x v="53"/>
    <x v="12"/>
    <m/>
    <n v="91.099000000000004"/>
    <n v="95.227999999999994"/>
    <n v="93.163499999999999"/>
    <n v="412.9"/>
  </r>
  <r>
    <x v="8"/>
    <x v="53"/>
    <x v="12"/>
    <m/>
    <n v="91.099000000000004"/>
    <n v="95.227999999999994"/>
    <n v="93.163499999999999"/>
    <n v="412.9"/>
  </r>
  <r>
    <x v="8"/>
    <x v="53"/>
    <x v="12"/>
    <m/>
    <n v="91.099000000000004"/>
    <n v="95.227999999999994"/>
    <n v="93.163499999999999"/>
    <n v="412.9"/>
  </r>
  <r>
    <x v="8"/>
    <x v="53"/>
    <x v="12"/>
    <m/>
    <n v="91.099000000000004"/>
    <n v="95.227999999999994"/>
    <n v="93.163499999999999"/>
    <n v="412.9"/>
  </r>
  <r>
    <x v="8"/>
    <x v="53"/>
    <x v="12"/>
    <m/>
    <n v="91.099000000000004"/>
    <n v="95.227999999999994"/>
    <n v="93.163499999999999"/>
    <n v="412.9"/>
  </r>
  <r>
    <x v="8"/>
    <x v="53"/>
    <x v="12"/>
    <m/>
    <n v="91.099000000000004"/>
    <n v="95.227999999999994"/>
    <n v="93.163499999999999"/>
    <n v="412.9"/>
  </r>
  <r>
    <x v="8"/>
    <x v="53"/>
    <x v="12"/>
    <m/>
    <n v="91.099000000000004"/>
    <n v="95.227999999999994"/>
    <n v="93.163499999999999"/>
    <n v="412.9"/>
  </r>
  <r>
    <x v="8"/>
    <x v="53"/>
    <x v="12"/>
    <m/>
    <n v="91.099000000000004"/>
    <n v="95.227999999999994"/>
    <n v="93.163499999999999"/>
    <n v="412.9"/>
  </r>
  <r>
    <x v="8"/>
    <x v="53"/>
    <x v="12"/>
    <m/>
    <n v="91.099000000000004"/>
    <n v="95.227999999999994"/>
    <n v="93.163499999999999"/>
    <n v="412.9"/>
  </r>
  <r>
    <x v="8"/>
    <x v="53"/>
    <x v="12"/>
    <m/>
    <n v="91.099000000000004"/>
    <n v="95.227999999999994"/>
    <n v="93.163499999999999"/>
    <n v="412.9"/>
  </r>
  <r>
    <x v="8"/>
    <x v="53"/>
    <x v="12"/>
    <m/>
    <n v="91.099000000000004"/>
    <n v="95.227999999999994"/>
    <n v="93.163499999999999"/>
    <n v="412.9"/>
  </r>
  <r>
    <x v="8"/>
    <x v="53"/>
    <x v="12"/>
    <m/>
    <n v="91.099000000000004"/>
    <n v="95.227999999999994"/>
    <n v="93.163499999999999"/>
    <n v="412.9"/>
  </r>
  <r>
    <x v="8"/>
    <x v="53"/>
    <x v="12"/>
    <m/>
    <n v="91.099000000000004"/>
    <n v="95.227999999999994"/>
    <n v="93.163499999999999"/>
    <n v="412.9"/>
  </r>
  <r>
    <x v="8"/>
    <x v="53"/>
    <x v="12"/>
    <m/>
    <n v="91.099000000000004"/>
    <n v="95.227999999999994"/>
    <n v="93.163499999999999"/>
    <n v="412.9"/>
  </r>
  <r>
    <x v="8"/>
    <x v="53"/>
    <x v="12"/>
    <m/>
    <n v="91.099000000000004"/>
    <n v="95.227999999999994"/>
    <n v="93.163499999999999"/>
    <n v="412.9"/>
  </r>
  <r>
    <x v="8"/>
    <x v="53"/>
    <x v="12"/>
    <m/>
    <n v="91.099000000000004"/>
    <n v="95.227999999999994"/>
    <n v="93.163499999999999"/>
    <n v="412.9"/>
  </r>
  <r>
    <x v="8"/>
    <x v="53"/>
    <x v="3"/>
    <m/>
    <n v="1.3484100000000001"/>
    <n v="1.39151"/>
    <n v="1.3699600000000001"/>
    <n v="431"/>
  </r>
  <r>
    <x v="8"/>
    <x v="53"/>
    <x v="3"/>
    <m/>
    <n v="1.3484100000000001"/>
    <n v="1.39151"/>
    <n v="1.3699600000000001"/>
    <n v="431"/>
  </r>
  <r>
    <x v="8"/>
    <x v="53"/>
    <x v="3"/>
    <m/>
    <n v="1.3484100000000001"/>
    <n v="1.39151"/>
    <n v="1.3699600000000001"/>
    <n v="431"/>
  </r>
  <r>
    <x v="8"/>
    <x v="53"/>
    <x v="3"/>
    <m/>
    <n v="1.3484100000000001"/>
    <n v="1.39151"/>
    <n v="1.3699600000000001"/>
    <n v="431"/>
  </r>
  <r>
    <x v="8"/>
    <x v="53"/>
    <x v="3"/>
    <m/>
    <n v="1.3484100000000001"/>
    <n v="1.39151"/>
    <n v="1.3699600000000001"/>
    <n v="431"/>
  </r>
  <r>
    <x v="8"/>
    <x v="53"/>
    <x v="3"/>
    <m/>
    <n v="1.3484100000000001"/>
    <n v="1.39151"/>
    <n v="1.3699600000000001"/>
    <n v="431"/>
  </r>
  <r>
    <x v="8"/>
    <x v="53"/>
    <x v="3"/>
    <m/>
    <n v="1.3484100000000001"/>
    <n v="1.39151"/>
    <n v="1.3699600000000001"/>
    <n v="431"/>
  </r>
  <r>
    <x v="8"/>
    <x v="53"/>
    <x v="3"/>
    <m/>
    <n v="1.3484100000000001"/>
    <n v="1.39151"/>
    <n v="1.3699600000000001"/>
    <n v="431"/>
  </r>
  <r>
    <x v="8"/>
    <x v="53"/>
    <x v="3"/>
    <m/>
    <n v="1.3484100000000001"/>
    <n v="1.39151"/>
    <n v="1.3699600000000001"/>
    <n v="431"/>
  </r>
  <r>
    <x v="8"/>
    <x v="53"/>
    <x v="3"/>
    <m/>
    <n v="1.3484100000000001"/>
    <n v="1.39151"/>
    <n v="1.3699600000000001"/>
    <n v="431"/>
  </r>
  <r>
    <x v="8"/>
    <x v="53"/>
    <x v="3"/>
    <m/>
    <n v="1.3484100000000001"/>
    <n v="1.39151"/>
    <n v="1.3699600000000001"/>
    <n v="431"/>
  </r>
  <r>
    <x v="8"/>
    <x v="53"/>
    <x v="3"/>
    <m/>
    <n v="1.3484100000000001"/>
    <n v="1.39151"/>
    <n v="1.3699600000000001"/>
    <n v="431"/>
  </r>
  <r>
    <x v="8"/>
    <x v="53"/>
    <x v="3"/>
    <m/>
    <n v="1.3484100000000001"/>
    <n v="1.39151"/>
    <n v="1.3699600000000001"/>
    <n v="431"/>
  </r>
  <r>
    <x v="8"/>
    <x v="53"/>
    <x v="3"/>
    <m/>
    <n v="1.3484100000000001"/>
    <n v="1.39151"/>
    <n v="1.3699600000000001"/>
    <n v="431"/>
  </r>
  <r>
    <x v="8"/>
    <x v="53"/>
    <x v="3"/>
    <m/>
    <n v="1.3484100000000001"/>
    <n v="1.39151"/>
    <n v="1.3699600000000001"/>
    <n v="431"/>
  </r>
  <r>
    <x v="8"/>
    <x v="53"/>
    <x v="3"/>
    <m/>
    <n v="1.3484100000000001"/>
    <n v="1.39151"/>
    <n v="1.3699600000000001"/>
    <n v="431"/>
  </r>
  <r>
    <x v="8"/>
    <x v="53"/>
    <x v="3"/>
    <m/>
    <n v="1.3484100000000001"/>
    <n v="1.39151"/>
    <n v="1.3699600000000001"/>
    <n v="431"/>
  </r>
  <r>
    <x v="8"/>
    <x v="53"/>
    <x v="3"/>
    <m/>
    <n v="1.3484100000000001"/>
    <n v="1.39151"/>
    <n v="1.3699600000000001"/>
    <n v="431"/>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3"/>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12"/>
    <m/>
    <n v="91.099000000000004"/>
    <n v="95.227999999999994"/>
    <n v="93.163499999999999"/>
    <n v="412.9"/>
  </r>
  <r>
    <x v="8"/>
    <x v="54"/>
    <x v="12"/>
    <m/>
    <n v="91.099000000000004"/>
    <n v="95.227999999999994"/>
    <n v="93.163499999999999"/>
    <n v="412.9"/>
  </r>
  <r>
    <x v="8"/>
    <x v="54"/>
    <x v="12"/>
    <m/>
    <n v="91.099000000000004"/>
    <n v="95.227999999999994"/>
    <n v="93.163499999999999"/>
    <n v="412.9"/>
  </r>
  <r>
    <x v="8"/>
    <x v="54"/>
    <x v="12"/>
    <m/>
    <n v="91.099000000000004"/>
    <n v="95.227999999999994"/>
    <n v="93.163499999999999"/>
    <n v="412.9"/>
  </r>
  <r>
    <x v="8"/>
    <x v="54"/>
    <x v="12"/>
    <m/>
    <n v="91.099000000000004"/>
    <n v="95.227999999999994"/>
    <n v="93.163499999999999"/>
    <n v="412.9"/>
  </r>
  <r>
    <x v="8"/>
    <x v="54"/>
    <x v="12"/>
    <m/>
    <n v="91.099000000000004"/>
    <n v="95.227999999999994"/>
    <n v="93.163499999999999"/>
    <n v="412.9"/>
  </r>
  <r>
    <x v="8"/>
    <x v="54"/>
    <x v="12"/>
    <m/>
    <n v="91.099000000000004"/>
    <n v="95.227999999999994"/>
    <n v="93.163499999999999"/>
    <n v="412.9"/>
  </r>
  <r>
    <x v="8"/>
    <x v="54"/>
    <x v="12"/>
    <m/>
    <n v="91.099000000000004"/>
    <n v="95.227999999999994"/>
    <n v="93.163499999999999"/>
    <n v="412.9"/>
  </r>
  <r>
    <x v="8"/>
    <x v="54"/>
    <x v="12"/>
    <m/>
    <n v="91.099000000000004"/>
    <n v="95.227999999999994"/>
    <n v="93.163499999999999"/>
    <n v="412.9"/>
  </r>
  <r>
    <x v="8"/>
    <x v="54"/>
    <x v="12"/>
    <m/>
    <n v="91.099000000000004"/>
    <n v="95.227999999999994"/>
    <n v="93.163499999999999"/>
    <n v="412.9"/>
  </r>
  <r>
    <x v="8"/>
    <x v="54"/>
    <x v="12"/>
    <m/>
    <n v="91.099000000000004"/>
    <n v="95.227999999999994"/>
    <n v="93.163499999999999"/>
    <n v="412.9"/>
  </r>
  <r>
    <x v="8"/>
    <x v="54"/>
    <x v="12"/>
    <m/>
    <n v="91.099000000000004"/>
    <n v="95.227999999999994"/>
    <n v="93.163499999999999"/>
    <n v="412.9"/>
  </r>
  <r>
    <x v="8"/>
    <x v="54"/>
    <x v="12"/>
    <m/>
    <n v="91.099000000000004"/>
    <n v="95.227999999999994"/>
    <n v="93.163499999999999"/>
    <n v="412.9"/>
  </r>
  <r>
    <x v="8"/>
    <x v="54"/>
    <x v="12"/>
    <m/>
    <n v="91.099000000000004"/>
    <n v="95.227999999999994"/>
    <n v="93.163499999999999"/>
    <n v="412.9"/>
  </r>
  <r>
    <x v="8"/>
    <x v="54"/>
    <x v="12"/>
    <m/>
    <n v="91.099000000000004"/>
    <n v="95.227999999999994"/>
    <n v="93.163499999999999"/>
    <n v="412.9"/>
  </r>
  <r>
    <x v="8"/>
    <x v="54"/>
    <x v="12"/>
    <m/>
    <n v="91.099000000000004"/>
    <n v="95.227999999999994"/>
    <n v="93.163499999999999"/>
    <n v="412.9"/>
  </r>
  <r>
    <x v="8"/>
    <x v="54"/>
    <x v="12"/>
    <m/>
    <n v="91.099000000000004"/>
    <n v="95.227999999999994"/>
    <n v="93.163499999999999"/>
    <n v="412.9"/>
  </r>
  <r>
    <x v="8"/>
    <x v="54"/>
    <x v="12"/>
    <m/>
    <n v="91.099000000000004"/>
    <n v="95.227999999999994"/>
    <n v="93.163499999999999"/>
    <n v="412.9"/>
  </r>
  <r>
    <x v="8"/>
    <x v="54"/>
    <x v="12"/>
    <m/>
    <n v="91.099000000000004"/>
    <n v="95.227999999999994"/>
    <n v="93.163499999999999"/>
    <n v="412.9"/>
  </r>
  <r>
    <x v="8"/>
    <x v="54"/>
    <x v="12"/>
    <m/>
    <n v="91.099000000000004"/>
    <n v="95.227999999999994"/>
    <n v="93.163499999999999"/>
    <n v="412.9"/>
  </r>
  <r>
    <x v="8"/>
    <x v="54"/>
    <x v="12"/>
    <m/>
    <n v="91.099000000000004"/>
    <n v="95.227999999999994"/>
    <n v="93.163499999999999"/>
    <n v="412.9"/>
  </r>
  <r>
    <x v="8"/>
    <x v="54"/>
    <x v="12"/>
    <m/>
    <n v="91.099000000000004"/>
    <n v="95.227999999999994"/>
    <n v="93.163499999999999"/>
    <n v="412.9"/>
  </r>
  <r>
    <x v="8"/>
    <x v="54"/>
    <x v="12"/>
    <m/>
    <n v="91.099000000000004"/>
    <n v="95.227999999999994"/>
    <n v="93.163499999999999"/>
    <n v="412.9"/>
  </r>
  <r>
    <x v="8"/>
    <x v="54"/>
    <x v="12"/>
    <m/>
    <n v="91.099000000000004"/>
    <n v="95.227999999999994"/>
    <n v="93.163499999999999"/>
    <n v="412.9"/>
  </r>
  <r>
    <x v="8"/>
    <x v="54"/>
    <x v="12"/>
    <m/>
    <n v="91.099000000000004"/>
    <n v="95.227999999999994"/>
    <n v="93.163499999999999"/>
    <n v="412.9"/>
  </r>
  <r>
    <x v="8"/>
    <x v="54"/>
    <x v="12"/>
    <m/>
    <n v="91.099000000000004"/>
    <n v="95.227999999999994"/>
    <n v="93.163499999999999"/>
    <n v="412.9"/>
  </r>
  <r>
    <x v="8"/>
    <x v="54"/>
    <x v="12"/>
    <m/>
    <n v="91.099000000000004"/>
    <n v="95.227999999999994"/>
    <n v="93.163499999999999"/>
    <n v="412.9"/>
  </r>
  <r>
    <x v="8"/>
    <x v="54"/>
    <x v="3"/>
    <m/>
    <n v="1.3484100000000001"/>
    <n v="1.39151"/>
    <n v="1.3699600000000001"/>
    <n v="431"/>
  </r>
  <r>
    <x v="8"/>
    <x v="54"/>
    <x v="3"/>
    <m/>
    <n v="1.3484100000000001"/>
    <n v="1.39151"/>
    <n v="1.3699600000000001"/>
    <n v="431"/>
  </r>
  <r>
    <x v="8"/>
    <x v="54"/>
    <x v="3"/>
    <m/>
    <n v="1.3484100000000001"/>
    <n v="1.39151"/>
    <n v="1.3699600000000001"/>
    <n v="431"/>
  </r>
  <r>
    <x v="8"/>
    <x v="54"/>
    <x v="3"/>
    <m/>
    <n v="1.3484100000000001"/>
    <n v="1.39151"/>
    <n v="1.3699600000000001"/>
    <n v="431"/>
  </r>
  <r>
    <x v="8"/>
    <x v="54"/>
    <x v="3"/>
    <m/>
    <n v="1.3484100000000001"/>
    <n v="1.39151"/>
    <n v="1.3699600000000001"/>
    <n v="431"/>
  </r>
  <r>
    <x v="8"/>
    <x v="54"/>
    <x v="3"/>
    <m/>
    <n v="1.3484100000000001"/>
    <n v="1.39151"/>
    <n v="1.3699600000000001"/>
    <n v="431"/>
  </r>
  <r>
    <x v="8"/>
    <x v="54"/>
    <x v="3"/>
    <m/>
    <n v="1.3484100000000001"/>
    <n v="1.39151"/>
    <n v="1.3699600000000001"/>
    <n v="431"/>
  </r>
  <r>
    <x v="8"/>
    <x v="54"/>
    <x v="3"/>
    <m/>
    <n v="1.3484100000000001"/>
    <n v="1.39151"/>
    <n v="1.3699600000000001"/>
    <n v="431"/>
  </r>
  <r>
    <x v="8"/>
    <x v="54"/>
    <x v="3"/>
    <m/>
    <n v="1.3484100000000001"/>
    <n v="1.39151"/>
    <n v="1.3699600000000001"/>
    <n v="431"/>
  </r>
  <r>
    <x v="8"/>
    <x v="54"/>
    <x v="3"/>
    <m/>
    <n v="1.3484100000000001"/>
    <n v="1.39151"/>
    <n v="1.3699600000000001"/>
    <n v="431"/>
  </r>
  <r>
    <x v="8"/>
    <x v="54"/>
    <x v="3"/>
    <m/>
    <n v="1.3484100000000001"/>
    <n v="1.39151"/>
    <n v="1.3699600000000001"/>
    <n v="431"/>
  </r>
  <r>
    <x v="8"/>
    <x v="54"/>
    <x v="3"/>
    <m/>
    <n v="1.3484100000000001"/>
    <n v="1.39151"/>
    <n v="1.3699600000000001"/>
    <n v="431"/>
  </r>
  <r>
    <x v="8"/>
    <x v="54"/>
    <x v="3"/>
    <m/>
    <n v="1.3484100000000001"/>
    <n v="1.39151"/>
    <n v="1.3699600000000001"/>
    <n v="431"/>
  </r>
  <r>
    <x v="8"/>
    <x v="54"/>
    <x v="3"/>
    <m/>
    <n v="1.3484100000000001"/>
    <n v="1.39151"/>
    <n v="1.3699600000000001"/>
    <n v="431"/>
  </r>
  <r>
    <x v="8"/>
    <x v="54"/>
    <x v="3"/>
    <m/>
    <n v="1.3484100000000001"/>
    <n v="1.39151"/>
    <n v="1.3699600000000001"/>
    <n v="431"/>
  </r>
  <r>
    <x v="8"/>
    <x v="54"/>
    <x v="3"/>
    <m/>
    <n v="1.3484100000000001"/>
    <n v="1.39151"/>
    <n v="1.3699600000000001"/>
    <n v="431"/>
  </r>
  <r>
    <x v="8"/>
    <x v="54"/>
    <x v="3"/>
    <m/>
    <n v="1.3484100000000001"/>
    <n v="1.39151"/>
    <n v="1.3699600000000001"/>
    <n v="431"/>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4"/>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12"/>
    <m/>
    <n v="91.099000000000004"/>
    <n v="95.227999999999994"/>
    <n v="93.163499999999999"/>
    <n v="412.9"/>
  </r>
  <r>
    <x v="8"/>
    <x v="55"/>
    <x v="12"/>
    <m/>
    <n v="91.099000000000004"/>
    <n v="95.227999999999994"/>
    <n v="93.163499999999999"/>
    <n v="412.9"/>
  </r>
  <r>
    <x v="8"/>
    <x v="55"/>
    <x v="12"/>
    <m/>
    <n v="91.099000000000004"/>
    <n v="95.227999999999994"/>
    <n v="93.163499999999999"/>
    <n v="412.9"/>
  </r>
  <r>
    <x v="8"/>
    <x v="55"/>
    <x v="12"/>
    <m/>
    <n v="91.099000000000004"/>
    <n v="95.227999999999994"/>
    <n v="93.163499999999999"/>
    <n v="412.9"/>
  </r>
  <r>
    <x v="8"/>
    <x v="55"/>
    <x v="12"/>
    <m/>
    <n v="91.099000000000004"/>
    <n v="95.227999999999994"/>
    <n v="93.163499999999999"/>
    <n v="412.9"/>
  </r>
  <r>
    <x v="8"/>
    <x v="55"/>
    <x v="12"/>
    <m/>
    <n v="91.099000000000004"/>
    <n v="95.227999999999994"/>
    <n v="93.163499999999999"/>
    <n v="412.9"/>
  </r>
  <r>
    <x v="8"/>
    <x v="55"/>
    <x v="12"/>
    <m/>
    <n v="91.099000000000004"/>
    <n v="95.227999999999994"/>
    <n v="93.163499999999999"/>
    <n v="412.9"/>
  </r>
  <r>
    <x v="8"/>
    <x v="55"/>
    <x v="12"/>
    <m/>
    <n v="91.099000000000004"/>
    <n v="95.227999999999994"/>
    <n v="93.163499999999999"/>
    <n v="412.9"/>
  </r>
  <r>
    <x v="8"/>
    <x v="55"/>
    <x v="12"/>
    <m/>
    <n v="91.099000000000004"/>
    <n v="95.227999999999994"/>
    <n v="93.163499999999999"/>
    <n v="412.9"/>
  </r>
  <r>
    <x v="8"/>
    <x v="55"/>
    <x v="12"/>
    <m/>
    <n v="91.099000000000004"/>
    <n v="95.227999999999994"/>
    <n v="93.163499999999999"/>
    <n v="412.9"/>
  </r>
  <r>
    <x v="8"/>
    <x v="55"/>
    <x v="12"/>
    <m/>
    <n v="91.099000000000004"/>
    <n v="95.227999999999994"/>
    <n v="93.163499999999999"/>
    <n v="412.9"/>
  </r>
  <r>
    <x v="8"/>
    <x v="55"/>
    <x v="12"/>
    <m/>
    <n v="91.099000000000004"/>
    <n v="95.227999999999994"/>
    <n v="93.163499999999999"/>
    <n v="412.9"/>
  </r>
  <r>
    <x v="8"/>
    <x v="55"/>
    <x v="12"/>
    <m/>
    <n v="91.099000000000004"/>
    <n v="95.227999999999994"/>
    <n v="93.163499999999999"/>
    <n v="412.9"/>
  </r>
  <r>
    <x v="8"/>
    <x v="55"/>
    <x v="12"/>
    <m/>
    <n v="91.099000000000004"/>
    <n v="95.227999999999994"/>
    <n v="93.163499999999999"/>
    <n v="412.9"/>
  </r>
  <r>
    <x v="8"/>
    <x v="55"/>
    <x v="12"/>
    <m/>
    <n v="91.099000000000004"/>
    <n v="95.227999999999994"/>
    <n v="93.163499999999999"/>
    <n v="412.9"/>
  </r>
  <r>
    <x v="8"/>
    <x v="55"/>
    <x v="12"/>
    <m/>
    <n v="91.099000000000004"/>
    <n v="95.227999999999994"/>
    <n v="93.163499999999999"/>
    <n v="412.9"/>
  </r>
  <r>
    <x v="8"/>
    <x v="55"/>
    <x v="12"/>
    <m/>
    <n v="91.099000000000004"/>
    <n v="95.227999999999994"/>
    <n v="93.163499999999999"/>
    <n v="412.9"/>
  </r>
  <r>
    <x v="8"/>
    <x v="55"/>
    <x v="12"/>
    <m/>
    <n v="91.099000000000004"/>
    <n v="95.227999999999994"/>
    <n v="93.163499999999999"/>
    <n v="412.9"/>
  </r>
  <r>
    <x v="8"/>
    <x v="55"/>
    <x v="12"/>
    <m/>
    <n v="91.099000000000004"/>
    <n v="95.227999999999994"/>
    <n v="93.163499999999999"/>
    <n v="412.9"/>
  </r>
  <r>
    <x v="8"/>
    <x v="55"/>
    <x v="12"/>
    <m/>
    <n v="91.099000000000004"/>
    <n v="95.227999999999994"/>
    <n v="93.163499999999999"/>
    <n v="412.9"/>
  </r>
  <r>
    <x v="8"/>
    <x v="55"/>
    <x v="12"/>
    <m/>
    <n v="91.099000000000004"/>
    <n v="95.227999999999994"/>
    <n v="93.163499999999999"/>
    <n v="412.9"/>
  </r>
  <r>
    <x v="8"/>
    <x v="55"/>
    <x v="12"/>
    <m/>
    <n v="91.099000000000004"/>
    <n v="95.227999999999994"/>
    <n v="93.163499999999999"/>
    <n v="412.9"/>
  </r>
  <r>
    <x v="8"/>
    <x v="55"/>
    <x v="12"/>
    <m/>
    <n v="91.099000000000004"/>
    <n v="95.227999999999994"/>
    <n v="93.163499999999999"/>
    <n v="412.9"/>
  </r>
  <r>
    <x v="8"/>
    <x v="55"/>
    <x v="12"/>
    <m/>
    <n v="91.099000000000004"/>
    <n v="95.227999999999994"/>
    <n v="93.163499999999999"/>
    <n v="412.9"/>
  </r>
  <r>
    <x v="8"/>
    <x v="55"/>
    <x v="12"/>
    <m/>
    <n v="91.099000000000004"/>
    <n v="95.227999999999994"/>
    <n v="93.163499999999999"/>
    <n v="412.9"/>
  </r>
  <r>
    <x v="8"/>
    <x v="55"/>
    <x v="12"/>
    <m/>
    <n v="91.099000000000004"/>
    <n v="95.227999999999994"/>
    <n v="93.163499999999999"/>
    <n v="412.9"/>
  </r>
  <r>
    <x v="8"/>
    <x v="55"/>
    <x v="12"/>
    <m/>
    <n v="91.099000000000004"/>
    <n v="95.227999999999994"/>
    <n v="93.163499999999999"/>
    <n v="412.9"/>
  </r>
  <r>
    <x v="8"/>
    <x v="55"/>
    <x v="3"/>
    <m/>
    <n v="1.3484100000000001"/>
    <n v="1.39151"/>
    <n v="1.3699600000000001"/>
    <n v="431"/>
  </r>
  <r>
    <x v="8"/>
    <x v="55"/>
    <x v="3"/>
    <m/>
    <n v="1.3484100000000001"/>
    <n v="1.39151"/>
    <n v="1.3699600000000001"/>
    <n v="431"/>
  </r>
  <r>
    <x v="8"/>
    <x v="55"/>
    <x v="3"/>
    <m/>
    <n v="1.3484100000000001"/>
    <n v="1.39151"/>
    <n v="1.3699600000000001"/>
    <n v="431"/>
  </r>
  <r>
    <x v="8"/>
    <x v="55"/>
    <x v="3"/>
    <m/>
    <n v="1.3484100000000001"/>
    <n v="1.39151"/>
    <n v="1.3699600000000001"/>
    <n v="431"/>
  </r>
  <r>
    <x v="8"/>
    <x v="55"/>
    <x v="3"/>
    <m/>
    <n v="1.3484100000000001"/>
    <n v="1.39151"/>
    <n v="1.3699600000000001"/>
    <n v="431"/>
  </r>
  <r>
    <x v="8"/>
    <x v="55"/>
    <x v="3"/>
    <m/>
    <n v="1.3484100000000001"/>
    <n v="1.39151"/>
    <n v="1.3699600000000001"/>
    <n v="431"/>
  </r>
  <r>
    <x v="8"/>
    <x v="55"/>
    <x v="3"/>
    <m/>
    <n v="1.3484100000000001"/>
    <n v="1.39151"/>
    <n v="1.3699600000000001"/>
    <n v="431"/>
  </r>
  <r>
    <x v="8"/>
    <x v="55"/>
    <x v="3"/>
    <m/>
    <n v="1.3484100000000001"/>
    <n v="1.39151"/>
    <n v="1.3699600000000001"/>
    <n v="431"/>
  </r>
  <r>
    <x v="8"/>
    <x v="55"/>
    <x v="3"/>
    <m/>
    <n v="1.3484100000000001"/>
    <n v="1.39151"/>
    <n v="1.3699600000000001"/>
    <n v="431"/>
  </r>
  <r>
    <x v="8"/>
    <x v="55"/>
    <x v="3"/>
    <m/>
    <n v="1.3484100000000001"/>
    <n v="1.39151"/>
    <n v="1.3699600000000001"/>
    <n v="431"/>
  </r>
  <r>
    <x v="8"/>
    <x v="55"/>
    <x v="3"/>
    <m/>
    <n v="1.3484100000000001"/>
    <n v="1.39151"/>
    <n v="1.3699600000000001"/>
    <n v="431"/>
  </r>
  <r>
    <x v="8"/>
    <x v="55"/>
    <x v="3"/>
    <m/>
    <n v="1.3484100000000001"/>
    <n v="1.39151"/>
    <n v="1.3699600000000001"/>
    <n v="431"/>
  </r>
  <r>
    <x v="8"/>
    <x v="55"/>
    <x v="3"/>
    <m/>
    <n v="1.3484100000000001"/>
    <n v="1.39151"/>
    <n v="1.3699600000000001"/>
    <n v="431"/>
  </r>
  <r>
    <x v="8"/>
    <x v="55"/>
    <x v="3"/>
    <m/>
    <n v="1.3484100000000001"/>
    <n v="1.39151"/>
    <n v="1.3699600000000001"/>
    <n v="431"/>
  </r>
  <r>
    <x v="8"/>
    <x v="55"/>
    <x v="3"/>
    <m/>
    <n v="1.3484100000000001"/>
    <n v="1.39151"/>
    <n v="1.3699600000000001"/>
    <n v="431"/>
  </r>
  <r>
    <x v="8"/>
    <x v="55"/>
    <x v="3"/>
    <m/>
    <n v="1.3484100000000001"/>
    <n v="1.39151"/>
    <n v="1.3699600000000001"/>
    <n v="431"/>
  </r>
  <r>
    <x v="8"/>
    <x v="55"/>
    <x v="3"/>
    <m/>
    <n v="1.3484100000000001"/>
    <n v="1.39151"/>
    <n v="1.3699600000000001"/>
    <n v="431"/>
  </r>
  <r>
    <x v="8"/>
    <x v="55"/>
    <x v="3"/>
    <m/>
    <n v="1.3484100000000001"/>
    <n v="1.39151"/>
    <n v="1.3699600000000001"/>
    <n v="431"/>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5"/>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12"/>
    <m/>
    <n v="91.099000000000004"/>
    <n v="95.227999999999994"/>
    <n v="93.163499999999999"/>
    <n v="412.9"/>
  </r>
  <r>
    <x v="8"/>
    <x v="56"/>
    <x v="12"/>
    <m/>
    <n v="91.099000000000004"/>
    <n v="95.227999999999994"/>
    <n v="93.163499999999999"/>
    <n v="412.9"/>
  </r>
  <r>
    <x v="8"/>
    <x v="56"/>
    <x v="12"/>
    <m/>
    <n v="91.099000000000004"/>
    <n v="95.227999999999994"/>
    <n v="93.163499999999999"/>
    <n v="412.9"/>
  </r>
  <r>
    <x v="8"/>
    <x v="56"/>
    <x v="12"/>
    <m/>
    <n v="91.099000000000004"/>
    <n v="95.227999999999994"/>
    <n v="93.163499999999999"/>
    <n v="412.9"/>
  </r>
  <r>
    <x v="8"/>
    <x v="56"/>
    <x v="12"/>
    <m/>
    <n v="91.099000000000004"/>
    <n v="95.227999999999994"/>
    <n v="93.163499999999999"/>
    <n v="412.9"/>
  </r>
  <r>
    <x v="8"/>
    <x v="56"/>
    <x v="12"/>
    <m/>
    <n v="91.099000000000004"/>
    <n v="95.227999999999994"/>
    <n v="93.163499999999999"/>
    <n v="412.9"/>
  </r>
  <r>
    <x v="8"/>
    <x v="56"/>
    <x v="12"/>
    <m/>
    <n v="91.099000000000004"/>
    <n v="95.227999999999994"/>
    <n v="93.163499999999999"/>
    <n v="412.9"/>
  </r>
  <r>
    <x v="8"/>
    <x v="56"/>
    <x v="12"/>
    <m/>
    <n v="91.099000000000004"/>
    <n v="95.227999999999994"/>
    <n v="93.163499999999999"/>
    <n v="412.9"/>
  </r>
  <r>
    <x v="8"/>
    <x v="56"/>
    <x v="12"/>
    <m/>
    <n v="91.099000000000004"/>
    <n v="95.227999999999994"/>
    <n v="93.163499999999999"/>
    <n v="412.9"/>
  </r>
  <r>
    <x v="8"/>
    <x v="56"/>
    <x v="12"/>
    <m/>
    <n v="91.099000000000004"/>
    <n v="95.227999999999994"/>
    <n v="93.163499999999999"/>
    <n v="412.9"/>
  </r>
  <r>
    <x v="8"/>
    <x v="56"/>
    <x v="12"/>
    <m/>
    <n v="91.099000000000004"/>
    <n v="95.227999999999994"/>
    <n v="93.163499999999999"/>
    <n v="412.9"/>
  </r>
  <r>
    <x v="8"/>
    <x v="56"/>
    <x v="12"/>
    <m/>
    <n v="91.099000000000004"/>
    <n v="95.227999999999994"/>
    <n v="93.163499999999999"/>
    <n v="412.9"/>
  </r>
  <r>
    <x v="8"/>
    <x v="56"/>
    <x v="12"/>
    <m/>
    <n v="91.099000000000004"/>
    <n v="95.227999999999994"/>
    <n v="93.163499999999999"/>
    <n v="412.9"/>
  </r>
  <r>
    <x v="8"/>
    <x v="56"/>
    <x v="12"/>
    <m/>
    <n v="91.099000000000004"/>
    <n v="95.227999999999994"/>
    <n v="93.163499999999999"/>
    <n v="412.9"/>
  </r>
  <r>
    <x v="8"/>
    <x v="56"/>
    <x v="12"/>
    <m/>
    <n v="91.099000000000004"/>
    <n v="95.227999999999994"/>
    <n v="93.163499999999999"/>
    <n v="412.9"/>
  </r>
  <r>
    <x v="8"/>
    <x v="56"/>
    <x v="12"/>
    <m/>
    <n v="91.099000000000004"/>
    <n v="95.227999999999994"/>
    <n v="93.163499999999999"/>
    <n v="412.9"/>
  </r>
  <r>
    <x v="8"/>
    <x v="56"/>
    <x v="12"/>
    <m/>
    <n v="91.099000000000004"/>
    <n v="95.227999999999994"/>
    <n v="93.163499999999999"/>
    <n v="412.9"/>
  </r>
  <r>
    <x v="8"/>
    <x v="56"/>
    <x v="12"/>
    <m/>
    <n v="91.099000000000004"/>
    <n v="95.227999999999994"/>
    <n v="93.163499999999999"/>
    <n v="412.9"/>
  </r>
  <r>
    <x v="8"/>
    <x v="56"/>
    <x v="12"/>
    <m/>
    <n v="91.099000000000004"/>
    <n v="95.227999999999994"/>
    <n v="93.163499999999999"/>
    <n v="412.9"/>
  </r>
  <r>
    <x v="8"/>
    <x v="56"/>
    <x v="12"/>
    <m/>
    <n v="91.099000000000004"/>
    <n v="95.227999999999994"/>
    <n v="93.163499999999999"/>
    <n v="412.9"/>
  </r>
  <r>
    <x v="8"/>
    <x v="56"/>
    <x v="12"/>
    <m/>
    <n v="91.099000000000004"/>
    <n v="95.227999999999994"/>
    <n v="93.163499999999999"/>
    <n v="412.9"/>
  </r>
  <r>
    <x v="8"/>
    <x v="56"/>
    <x v="12"/>
    <m/>
    <n v="91.099000000000004"/>
    <n v="95.227999999999994"/>
    <n v="93.163499999999999"/>
    <n v="412.9"/>
  </r>
  <r>
    <x v="8"/>
    <x v="56"/>
    <x v="12"/>
    <m/>
    <n v="91.099000000000004"/>
    <n v="95.227999999999994"/>
    <n v="93.163499999999999"/>
    <n v="412.9"/>
  </r>
  <r>
    <x v="8"/>
    <x v="56"/>
    <x v="12"/>
    <m/>
    <n v="91.099000000000004"/>
    <n v="95.227999999999994"/>
    <n v="93.163499999999999"/>
    <n v="412.9"/>
  </r>
  <r>
    <x v="8"/>
    <x v="56"/>
    <x v="12"/>
    <m/>
    <n v="91.099000000000004"/>
    <n v="95.227999999999994"/>
    <n v="93.163499999999999"/>
    <n v="412.9"/>
  </r>
  <r>
    <x v="8"/>
    <x v="56"/>
    <x v="12"/>
    <m/>
    <n v="91.099000000000004"/>
    <n v="95.227999999999994"/>
    <n v="93.163499999999999"/>
    <n v="412.9"/>
  </r>
  <r>
    <x v="8"/>
    <x v="56"/>
    <x v="12"/>
    <m/>
    <n v="91.099000000000004"/>
    <n v="95.227999999999994"/>
    <n v="93.163499999999999"/>
    <n v="412.9"/>
  </r>
  <r>
    <x v="8"/>
    <x v="56"/>
    <x v="3"/>
    <m/>
    <n v="1.3484100000000001"/>
    <n v="1.39151"/>
    <n v="1.3699600000000001"/>
    <n v="431"/>
  </r>
  <r>
    <x v="8"/>
    <x v="56"/>
    <x v="3"/>
    <m/>
    <n v="1.3484100000000001"/>
    <n v="1.39151"/>
    <n v="1.3699600000000001"/>
    <n v="431"/>
  </r>
  <r>
    <x v="8"/>
    <x v="56"/>
    <x v="3"/>
    <m/>
    <n v="1.3484100000000001"/>
    <n v="1.39151"/>
    <n v="1.3699600000000001"/>
    <n v="431"/>
  </r>
  <r>
    <x v="8"/>
    <x v="56"/>
    <x v="3"/>
    <m/>
    <n v="1.3484100000000001"/>
    <n v="1.39151"/>
    <n v="1.3699600000000001"/>
    <n v="431"/>
  </r>
  <r>
    <x v="8"/>
    <x v="56"/>
    <x v="3"/>
    <m/>
    <n v="1.3484100000000001"/>
    <n v="1.39151"/>
    <n v="1.3699600000000001"/>
    <n v="431"/>
  </r>
  <r>
    <x v="8"/>
    <x v="56"/>
    <x v="3"/>
    <m/>
    <n v="1.3484100000000001"/>
    <n v="1.39151"/>
    <n v="1.3699600000000001"/>
    <n v="431"/>
  </r>
  <r>
    <x v="8"/>
    <x v="56"/>
    <x v="3"/>
    <m/>
    <n v="1.3484100000000001"/>
    <n v="1.39151"/>
    <n v="1.3699600000000001"/>
    <n v="431"/>
  </r>
  <r>
    <x v="8"/>
    <x v="56"/>
    <x v="3"/>
    <m/>
    <n v="1.3484100000000001"/>
    <n v="1.39151"/>
    <n v="1.3699600000000001"/>
    <n v="431"/>
  </r>
  <r>
    <x v="8"/>
    <x v="56"/>
    <x v="3"/>
    <m/>
    <n v="1.3484100000000001"/>
    <n v="1.39151"/>
    <n v="1.3699600000000001"/>
    <n v="431"/>
  </r>
  <r>
    <x v="8"/>
    <x v="56"/>
    <x v="3"/>
    <m/>
    <n v="1.3484100000000001"/>
    <n v="1.39151"/>
    <n v="1.3699600000000001"/>
    <n v="431"/>
  </r>
  <r>
    <x v="8"/>
    <x v="56"/>
    <x v="3"/>
    <m/>
    <n v="1.3484100000000001"/>
    <n v="1.39151"/>
    <n v="1.3699600000000001"/>
    <n v="431"/>
  </r>
  <r>
    <x v="8"/>
    <x v="56"/>
    <x v="3"/>
    <m/>
    <n v="1.3484100000000001"/>
    <n v="1.39151"/>
    <n v="1.3699600000000001"/>
    <n v="431"/>
  </r>
  <r>
    <x v="8"/>
    <x v="56"/>
    <x v="3"/>
    <m/>
    <n v="1.3484100000000001"/>
    <n v="1.39151"/>
    <n v="1.3699600000000001"/>
    <n v="431"/>
  </r>
  <r>
    <x v="8"/>
    <x v="56"/>
    <x v="3"/>
    <m/>
    <n v="1.3484100000000001"/>
    <n v="1.39151"/>
    <n v="1.3699600000000001"/>
    <n v="431"/>
  </r>
  <r>
    <x v="8"/>
    <x v="56"/>
    <x v="3"/>
    <m/>
    <n v="1.3484100000000001"/>
    <n v="1.39151"/>
    <n v="1.3699600000000001"/>
    <n v="431"/>
  </r>
  <r>
    <x v="8"/>
    <x v="56"/>
    <x v="3"/>
    <m/>
    <n v="1.3484100000000001"/>
    <n v="1.39151"/>
    <n v="1.3699600000000001"/>
    <n v="431"/>
  </r>
  <r>
    <x v="8"/>
    <x v="56"/>
    <x v="3"/>
    <m/>
    <n v="1.3484100000000001"/>
    <n v="1.39151"/>
    <n v="1.3699600000000001"/>
    <n v="431"/>
  </r>
  <r>
    <x v="8"/>
    <x v="56"/>
    <x v="3"/>
    <m/>
    <n v="1.3484100000000001"/>
    <n v="1.39151"/>
    <n v="1.3699600000000001"/>
    <n v="431"/>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6"/>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12"/>
    <m/>
    <n v="91.099000000000004"/>
    <n v="95.227999999999994"/>
    <n v="93.163499999999999"/>
    <n v="412.9"/>
  </r>
  <r>
    <x v="8"/>
    <x v="57"/>
    <x v="12"/>
    <m/>
    <n v="91.099000000000004"/>
    <n v="95.227999999999994"/>
    <n v="93.163499999999999"/>
    <n v="412.9"/>
  </r>
  <r>
    <x v="8"/>
    <x v="57"/>
    <x v="12"/>
    <m/>
    <n v="91.099000000000004"/>
    <n v="95.227999999999994"/>
    <n v="93.163499999999999"/>
    <n v="412.9"/>
  </r>
  <r>
    <x v="8"/>
    <x v="57"/>
    <x v="12"/>
    <m/>
    <n v="91.099000000000004"/>
    <n v="95.227999999999994"/>
    <n v="93.163499999999999"/>
    <n v="412.9"/>
  </r>
  <r>
    <x v="8"/>
    <x v="57"/>
    <x v="12"/>
    <m/>
    <n v="91.099000000000004"/>
    <n v="95.227999999999994"/>
    <n v="93.163499999999999"/>
    <n v="412.9"/>
  </r>
  <r>
    <x v="8"/>
    <x v="57"/>
    <x v="12"/>
    <m/>
    <n v="91.099000000000004"/>
    <n v="95.227999999999994"/>
    <n v="93.163499999999999"/>
    <n v="412.9"/>
  </r>
  <r>
    <x v="8"/>
    <x v="57"/>
    <x v="12"/>
    <m/>
    <n v="91.099000000000004"/>
    <n v="95.227999999999994"/>
    <n v="93.163499999999999"/>
    <n v="412.9"/>
  </r>
  <r>
    <x v="8"/>
    <x v="57"/>
    <x v="12"/>
    <m/>
    <n v="91.099000000000004"/>
    <n v="95.227999999999994"/>
    <n v="93.163499999999999"/>
    <n v="412.9"/>
  </r>
  <r>
    <x v="8"/>
    <x v="57"/>
    <x v="12"/>
    <m/>
    <n v="91.099000000000004"/>
    <n v="95.227999999999994"/>
    <n v="93.163499999999999"/>
    <n v="412.9"/>
  </r>
  <r>
    <x v="8"/>
    <x v="57"/>
    <x v="12"/>
    <m/>
    <n v="91.099000000000004"/>
    <n v="95.227999999999994"/>
    <n v="93.163499999999999"/>
    <n v="412.9"/>
  </r>
  <r>
    <x v="8"/>
    <x v="57"/>
    <x v="12"/>
    <m/>
    <n v="91.099000000000004"/>
    <n v="95.227999999999994"/>
    <n v="93.163499999999999"/>
    <n v="412.9"/>
  </r>
  <r>
    <x v="8"/>
    <x v="57"/>
    <x v="12"/>
    <m/>
    <n v="91.099000000000004"/>
    <n v="95.227999999999994"/>
    <n v="93.163499999999999"/>
    <n v="412.9"/>
  </r>
  <r>
    <x v="8"/>
    <x v="57"/>
    <x v="12"/>
    <m/>
    <n v="91.099000000000004"/>
    <n v="95.227999999999994"/>
    <n v="93.163499999999999"/>
    <n v="412.9"/>
  </r>
  <r>
    <x v="8"/>
    <x v="57"/>
    <x v="12"/>
    <m/>
    <n v="91.099000000000004"/>
    <n v="95.227999999999994"/>
    <n v="93.163499999999999"/>
    <n v="412.9"/>
  </r>
  <r>
    <x v="8"/>
    <x v="57"/>
    <x v="12"/>
    <m/>
    <n v="91.099000000000004"/>
    <n v="95.227999999999994"/>
    <n v="93.163499999999999"/>
    <n v="412.9"/>
  </r>
  <r>
    <x v="8"/>
    <x v="57"/>
    <x v="12"/>
    <m/>
    <n v="91.099000000000004"/>
    <n v="95.227999999999994"/>
    <n v="93.163499999999999"/>
    <n v="412.9"/>
  </r>
  <r>
    <x v="8"/>
    <x v="57"/>
    <x v="12"/>
    <m/>
    <n v="91.099000000000004"/>
    <n v="95.227999999999994"/>
    <n v="93.163499999999999"/>
    <n v="412.9"/>
  </r>
  <r>
    <x v="8"/>
    <x v="57"/>
    <x v="12"/>
    <m/>
    <n v="91.099000000000004"/>
    <n v="95.227999999999994"/>
    <n v="93.163499999999999"/>
    <n v="412.9"/>
  </r>
  <r>
    <x v="8"/>
    <x v="57"/>
    <x v="12"/>
    <m/>
    <n v="91.099000000000004"/>
    <n v="95.227999999999994"/>
    <n v="93.163499999999999"/>
    <n v="412.9"/>
  </r>
  <r>
    <x v="8"/>
    <x v="57"/>
    <x v="12"/>
    <m/>
    <n v="91.099000000000004"/>
    <n v="95.227999999999994"/>
    <n v="93.163499999999999"/>
    <n v="412.9"/>
  </r>
  <r>
    <x v="8"/>
    <x v="57"/>
    <x v="12"/>
    <m/>
    <n v="91.099000000000004"/>
    <n v="95.227999999999994"/>
    <n v="93.163499999999999"/>
    <n v="412.9"/>
  </r>
  <r>
    <x v="8"/>
    <x v="57"/>
    <x v="12"/>
    <m/>
    <n v="91.099000000000004"/>
    <n v="95.227999999999994"/>
    <n v="93.163499999999999"/>
    <n v="412.9"/>
  </r>
  <r>
    <x v="8"/>
    <x v="57"/>
    <x v="12"/>
    <m/>
    <n v="91.099000000000004"/>
    <n v="95.227999999999994"/>
    <n v="93.163499999999999"/>
    <n v="412.9"/>
  </r>
  <r>
    <x v="8"/>
    <x v="57"/>
    <x v="12"/>
    <m/>
    <n v="91.099000000000004"/>
    <n v="95.227999999999994"/>
    <n v="93.163499999999999"/>
    <n v="412.9"/>
  </r>
  <r>
    <x v="8"/>
    <x v="57"/>
    <x v="12"/>
    <m/>
    <n v="91.099000000000004"/>
    <n v="95.227999999999994"/>
    <n v="93.163499999999999"/>
    <n v="412.9"/>
  </r>
  <r>
    <x v="8"/>
    <x v="57"/>
    <x v="12"/>
    <m/>
    <n v="91.099000000000004"/>
    <n v="95.227999999999994"/>
    <n v="93.163499999999999"/>
    <n v="412.9"/>
  </r>
  <r>
    <x v="8"/>
    <x v="57"/>
    <x v="12"/>
    <m/>
    <n v="91.099000000000004"/>
    <n v="95.227999999999994"/>
    <n v="93.163499999999999"/>
    <n v="412.9"/>
  </r>
  <r>
    <x v="8"/>
    <x v="57"/>
    <x v="3"/>
    <m/>
    <n v="1.3484100000000001"/>
    <n v="1.39151"/>
    <n v="1.3699600000000001"/>
    <n v="431"/>
  </r>
  <r>
    <x v="8"/>
    <x v="57"/>
    <x v="3"/>
    <m/>
    <n v="1.3484100000000001"/>
    <n v="1.39151"/>
    <n v="1.3699600000000001"/>
    <n v="431"/>
  </r>
  <r>
    <x v="8"/>
    <x v="57"/>
    <x v="3"/>
    <m/>
    <n v="1.3484100000000001"/>
    <n v="1.39151"/>
    <n v="1.3699600000000001"/>
    <n v="431"/>
  </r>
  <r>
    <x v="8"/>
    <x v="57"/>
    <x v="3"/>
    <m/>
    <n v="1.3484100000000001"/>
    <n v="1.39151"/>
    <n v="1.3699600000000001"/>
    <n v="431"/>
  </r>
  <r>
    <x v="8"/>
    <x v="57"/>
    <x v="3"/>
    <m/>
    <n v="1.3484100000000001"/>
    <n v="1.39151"/>
    <n v="1.3699600000000001"/>
    <n v="431"/>
  </r>
  <r>
    <x v="8"/>
    <x v="57"/>
    <x v="3"/>
    <m/>
    <n v="1.3484100000000001"/>
    <n v="1.39151"/>
    <n v="1.3699600000000001"/>
    <n v="431"/>
  </r>
  <r>
    <x v="8"/>
    <x v="57"/>
    <x v="3"/>
    <m/>
    <n v="1.3484100000000001"/>
    <n v="1.39151"/>
    <n v="1.3699600000000001"/>
    <n v="431"/>
  </r>
  <r>
    <x v="8"/>
    <x v="57"/>
    <x v="3"/>
    <m/>
    <n v="1.3484100000000001"/>
    <n v="1.39151"/>
    <n v="1.3699600000000001"/>
    <n v="431"/>
  </r>
  <r>
    <x v="8"/>
    <x v="57"/>
    <x v="3"/>
    <m/>
    <n v="1.3484100000000001"/>
    <n v="1.39151"/>
    <n v="1.3699600000000001"/>
    <n v="431"/>
  </r>
  <r>
    <x v="8"/>
    <x v="57"/>
    <x v="3"/>
    <m/>
    <n v="1.3484100000000001"/>
    <n v="1.39151"/>
    <n v="1.3699600000000001"/>
    <n v="431"/>
  </r>
  <r>
    <x v="8"/>
    <x v="57"/>
    <x v="3"/>
    <m/>
    <n v="1.3484100000000001"/>
    <n v="1.39151"/>
    <n v="1.3699600000000001"/>
    <n v="431"/>
  </r>
  <r>
    <x v="8"/>
    <x v="57"/>
    <x v="3"/>
    <m/>
    <n v="1.3484100000000001"/>
    <n v="1.39151"/>
    <n v="1.3699600000000001"/>
    <n v="431"/>
  </r>
  <r>
    <x v="8"/>
    <x v="57"/>
    <x v="3"/>
    <m/>
    <n v="1.3484100000000001"/>
    <n v="1.39151"/>
    <n v="1.3699600000000001"/>
    <n v="431"/>
  </r>
  <r>
    <x v="8"/>
    <x v="57"/>
    <x v="3"/>
    <m/>
    <n v="1.3484100000000001"/>
    <n v="1.39151"/>
    <n v="1.3699600000000001"/>
    <n v="431"/>
  </r>
  <r>
    <x v="8"/>
    <x v="57"/>
    <x v="3"/>
    <m/>
    <n v="1.3484100000000001"/>
    <n v="1.39151"/>
    <n v="1.3699600000000001"/>
    <n v="431"/>
  </r>
  <r>
    <x v="8"/>
    <x v="57"/>
    <x v="3"/>
    <m/>
    <n v="1.3484100000000001"/>
    <n v="1.39151"/>
    <n v="1.3699600000000001"/>
    <n v="431"/>
  </r>
  <r>
    <x v="8"/>
    <x v="57"/>
    <x v="3"/>
    <m/>
    <n v="1.3484100000000001"/>
    <n v="1.39151"/>
    <n v="1.3699600000000001"/>
    <n v="431"/>
  </r>
  <r>
    <x v="8"/>
    <x v="57"/>
    <x v="3"/>
    <m/>
    <n v="1.3484100000000001"/>
    <n v="1.39151"/>
    <n v="1.3699600000000001"/>
    <n v="431"/>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7"/>
    <x v="0"/>
    <m/>
    <n v="1.9189400000000001"/>
    <n v="2.0350999999999999"/>
    <n v="1.97702"/>
    <n v="1161.5999999999999"/>
  </r>
  <r>
    <x v="8"/>
    <x v="58"/>
    <x v="12"/>
    <m/>
    <n v="91.099000000000004"/>
    <n v="95.227999999999994"/>
    <n v="93.163499999999999"/>
    <n v="412.9"/>
  </r>
  <r>
    <x v="8"/>
    <x v="58"/>
    <x v="12"/>
    <m/>
    <n v="91.099000000000004"/>
    <n v="95.227999999999994"/>
    <n v="93.163499999999999"/>
    <n v="412.9"/>
  </r>
  <r>
    <x v="8"/>
    <x v="58"/>
    <x v="12"/>
    <m/>
    <n v="91.099000000000004"/>
    <n v="95.227999999999994"/>
    <n v="93.163499999999999"/>
    <n v="412.9"/>
  </r>
  <r>
    <x v="8"/>
    <x v="58"/>
    <x v="12"/>
    <m/>
    <n v="91.099000000000004"/>
    <n v="95.227999999999994"/>
    <n v="93.163499999999999"/>
    <n v="412.9"/>
  </r>
  <r>
    <x v="8"/>
    <x v="58"/>
    <x v="3"/>
    <m/>
    <n v="1.3484100000000001"/>
    <n v="1.39151"/>
    <n v="1.3699600000000001"/>
    <n v="431"/>
  </r>
  <r>
    <x v="8"/>
    <x v="58"/>
    <x v="3"/>
    <m/>
    <n v="1.3484100000000001"/>
    <n v="1.39151"/>
    <n v="1.3699600000000001"/>
    <n v="431"/>
  </r>
  <r>
    <x v="8"/>
    <x v="58"/>
    <x v="3"/>
    <m/>
    <n v="1.3484100000000001"/>
    <n v="1.39151"/>
    <n v="1.3699600000000001"/>
    <n v="431"/>
  </r>
  <r>
    <x v="8"/>
    <x v="58"/>
    <x v="0"/>
    <m/>
    <n v="1.9189400000000001"/>
    <n v="2.0350999999999999"/>
    <n v="1.97702"/>
    <n v="1161.5999999999999"/>
  </r>
  <r>
    <x v="8"/>
    <x v="58"/>
    <x v="0"/>
    <m/>
    <n v="1.9189400000000001"/>
    <n v="2.0350999999999999"/>
    <n v="1.97702"/>
    <n v="1161.5999999999999"/>
  </r>
  <r>
    <x v="8"/>
    <x v="58"/>
    <x v="0"/>
    <m/>
    <n v="1.9189400000000001"/>
    <n v="2.0350999999999999"/>
    <n v="1.97702"/>
    <n v="1161.5999999999999"/>
  </r>
  <r>
    <x v="8"/>
    <x v="58"/>
    <x v="0"/>
    <m/>
    <n v="1.9189400000000001"/>
    <n v="2.0350999999999999"/>
    <n v="1.97702"/>
    <n v="1161.5999999999999"/>
  </r>
  <r>
    <x v="8"/>
    <x v="58"/>
    <x v="0"/>
    <m/>
    <n v="1.9189400000000001"/>
    <n v="2.0350999999999999"/>
    <n v="1.97702"/>
    <n v="1161.5999999999999"/>
  </r>
  <r>
    <x v="8"/>
    <x v="59"/>
    <x v="12"/>
    <m/>
    <n v="91.099000000000004"/>
    <n v="95.227999999999994"/>
    <n v="93.163499999999999"/>
    <n v="412.9"/>
  </r>
  <r>
    <x v="8"/>
    <x v="59"/>
    <x v="12"/>
    <m/>
    <n v="91.099000000000004"/>
    <n v="95.227999999999994"/>
    <n v="93.163499999999999"/>
    <n v="412.9"/>
  </r>
  <r>
    <x v="8"/>
    <x v="59"/>
    <x v="12"/>
    <m/>
    <n v="91.099000000000004"/>
    <n v="95.227999999999994"/>
    <n v="93.163499999999999"/>
    <n v="412.9"/>
  </r>
  <r>
    <x v="8"/>
    <x v="59"/>
    <x v="12"/>
    <m/>
    <n v="91.099000000000004"/>
    <n v="95.227999999999994"/>
    <n v="93.163499999999999"/>
    <n v="412.9"/>
  </r>
  <r>
    <x v="8"/>
    <x v="59"/>
    <x v="12"/>
    <m/>
    <n v="91.099000000000004"/>
    <n v="95.227999999999994"/>
    <n v="93.163499999999999"/>
    <n v="412.9"/>
  </r>
  <r>
    <x v="8"/>
    <x v="59"/>
    <x v="3"/>
    <m/>
    <n v="1.3484100000000001"/>
    <n v="1.39151"/>
    <n v="1.3699600000000001"/>
    <n v="431"/>
  </r>
  <r>
    <x v="8"/>
    <x v="59"/>
    <x v="3"/>
    <m/>
    <n v="1.3484100000000001"/>
    <n v="1.39151"/>
    <n v="1.3699600000000001"/>
    <n v="431"/>
  </r>
  <r>
    <x v="8"/>
    <x v="59"/>
    <x v="3"/>
    <m/>
    <n v="1.3484100000000001"/>
    <n v="1.39151"/>
    <n v="1.3699600000000001"/>
    <n v="431"/>
  </r>
  <r>
    <x v="8"/>
    <x v="59"/>
    <x v="3"/>
    <m/>
    <n v="1.3484100000000001"/>
    <n v="1.39151"/>
    <n v="1.3699600000000001"/>
    <n v="431"/>
  </r>
  <r>
    <x v="8"/>
    <x v="59"/>
    <x v="3"/>
    <m/>
    <n v="1.3484100000000001"/>
    <n v="1.39151"/>
    <n v="1.3699600000000001"/>
    <n v="431"/>
  </r>
  <r>
    <x v="8"/>
    <x v="59"/>
    <x v="3"/>
    <m/>
    <n v="1.3484100000000001"/>
    <n v="1.39151"/>
    <n v="1.3699600000000001"/>
    <n v="431"/>
  </r>
  <r>
    <x v="8"/>
    <x v="59"/>
    <x v="3"/>
    <m/>
    <n v="1.3484100000000001"/>
    <n v="1.39151"/>
    <n v="1.3699600000000001"/>
    <n v="431"/>
  </r>
  <r>
    <x v="8"/>
    <x v="59"/>
    <x v="0"/>
    <m/>
    <n v="1.9189400000000001"/>
    <n v="2.0350999999999999"/>
    <n v="1.97702"/>
    <n v="1161.5999999999999"/>
  </r>
  <r>
    <x v="8"/>
    <x v="59"/>
    <x v="0"/>
    <m/>
    <n v="1.9189400000000001"/>
    <n v="2.0350999999999999"/>
    <n v="1.97702"/>
    <n v="1161.5999999999999"/>
  </r>
  <r>
    <x v="8"/>
    <x v="59"/>
    <x v="0"/>
    <m/>
    <n v="1.9189400000000001"/>
    <n v="2.0350999999999999"/>
    <n v="1.97702"/>
    <n v="1161.5999999999999"/>
  </r>
  <r>
    <x v="8"/>
    <x v="59"/>
    <x v="0"/>
    <m/>
    <n v="1.9189400000000001"/>
    <n v="2.0350999999999999"/>
    <n v="1.97702"/>
    <n v="1161.5999999999999"/>
  </r>
  <r>
    <x v="8"/>
    <x v="59"/>
    <x v="0"/>
    <m/>
    <n v="1.9189400000000001"/>
    <n v="2.0350999999999999"/>
    <n v="1.97702"/>
    <n v="1161.5999999999999"/>
  </r>
  <r>
    <x v="8"/>
    <x v="59"/>
    <x v="0"/>
    <m/>
    <n v="1.9189400000000001"/>
    <n v="2.0350999999999999"/>
    <n v="1.97702"/>
    <n v="1161.5999999999999"/>
  </r>
  <r>
    <x v="8"/>
    <x v="59"/>
    <x v="0"/>
    <m/>
    <n v="1.9189400000000001"/>
    <n v="2.0350999999999999"/>
    <n v="1.97702"/>
    <n v="1161.5999999999999"/>
  </r>
  <r>
    <x v="8"/>
    <x v="59"/>
    <x v="0"/>
    <m/>
    <n v="1.9189400000000001"/>
    <n v="2.0350999999999999"/>
    <n v="1.97702"/>
    <n v="1161.5999999999999"/>
  </r>
  <r>
    <x v="8"/>
    <x v="59"/>
    <x v="0"/>
    <m/>
    <n v="1.9189400000000001"/>
    <n v="2.0350999999999999"/>
    <n v="1.97702"/>
    <n v="1161.5999999999999"/>
  </r>
  <r>
    <x v="8"/>
    <x v="25"/>
    <x v="12"/>
    <m/>
    <n v="91.099000000000004"/>
    <n v="95.227999999999994"/>
    <n v="93.163499999999999"/>
    <n v="412.9"/>
  </r>
  <r>
    <x v="8"/>
    <x v="25"/>
    <x v="12"/>
    <m/>
    <n v="91.099000000000004"/>
    <n v="95.227999999999994"/>
    <n v="93.163499999999999"/>
    <n v="412.9"/>
  </r>
  <r>
    <x v="8"/>
    <x v="25"/>
    <x v="12"/>
    <m/>
    <n v="91.099000000000004"/>
    <n v="95.227999999999994"/>
    <n v="93.163499999999999"/>
    <n v="412.9"/>
  </r>
  <r>
    <x v="8"/>
    <x v="25"/>
    <x v="12"/>
    <m/>
    <n v="91.099000000000004"/>
    <n v="95.227999999999994"/>
    <n v="93.163499999999999"/>
    <n v="412.9"/>
  </r>
  <r>
    <x v="8"/>
    <x v="25"/>
    <x v="12"/>
    <m/>
    <n v="91.099000000000004"/>
    <n v="95.227999999999994"/>
    <n v="93.163499999999999"/>
    <n v="412.9"/>
  </r>
  <r>
    <x v="8"/>
    <x v="25"/>
    <x v="3"/>
    <m/>
    <n v="1.3484100000000001"/>
    <n v="1.39151"/>
    <n v="1.3699600000000001"/>
    <n v="431"/>
  </r>
  <r>
    <x v="8"/>
    <x v="25"/>
    <x v="3"/>
    <m/>
    <n v="1.3484100000000001"/>
    <n v="1.39151"/>
    <n v="1.3699600000000001"/>
    <n v="431"/>
  </r>
  <r>
    <x v="8"/>
    <x v="25"/>
    <x v="3"/>
    <m/>
    <n v="1.3484100000000001"/>
    <n v="1.39151"/>
    <n v="1.3699600000000001"/>
    <n v="431"/>
  </r>
  <r>
    <x v="8"/>
    <x v="25"/>
    <x v="3"/>
    <m/>
    <n v="1.3484100000000001"/>
    <n v="1.39151"/>
    <n v="1.3699600000000001"/>
    <n v="431"/>
  </r>
  <r>
    <x v="8"/>
    <x v="25"/>
    <x v="3"/>
    <m/>
    <n v="1.3484100000000001"/>
    <n v="1.39151"/>
    <n v="1.3699600000000001"/>
    <n v="431"/>
  </r>
  <r>
    <x v="8"/>
    <x v="25"/>
    <x v="3"/>
    <m/>
    <n v="1.3484100000000001"/>
    <n v="1.39151"/>
    <n v="1.3699600000000001"/>
    <n v="431"/>
  </r>
  <r>
    <x v="8"/>
    <x v="25"/>
    <x v="3"/>
    <m/>
    <n v="1.3484100000000001"/>
    <n v="1.39151"/>
    <n v="1.3699600000000001"/>
    <n v="431"/>
  </r>
  <r>
    <x v="8"/>
    <x v="25"/>
    <x v="0"/>
    <m/>
    <n v="1.9189400000000001"/>
    <n v="2.0350999999999999"/>
    <n v="1.97702"/>
    <n v="1161.5999999999999"/>
  </r>
  <r>
    <x v="8"/>
    <x v="25"/>
    <x v="0"/>
    <m/>
    <n v="1.9189400000000001"/>
    <n v="2.0350999999999999"/>
    <n v="1.97702"/>
    <n v="1161.5999999999999"/>
  </r>
  <r>
    <x v="8"/>
    <x v="25"/>
    <x v="0"/>
    <m/>
    <n v="1.9189400000000001"/>
    <n v="2.0350999999999999"/>
    <n v="1.97702"/>
    <n v="1161.5999999999999"/>
  </r>
  <r>
    <x v="8"/>
    <x v="25"/>
    <x v="0"/>
    <m/>
    <n v="1.9189400000000001"/>
    <n v="2.0350999999999999"/>
    <n v="1.97702"/>
    <n v="1161.5999999999999"/>
  </r>
  <r>
    <x v="8"/>
    <x v="25"/>
    <x v="0"/>
    <m/>
    <n v="1.9189400000000001"/>
    <n v="2.0350999999999999"/>
    <n v="1.97702"/>
    <n v="1161.5999999999999"/>
  </r>
  <r>
    <x v="8"/>
    <x v="25"/>
    <x v="0"/>
    <m/>
    <n v="1.9189400000000001"/>
    <n v="2.0350999999999999"/>
    <n v="1.97702"/>
    <n v="1161.5999999999999"/>
  </r>
  <r>
    <x v="8"/>
    <x v="25"/>
    <x v="0"/>
    <m/>
    <n v="1.9189400000000001"/>
    <n v="2.0350999999999999"/>
    <n v="1.97702"/>
    <n v="1161.5999999999999"/>
  </r>
  <r>
    <x v="8"/>
    <x v="25"/>
    <x v="0"/>
    <m/>
    <n v="1.9189400000000001"/>
    <n v="2.0350999999999999"/>
    <n v="1.97702"/>
    <n v="1161.5999999999999"/>
  </r>
  <r>
    <x v="8"/>
    <x v="25"/>
    <x v="0"/>
    <m/>
    <n v="1.9189400000000001"/>
    <n v="2.0350999999999999"/>
    <n v="1.97702"/>
    <n v="1161.5999999999999"/>
  </r>
  <r>
    <x v="8"/>
    <x v="25"/>
    <x v="0"/>
    <m/>
    <n v="1.9189400000000001"/>
    <n v="2.0350999999999999"/>
    <n v="1.97702"/>
    <n v="1161.5999999999999"/>
  </r>
  <r>
    <x v="8"/>
    <x v="25"/>
    <x v="0"/>
    <m/>
    <n v="1.9189400000000001"/>
    <n v="2.0350999999999999"/>
    <n v="1.97702"/>
    <n v="1161.5999999999999"/>
  </r>
  <r>
    <x v="8"/>
    <x v="25"/>
    <x v="0"/>
    <m/>
    <n v="1.9189400000000001"/>
    <n v="2.0350999999999999"/>
    <n v="1.97702"/>
    <n v="1161.5999999999999"/>
  </r>
  <r>
    <x v="8"/>
    <x v="25"/>
    <x v="0"/>
    <m/>
    <n v="1.9189400000000001"/>
    <n v="2.0350999999999999"/>
    <n v="1.97702"/>
    <n v="1161.5999999999999"/>
  </r>
  <r>
    <x v="8"/>
    <x v="25"/>
    <x v="0"/>
    <m/>
    <n v="1.9189400000000001"/>
    <n v="2.0350999999999999"/>
    <n v="1.97702"/>
    <n v="1161.5999999999999"/>
  </r>
  <r>
    <x v="8"/>
    <x v="25"/>
    <x v="0"/>
    <m/>
    <n v="1.9189400000000001"/>
    <n v="2.0350999999999999"/>
    <n v="1.97702"/>
    <n v="1161.5999999999999"/>
  </r>
  <r>
    <x v="8"/>
    <x v="25"/>
    <x v="0"/>
    <m/>
    <n v="1.9189400000000001"/>
    <n v="2.0350999999999999"/>
    <n v="1.97702"/>
    <n v="1161.5999999999999"/>
  </r>
  <r>
    <x v="8"/>
    <x v="60"/>
    <x v="12"/>
    <n v="94.78"/>
    <n v="91.099000000000004"/>
    <n v="95.227999999999994"/>
    <n v="93.163499999999999"/>
    <n v="412.9"/>
  </r>
  <r>
    <x v="8"/>
    <x v="60"/>
    <x v="12"/>
    <n v="94.78"/>
    <n v="91.099000000000004"/>
    <n v="95.227999999999994"/>
    <n v="93.163499999999999"/>
    <n v="412.9"/>
  </r>
  <r>
    <x v="8"/>
    <x v="60"/>
    <x v="12"/>
    <n v="94.78"/>
    <n v="91.099000000000004"/>
    <n v="95.227999999999994"/>
    <n v="93.163499999999999"/>
    <n v="412.9"/>
  </r>
  <r>
    <x v="8"/>
    <x v="60"/>
    <x v="12"/>
    <n v="94.78"/>
    <n v="91.099000000000004"/>
    <n v="95.227999999999994"/>
    <n v="93.163499999999999"/>
    <n v="412.9"/>
  </r>
  <r>
    <x v="8"/>
    <x v="60"/>
    <x v="12"/>
    <n v="94.78"/>
    <n v="91.099000000000004"/>
    <n v="95.227999999999994"/>
    <n v="93.163499999999999"/>
    <n v="412.9"/>
  </r>
  <r>
    <x v="8"/>
    <x v="60"/>
    <x v="12"/>
    <n v="94.78"/>
    <n v="91.099000000000004"/>
    <n v="95.227999999999994"/>
    <n v="93.163499999999999"/>
    <n v="412.9"/>
  </r>
  <r>
    <x v="8"/>
    <x v="60"/>
    <x v="12"/>
    <n v="94.78"/>
    <n v="91.099000000000004"/>
    <n v="95.227999999999994"/>
    <n v="93.163499999999999"/>
    <n v="412.9"/>
  </r>
  <r>
    <x v="8"/>
    <x v="60"/>
    <x v="12"/>
    <n v="94.78"/>
    <n v="91.099000000000004"/>
    <n v="95.227999999999994"/>
    <n v="93.163499999999999"/>
    <n v="412.9"/>
  </r>
  <r>
    <x v="8"/>
    <x v="60"/>
    <x v="12"/>
    <n v="94.78"/>
    <n v="91.099000000000004"/>
    <n v="95.227999999999994"/>
    <n v="93.163499999999999"/>
    <n v="412.9"/>
  </r>
  <r>
    <x v="8"/>
    <x v="60"/>
    <x v="12"/>
    <n v="94.78"/>
    <n v="91.099000000000004"/>
    <n v="95.227999999999994"/>
    <n v="93.163499999999999"/>
    <n v="412.9"/>
  </r>
  <r>
    <x v="8"/>
    <x v="60"/>
    <x v="3"/>
    <n v="1.35991"/>
    <n v="1.3484100000000001"/>
    <n v="1.39151"/>
    <n v="1.3699600000000001"/>
    <n v="431"/>
  </r>
  <r>
    <x v="8"/>
    <x v="60"/>
    <x v="3"/>
    <n v="1.35991"/>
    <n v="1.3484100000000001"/>
    <n v="1.39151"/>
    <n v="1.3699600000000001"/>
    <n v="431"/>
  </r>
  <r>
    <x v="8"/>
    <x v="60"/>
    <x v="3"/>
    <n v="1.35991"/>
    <n v="1.3484100000000001"/>
    <n v="1.39151"/>
    <n v="1.3699600000000001"/>
    <n v="431"/>
  </r>
  <r>
    <x v="8"/>
    <x v="60"/>
    <x v="3"/>
    <n v="1.35991"/>
    <n v="1.3484100000000001"/>
    <n v="1.39151"/>
    <n v="1.3699600000000001"/>
    <n v="431"/>
  </r>
  <r>
    <x v="8"/>
    <x v="60"/>
    <x v="3"/>
    <n v="1.35991"/>
    <n v="1.3484100000000001"/>
    <n v="1.39151"/>
    <n v="1.3699600000000001"/>
    <n v="431"/>
  </r>
  <r>
    <x v="8"/>
    <x v="60"/>
    <x v="3"/>
    <n v="1.35991"/>
    <n v="1.3484100000000001"/>
    <n v="1.39151"/>
    <n v="1.3699600000000001"/>
    <n v="431"/>
  </r>
  <r>
    <x v="8"/>
    <x v="60"/>
    <x v="3"/>
    <n v="1.35991"/>
    <n v="1.3484100000000001"/>
    <n v="1.39151"/>
    <n v="1.3699600000000001"/>
    <n v="431"/>
  </r>
  <r>
    <x v="8"/>
    <x v="60"/>
    <x v="0"/>
    <n v="1.9552499999999999"/>
    <n v="1.9189400000000001"/>
    <n v="2.0350999999999999"/>
    <n v="1.97702"/>
    <n v="1161.5999999999999"/>
  </r>
  <r>
    <x v="8"/>
    <x v="60"/>
    <x v="0"/>
    <n v="1.9552499999999999"/>
    <n v="1.9189400000000001"/>
    <n v="2.0350999999999999"/>
    <n v="1.97702"/>
    <n v="1161.5999999999999"/>
  </r>
  <r>
    <x v="8"/>
    <x v="60"/>
    <x v="0"/>
    <n v="1.9552499999999999"/>
    <n v="1.9189400000000001"/>
    <n v="2.0350999999999999"/>
    <n v="1.97702"/>
    <n v="1161.5999999999999"/>
  </r>
  <r>
    <x v="8"/>
    <x v="60"/>
    <x v="0"/>
    <n v="1.9552499999999999"/>
    <n v="1.9189400000000001"/>
    <n v="2.0350999999999999"/>
    <n v="1.97702"/>
    <n v="1161.5999999999999"/>
  </r>
  <r>
    <x v="8"/>
    <x v="60"/>
    <x v="0"/>
    <n v="1.9552499999999999"/>
    <n v="1.9189400000000001"/>
    <n v="2.0350999999999999"/>
    <n v="1.97702"/>
    <n v="1161.5999999999999"/>
  </r>
  <r>
    <x v="8"/>
    <x v="60"/>
    <x v="0"/>
    <n v="1.9552499999999999"/>
    <n v="1.9189400000000001"/>
    <n v="2.0350999999999999"/>
    <n v="1.97702"/>
    <n v="1161.5999999999999"/>
  </r>
  <r>
    <x v="8"/>
    <x v="60"/>
    <x v="0"/>
    <n v="1.9552499999999999"/>
    <n v="1.9189400000000001"/>
    <n v="2.0350999999999999"/>
    <n v="1.97702"/>
    <n v="1161.5999999999999"/>
  </r>
  <r>
    <x v="8"/>
    <x v="60"/>
    <x v="0"/>
    <n v="1.9552499999999999"/>
    <n v="1.9189400000000001"/>
    <n v="2.0350999999999999"/>
    <n v="1.97702"/>
    <n v="1161.5999999999999"/>
  </r>
  <r>
    <x v="8"/>
    <x v="60"/>
    <x v="0"/>
    <n v="1.9552499999999999"/>
    <n v="1.9189400000000001"/>
    <n v="2.0350999999999999"/>
    <n v="1.97702"/>
    <n v="1161.5999999999999"/>
  </r>
  <r>
    <x v="8"/>
    <x v="60"/>
    <x v="0"/>
    <n v="1.9552499999999999"/>
    <n v="1.9189400000000001"/>
    <n v="2.0350999999999999"/>
    <n v="1.97702"/>
    <n v="1161.5999999999999"/>
  </r>
  <r>
    <x v="8"/>
    <x v="60"/>
    <x v="0"/>
    <n v="1.9552499999999999"/>
    <n v="1.9189400000000001"/>
    <n v="2.0350999999999999"/>
    <n v="1.97702"/>
    <n v="1161.5999999999999"/>
  </r>
  <r>
    <x v="8"/>
    <x v="60"/>
    <x v="0"/>
    <n v="1.9552499999999999"/>
    <n v="1.9189400000000001"/>
    <n v="2.0350999999999999"/>
    <n v="1.97702"/>
    <n v="1161.5999999999999"/>
  </r>
  <r>
    <x v="8"/>
    <x v="60"/>
    <x v="0"/>
    <n v="1.9552499999999999"/>
    <n v="1.9189400000000001"/>
    <n v="2.0350999999999999"/>
    <n v="1.97702"/>
    <n v="1161.5999999999999"/>
  </r>
  <r>
    <x v="8"/>
    <x v="60"/>
    <x v="0"/>
    <n v="1.9552499999999999"/>
    <n v="1.9189400000000001"/>
    <n v="2.0350999999999999"/>
    <n v="1.97702"/>
    <n v="1161.5999999999999"/>
  </r>
  <r>
    <x v="8"/>
    <x v="60"/>
    <x v="0"/>
    <n v="1.9552499999999999"/>
    <n v="1.9189400000000001"/>
    <n v="2.0350999999999999"/>
    <n v="1.97702"/>
    <n v="1161.5999999999999"/>
  </r>
  <r>
    <x v="8"/>
    <x v="60"/>
    <x v="0"/>
    <n v="1.9552499999999999"/>
    <n v="1.9189400000000001"/>
    <n v="2.0350999999999999"/>
    <n v="1.97702"/>
    <n v="1161.5999999999999"/>
  </r>
  <r>
    <x v="8"/>
    <x v="26"/>
    <x v="12"/>
    <n v="95.022000000000006"/>
    <n v="91.099000000000004"/>
    <n v="95.227999999999994"/>
    <n v="93.163499999999999"/>
    <n v="412.9"/>
  </r>
  <r>
    <x v="8"/>
    <x v="26"/>
    <x v="12"/>
    <n v="95.022000000000006"/>
    <n v="91.099000000000004"/>
    <n v="95.227999999999994"/>
    <n v="93.163499999999999"/>
    <n v="412.9"/>
  </r>
  <r>
    <x v="8"/>
    <x v="26"/>
    <x v="12"/>
    <n v="95.022000000000006"/>
    <n v="91.099000000000004"/>
    <n v="95.227999999999994"/>
    <n v="93.163499999999999"/>
    <n v="412.9"/>
  </r>
  <r>
    <x v="8"/>
    <x v="26"/>
    <x v="12"/>
    <n v="95.022000000000006"/>
    <n v="91.099000000000004"/>
    <n v="95.227999999999994"/>
    <n v="93.163499999999999"/>
    <n v="412.9"/>
  </r>
  <r>
    <x v="8"/>
    <x v="26"/>
    <x v="12"/>
    <n v="95.022000000000006"/>
    <n v="91.099000000000004"/>
    <n v="95.227999999999994"/>
    <n v="93.163499999999999"/>
    <n v="412.9"/>
  </r>
  <r>
    <x v="8"/>
    <x v="26"/>
    <x v="12"/>
    <n v="95.022000000000006"/>
    <n v="91.099000000000004"/>
    <n v="95.227999999999994"/>
    <n v="93.163499999999999"/>
    <n v="412.9"/>
  </r>
  <r>
    <x v="8"/>
    <x v="26"/>
    <x v="12"/>
    <n v="95.022000000000006"/>
    <n v="91.099000000000004"/>
    <n v="95.227999999999994"/>
    <n v="93.163499999999999"/>
    <n v="412.9"/>
  </r>
  <r>
    <x v="8"/>
    <x v="26"/>
    <x v="12"/>
    <n v="95.022000000000006"/>
    <n v="91.099000000000004"/>
    <n v="95.227999999999994"/>
    <n v="93.163499999999999"/>
    <n v="412.9"/>
  </r>
  <r>
    <x v="8"/>
    <x v="26"/>
    <x v="12"/>
    <n v="95.022000000000006"/>
    <n v="91.099000000000004"/>
    <n v="95.227999999999994"/>
    <n v="93.163499999999999"/>
    <n v="412.9"/>
  </r>
  <r>
    <x v="8"/>
    <x v="26"/>
    <x v="12"/>
    <n v="95.022000000000006"/>
    <n v="91.099000000000004"/>
    <n v="95.227999999999994"/>
    <n v="93.163499999999999"/>
    <n v="412.9"/>
  </r>
  <r>
    <x v="8"/>
    <x v="26"/>
    <x v="12"/>
    <n v="95.022000000000006"/>
    <n v="91.099000000000004"/>
    <n v="95.227999999999994"/>
    <n v="93.163499999999999"/>
    <n v="412.9"/>
  </r>
  <r>
    <x v="8"/>
    <x v="26"/>
    <x v="3"/>
    <n v="1.36459"/>
    <n v="1.3484100000000001"/>
    <n v="1.39151"/>
    <n v="1.3699600000000001"/>
    <n v="431"/>
  </r>
  <r>
    <x v="8"/>
    <x v="26"/>
    <x v="3"/>
    <n v="1.36459"/>
    <n v="1.3484100000000001"/>
    <n v="1.39151"/>
    <n v="1.3699600000000001"/>
    <n v="431"/>
  </r>
  <r>
    <x v="8"/>
    <x v="26"/>
    <x v="3"/>
    <n v="1.36459"/>
    <n v="1.3484100000000001"/>
    <n v="1.39151"/>
    <n v="1.3699600000000001"/>
    <n v="431"/>
  </r>
  <r>
    <x v="8"/>
    <x v="26"/>
    <x v="3"/>
    <n v="1.36459"/>
    <n v="1.3484100000000001"/>
    <n v="1.39151"/>
    <n v="1.3699600000000001"/>
    <n v="431"/>
  </r>
  <r>
    <x v="8"/>
    <x v="26"/>
    <x v="3"/>
    <n v="1.36459"/>
    <n v="1.3484100000000001"/>
    <n v="1.39151"/>
    <n v="1.3699600000000001"/>
    <n v="431"/>
  </r>
  <r>
    <x v="8"/>
    <x v="26"/>
    <x v="3"/>
    <n v="1.36459"/>
    <n v="1.3484100000000001"/>
    <n v="1.39151"/>
    <n v="1.3699600000000001"/>
    <n v="431"/>
  </r>
  <r>
    <x v="8"/>
    <x v="26"/>
    <x v="3"/>
    <n v="1.36459"/>
    <n v="1.3484100000000001"/>
    <n v="1.39151"/>
    <n v="1.3699600000000001"/>
    <n v="431"/>
  </r>
  <r>
    <x v="8"/>
    <x v="26"/>
    <x v="0"/>
    <n v="1.93953"/>
    <n v="1.9189400000000001"/>
    <n v="2.0350999999999999"/>
    <n v="1.97702"/>
    <n v="1161.5999999999999"/>
  </r>
  <r>
    <x v="8"/>
    <x v="26"/>
    <x v="0"/>
    <n v="1.93953"/>
    <n v="1.9189400000000001"/>
    <n v="2.0350999999999999"/>
    <n v="1.97702"/>
    <n v="1161.5999999999999"/>
  </r>
  <r>
    <x v="8"/>
    <x v="26"/>
    <x v="0"/>
    <n v="1.93953"/>
    <n v="1.9189400000000001"/>
    <n v="2.0350999999999999"/>
    <n v="1.97702"/>
    <n v="1161.5999999999999"/>
  </r>
  <r>
    <x v="8"/>
    <x v="26"/>
    <x v="0"/>
    <n v="1.93953"/>
    <n v="1.9189400000000001"/>
    <n v="2.0350999999999999"/>
    <n v="1.97702"/>
    <n v="1161.5999999999999"/>
  </r>
  <r>
    <x v="8"/>
    <x v="26"/>
    <x v="0"/>
    <n v="1.93953"/>
    <n v="1.9189400000000001"/>
    <n v="2.0350999999999999"/>
    <n v="1.97702"/>
    <n v="1161.5999999999999"/>
  </r>
  <r>
    <x v="8"/>
    <x v="26"/>
    <x v="0"/>
    <n v="1.93953"/>
    <n v="1.9189400000000001"/>
    <n v="2.0350999999999999"/>
    <n v="1.97702"/>
    <n v="1161.5999999999999"/>
  </r>
  <r>
    <x v="8"/>
    <x v="26"/>
    <x v="0"/>
    <n v="1.93953"/>
    <n v="1.9189400000000001"/>
    <n v="2.0350999999999999"/>
    <n v="1.97702"/>
    <n v="1161.5999999999999"/>
  </r>
  <r>
    <x v="8"/>
    <x v="26"/>
    <x v="0"/>
    <n v="1.93953"/>
    <n v="1.9189400000000001"/>
    <n v="2.0350999999999999"/>
    <n v="1.97702"/>
    <n v="1161.5999999999999"/>
  </r>
  <r>
    <x v="8"/>
    <x v="26"/>
    <x v="0"/>
    <n v="1.93953"/>
    <n v="1.9189400000000001"/>
    <n v="2.0350999999999999"/>
    <n v="1.97702"/>
    <n v="1161.5999999999999"/>
  </r>
  <r>
    <x v="8"/>
    <x v="26"/>
    <x v="0"/>
    <n v="1.93953"/>
    <n v="1.9189400000000001"/>
    <n v="2.0350999999999999"/>
    <n v="1.97702"/>
    <n v="1161.5999999999999"/>
  </r>
  <r>
    <x v="8"/>
    <x v="26"/>
    <x v="0"/>
    <n v="1.93953"/>
    <n v="1.9189400000000001"/>
    <n v="2.0350999999999999"/>
    <n v="1.97702"/>
    <n v="1161.5999999999999"/>
  </r>
  <r>
    <x v="8"/>
    <x v="26"/>
    <x v="0"/>
    <n v="1.93953"/>
    <n v="1.9189400000000001"/>
    <n v="2.0350999999999999"/>
    <n v="1.97702"/>
    <n v="1161.5999999999999"/>
  </r>
  <r>
    <x v="8"/>
    <x v="26"/>
    <x v="0"/>
    <n v="1.93953"/>
    <n v="1.9189400000000001"/>
    <n v="2.0350999999999999"/>
    <n v="1.97702"/>
    <n v="1161.5999999999999"/>
  </r>
  <r>
    <x v="8"/>
    <x v="26"/>
    <x v="0"/>
    <n v="1.93953"/>
    <n v="1.9189400000000001"/>
    <n v="2.0350999999999999"/>
    <n v="1.97702"/>
    <n v="1161.5999999999999"/>
  </r>
  <r>
    <x v="8"/>
    <x v="26"/>
    <x v="0"/>
    <n v="1.93953"/>
    <n v="1.9189400000000001"/>
    <n v="2.0350999999999999"/>
    <n v="1.97702"/>
    <n v="1161.5999999999999"/>
  </r>
  <r>
    <x v="8"/>
    <x v="26"/>
    <x v="0"/>
    <n v="1.93953"/>
    <n v="1.9189400000000001"/>
    <n v="2.0350999999999999"/>
    <n v="1.97702"/>
    <n v="1161.5999999999999"/>
  </r>
  <r>
    <x v="8"/>
    <x v="0"/>
    <x v="12"/>
    <n v="95.784000000000006"/>
    <n v="91.099000000000004"/>
    <n v="96.2"/>
    <n v="93.649500000000003"/>
    <n v="510.1"/>
  </r>
  <r>
    <x v="8"/>
    <x v="0"/>
    <x v="12"/>
    <n v="95.784000000000006"/>
    <n v="91.099000000000004"/>
    <n v="96.2"/>
    <n v="93.649500000000003"/>
    <n v="510.1"/>
  </r>
  <r>
    <x v="8"/>
    <x v="0"/>
    <x v="12"/>
    <n v="95.784000000000006"/>
    <n v="91.099000000000004"/>
    <n v="96.2"/>
    <n v="93.649500000000003"/>
    <n v="510.1"/>
  </r>
  <r>
    <x v="8"/>
    <x v="0"/>
    <x v="12"/>
    <n v="95.784000000000006"/>
    <n v="91.099000000000004"/>
    <n v="96.2"/>
    <n v="93.649500000000003"/>
    <n v="510.1"/>
  </r>
  <r>
    <x v="8"/>
    <x v="0"/>
    <x v="12"/>
    <n v="95.784000000000006"/>
    <n v="91.099000000000004"/>
    <n v="96.2"/>
    <n v="93.649500000000003"/>
    <n v="510.1"/>
  </r>
  <r>
    <x v="8"/>
    <x v="0"/>
    <x v="12"/>
    <n v="95.784000000000006"/>
    <n v="91.099000000000004"/>
    <n v="96.2"/>
    <n v="93.649500000000003"/>
    <n v="510.1"/>
  </r>
  <r>
    <x v="8"/>
    <x v="0"/>
    <x v="12"/>
    <n v="95.784000000000006"/>
    <n v="91.099000000000004"/>
    <n v="96.2"/>
    <n v="93.649500000000003"/>
    <n v="510.1"/>
  </r>
  <r>
    <x v="8"/>
    <x v="0"/>
    <x v="12"/>
    <n v="95.784000000000006"/>
    <n v="91.099000000000004"/>
    <n v="96.2"/>
    <n v="93.649500000000003"/>
    <n v="510.1"/>
  </r>
  <r>
    <x v="8"/>
    <x v="0"/>
    <x v="12"/>
    <n v="95.784000000000006"/>
    <n v="91.099000000000004"/>
    <n v="96.2"/>
    <n v="93.649500000000003"/>
    <n v="510.1"/>
  </r>
  <r>
    <x v="8"/>
    <x v="0"/>
    <x v="12"/>
    <n v="95.784000000000006"/>
    <n v="91.099000000000004"/>
    <n v="96.2"/>
    <n v="93.649500000000003"/>
    <n v="510.1"/>
  </r>
  <r>
    <x v="8"/>
    <x v="0"/>
    <x v="12"/>
    <n v="95.784000000000006"/>
    <n v="91.099000000000004"/>
    <n v="96.2"/>
    <n v="93.649500000000003"/>
    <n v="510.1"/>
  </r>
  <r>
    <x v="8"/>
    <x v="0"/>
    <x v="12"/>
    <n v="95.784000000000006"/>
    <n v="91.099000000000004"/>
    <n v="96.2"/>
    <n v="93.649500000000003"/>
    <n v="510.1"/>
  </r>
  <r>
    <x v="8"/>
    <x v="0"/>
    <x v="12"/>
    <n v="95.784000000000006"/>
    <n v="91.099000000000004"/>
    <n v="96.2"/>
    <n v="93.649500000000003"/>
    <n v="510.1"/>
  </r>
  <r>
    <x v="8"/>
    <x v="0"/>
    <x v="12"/>
    <n v="95.784000000000006"/>
    <n v="91.099000000000004"/>
    <n v="96.2"/>
    <n v="93.649500000000003"/>
    <n v="510.1"/>
  </r>
  <r>
    <x v="8"/>
    <x v="0"/>
    <x v="12"/>
    <n v="95.784000000000006"/>
    <n v="91.099000000000004"/>
    <n v="96.2"/>
    <n v="93.649500000000003"/>
    <n v="510.1"/>
  </r>
  <r>
    <x v="8"/>
    <x v="0"/>
    <x v="12"/>
    <n v="95.784000000000006"/>
    <n v="91.099000000000004"/>
    <n v="96.2"/>
    <n v="93.649500000000003"/>
    <n v="510.1"/>
  </r>
  <r>
    <x v="8"/>
    <x v="0"/>
    <x v="3"/>
    <n v="1.35934"/>
    <n v="1.3484100000000001"/>
    <n v="1.39151"/>
    <n v="1.3699600000000001"/>
    <n v="431"/>
  </r>
  <r>
    <x v="8"/>
    <x v="0"/>
    <x v="3"/>
    <n v="1.35934"/>
    <n v="1.3484100000000001"/>
    <n v="1.39151"/>
    <n v="1.3699600000000001"/>
    <n v="431"/>
  </r>
  <r>
    <x v="8"/>
    <x v="0"/>
    <x v="3"/>
    <n v="1.35934"/>
    <n v="1.3484100000000001"/>
    <n v="1.39151"/>
    <n v="1.3699600000000001"/>
    <n v="431"/>
  </r>
  <r>
    <x v="8"/>
    <x v="0"/>
    <x v="3"/>
    <n v="1.35934"/>
    <n v="1.3484100000000001"/>
    <n v="1.39151"/>
    <n v="1.3699600000000001"/>
    <n v="431"/>
  </r>
  <r>
    <x v="8"/>
    <x v="0"/>
    <x v="3"/>
    <n v="1.35934"/>
    <n v="1.3484100000000001"/>
    <n v="1.39151"/>
    <n v="1.3699600000000001"/>
    <n v="431"/>
  </r>
  <r>
    <x v="8"/>
    <x v="0"/>
    <x v="3"/>
    <n v="1.35934"/>
    <n v="1.3484100000000001"/>
    <n v="1.39151"/>
    <n v="1.3699600000000001"/>
    <n v="431"/>
  </r>
  <r>
    <x v="8"/>
    <x v="0"/>
    <x v="3"/>
    <n v="1.35934"/>
    <n v="1.3484100000000001"/>
    <n v="1.39151"/>
    <n v="1.3699600000000001"/>
    <n v="431"/>
  </r>
  <r>
    <x v="8"/>
    <x v="0"/>
    <x v="0"/>
    <n v="1.96217"/>
    <n v="1.9189400000000001"/>
    <n v="2.0350999999999999"/>
    <n v="1.97702"/>
    <n v="1161.5999999999999"/>
  </r>
  <r>
    <x v="8"/>
    <x v="0"/>
    <x v="0"/>
    <n v="1.96217"/>
    <n v="1.9189400000000001"/>
    <n v="2.0350999999999999"/>
    <n v="1.97702"/>
    <n v="1161.5999999999999"/>
  </r>
  <r>
    <x v="8"/>
    <x v="0"/>
    <x v="0"/>
    <n v="1.96217"/>
    <n v="1.9189400000000001"/>
    <n v="2.0350999999999999"/>
    <n v="1.97702"/>
    <n v="1161.5999999999999"/>
  </r>
  <r>
    <x v="8"/>
    <x v="0"/>
    <x v="0"/>
    <n v="1.96217"/>
    <n v="1.9189400000000001"/>
    <n v="2.0350999999999999"/>
    <n v="1.97702"/>
    <n v="1161.5999999999999"/>
  </r>
  <r>
    <x v="8"/>
    <x v="0"/>
    <x v="0"/>
    <n v="1.96217"/>
    <n v="1.9189400000000001"/>
    <n v="2.0350999999999999"/>
    <n v="1.97702"/>
    <n v="1161.5999999999999"/>
  </r>
  <r>
    <x v="8"/>
    <x v="0"/>
    <x v="0"/>
    <n v="1.96217"/>
    <n v="1.9189400000000001"/>
    <n v="2.0350999999999999"/>
    <n v="1.97702"/>
    <n v="1161.5999999999999"/>
  </r>
  <r>
    <x v="8"/>
    <x v="0"/>
    <x v="0"/>
    <n v="1.96217"/>
    <n v="1.9189400000000001"/>
    <n v="2.0350999999999999"/>
    <n v="1.97702"/>
    <n v="1161.5999999999999"/>
  </r>
  <r>
    <x v="8"/>
    <x v="0"/>
    <x v="0"/>
    <n v="1.96217"/>
    <n v="1.9189400000000001"/>
    <n v="2.0350999999999999"/>
    <n v="1.97702"/>
    <n v="1161.5999999999999"/>
  </r>
  <r>
    <x v="8"/>
    <x v="0"/>
    <x v="0"/>
    <n v="1.96217"/>
    <n v="1.9189400000000001"/>
    <n v="2.0350999999999999"/>
    <n v="1.97702"/>
    <n v="1161.5999999999999"/>
  </r>
  <r>
    <x v="8"/>
    <x v="0"/>
    <x v="0"/>
    <n v="1.96217"/>
    <n v="1.9189400000000001"/>
    <n v="2.0350999999999999"/>
    <n v="1.97702"/>
    <n v="1161.5999999999999"/>
  </r>
  <r>
    <x v="8"/>
    <x v="0"/>
    <x v="0"/>
    <n v="1.96217"/>
    <n v="1.9189400000000001"/>
    <n v="2.0350999999999999"/>
    <n v="1.97702"/>
    <n v="1161.5999999999999"/>
  </r>
  <r>
    <x v="8"/>
    <x v="0"/>
    <x v="0"/>
    <n v="1.96217"/>
    <n v="1.9189400000000001"/>
    <n v="2.0350999999999999"/>
    <n v="1.97702"/>
    <n v="1161.5999999999999"/>
  </r>
  <r>
    <x v="8"/>
    <x v="0"/>
    <x v="0"/>
    <n v="1.96217"/>
    <n v="1.9189400000000001"/>
    <n v="2.0350999999999999"/>
    <n v="1.97702"/>
    <n v="1161.5999999999999"/>
  </r>
  <r>
    <x v="8"/>
    <x v="0"/>
    <x v="0"/>
    <n v="1.96217"/>
    <n v="1.9189400000000001"/>
    <n v="2.0350999999999999"/>
    <n v="1.97702"/>
    <n v="1161.5999999999999"/>
  </r>
  <r>
    <x v="8"/>
    <x v="0"/>
    <x v="0"/>
    <n v="1.96217"/>
    <n v="1.9189400000000001"/>
    <n v="2.0350999999999999"/>
    <n v="1.97702"/>
    <n v="1161.5999999999999"/>
  </r>
  <r>
    <x v="8"/>
    <x v="0"/>
    <x v="0"/>
    <n v="1.96217"/>
    <n v="1.9189400000000001"/>
    <n v="2.0350999999999999"/>
    <n v="1.97702"/>
    <n v="1161.5999999999999"/>
  </r>
  <r>
    <x v="8"/>
    <x v="1"/>
    <x v="12"/>
    <n v="94.269000000000005"/>
    <n v="91.099000000000004"/>
    <n v="96.2"/>
    <n v="93.649500000000003"/>
    <n v="510.1"/>
  </r>
  <r>
    <x v="8"/>
    <x v="1"/>
    <x v="12"/>
    <n v="94.269000000000005"/>
    <n v="91.099000000000004"/>
    <n v="96.2"/>
    <n v="93.649500000000003"/>
    <n v="510.1"/>
  </r>
  <r>
    <x v="8"/>
    <x v="1"/>
    <x v="12"/>
    <n v="94.269000000000005"/>
    <n v="91.099000000000004"/>
    <n v="96.2"/>
    <n v="93.649500000000003"/>
    <n v="510.1"/>
  </r>
  <r>
    <x v="8"/>
    <x v="1"/>
    <x v="12"/>
    <n v="94.269000000000005"/>
    <n v="91.099000000000004"/>
    <n v="96.2"/>
    <n v="93.649500000000003"/>
    <n v="510.1"/>
  </r>
  <r>
    <x v="8"/>
    <x v="1"/>
    <x v="12"/>
    <n v="94.269000000000005"/>
    <n v="91.099000000000004"/>
    <n v="96.2"/>
    <n v="93.649500000000003"/>
    <n v="510.1"/>
  </r>
  <r>
    <x v="8"/>
    <x v="1"/>
    <x v="12"/>
    <n v="94.269000000000005"/>
    <n v="91.099000000000004"/>
    <n v="96.2"/>
    <n v="93.649500000000003"/>
    <n v="510.1"/>
  </r>
  <r>
    <x v="8"/>
    <x v="1"/>
    <x v="12"/>
    <n v="94.269000000000005"/>
    <n v="91.099000000000004"/>
    <n v="96.2"/>
    <n v="93.649500000000003"/>
    <n v="510.1"/>
  </r>
  <r>
    <x v="8"/>
    <x v="1"/>
    <x v="12"/>
    <n v="94.269000000000005"/>
    <n v="91.099000000000004"/>
    <n v="96.2"/>
    <n v="93.649500000000003"/>
    <n v="510.1"/>
  </r>
  <r>
    <x v="8"/>
    <x v="1"/>
    <x v="12"/>
    <n v="94.269000000000005"/>
    <n v="91.099000000000004"/>
    <n v="96.2"/>
    <n v="93.649500000000003"/>
    <n v="510.1"/>
  </r>
  <r>
    <x v="8"/>
    <x v="1"/>
    <x v="12"/>
    <n v="94.269000000000005"/>
    <n v="91.099000000000004"/>
    <n v="96.2"/>
    <n v="93.649500000000003"/>
    <n v="510.1"/>
  </r>
  <r>
    <x v="8"/>
    <x v="1"/>
    <x v="12"/>
    <n v="94.269000000000005"/>
    <n v="91.099000000000004"/>
    <n v="96.2"/>
    <n v="93.649500000000003"/>
    <n v="510.1"/>
  </r>
  <r>
    <x v="8"/>
    <x v="1"/>
    <x v="12"/>
    <n v="94.269000000000005"/>
    <n v="91.099000000000004"/>
    <n v="96.2"/>
    <n v="93.649500000000003"/>
    <n v="510.1"/>
  </r>
  <r>
    <x v="8"/>
    <x v="1"/>
    <x v="12"/>
    <n v="94.269000000000005"/>
    <n v="91.099000000000004"/>
    <n v="96.2"/>
    <n v="93.649500000000003"/>
    <n v="510.1"/>
  </r>
  <r>
    <x v="8"/>
    <x v="1"/>
    <x v="12"/>
    <n v="94.269000000000005"/>
    <n v="91.099000000000004"/>
    <n v="96.2"/>
    <n v="93.649500000000003"/>
    <n v="510.1"/>
  </r>
  <r>
    <x v="8"/>
    <x v="1"/>
    <x v="12"/>
    <n v="94.269000000000005"/>
    <n v="91.099000000000004"/>
    <n v="96.2"/>
    <n v="93.649500000000003"/>
    <n v="510.1"/>
  </r>
  <r>
    <x v="8"/>
    <x v="1"/>
    <x v="12"/>
    <n v="94.269000000000005"/>
    <n v="91.099000000000004"/>
    <n v="96.2"/>
    <n v="93.649500000000003"/>
    <n v="510.1"/>
  </r>
  <r>
    <x v="8"/>
    <x v="1"/>
    <x v="3"/>
    <n v="1.36012"/>
    <n v="1.3484100000000001"/>
    <n v="1.39151"/>
    <n v="1.3699600000000001"/>
    <n v="431"/>
  </r>
  <r>
    <x v="8"/>
    <x v="1"/>
    <x v="3"/>
    <n v="1.36012"/>
    <n v="1.3484100000000001"/>
    <n v="1.39151"/>
    <n v="1.3699600000000001"/>
    <n v="431"/>
  </r>
  <r>
    <x v="8"/>
    <x v="1"/>
    <x v="3"/>
    <n v="1.36012"/>
    <n v="1.3484100000000001"/>
    <n v="1.39151"/>
    <n v="1.3699600000000001"/>
    <n v="431"/>
  </r>
  <r>
    <x v="8"/>
    <x v="1"/>
    <x v="3"/>
    <n v="1.36012"/>
    <n v="1.3484100000000001"/>
    <n v="1.39151"/>
    <n v="1.3699600000000001"/>
    <n v="431"/>
  </r>
  <r>
    <x v="8"/>
    <x v="1"/>
    <x v="3"/>
    <n v="1.36012"/>
    <n v="1.3484100000000001"/>
    <n v="1.39151"/>
    <n v="1.3699600000000001"/>
    <n v="431"/>
  </r>
  <r>
    <x v="8"/>
    <x v="1"/>
    <x v="3"/>
    <n v="1.36012"/>
    <n v="1.3484100000000001"/>
    <n v="1.39151"/>
    <n v="1.3699600000000001"/>
    <n v="431"/>
  </r>
  <r>
    <x v="8"/>
    <x v="1"/>
    <x v="3"/>
    <n v="1.36012"/>
    <n v="1.3484100000000001"/>
    <n v="1.39151"/>
    <n v="1.3699600000000001"/>
    <n v="431"/>
  </r>
  <r>
    <x v="8"/>
    <x v="1"/>
    <x v="3"/>
    <n v="1.36012"/>
    <n v="1.3484100000000001"/>
    <n v="1.39151"/>
    <n v="1.3699600000000001"/>
    <n v="431"/>
  </r>
  <r>
    <x v="8"/>
    <x v="1"/>
    <x v="0"/>
    <n v="1.94255"/>
    <n v="1.9189400000000001"/>
    <n v="2.0350999999999999"/>
    <n v="1.97702"/>
    <n v="1161.5999999999999"/>
  </r>
  <r>
    <x v="8"/>
    <x v="1"/>
    <x v="0"/>
    <n v="1.94255"/>
    <n v="1.9189400000000001"/>
    <n v="2.0350999999999999"/>
    <n v="1.97702"/>
    <n v="1161.5999999999999"/>
  </r>
  <r>
    <x v="8"/>
    <x v="1"/>
    <x v="0"/>
    <n v="1.94255"/>
    <n v="1.9189400000000001"/>
    <n v="2.0350999999999999"/>
    <n v="1.97702"/>
    <n v="1161.5999999999999"/>
  </r>
  <r>
    <x v="8"/>
    <x v="1"/>
    <x v="0"/>
    <n v="1.94255"/>
    <n v="1.9189400000000001"/>
    <n v="2.0350999999999999"/>
    <n v="1.97702"/>
    <n v="1161.5999999999999"/>
  </r>
  <r>
    <x v="8"/>
    <x v="1"/>
    <x v="0"/>
    <n v="1.94255"/>
    <n v="1.9189400000000001"/>
    <n v="2.0350999999999999"/>
    <n v="1.97702"/>
    <n v="1161.5999999999999"/>
  </r>
  <r>
    <x v="8"/>
    <x v="1"/>
    <x v="0"/>
    <n v="1.94255"/>
    <n v="1.9189400000000001"/>
    <n v="2.0350999999999999"/>
    <n v="1.97702"/>
    <n v="1161.5999999999999"/>
  </r>
  <r>
    <x v="8"/>
    <x v="1"/>
    <x v="0"/>
    <n v="1.94255"/>
    <n v="1.9189400000000001"/>
    <n v="2.0350999999999999"/>
    <n v="1.97702"/>
    <n v="1161.5999999999999"/>
  </r>
  <r>
    <x v="8"/>
    <x v="1"/>
    <x v="0"/>
    <n v="1.94255"/>
    <n v="1.9189400000000001"/>
    <n v="2.0350999999999999"/>
    <n v="1.97702"/>
    <n v="1161.5999999999999"/>
  </r>
  <r>
    <x v="8"/>
    <x v="1"/>
    <x v="0"/>
    <n v="1.94255"/>
    <n v="1.9189400000000001"/>
    <n v="2.0350999999999999"/>
    <n v="1.97702"/>
    <n v="1161.5999999999999"/>
  </r>
  <r>
    <x v="8"/>
    <x v="1"/>
    <x v="0"/>
    <n v="1.94255"/>
    <n v="1.9189400000000001"/>
    <n v="2.0350999999999999"/>
    <n v="1.97702"/>
    <n v="1161.5999999999999"/>
  </r>
  <r>
    <x v="8"/>
    <x v="1"/>
    <x v="0"/>
    <n v="1.94255"/>
    <n v="1.9189400000000001"/>
    <n v="2.0350999999999999"/>
    <n v="1.97702"/>
    <n v="1161.5999999999999"/>
  </r>
  <r>
    <x v="8"/>
    <x v="1"/>
    <x v="0"/>
    <n v="1.94255"/>
    <n v="1.9189400000000001"/>
    <n v="2.0350999999999999"/>
    <n v="1.97702"/>
    <n v="1161.5999999999999"/>
  </r>
  <r>
    <x v="8"/>
    <x v="1"/>
    <x v="0"/>
    <n v="1.94255"/>
    <n v="1.9189400000000001"/>
    <n v="2.0350999999999999"/>
    <n v="1.97702"/>
    <n v="1161.5999999999999"/>
  </r>
  <r>
    <x v="8"/>
    <x v="1"/>
    <x v="0"/>
    <n v="1.94255"/>
    <n v="1.9189400000000001"/>
    <n v="2.0350999999999999"/>
    <n v="1.97702"/>
    <n v="1161.5999999999999"/>
  </r>
  <r>
    <x v="8"/>
    <x v="1"/>
    <x v="0"/>
    <n v="1.94255"/>
    <n v="1.9189400000000001"/>
    <n v="2.0350999999999999"/>
    <n v="1.97702"/>
    <n v="1161.5999999999999"/>
  </r>
  <r>
    <x v="8"/>
    <x v="1"/>
    <x v="0"/>
    <n v="1.94255"/>
    <n v="1.9189400000000001"/>
    <n v="2.0350999999999999"/>
    <n v="1.97702"/>
    <n v="1161.5999999999999"/>
  </r>
  <r>
    <x v="8"/>
    <x v="2"/>
    <x v="12"/>
    <n v="94.373999999999995"/>
    <n v="91.099000000000004"/>
    <n v="96.2"/>
    <n v="93.649500000000003"/>
    <n v="510.1"/>
  </r>
  <r>
    <x v="8"/>
    <x v="2"/>
    <x v="12"/>
    <n v="94.373999999999995"/>
    <n v="91.099000000000004"/>
    <n v="96.2"/>
    <n v="93.649500000000003"/>
    <n v="510.1"/>
  </r>
  <r>
    <x v="8"/>
    <x v="2"/>
    <x v="12"/>
    <n v="94.373999999999995"/>
    <n v="91.099000000000004"/>
    <n v="96.2"/>
    <n v="93.649500000000003"/>
    <n v="510.1"/>
  </r>
  <r>
    <x v="8"/>
    <x v="2"/>
    <x v="12"/>
    <n v="94.373999999999995"/>
    <n v="91.099000000000004"/>
    <n v="96.2"/>
    <n v="93.649500000000003"/>
    <n v="510.1"/>
  </r>
  <r>
    <x v="8"/>
    <x v="2"/>
    <x v="12"/>
    <n v="94.373999999999995"/>
    <n v="91.099000000000004"/>
    <n v="96.2"/>
    <n v="93.649500000000003"/>
    <n v="510.1"/>
  </r>
  <r>
    <x v="8"/>
    <x v="2"/>
    <x v="12"/>
    <n v="94.373999999999995"/>
    <n v="91.099000000000004"/>
    <n v="96.2"/>
    <n v="93.649500000000003"/>
    <n v="510.1"/>
  </r>
  <r>
    <x v="8"/>
    <x v="2"/>
    <x v="12"/>
    <n v="94.373999999999995"/>
    <n v="91.099000000000004"/>
    <n v="96.2"/>
    <n v="93.649500000000003"/>
    <n v="510.1"/>
  </r>
  <r>
    <x v="8"/>
    <x v="2"/>
    <x v="12"/>
    <n v="94.373999999999995"/>
    <n v="91.099000000000004"/>
    <n v="96.2"/>
    <n v="93.649500000000003"/>
    <n v="510.1"/>
  </r>
  <r>
    <x v="8"/>
    <x v="2"/>
    <x v="12"/>
    <n v="94.373999999999995"/>
    <n v="91.099000000000004"/>
    <n v="96.2"/>
    <n v="93.649500000000003"/>
    <n v="510.1"/>
  </r>
  <r>
    <x v="8"/>
    <x v="2"/>
    <x v="12"/>
    <n v="94.373999999999995"/>
    <n v="91.099000000000004"/>
    <n v="96.2"/>
    <n v="93.649500000000003"/>
    <n v="510.1"/>
  </r>
  <r>
    <x v="8"/>
    <x v="2"/>
    <x v="12"/>
    <n v="94.373999999999995"/>
    <n v="91.099000000000004"/>
    <n v="96.2"/>
    <n v="93.649500000000003"/>
    <n v="510.1"/>
  </r>
  <r>
    <x v="8"/>
    <x v="2"/>
    <x v="12"/>
    <n v="94.373999999999995"/>
    <n v="91.099000000000004"/>
    <n v="96.2"/>
    <n v="93.649500000000003"/>
    <n v="510.1"/>
  </r>
  <r>
    <x v="8"/>
    <x v="2"/>
    <x v="12"/>
    <n v="94.373999999999995"/>
    <n v="91.099000000000004"/>
    <n v="96.2"/>
    <n v="93.649500000000003"/>
    <n v="510.1"/>
  </r>
  <r>
    <x v="8"/>
    <x v="2"/>
    <x v="12"/>
    <n v="94.373999999999995"/>
    <n v="91.099000000000004"/>
    <n v="96.2"/>
    <n v="93.649500000000003"/>
    <n v="510.1"/>
  </r>
  <r>
    <x v="8"/>
    <x v="2"/>
    <x v="12"/>
    <n v="94.373999999999995"/>
    <n v="91.099000000000004"/>
    <n v="96.2"/>
    <n v="93.649500000000003"/>
    <n v="510.1"/>
  </r>
  <r>
    <x v="8"/>
    <x v="2"/>
    <x v="12"/>
    <n v="94.373999999999995"/>
    <n v="91.099000000000004"/>
    <n v="96.2"/>
    <n v="93.649500000000003"/>
    <n v="510.1"/>
  </r>
  <r>
    <x v="8"/>
    <x v="2"/>
    <x v="3"/>
    <n v="1.35225"/>
    <n v="1.3484100000000001"/>
    <n v="1.39151"/>
    <n v="1.3699600000000001"/>
    <n v="431"/>
  </r>
  <r>
    <x v="8"/>
    <x v="2"/>
    <x v="3"/>
    <n v="1.35225"/>
    <n v="1.3484100000000001"/>
    <n v="1.39151"/>
    <n v="1.3699600000000001"/>
    <n v="431"/>
  </r>
  <r>
    <x v="8"/>
    <x v="2"/>
    <x v="3"/>
    <n v="1.35225"/>
    <n v="1.3484100000000001"/>
    <n v="1.39151"/>
    <n v="1.3699600000000001"/>
    <n v="431"/>
  </r>
  <r>
    <x v="8"/>
    <x v="2"/>
    <x v="3"/>
    <n v="1.35225"/>
    <n v="1.3484100000000001"/>
    <n v="1.39151"/>
    <n v="1.3699600000000001"/>
    <n v="431"/>
  </r>
  <r>
    <x v="8"/>
    <x v="2"/>
    <x v="3"/>
    <n v="1.35225"/>
    <n v="1.3484100000000001"/>
    <n v="1.39151"/>
    <n v="1.3699600000000001"/>
    <n v="431"/>
  </r>
  <r>
    <x v="8"/>
    <x v="2"/>
    <x v="3"/>
    <n v="1.35225"/>
    <n v="1.3484100000000001"/>
    <n v="1.39151"/>
    <n v="1.3699600000000001"/>
    <n v="431"/>
  </r>
  <r>
    <x v="8"/>
    <x v="2"/>
    <x v="3"/>
    <n v="1.35225"/>
    <n v="1.3484100000000001"/>
    <n v="1.39151"/>
    <n v="1.3699600000000001"/>
    <n v="431"/>
  </r>
  <r>
    <x v="8"/>
    <x v="2"/>
    <x v="3"/>
    <n v="1.35225"/>
    <n v="1.3484100000000001"/>
    <n v="1.39151"/>
    <n v="1.3699600000000001"/>
    <n v="431"/>
  </r>
  <r>
    <x v="8"/>
    <x v="2"/>
    <x v="3"/>
    <n v="1.35225"/>
    <n v="1.3484100000000001"/>
    <n v="1.39151"/>
    <n v="1.3699600000000001"/>
    <n v="431"/>
  </r>
  <r>
    <x v="8"/>
    <x v="2"/>
    <x v="0"/>
    <n v="1.96492"/>
    <n v="1.9189400000000001"/>
    <n v="2.0350999999999999"/>
    <n v="1.97702"/>
    <n v="1161.5999999999999"/>
  </r>
  <r>
    <x v="8"/>
    <x v="2"/>
    <x v="0"/>
    <n v="1.96492"/>
    <n v="1.9189400000000001"/>
    <n v="2.0350999999999999"/>
    <n v="1.97702"/>
    <n v="1161.5999999999999"/>
  </r>
  <r>
    <x v="8"/>
    <x v="2"/>
    <x v="0"/>
    <n v="1.96492"/>
    <n v="1.9189400000000001"/>
    <n v="2.0350999999999999"/>
    <n v="1.97702"/>
    <n v="1161.5999999999999"/>
  </r>
  <r>
    <x v="8"/>
    <x v="2"/>
    <x v="0"/>
    <n v="1.96492"/>
    <n v="1.9189400000000001"/>
    <n v="2.0350999999999999"/>
    <n v="1.97702"/>
    <n v="1161.5999999999999"/>
  </r>
  <r>
    <x v="8"/>
    <x v="2"/>
    <x v="0"/>
    <n v="1.96492"/>
    <n v="1.9189400000000001"/>
    <n v="2.0350999999999999"/>
    <n v="1.97702"/>
    <n v="1161.5999999999999"/>
  </r>
  <r>
    <x v="8"/>
    <x v="2"/>
    <x v="0"/>
    <n v="1.96492"/>
    <n v="1.9189400000000001"/>
    <n v="2.0350999999999999"/>
    <n v="1.97702"/>
    <n v="1161.5999999999999"/>
  </r>
  <r>
    <x v="8"/>
    <x v="2"/>
    <x v="0"/>
    <n v="1.96492"/>
    <n v="1.9189400000000001"/>
    <n v="2.0350999999999999"/>
    <n v="1.97702"/>
    <n v="1161.5999999999999"/>
  </r>
  <r>
    <x v="8"/>
    <x v="2"/>
    <x v="0"/>
    <n v="1.96492"/>
    <n v="1.9189400000000001"/>
    <n v="2.0350999999999999"/>
    <n v="1.97702"/>
    <n v="1161.5999999999999"/>
  </r>
  <r>
    <x v="8"/>
    <x v="2"/>
    <x v="0"/>
    <n v="1.96492"/>
    <n v="1.9189400000000001"/>
    <n v="2.0350999999999999"/>
    <n v="1.97702"/>
    <n v="1161.5999999999999"/>
  </r>
  <r>
    <x v="8"/>
    <x v="2"/>
    <x v="0"/>
    <n v="1.96492"/>
    <n v="1.9189400000000001"/>
    <n v="2.0350999999999999"/>
    <n v="1.97702"/>
    <n v="1161.5999999999999"/>
  </r>
  <r>
    <x v="8"/>
    <x v="2"/>
    <x v="0"/>
    <n v="1.96492"/>
    <n v="1.9189400000000001"/>
    <n v="2.0350999999999999"/>
    <n v="1.97702"/>
    <n v="1161.5999999999999"/>
  </r>
  <r>
    <x v="8"/>
    <x v="2"/>
    <x v="0"/>
    <n v="1.96492"/>
    <n v="1.9189400000000001"/>
    <n v="2.0350999999999999"/>
    <n v="1.97702"/>
    <n v="1161.5999999999999"/>
  </r>
  <r>
    <x v="8"/>
    <x v="2"/>
    <x v="0"/>
    <n v="1.96492"/>
    <n v="1.9189400000000001"/>
    <n v="2.0350999999999999"/>
    <n v="1.97702"/>
    <n v="1161.5999999999999"/>
  </r>
  <r>
    <x v="8"/>
    <x v="2"/>
    <x v="0"/>
    <n v="1.96492"/>
    <n v="1.9189400000000001"/>
    <n v="2.0350999999999999"/>
    <n v="1.97702"/>
    <n v="1161.5999999999999"/>
  </r>
  <r>
    <x v="8"/>
    <x v="2"/>
    <x v="0"/>
    <n v="1.96492"/>
    <n v="1.9189400000000001"/>
    <n v="2.0350999999999999"/>
    <n v="1.97702"/>
    <n v="1161.5999999999999"/>
  </r>
  <r>
    <x v="8"/>
    <x v="2"/>
    <x v="0"/>
    <n v="1.96492"/>
    <n v="1.9189400000000001"/>
    <n v="2.0350999999999999"/>
    <n v="1.97702"/>
    <n v="1161.5999999999999"/>
  </r>
  <r>
    <x v="8"/>
    <x v="2"/>
    <x v="0"/>
    <n v="1.96492"/>
    <n v="1.9189400000000001"/>
    <n v="2.0350999999999999"/>
    <n v="1.97702"/>
    <n v="1161.5999999999999"/>
  </r>
  <r>
    <x v="8"/>
    <x v="3"/>
    <x v="12"/>
    <n v="94.061000000000007"/>
    <n v="91.099000000000004"/>
    <n v="96.2"/>
    <n v="93.649500000000003"/>
    <n v="510.1"/>
  </r>
  <r>
    <x v="8"/>
    <x v="3"/>
    <x v="12"/>
    <n v="94.061000000000007"/>
    <n v="91.099000000000004"/>
    <n v="96.2"/>
    <n v="93.649500000000003"/>
    <n v="510.1"/>
  </r>
  <r>
    <x v="8"/>
    <x v="3"/>
    <x v="12"/>
    <n v="94.061000000000007"/>
    <n v="91.099000000000004"/>
    <n v="96.2"/>
    <n v="93.649500000000003"/>
    <n v="510.1"/>
  </r>
  <r>
    <x v="8"/>
    <x v="3"/>
    <x v="12"/>
    <n v="94.061000000000007"/>
    <n v="91.099000000000004"/>
    <n v="96.2"/>
    <n v="93.649500000000003"/>
    <n v="510.1"/>
  </r>
  <r>
    <x v="8"/>
    <x v="3"/>
    <x v="12"/>
    <n v="94.061000000000007"/>
    <n v="91.099000000000004"/>
    <n v="96.2"/>
    <n v="93.649500000000003"/>
    <n v="510.1"/>
  </r>
  <r>
    <x v="8"/>
    <x v="3"/>
    <x v="12"/>
    <n v="94.061000000000007"/>
    <n v="91.099000000000004"/>
    <n v="96.2"/>
    <n v="93.649500000000003"/>
    <n v="510.1"/>
  </r>
  <r>
    <x v="8"/>
    <x v="3"/>
    <x v="12"/>
    <n v="94.061000000000007"/>
    <n v="91.099000000000004"/>
    <n v="96.2"/>
    <n v="93.649500000000003"/>
    <n v="510.1"/>
  </r>
  <r>
    <x v="8"/>
    <x v="3"/>
    <x v="12"/>
    <n v="94.061000000000007"/>
    <n v="91.099000000000004"/>
    <n v="96.2"/>
    <n v="93.649500000000003"/>
    <n v="510.1"/>
  </r>
  <r>
    <x v="8"/>
    <x v="3"/>
    <x v="12"/>
    <n v="94.061000000000007"/>
    <n v="91.099000000000004"/>
    <n v="96.2"/>
    <n v="93.649500000000003"/>
    <n v="510.1"/>
  </r>
  <r>
    <x v="8"/>
    <x v="3"/>
    <x v="12"/>
    <n v="94.061000000000007"/>
    <n v="91.099000000000004"/>
    <n v="96.2"/>
    <n v="93.649500000000003"/>
    <n v="510.1"/>
  </r>
  <r>
    <x v="8"/>
    <x v="3"/>
    <x v="12"/>
    <n v="94.061000000000007"/>
    <n v="91.099000000000004"/>
    <n v="96.2"/>
    <n v="93.649500000000003"/>
    <n v="510.1"/>
  </r>
  <r>
    <x v="8"/>
    <x v="3"/>
    <x v="12"/>
    <n v="94.061000000000007"/>
    <n v="91.099000000000004"/>
    <n v="96.2"/>
    <n v="93.649500000000003"/>
    <n v="510.1"/>
  </r>
  <r>
    <x v="8"/>
    <x v="3"/>
    <x v="12"/>
    <n v="94.061000000000007"/>
    <n v="91.099000000000004"/>
    <n v="96.2"/>
    <n v="93.649500000000003"/>
    <n v="510.1"/>
  </r>
  <r>
    <x v="8"/>
    <x v="3"/>
    <x v="12"/>
    <n v="94.061000000000007"/>
    <n v="91.099000000000004"/>
    <n v="96.2"/>
    <n v="93.649500000000003"/>
    <n v="510.1"/>
  </r>
  <r>
    <x v="8"/>
    <x v="3"/>
    <x v="12"/>
    <n v="94.061000000000007"/>
    <n v="91.099000000000004"/>
    <n v="96.2"/>
    <n v="93.649500000000003"/>
    <n v="510.1"/>
  </r>
  <r>
    <x v="8"/>
    <x v="3"/>
    <x v="12"/>
    <n v="94.061000000000007"/>
    <n v="91.099000000000004"/>
    <n v="96.2"/>
    <n v="93.649500000000003"/>
    <n v="510.1"/>
  </r>
  <r>
    <x v="8"/>
    <x v="3"/>
    <x v="3"/>
    <n v="1.34283"/>
    <n v="1.34297"/>
    <n v="1.39151"/>
    <n v="1.36724"/>
    <n v="485.4"/>
  </r>
  <r>
    <x v="8"/>
    <x v="3"/>
    <x v="3"/>
    <n v="1.34283"/>
    <n v="1.34297"/>
    <n v="1.39151"/>
    <n v="1.36724"/>
    <n v="485.4"/>
  </r>
  <r>
    <x v="8"/>
    <x v="3"/>
    <x v="3"/>
    <n v="1.34283"/>
    <n v="1.34297"/>
    <n v="1.39151"/>
    <n v="1.36724"/>
    <n v="485.4"/>
  </r>
  <r>
    <x v="8"/>
    <x v="3"/>
    <x v="3"/>
    <n v="1.34283"/>
    <n v="1.34297"/>
    <n v="1.39151"/>
    <n v="1.36724"/>
    <n v="485.4"/>
  </r>
  <r>
    <x v="8"/>
    <x v="3"/>
    <x v="3"/>
    <n v="1.34283"/>
    <n v="1.34297"/>
    <n v="1.39151"/>
    <n v="1.36724"/>
    <n v="485.4"/>
  </r>
  <r>
    <x v="8"/>
    <x v="3"/>
    <x v="3"/>
    <n v="1.34283"/>
    <n v="1.34297"/>
    <n v="1.39151"/>
    <n v="1.36724"/>
    <n v="485.4"/>
  </r>
  <r>
    <x v="8"/>
    <x v="3"/>
    <x v="3"/>
    <n v="1.34283"/>
    <n v="1.34297"/>
    <n v="1.39151"/>
    <n v="1.36724"/>
    <n v="485.4"/>
  </r>
  <r>
    <x v="8"/>
    <x v="3"/>
    <x v="3"/>
    <n v="1.34283"/>
    <n v="1.34297"/>
    <n v="1.39151"/>
    <n v="1.36724"/>
    <n v="485.4"/>
  </r>
  <r>
    <x v="8"/>
    <x v="3"/>
    <x v="3"/>
    <n v="1.34283"/>
    <n v="1.34297"/>
    <n v="1.39151"/>
    <n v="1.36724"/>
    <n v="485.4"/>
  </r>
  <r>
    <x v="8"/>
    <x v="3"/>
    <x v="3"/>
    <n v="1.34283"/>
    <n v="1.34297"/>
    <n v="1.39151"/>
    <n v="1.36724"/>
    <n v="485.4"/>
  </r>
  <r>
    <x v="8"/>
    <x v="3"/>
    <x v="3"/>
    <n v="1.34283"/>
    <n v="1.34297"/>
    <n v="1.39151"/>
    <n v="1.36724"/>
    <n v="485.4"/>
  </r>
  <r>
    <x v="8"/>
    <x v="3"/>
    <x v="0"/>
    <n v="1.9835499999999999"/>
    <n v="1.9189400000000001"/>
    <n v="2.0350999999999999"/>
    <n v="1.97702"/>
    <n v="1161.5999999999999"/>
  </r>
  <r>
    <x v="8"/>
    <x v="3"/>
    <x v="0"/>
    <n v="1.9835499999999999"/>
    <n v="1.9189400000000001"/>
    <n v="2.0350999999999999"/>
    <n v="1.97702"/>
    <n v="1161.5999999999999"/>
  </r>
  <r>
    <x v="8"/>
    <x v="3"/>
    <x v="0"/>
    <n v="1.9835499999999999"/>
    <n v="1.9189400000000001"/>
    <n v="2.0350999999999999"/>
    <n v="1.97702"/>
    <n v="1161.5999999999999"/>
  </r>
  <r>
    <x v="8"/>
    <x v="3"/>
    <x v="0"/>
    <n v="1.9835499999999999"/>
    <n v="1.9189400000000001"/>
    <n v="2.0350999999999999"/>
    <n v="1.97702"/>
    <n v="1161.5999999999999"/>
  </r>
  <r>
    <x v="8"/>
    <x v="3"/>
    <x v="0"/>
    <n v="1.9835499999999999"/>
    <n v="1.9189400000000001"/>
    <n v="2.0350999999999999"/>
    <n v="1.97702"/>
    <n v="1161.5999999999999"/>
  </r>
  <r>
    <x v="8"/>
    <x v="3"/>
    <x v="0"/>
    <n v="1.9835499999999999"/>
    <n v="1.9189400000000001"/>
    <n v="2.0350999999999999"/>
    <n v="1.97702"/>
    <n v="1161.5999999999999"/>
  </r>
  <r>
    <x v="8"/>
    <x v="3"/>
    <x v="0"/>
    <n v="1.9835499999999999"/>
    <n v="1.9189400000000001"/>
    <n v="2.0350999999999999"/>
    <n v="1.97702"/>
    <n v="1161.5999999999999"/>
  </r>
  <r>
    <x v="8"/>
    <x v="3"/>
    <x v="0"/>
    <n v="1.9835499999999999"/>
    <n v="1.9189400000000001"/>
    <n v="2.0350999999999999"/>
    <n v="1.97702"/>
    <n v="1161.5999999999999"/>
  </r>
  <r>
    <x v="8"/>
    <x v="3"/>
    <x v="0"/>
    <n v="1.9835499999999999"/>
    <n v="1.9189400000000001"/>
    <n v="2.0350999999999999"/>
    <n v="1.97702"/>
    <n v="1161.5999999999999"/>
  </r>
  <r>
    <x v="8"/>
    <x v="3"/>
    <x v="0"/>
    <n v="1.9835499999999999"/>
    <n v="1.9189400000000001"/>
    <n v="2.0350999999999999"/>
    <n v="1.97702"/>
    <n v="1161.5999999999999"/>
  </r>
  <r>
    <x v="8"/>
    <x v="3"/>
    <x v="0"/>
    <n v="1.9835499999999999"/>
    <n v="1.9189400000000001"/>
    <n v="2.0350999999999999"/>
    <n v="1.97702"/>
    <n v="1161.5999999999999"/>
  </r>
  <r>
    <x v="8"/>
    <x v="3"/>
    <x v="0"/>
    <n v="1.9835499999999999"/>
    <n v="1.9189400000000001"/>
    <n v="2.0350999999999999"/>
    <n v="1.97702"/>
    <n v="1161.5999999999999"/>
  </r>
  <r>
    <x v="8"/>
    <x v="3"/>
    <x v="0"/>
    <n v="1.9835499999999999"/>
    <n v="1.9189400000000001"/>
    <n v="2.0350999999999999"/>
    <n v="1.97702"/>
    <n v="1161.5999999999999"/>
  </r>
  <r>
    <x v="8"/>
    <x v="3"/>
    <x v="0"/>
    <n v="1.9835499999999999"/>
    <n v="1.9189400000000001"/>
    <n v="2.0350999999999999"/>
    <n v="1.97702"/>
    <n v="1161.5999999999999"/>
  </r>
  <r>
    <x v="8"/>
    <x v="3"/>
    <x v="0"/>
    <n v="1.9835499999999999"/>
    <n v="1.9189400000000001"/>
    <n v="2.0350999999999999"/>
    <n v="1.97702"/>
    <n v="1161.5999999999999"/>
  </r>
  <r>
    <x v="8"/>
    <x v="3"/>
    <x v="0"/>
    <n v="1.9835499999999999"/>
    <n v="1.9189400000000001"/>
    <n v="2.0350999999999999"/>
    <n v="1.97702"/>
    <n v="1161.5999999999999"/>
  </r>
  <r>
    <x v="8"/>
    <x v="3"/>
    <x v="0"/>
    <n v="1.9835499999999999"/>
    <n v="1.9189400000000001"/>
    <n v="2.0350999999999999"/>
    <n v="1.97702"/>
    <n v="1161.5999999999999"/>
  </r>
  <r>
    <x v="8"/>
    <x v="4"/>
    <x v="12"/>
    <n v="93.96"/>
    <n v="91.099000000000004"/>
    <n v="96.2"/>
    <n v="93.649500000000003"/>
    <n v="510.1"/>
  </r>
  <r>
    <x v="8"/>
    <x v="4"/>
    <x v="12"/>
    <n v="93.96"/>
    <n v="91.099000000000004"/>
    <n v="96.2"/>
    <n v="93.649500000000003"/>
    <n v="510.1"/>
  </r>
  <r>
    <x v="8"/>
    <x v="4"/>
    <x v="12"/>
    <n v="93.96"/>
    <n v="91.099000000000004"/>
    <n v="96.2"/>
    <n v="93.649500000000003"/>
    <n v="510.1"/>
  </r>
  <r>
    <x v="8"/>
    <x v="4"/>
    <x v="12"/>
    <n v="93.96"/>
    <n v="91.099000000000004"/>
    <n v="96.2"/>
    <n v="93.649500000000003"/>
    <n v="510.1"/>
  </r>
  <r>
    <x v="8"/>
    <x v="4"/>
    <x v="12"/>
    <n v="93.96"/>
    <n v="91.099000000000004"/>
    <n v="96.2"/>
    <n v="93.649500000000003"/>
    <n v="510.1"/>
  </r>
  <r>
    <x v="8"/>
    <x v="4"/>
    <x v="12"/>
    <n v="93.96"/>
    <n v="91.099000000000004"/>
    <n v="96.2"/>
    <n v="93.649500000000003"/>
    <n v="510.1"/>
  </r>
  <r>
    <x v="8"/>
    <x v="4"/>
    <x v="12"/>
    <n v="93.96"/>
    <n v="91.099000000000004"/>
    <n v="96.2"/>
    <n v="93.649500000000003"/>
    <n v="510.1"/>
  </r>
  <r>
    <x v="8"/>
    <x v="4"/>
    <x v="12"/>
    <n v="93.96"/>
    <n v="91.099000000000004"/>
    <n v="96.2"/>
    <n v="93.649500000000003"/>
    <n v="510.1"/>
  </r>
  <r>
    <x v="8"/>
    <x v="4"/>
    <x v="12"/>
    <n v="93.96"/>
    <n v="91.099000000000004"/>
    <n v="96.2"/>
    <n v="93.649500000000003"/>
    <n v="510.1"/>
  </r>
  <r>
    <x v="8"/>
    <x v="4"/>
    <x v="12"/>
    <n v="93.96"/>
    <n v="91.099000000000004"/>
    <n v="96.2"/>
    <n v="93.649500000000003"/>
    <n v="510.1"/>
  </r>
  <r>
    <x v="8"/>
    <x v="4"/>
    <x v="12"/>
    <n v="93.96"/>
    <n v="91.099000000000004"/>
    <n v="96.2"/>
    <n v="93.649500000000003"/>
    <n v="510.1"/>
  </r>
  <r>
    <x v="8"/>
    <x v="4"/>
    <x v="12"/>
    <n v="93.96"/>
    <n v="91.099000000000004"/>
    <n v="96.2"/>
    <n v="93.649500000000003"/>
    <n v="510.1"/>
  </r>
  <r>
    <x v="8"/>
    <x v="4"/>
    <x v="12"/>
    <n v="93.96"/>
    <n v="91.099000000000004"/>
    <n v="96.2"/>
    <n v="93.649500000000003"/>
    <n v="510.1"/>
  </r>
  <r>
    <x v="8"/>
    <x v="4"/>
    <x v="12"/>
    <n v="93.96"/>
    <n v="91.099000000000004"/>
    <n v="96.2"/>
    <n v="93.649500000000003"/>
    <n v="510.1"/>
  </r>
  <r>
    <x v="8"/>
    <x v="4"/>
    <x v="12"/>
    <n v="93.96"/>
    <n v="91.099000000000004"/>
    <n v="96.2"/>
    <n v="93.649500000000003"/>
    <n v="510.1"/>
  </r>
  <r>
    <x v="8"/>
    <x v="4"/>
    <x v="12"/>
    <n v="93.96"/>
    <n v="91.099000000000004"/>
    <n v="96.2"/>
    <n v="93.649500000000003"/>
    <n v="510.1"/>
  </r>
  <r>
    <x v="8"/>
    <x v="4"/>
    <x v="3"/>
    <n v="1.3426199999999999"/>
    <n v="1.33697"/>
    <n v="1.39151"/>
    <n v="1.3642399999999999"/>
    <n v="545.4"/>
  </r>
  <r>
    <x v="8"/>
    <x v="4"/>
    <x v="3"/>
    <n v="1.3426199999999999"/>
    <n v="1.33697"/>
    <n v="1.39151"/>
    <n v="1.3642399999999999"/>
    <n v="545.4"/>
  </r>
  <r>
    <x v="8"/>
    <x v="4"/>
    <x v="3"/>
    <n v="1.3426199999999999"/>
    <n v="1.33697"/>
    <n v="1.39151"/>
    <n v="1.3642399999999999"/>
    <n v="545.4"/>
  </r>
  <r>
    <x v="8"/>
    <x v="4"/>
    <x v="3"/>
    <n v="1.3426199999999999"/>
    <n v="1.33697"/>
    <n v="1.39151"/>
    <n v="1.3642399999999999"/>
    <n v="545.4"/>
  </r>
  <r>
    <x v="8"/>
    <x v="4"/>
    <x v="3"/>
    <n v="1.3426199999999999"/>
    <n v="1.33697"/>
    <n v="1.39151"/>
    <n v="1.3642399999999999"/>
    <n v="545.4"/>
  </r>
  <r>
    <x v="8"/>
    <x v="4"/>
    <x v="3"/>
    <n v="1.3426199999999999"/>
    <n v="1.33697"/>
    <n v="1.39151"/>
    <n v="1.3642399999999999"/>
    <n v="545.4"/>
  </r>
  <r>
    <x v="8"/>
    <x v="4"/>
    <x v="3"/>
    <n v="1.3426199999999999"/>
    <n v="1.33697"/>
    <n v="1.39151"/>
    <n v="1.3642399999999999"/>
    <n v="545.4"/>
  </r>
  <r>
    <x v="8"/>
    <x v="4"/>
    <x v="3"/>
    <n v="1.3426199999999999"/>
    <n v="1.33697"/>
    <n v="1.39151"/>
    <n v="1.3642399999999999"/>
    <n v="545.4"/>
  </r>
  <r>
    <x v="8"/>
    <x v="4"/>
    <x v="3"/>
    <n v="1.3426199999999999"/>
    <n v="1.33697"/>
    <n v="1.39151"/>
    <n v="1.3642399999999999"/>
    <n v="545.4"/>
  </r>
  <r>
    <x v="8"/>
    <x v="4"/>
    <x v="3"/>
    <n v="1.3426199999999999"/>
    <n v="1.33697"/>
    <n v="1.39151"/>
    <n v="1.3642399999999999"/>
    <n v="545.4"/>
  </r>
  <r>
    <x v="8"/>
    <x v="4"/>
    <x v="3"/>
    <n v="1.3426199999999999"/>
    <n v="1.33697"/>
    <n v="1.39151"/>
    <n v="1.3642399999999999"/>
    <n v="545.4"/>
  </r>
  <r>
    <x v="8"/>
    <x v="4"/>
    <x v="3"/>
    <n v="1.3426199999999999"/>
    <n v="1.33697"/>
    <n v="1.39151"/>
    <n v="1.3642399999999999"/>
    <n v="545.4"/>
  </r>
  <r>
    <x v="8"/>
    <x v="4"/>
    <x v="3"/>
    <n v="1.3426199999999999"/>
    <n v="1.33697"/>
    <n v="1.39151"/>
    <n v="1.3642399999999999"/>
    <n v="545.4"/>
  </r>
  <r>
    <x v="8"/>
    <x v="4"/>
    <x v="0"/>
    <n v="1.97536"/>
    <n v="1.9189400000000001"/>
    <n v="2.0350999999999999"/>
    <n v="1.97702"/>
    <n v="1161.5999999999999"/>
  </r>
  <r>
    <x v="8"/>
    <x v="4"/>
    <x v="0"/>
    <n v="1.97536"/>
    <n v="1.9189400000000001"/>
    <n v="2.0350999999999999"/>
    <n v="1.97702"/>
    <n v="1161.5999999999999"/>
  </r>
  <r>
    <x v="8"/>
    <x v="4"/>
    <x v="0"/>
    <n v="1.97536"/>
    <n v="1.9189400000000001"/>
    <n v="2.0350999999999999"/>
    <n v="1.97702"/>
    <n v="1161.5999999999999"/>
  </r>
  <r>
    <x v="8"/>
    <x v="4"/>
    <x v="0"/>
    <n v="1.97536"/>
    <n v="1.9189400000000001"/>
    <n v="2.0350999999999999"/>
    <n v="1.97702"/>
    <n v="1161.5999999999999"/>
  </r>
  <r>
    <x v="8"/>
    <x v="4"/>
    <x v="0"/>
    <n v="1.97536"/>
    <n v="1.9189400000000001"/>
    <n v="2.0350999999999999"/>
    <n v="1.97702"/>
    <n v="1161.5999999999999"/>
  </r>
  <r>
    <x v="8"/>
    <x v="4"/>
    <x v="0"/>
    <n v="1.97536"/>
    <n v="1.9189400000000001"/>
    <n v="2.0350999999999999"/>
    <n v="1.97702"/>
    <n v="1161.5999999999999"/>
  </r>
  <r>
    <x v="8"/>
    <x v="4"/>
    <x v="0"/>
    <n v="1.97536"/>
    <n v="1.9189400000000001"/>
    <n v="2.0350999999999999"/>
    <n v="1.97702"/>
    <n v="1161.5999999999999"/>
  </r>
  <r>
    <x v="8"/>
    <x v="4"/>
    <x v="0"/>
    <n v="1.97536"/>
    <n v="1.9189400000000001"/>
    <n v="2.0350999999999999"/>
    <n v="1.97702"/>
    <n v="1161.5999999999999"/>
  </r>
  <r>
    <x v="8"/>
    <x v="4"/>
    <x v="0"/>
    <n v="1.97536"/>
    <n v="1.9189400000000001"/>
    <n v="2.0350999999999999"/>
    <n v="1.97702"/>
    <n v="1161.5999999999999"/>
  </r>
  <r>
    <x v="8"/>
    <x v="4"/>
    <x v="0"/>
    <n v="1.97536"/>
    <n v="1.9189400000000001"/>
    <n v="2.0350999999999999"/>
    <n v="1.97702"/>
    <n v="1161.5999999999999"/>
  </r>
  <r>
    <x v="8"/>
    <x v="4"/>
    <x v="0"/>
    <n v="1.97536"/>
    <n v="1.9189400000000001"/>
    <n v="2.0350999999999999"/>
    <n v="1.97702"/>
    <n v="1161.5999999999999"/>
  </r>
  <r>
    <x v="8"/>
    <x v="4"/>
    <x v="0"/>
    <n v="1.97536"/>
    <n v="1.9189400000000001"/>
    <n v="2.0350999999999999"/>
    <n v="1.97702"/>
    <n v="1161.5999999999999"/>
  </r>
  <r>
    <x v="8"/>
    <x v="4"/>
    <x v="0"/>
    <n v="1.97536"/>
    <n v="1.9189400000000001"/>
    <n v="2.0350999999999999"/>
    <n v="1.97702"/>
    <n v="1161.5999999999999"/>
  </r>
  <r>
    <x v="8"/>
    <x v="4"/>
    <x v="0"/>
    <n v="1.97536"/>
    <n v="1.9189400000000001"/>
    <n v="2.0350999999999999"/>
    <n v="1.97702"/>
    <n v="1161.5999999999999"/>
  </r>
  <r>
    <x v="8"/>
    <x v="4"/>
    <x v="0"/>
    <n v="1.97536"/>
    <n v="1.9189400000000001"/>
    <n v="2.0350999999999999"/>
    <n v="1.97702"/>
    <n v="1161.5999999999999"/>
  </r>
  <r>
    <x v="8"/>
    <x v="4"/>
    <x v="0"/>
    <n v="1.97536"/>
    <n v="1.9189400000000001"/>
    <n v="2.0350999999999999"/>
    <n v="1.97702"/>
    <n v="1161.5999999999999"/>
  </r>
  <r>
    <x v="8"/>
    <x v="4"/>
    <x v="0"/>
    <n v="1.97536"/>
    <n v="1.9189400000000001"/>
    <n v="2.0350999999999999"/>
    <n v="1.97702"/>
    <n v="1161.5999999999999"/>
  </r>
  <r>
    <x v="8"/>
    <x v="4"/>
    <x v="0"/>
    <n v="1.97536"/>
    <n v="1.9189400000000001"/>
    <n v="2.0350999999999999"/>
    <n v="1.97702"/>
    <n v="1161.5999999999999"/>
  </r>
  <r>
    <x v="8"/>
    <x v="5"/>
    <x v="12"/>
    <n v="92.953000000000003"/>
    <n v="91.099000000000004"/>
    <n v="96.2"/>
    <n v="93.649500000000003"/>
    <n v="510.1"/>
  </r>
  <r>
    <x v="8"/>
    <x v="5"/>
    <x v="12"/>
    <n v="92.953000000000003"/>
    <n v="91.099000000000004"/>
    <n v="96.2"/>
    <n v="93.649500000000003"/>
    <n v="510.1"/>
  </r>
  <r>
    <x v="8"/>
    <x v="5"/>
    <x v="12"/>
    <n v="92.953000000000003"/>
    <n v="91.099000000000004"/>
    <n v="96.2"/>
    <n v="93.649500000000003"/>
    <n v="510.1"/>
  </r>
  <r>
    <x v="8"/>
    <x v="5"/>
    <x v="12"/>
    <n v="92.953000000000003"/>
    <n v="91.099000000000004"/>
    <n v="96.2"/>
    <n v="93.649500000000003"/>
    <n v="510.1"/>
  </r>
  <r>
    <x v="8"/>
    <x v="5"/>
    <x v="12"/>
    <n v="92.953000000000003"/>
    <n v="91.099000000000004"/>
    <n v="96.2"/>
    <n v="93.649500000000003"/>
    <n v="510.1"/>
  </r>
  <r>
    <x v="8"/>
    <x v="5"/>
    <x v="12"/>
    <n v="92.953000000000003"/>
    <n v="91.099000000000004"/>
    <n v="96.2"/>
    <n v="93.649500000000003"/>
    <n v="510.1"/>
  </r>
  <r>
    <x v="8"/>
    <x v="5"/>
    <x v="12"/>
    <n v="92.953000000000003"/>
    <n v="91.099000000000004"/>
    <n v="96.2"/>
    <n v="93.649500000000003"/>
    <n v="510.1"/>
  </r>
  <r>
    <x v="8"/>
    <x v="5"/>
    <x v="12"/>
    <n v="92.953000000000003"/>
    <n v="91.099000000000004"/>
    <n v="96.2"/>
    <n v="93.649500000000003"/>
    <n v="510.1"/>
  </r>
  <r>
    <x v="8"/>
    <x v="5"/>
    <x v="12"/>
    <n v="92.953000000000003"/>
    <n v="91.099000000000004"/>
    <n v="96.2"/>
    <n v="93.649500000000003"/>
    <n v="510.1"/>
  </r>
  <r>
    <x v="8"/>
    <x v="5"/>
    <x v="12"/>
    <n v="92.953000000000003"/>
    <n v="91.099000000000004"/>
    <n v="96.2"/>
    <n v="93.649500000000003"/>
    <n v="510.1"/>
  </r>
  <r>
    <x v="8"/>
    <x v="5"/>
    <x v="12"/>
    <n v="92.953000000000003"/>
    <n v="91.099000000000004"/>
    <n v="96.2"/>
    <n v="93.649500000000003"/>
    <n v="510.1"/>
  </r>
  <r>
    <x v="8"/>
    <x v="5"/>
    <x v="12"/>
    <n v="92.953000000000003"/>
    <n v="91.099000000000004"/>
    <n v="96.2"/>
    <n v="93.649500000000003"/>
    <n v="510.1"/>
  </r>
  <r>
    <x v="8"/>
    <x v="5"/>
    <x v="12"/>
    <n v="92.953000000000003"/>
    <n v="91.099000000000004"/>
    <n v="96.2"/>
    <n v="93.649500000000003"/>
    <n v="510.1"/>
  </r>
  <r>
    <x v="8"/>
    <x v="5"/>
    <x v="12"/>
    <n v="92.953000000000003"/>
    <n v="91.099000000000004"/>
    <n v="96.2"/>
    <n v="93.649500000000003"/>
    <n v="510.1"/>
  </r>
  <r>
    <x v="8"/>
    <x v="5"/>
    <x v="12"/>
    <n v="92.953000000000003"/>
    <n v="91.099000000000004"/>
    <n v="96.2"/>
    <n v="93.649500000000003"/>
    <n v="510.1"/>
  </r>
  <r>
    <x v="8"/>
    <x v="5"/>
    <x v="12"/>
    <n v="92.953000000000003"/>
    <n v="91.099000000000004"/>
    <n v="96.2"/>
    <n v="93.649500000000003"/>
    <n v="510.1"/>
  </r>
  <r>
    <x v="8"/>
    <x v="5"/>
    <x v="12"/>
    <n v="92.953000000000003"/>
    <n v="91.099000000000004"/>
    <n v="96.2"/>
    <n v="93.649500000000003"/>
    <n v="510.1"/>
  </r>
  <r>
    <x v="8"/>
    <x v="5"/>
    <x v="12"/>
    <n v="92.953000000000003"/>
    <n v="91.099000000000004"/>
    <n v="96.2"/>
    <n v="93.649500000000003"/>
    <n v="510.1"/>
  </r>
  <r>
    <x v="8"/>
    <x v="5"/>
    <x v="12"/>
    <n v="92.953000000000003"/>
    <n v="91.099000000000004"/>
    <n v="96.2"/>
    <n v="93.649500000000003"/>
    <n v="510.1"/>
  </r>
  <r>
    <x v="8"/>
    <x v="5"/>
    <x v="3"/>
    <n v="1.3409"/>
    <n v="1.3340000000000001"/>
    <n v="1.39151"/>
    <n v="1.3627549999999999"/>
    <n v="575.1"/>
  </r>
  <r>
    <x v="8"/>
    <x v="5"/>
    <x v="3"/>
    <n v="1.3409"/>
    <n v="1.3340000000000001"/>
    <n v="1.39151"/>
    <n v="1.3627549999999999"/>
    <n v="575.1"/>
  </r>
  <r>
    <x v="8"/>
    <x v="5"/>
    <x v="3"/>
    <n v="1.3409"/>
    <n v="1.3340000000000001"/>
    <n v="1.39151"/>
    <n v="1.3627549999999999"/>
    <n v="575.1"/>
  </r>
  <r>
    <x v="8"/>
    <x v="5"/>
    <x v="3"/>
    <n v="1.3409"/>
    <n v="1.3340000000000001"/>
    <n v="1.39151"/>
    <n v="1.3627549999999999"/>
    <n v="575.1"/>
  </r>
  <r>
    <x v="8"/>
    <x v="5"/>
    <x v="3"/>
    <n v="1.3409"/>
    <n v="1.3340000000000001"/>
    <n v="1.39151"/>
    <n v="1.3627549999999999"/>
    <n v="575.1"/>
  </r>
  <r>
    <x v="8"/>
    <x v="5"/>
    <x v="3"/>
    <n v="1.3409"/>
    <n v="1.3340000000000001"/>
    <n v="1.39151"/>
    <n v="1.3627549999999999"/>
    <n v="575.1"/>
  </r>
  <r>
    <x v="8"/>
    <x v="5"/>
    <x v="3"/>
    <n v="1.3409"/>
    <n v="1.3340000000000001"/>
    <n v="1.39151"/>
    <n v="1.3627549999999999"/>
    <n v="575.1"/>
  </r>
  <r>
    <x v="8"/>
    <x v="5"/>
    <x v="3"/>
    <n v="1.3409"/>
    <n v="1.3340000000000001"/>
    <n v="1.39151"/>
    <n v="1.3627549999999999"/>
    <n v="575.1"/>
  </r>
  <r>
    <x v="8"/>
    <x v="5"/>
    <x v="3"/>
    <n v="1.3409"/>
    <n v="1.3340000000000001"/>
    <n v="1.39151"/>
    <n v="1.3627549999999999"/>
    <n v="575.1"/>
  </r>
  <r>
    <x v="8"/>
    <x v="5"/>
    <x v="3"/>
    <n v="1.3409"/>
    <n v="1.3340000000000001"/>
    <n v="1.39151"/>
    <n v="1.3627549999999999"/>
    <n v="575.1"/>
  </r>
  <r>
    <x v="8"/>
    <x v="5"/>
    <x v="3"/>
    <n v="1.3409"/>
    <n v="1.3340000000000001"/>
    <n v="1.39151"/>
    <n v="1.3627549999999999"/>
    <n v="575.1"/>
  </r>
  <r>
    <x v="8"/>
    <x v="5"/>
    <x v="3"/>
    <n v="1.3409"/>
    <n v="1.3340000000000001"/>
    <n v="1.39151"/>
    <n v="1.3627549999999999"/>
    <n v="575.1"/>
  </r>
  <r>
    <x v="8"/>
    <x v="5"/>
    <x v="3"/>
    <n v="1.3409"/>
    <n v="1.3340000000000001"/>
    <n v="1.39151"/>
    <n v="1.3627549999999999"/>
    <n v="575.1"/>
  </r>
  <r>
    <x v="8"/>
    <x v="5"/>
    <x v="3"/>
    <n v="1.3409"/>
    <n v="1.3340000000000001"/>
    <n v="1.39151"/>
    <n v="1.3627549999999999"/>
    <n v="575.1"/>
  </r>
  <r>
    <x v="8"/>
    <x v="5"/>
    <x v="0"/>
    <n v="1.98126"/>
    <n v="1.9189400000000001"/>
    <n v="2.0350999999999999"/>
    <n v="1.97702"/>
    <n v="1161.5999999999999"/>
  </r>
  <r>
    <x v="8"/>
    <x v="5"/>
    <x v="0"/>
    <n v="1.98126"/>
    <n v="1.9189400000000001"/>
    <n v="2.0350999999999999"/>
    <n v="1.97702"/>
    <n v="1161.5999999999999"/>
  </r>
  <r>
    <x v="8"/>
    <x v="5"/>
    <x v="0"/>
    <n v="1.98126"/>
    <n v="1.9189400000000001"/>
    <n v="2.0350999999999999"/>
    <n v="1.97702"/>
    <n v="1161.5999999999999"/>
  </r>
  <r>
    <x v="8"/>
    <x v="5"/>
    <x v="0"/>
    <n v="1.98126"/>
    <n v="1.9189400000000001"/>
    <n v="2.0350999999999999"/>
    <n v="1.97702"/>
    <n v="1161.5999999999999"/>
  </r>
  <r>
    <x v="8"/>
    <x v="5"/>
    <x v="0"/>
    <n v="1.98126"/>
    <n v="1.9189400000000001"/>
    <n v="2.0350999999999999"/>
    <n v="1.97702"/>
    <n v="1161.5999999999999"/>
  </r>
  <r>
    <x v="8"/>
    <x v="5"/>
    <x v="0"/>
    <n v="1.98126"/>
    <n v="1.9189400000000001"/>
    <n v="2.0350999999999999"/>
    <n v="1.97702"/>
    <n v="1161.5999999999999"/>
  </r>
  <r>
    <x v="8"/>
    <x v="5"/>
    <x v="0"/>
    <n v="1.98126"/>
    <n v="1.9189400000000001"/>
    <n v="2.0350999999999999"/>
    <n v="1.97702"/>
    <n v="1161.5999999999999"/>
  </r>
  <r>
    <x v="8"/>
    <x v="5"/>
    <x v="0"/>
    <n v="1.98126"/>
    <n v="1.9189400000000001"/>
    <n v="2.0350999999999999"/>
    <n v="1.97702"/>
    <n v="1161.5999999999999"/>
  </r>
  <r>
    <x v="8"/>
    <x v="5"/>
    <x v="0"/>
    <n v="1.98126"/>
    <n v="1.9189400000000001"/>
    <n v="2.0350999999999999"/>
    <n v="1.97702"/>
    <n v="1161.5999999999999"/>
  </r>
  <r>
    <x v="8"/>
    <x v="5"/>
    <x v="0"/>
    <n v="1.98126"/>
    <n v="1.9189400000000001"/>
    <n v="2.0350999999999999"/>
    <n v="1.97702"/>
    <n v="1161.5999999999999"/>
  </r>
  <r>
    <x v="8"/>
    <x v="5"/>
    <x v="0"/>
    <n v="1.98126"/>
    <n v="1.9189400000000001"/>
    <n v="2.0350999999999999"/>
    <n v="1.97702"/>
    <n v="1161.5999999999999"/>
  </r>
  <r>
    <x v="8"/>
    <x v="5"/>
    <x v="0"/>
    <n v="1.98126"/>
    <n v="1.9189400000000001"/>
    <n v="2.0350999999999999"/>
    <n v="1.97702"/>
    <n v="1161.5999999999999"/>
  </r>
  <r>
    <x v="8"/>
    <x v="5"/>
    <x v="0"/>
    <n v="1.98126"/>
    <n v="1.9189400000000001"/>
    <n v="2.0350999999999999"/>
    <n v="1.97702"/>
    <n v="1161.5999999999999"/>
  </r>
  <r>
    <x v="8"/>
    <x v="5"/>
    <x v="0"/>
    <n v="1.98126"/>
    <n v="1.9189400000000001"/>
    <n v="2.0350999999999999"/>
    <n v="1.97702"/>
    <n v="1161.5999999999999"/>
  </r>
  <r>
    <x v="8"/>
    <x v="5"/>
    <x v="0"/>
    <n v="1.98126"/>
    <n v="1.9189400000000001"/>
    <n v="2.0350999999999999"/>
    <n v="1.97702"/>
    <n v="1161.5999999999999"/>
  </r>
  <r>
    <x v="8"/>
    <x v="5"/>
    <x v="0"/>
    <n v="1.98126"/>
    <n v="1.9189400000000001"/>
    <n v="2.0350999999999999"/>
    <n v="1.97702"/>
    <n v="1161.5999999999999"/>
  </r>
  <r>
    <x v="8"/>
    <x v="5"/>
    <x v="0"/>
    <n v="1.98126"/>
    <n v="1.9189400000000001"/>
    <n v="2.0350999999999999"/>
    <n v="1.97702"/>
    <n v="1161.5999999999999"/>
  </r>
  <r>
    <x v="8"/>
    <x v="5"/>
    <x v="0"/>
    <n v="1.98126"/>
    <n v="1.9189400000000001"/>
    <n v="2.0350999999999999"/>
    <n v="1.97702"/>
    <n v="1161.5999999999999"/>
  </r>
  <r>
    <x v="8"/>
    <x v="5"/>
    <x v="0"/>
    <n v="1.98126"/>
    <n v="1.9189400000000001"/>
    <n v="2.0350999999999999"/>
    <n v="1.97702"/>
    <n v="1161.5999999999999"/>
  </r>
  <r>
    <x v="8"/>
    <x v="5"/>
    <x v="0"/>
    <n v="1.98126"/>
    <n v="1.9189400000000001"/>
    <n v="2.0350999999999999"/>
    <n v="1.97702"/>
    <n v="1161.5999999999999"/>
  </r>
  <r>
    <x v="8"/>
    <x v="6"/>
    <x v="12"/>
    <n v="94.055999999999997"/>
    <n v="91.099000000000004"/>
    <n v="96.2"/>
    <n v="93.649500000000003"/>
    <n v="510.1"/>
  </r>
  <r>
    <x v="8"/>
    <x v="6"/>
    <x v="12"/>
    <n v="94.055999999999997"/>
    <n v="91.099000000000004"/>
    <n v="96.2"/>
    <n v="93.649500000000003"/>
    <n v="510.1"/>
  </r>
  <r>
    <x v="8"/>
    <x v="6"/>
    <x v="12"/>
    <n v="94.055999999999997"/>
    <n v="91.099000000000004"/>
    <n v="96.2"/>
    <n v="93.649500000000003"/>
    <n v="510.1"/>
  </r>
  <r>
    <x v="8"/>
    <x v="6"/>
    <x v="12"/>
    <n v="94.055999999999997"/>
    <n v="91.099000000000004"/>
    <n v="96.2"/>
    <n v="93.649500000000003"/>
    <n v="510.1"/>
  </r>
  <r>
    <x v="8"/>
    <x v="6"/>
    <x v="12"/>
    <n v="94.055999999999997"/>
    <n v="91.099000000000004"/>
    <n v="96.2"/>
    <n v="93.649500000000003"/>
    <n v="510.1"/>
  </r>
  <r>
    <x v="8"/>
    <x v="6"/>
    <x v="12"/>
    <n v="94.055999999999997"/>
    <n v="91.099000000000004"/>
    <n v="96.2"/>
    <n v="93.649500000000003"/>
    <n v="510.1"/>
  </r>
  <r>
    <x v="8"/>
    <x v="6"/>
    <x v="12"/>
    <n v="94.055999999999997"/>
    <n v="91.099000000000004"/>
    <n v="96.2"/>
    <n v="93.649500000000003"/>
    <n v="510.1"/>
  </r>
  <r>
    <x v="8"/>
    <x v="6"/>
    <x v="12"/>
    <n v="94.055999999999997"/>
    <n v="91.099000000000004"/>
    <n v="96.2"/>
    <n v="93.649500000000003"/>
    <n v="510.1"/>
  </r>
  <r>
    <x v="8"/>
    <x v="6"/>
    <x v="12"/>
    <n v="94.055999999999997"/>
    <n v="91.099000000000004"/>
    <n v="96.2"/>
    <n v="93.649500000000003"/>
    <n v="510.1"/>
  </r>
  <r>
    <x v="8"/>
    <x v="6"/>
    <x v="12"/>
    <n v="94.055999999999997"/>
    <n v="91.099000000000004"/>
    <n v="96.2"/>
    <n v="93.649500000000003"/>
    <n v="510.1"/>
  </r>
  <r>
    <x v="8"/>
    <x v="6"/>
    <x v="12"/>
    <n v="94.055999999999997"/>
    <n v="91.099000000000004"/>
    <n v="96.2"/>
    <n v="93.649500000000003"/>
    <n v="510.1"/>
  </r>
  <r>
    <x v="8"/>
    <x v="6"/>
    <x v="12"/>
    <n v="94.055999999999997"/>
    <n v="91.099000000000004"/>
    <n v="96.2"/>
    <n v="93.649500000000003"/>
    <n v="510.1"/>
  </r>
  <r>
    <x v="8"/>
    <x v="6"/>
    <x v="12"/>
    <n v="94.055999999999997"/>
    <n v="91.099000000000004"/>
    <n v="96.2"/>
    <n v="93.649500000000003"/>
    <n v="510.1"/>
  </r>
  <r>
    <x v="8"/>
    <x v="6"/>
    <x v="12"/>
    <n v="94.055999999999997"/>
    <n v="91.099000000000004"/>
    <n v="96.2"/>
    <n v="93.649500000000003"/>
    <n v="510.1"/>
  </r>
  <r>
    <x v="8"/>
    <x v="6"/>
    <x v="12"/>
    <n v="94.055999999999997"/>
    <n v="91.099000000000004"/>
    <n v="96.2"/>
    <n v="93.649500000000003"/>
    <n v="510.1"/>
  </r>
  <r>
    <x v="8"/>
    <x v="6"/>
    <x v="12"/>
    <n v="94.055999999999997"/>
    <n v="91.099000000000004"/>
    <n v="96.2"/>
    <n v="93.649500000000003"/>
    <n v="510.1"/>
  </r>
  <r>
    <x v="8"/>
    <x v="6"/>
    <x v="12"/>
    <n v="94.055999999999997"/>
    <n v="91.099000000000004"/>
    <n v="96.2"/>
    <n v="93.649500000000003"/>
    <n v="510.1"/>
  </r>
  <r>
    <x v="8"/>
    <x v="6"/>
    <x v="12"/>
    <n v="94.055999999999997"/>
    <n v="91.099000000000004"/>
    <n v="96.2"/>
    <n v="93.649500000000003"/>
    <n v="510.1"/>
  </r>
  <r>
    <x v="8"/>
    <x v="6"/>
    <x v="3"/>
    <n v="1.3406899999999999"/>
    <n v="1.3340000000000001"/>
    <n v="1.39151"/>
    <n v="1.3627549999999999"/>
    <n v="575.1"/>
  </r>
  <r>
    <x v="8"/>
    <x v="6"/>
    <x v="3"/>
    <n v="1.3406899999999999"/>
    <n v="1.3340000000000001"/>
    <n v="1.39151"/>
    <n v="1.3627549999999999"/>
    <n v="575.1"/>
  </r>
  <r>
    <x v="8"/>
    <x v="6"/>
    <x v="3"/>
    <n v="1.3406899999999999"/>
    <n v="1.3340000000000001"/>
    <n v="1.39151"/>
    <n v="1.3627549999999999"/>
    <n v="575.1"/>
  </r>
  <r>
    <x v="8"/>
    <x v="6"/>
    <x v="3"/>
    <n v="1.3406899999999999"/>
    <n v="1.3340000000000001"/>
    <n v="1.39151"/>
    <n v="1.3627549999999999"/>
    <n v="575.1"/>
  </r>
  <r>
    <x v="8"/>
    <x v="6"/>
    <x v="3"/>
    <n v="1.3406899999999999"/>
    <n v="1.3340000000000001"/>
    <n v="1.39151"/>
    <n v="1.3627549999999999"/>
    <n v="575.1"/>
  </r>
  <r>
    <x v="8"/>
    <x v="6"/>
    <x v="3"/>
    <n v="1.3406899999999999"/>
    <n v="1.3340000000000001"/>
    <n v="1.39151"/>
    <n v="1.3627549999999999"/>
    <n v="575.1"/>
  </r>
  <r>
    <x v="8"/>
    <x v="6"/>
    <x v="3"/>
    <n v="1.3406899999999999"/>
    <n v="1.3340000000000001"/>
    <n v="1.39151"/>
    <n v="1.3627549999999999"/>
    <n v="575.1"/>
  </r>
  <r>
    <x v="8"/>
    <x v="6"/>
    <x v="3"/>
    <n v="1.3406899999999999"/>
    <n v="1.3340000000000001"/>
    <n v="1.39151"/>
    <n v="1.3627549999999999"/>
    <n v="575.1"/>
  </r>
  <r>
    <x v="8"/>
    <x v="6"/>
    <x v="3"/>
    <n v="1.3406899999999999"/>
    <n v="1.3340000000000001"/>
    <n v="1.39151"/>
    <n v="1.3627549999999999"/>
    <n v="575.1"/>
  </r>
  <r>
    <x v="8"/>
    <x v="6"/>
    <x v="3"/>
    <n v="1.3406899999999999"/>
    <n v="1.3340000000000001"/>
    <n v="1.39151"/>
    <n v="1.3627549999999999"/>
    <n v="575.1"/>
  </r>
  <r>
    <x v="8"/>
    <x v="6"/>
    <x v="3"/>
    <n v="1.3406899999999999"/>
    <n v="1.3340000000000001"/>
    <n v="1.39151"/>
    <n v="1.3627549999999999"/>
    <n v="575.1"/>
  </r>
  <r>
    <x v="8"/>
    <x v="6"/>
    <x v="3"/>
    <n v="1.3406899999999999"/>
    <n v="1.3340000000000001"/>
    <n v="1.39151"/>
    <n v="1.3627549999999999"/>
    <n v="575.1"/>
  </r>
  <r>
    <x v="8"/>
    <x v="6"/>
    <x v="3"/>
    <n v="1.3406899999999999"/>
    <n v="1.3340000000000001"/>
    <n v="1.39151"/>
    <n v="1.3627549999999999"/>
    <n v="575.1"/>
  </r>
  <r>
    <x v="8"/>
    <x v="6"/>
    <x v="3"/>
    <n v="1.3406899999999999"/>
    <n v="1.3340000000000001"/>
    <n v="1.39151"/>
    <n v="1.3627549999999999"/>
    <n v="575.1"/>
  </r>
  <r>
    <x v="8"/>
    <x v="6"/>
    <x v="0"/>
    <n v="1.9656800000000001"/>
    <n v="1.9189400000000001"/>
    <n v="2.0350999999999999"/>
    <n v="1.97702"/>
    <n v="1161.5999999999999"/>
  </r>
  <r>
    <x v="8"/>
    <x v="6"/>
    <x v="0"/>
    <n v="1.9656800000000001"/>
    <n v="1.9189400000000001"/>
    <n v="2.0350999999999999"/>
    <n v="1.97702"/>
    <n v="1161.5999999999999"/>
  </r>
  <r>
    <x v="8"/>
    <x v="6"/>
    <x v="0"/>
    <n v="1.9656800000000001"/>
    <n v="1.9189400000000001"/>
    <n v="2.0350999999999999"/>
    <n v="1.97702"/>
    <n v="1161.5999999999999"/>
  </r>
  <r>
    <x v="8"/>
    <x v="6"/>
    <x v="0"/>
    <n v="1.9656800000000001"/>
    <n v="1.9189400000000001"/>
    <n v="2.0350999999999999"/>
    <n v="1.97702"/>
    <n v="1161.5999999999999"/>
  </r>
  <r>
    <x v="8"/>
    <x v="6"/>
    <x v="0"/>
    <n v="1.9656800000000001"/>
    <n v="1.9189400000000001"/>
    <n v="2.0350999999999999"/>
    <n v="1.97702"/>
    <n v="1161.5999999999999"/>
  </r>
  <r>
    <x v="8"/>
    <x v="6"/>
    <x v="0"/>
    <n v="1.9656800000000001"/>
    <n v="1.9189400000000001"/>
    <n v="2.0350999999999999"/>
    <n v="1.97702"/>
    <n v="1161.5999999999999"/>
  </r>
  <r>
    <x v="8"/>
    <x v="6"/>
    <x v="0"/>
    <n v="1.9656800000000001"/>
    <n v="1.9189400000000001"/>
    <n v="2.0350999999999999"/>
    <n v="1.97702"/>
    <n v="1161.5999999999999"/>
  </r>
  <r>
    <x v="8"/>
    <x v="6"/>
    <x v="0"/>
    <n v="1.9656800000000001"/>
    <n v="1.9189400000000001"/>
    <n v="2.0350999999999999"/>
    <n v="1.97702"/>
    <n v="1161.5999999999999"/>
  </r>
  <r>
    <x v="8"/>
    <x v="6"/>
    <x v="0"/>
    <n v="1.9656800000000001"/>
    <n v="1.9189400000000001"/>
    <n v="2.0350999999999999"/>
    <n v="1.97702"/>
    <n v="1161.5999999999999"/>
  </r>
  <r>
    <x v="8"/>
    <x v="6"/>
    <x v="0"/>
    <n v="1.9656800000000001"/>
    <n v="1.9189400000000001"/>
    <n v="2.0350999999999999"/>
    <n v="1.97702"/>
    <n v="1161.5999999999999"/>
  </r>
  <r>
    <x v="8"/>
    <x v="6"/>
    <x v="0"/>
    <n v="1.9656800000000001"/>
    <n v="1.9189400000000001"/>
    <n v="2.0350999999999999"/>
    <n v="1.97702"/>
    <n v="1161.5999999999999"/>
  </r>
  <r>
    <x v="8"/>
    <x v="6"/>
    <x v="0"/>
    <n v="1.9656800000000001"/>
    <n v="1.9189400000000001"/>
    <n v="2.0350999999999999"/>
    <n v="1.97702"/>
    <n v="1161.5999999999999"/>
  </r>
  <r>
    <x v="8"/>
    <x v="6"/>
    <x v="0"/>
    <n v="1.9656800000000001"/>
    <n v="1.9189400000000001"/>
    <n v="2.0350999999999999"/>
    <n v="1.97702"/>
    <n v="1161.5999999999999"/>
  </r>
  <r>
    <x v="8"/>
    <x v="6"/>
    <x v="0"/>
    <n v="1.9656800000000001"/>
    <n v="1.9189400000000001"/>
    <n v="2.0350999999999999"/>
    <n v="1.97702"/>
    <n v="1161.5999999999999"/>
  </r>
  <r>
    <x v="8"/>
    <x v="6"/>
    <x v="0"/>
    <n v="1.9656800000000001"/>
    <n v="1.9189400000000001"/>
    <n v="2.0350999999999999"/>
    <n v="1.97702"/>
    <n v="1161.5999999999999"/>
  </r>
  <r>
    <x v="8"/>
    <x v="6"/>
    <x v="0"/>
    <n v="1.9656800000000001"/>
    <n v="1.9189400000000001"/>
    <n v="2.0350999999999999"/>
    <n v="1.97702"/>
    <n v="1161.5999999999999"/>
  </r>
  <r>
    <x v="8"/>
    <x v="6"/>
    <x v="0"/>
    <n v="1.9656800000000001"/>
    <n v="1.9189400000000001"/>
    <n v="2.0350999999999999"/>
    <n v="1.97702"/>
    <n v="1161.5999999999999"/>
  </r>
  <r>
    <x v="8"/>
    <x v="6"/>
    <x v="0"/>
    <n v="1.9656800000000001"/>
    <n v="1.9189400000000001"/>
    <n v="2.0350999999999999"/>
    <n v="1.97702"/>
    <n v="1161.5999999999999"/>
  </r>
  <r>
    <x v="8"/>
    <x v="6"/>
    <x v="0"/>
    <n v="1.9656800000000001"/>
    <n v="1.9189400000000001"/>
    <n v="2.0350999999999999"/>
    <n v="1.97702"/>
    <n v="1161.5999999999999"/>
  </r>
  <r>
    <x v="8"/>
    <x v="7"/>
    <x v="12"/>
    <n v="94.902000000000001"/>
    <n v="91.099000000000004"/>
    <n v="96.2"/>
    <n v="93.649500000000003"/>
    <n v="510.1"/>
  </r>
  <r>
    <x v="8"/>
    <x v="7"/>
    <x v="12"/>
    <n v="94.902000000000001"/>
    <n v="91.099000000000004"/>
    <n v="96.2"/>
    <n v="93.649500000000003"/>
    <n v="510.1"/>
  </r>
  <r>
    <x v="8"/>
    <x v="7"/>
    <x v="12"/>
    <n v="94.902000000000001"/>
    <n v="91.099000000000004"/>
    <n v="96.2"/>
    <n v="93.649500000000003"/>
    <n v="510.1"/>
  </r>
  <r>
    <x v="8"/>
    <x v="7"/>
    <x v="12"/>
    <n v="94.902000000000001"/>
    <n v="91.099000000000004"/>
    <n v="96.2"/>
    <n v="93.649500000000003"/>
    <n v="510.1"/>
  </r>
  <r>
    <x v="8"/>
    <x v="7"/>
    <x v="12"/>
    <n v="94.902000000000001"/>
    <n v="91.099000000000004"/>
    <n v="96.2"/>
    <n v="93.649500000000003"/>
    <n v="510.1"/>
  </r>
  <r>
    <x v="8"/>
    <x v="7"/>
    <x v="12"/>
    <n v="94.902000000000001"/>
    <n v="91.099000000000004"/>
    <n v="96.2"/>
    <n v="93.649500000000003"/>
    <n v="510.1"/>
  </r>
  <r>
    <x v="8"/>
    <x v="7"/>
    <x v="12"/>
    <n v="94.902000000000001"/>
    <n v="91.099000000000004"/>
    <n v="96.2"/>
    <n v="93.649500000000003"/>
    <n v="510.1"/>
  </r>
  <r>
    <x v="8"/>
    <x v="7"/>
    <x v="12"/>
    <n v="94.902000000000001"/>
    <n v="91.099000000000004"/>
    <n v="96.2"/>
    <n v="93.649500000000003"/>
    <n v="510.1"/>
  </r>
  <r>
    <x v="8"/>
    <x v="7"/>
    <x v="12"/>
    <n v="94.902000000000001"/>
    <n v="91.099000000000004"/>
    <n v="96.2"/>
    <n v="93.649500000000003"/>
    <n v="510.1"/>
  </r>
  <r>
    <x v="8"/>
    <x v="7"/>
    <x v="12"/>
    <n v="94.902000000000001"/>
    <n v="91.099000000000004"/>
    <n v="96.2"/>
    <n v="93.649500000000003"/>
    <n v="510.1"/>
  </r>
  <r>
    <x v="8"/>
    <x v="7"/>
    <x v="12"/>
    <n v="94.902000000000001"/>
    <n v="91.099000000000004"/>
    <n v="96.2"/>
    <n v="93.649500000000003"/>
    <n v="510.1"/>
  </r>
  <r>
    <x v="8"/>
    <x v="7"/>
    <x v="12"/>
    <n v="94.902000000000001"/>
    <n v="91.099000000000004"/>
    <n v="96.2"/>
    <n v="93.649500000000003"/>
    <n v="510.1"/>
  </r>
  <r>
    <x v="8"/>
    <x v="7"/>
    <x v="12"/>
    <n v="94.902000000000001"/>
    <n v="91.099000000000004"/>
    <n v="96.2"/>
    <n v="93.649500000000003"/>
    <n v="510.1"/>
  </r>
  <r>
    <x v="8"/>
    <x v="7"/>
    <x v="12"/>
    <n v="94.902000000000001"/>
    <n v="91.099000000000004"/>
    <n v="96.2"/>
    <n v="93.649500000000003"/>
    <n v="510.1"/>
  </r>
  <r>
    <x v="8"/>
    <x v="7"/>
    <x v="12"/>
    <n v="94.902000000000001"/>
    <n v="91.099000000000004"/>
    <n v="96.2"/>
    <n v="93.649500000000003"/>
    <n v="510.1"/>
  </r>
  <r>
    <x v="8"/>
    <x v="7"/>
    <x v="12"/>
    <n v="94.902000000000001"/>
    <n v="91.099000000000004"/>
    <n v="96.2"/>
    <n v="93.649500000000003"/>
    <n v="510.1"/>
  </r>
  <r>
    <x v="8"/>
    <x v="7"/>
    <x v="12"/>
    <n v="94.902000000000001"/>
    <n v="91.099000000000004"/>
    <n v="96.2"/>
    <n v="93.649500000000003"/>
    <n v="510.1"/>
  </r>
  <r>
    <x v="8"/>
    <x v="7"/>
    <x v="12"/>
    <n v="94.902000000000001"/>
    <n v="91.099000000000004"/>
    <n v="96.2"/>
    <n v="93.649500000000003"/>
    <n v="510.1"/>
  </r>
  <r>
    <x v="8"/>
    <x v="7"/>
    <x v="12"/>
    <n v="94.902000000000001"/>
    <n v="91.099000000000004"/>
    <n v="96.2"/>
    <n v="93.649500000000003"/>
    <n v="510.1"/>
  </r>
  <r>
    <x v="8"/>
    <x v="7"/>
    <x v="3"/>
    <n v="1.32368"/>
    <n v="1.3219799999999999"/>
    <n v="1.39151"/>
    <n v="1.3567450000000001"/>
    <n v="695.3"/>
  </r>
  <r>
    <x v="8"/>
    <x v="7"/>
    <x v="3"/>
    <n v="1.32368"/>
    <n v="1.3219799999999999"/>
    <n v="1.39151"/>
    <n v="1.3567450000000001"/>
    <n v="695.3"/>
  </r>
  <r>
    <x v="8"/>
    <x v="7"/>
    <x v="3"/>
    <n v="1.32368"/>
    <n v="1.3219799999999999"/>
    <n v="1.39151"/>
    <n v="1.3567450000000001"/>
    <n v="695.3"/>
  </r>
  <r>
    <x v="8"/>
    <x v="7"/>
    <x v="3"/>
    <n v="1.32368"/>
    <n v="1.3219799999999999"/>
    <n v="1.39151"/>
    <n v="1.3567450000000001"/>
    <n v="695.3"/>
  </r>
  <r>
    <x v="8"/>
    <x v="7"/>
    <x v="3"/>
    <n v="1.32368"/>
    <n v="1.3219799999999999"/>
    <n v="1.39151"/>
    <n v="1.3567450000000001"/>
    <n v="695.3"/>
  </r>
  <r>
    <x v="8"/>
    <x v="7"/>
    <x v="3"/>
    <n v="1.32368"/>
    <n v="1.3219799999999999"/>
    <n v="1.39151"/>
    <n v="1.3567450000000001"/>
    <n v="695.3"/>
  </r>
  <r>
    <x v="8"/>
    <x v="7"/>
    <x v="3"/>
    <n v="1.32368"/>
    <n v="1.3219799999999999"/>
    <n v="1.39151"/>
    <n v="1.3567450000000001"/>
    <n v="695.3"/>
  </r>
  <r>
    <x v="8"/>
    <x v="7"/>
    <x v="3"/>
    <n v="1.32368"/>
    <n v="1.3219799999999999"/>
    <n v="1.39151"/>
    <n v="1.3567450000000001"/>
    <n v="695.3"/>
  </r>
  <r>
    <x v="8"/>
    <x v="7"/>
    <x v="3"/>
    <n v="1.32368"/>
    <n v="1.3219799999999999"/>
    <n v="1.39151"/>
    <n v="1.3567450000000001"/>
    <n v="695.3"/>
  </r>
  <r>
    <x v="8"/>
    <x v="7"/>
    <x v="3"/>
    <n v="1.32368"/>
    <n v="1.3219799999999999"/>
    <n v="1.39151"/>
    <n v="1.3567450000000001"/>
    <n v="695.3"/>
  </r>
  <r>
    <x v="8"/>
    <x v="7"/>
    <x v="3"/>
    <n v="1.32368"/>
    <n v="1.3219799999999999"/>
    <n v="1.39151"/>
    <n v="1.3567450000000001"/>
    <n v="695.3"/>
  </r>
  <r>
    <x v="8"/>
    <x v="7"/>
    <x v="3"/>
    <n v="1.32368"/>
    <n v="1.3219799999999999"/>
    <n v="1.39151"/>
    <n v="1.3567450000000001"/>
    <n v="695.3"/>
  </r>
  <r>
    <x v="8"/>
    <x v="7"/>
    <x v="3"/>
    <n v="1.32368"/>
    <n v="1.3219799999999999"/>
    <n v="1.39151"/>
    <n v="1.3567450000000001"/>
    <n v="695.3"/>
  </r>
  <r>
    <x v="8"/>
    <x v="7"/>
    <x v="3"/>
    <n v="1.32368"/>
    <n v="1.3219799999999999"/>
    <n v="1.39151"/>
    <n v="1.3567450000000001"/>
    <n v="695.3"/>
  </r>
  <r>
    <x v="8"/>
    <x v="7"/>
    <x v="3"/>
    <n v="1.32368"/>
    <n v="1.3219799999999999"/>
    <n v="1.39151"/>
    <n v="1.3567450000000001"/>
    <n v="695.3"/>
  </r>
  <r>
    <x v="8"/>
    <x v="7"/>
    <x v="3"/>
    <n v="1.32368"/>
    <n v="1.3219799999999999"/>
    <n v="1.39151"/>
    <n v="1.3567450000000001"/>
    <n v="695.3"/>
  </r>
  <r>
    <x v="8"/>
    <x v="7"/>
    <x v="3"/>
    <n v="1.32368"/>
    <n v="1.3219799999999999"/>
    <n v="1.39151"/>
    <n v="1.3567450000000001"/>
    <n v="695.3"/>
  </r>
  <r>
    <x v="8"/>
    <x v="7"/>
    <x v="3"/>
    <n v="1.32368"/>
    <n v="1.3219799999999999"/>
    <n v="1.39151"/>
    <n v="1.3567450000000001"/>
    <n v="695.3"/>
  </r>
  <r>
    <x v="8"/>
    <x v="7"/>
    <x v="0"/>
    <n v="1.97037"/>
    <n v="1.9189400000000001"/>
    <n v="2.0350999999999999"/>
    <n v="1.97702"/>
    <n v="1161.5999999999999"/>
  </r>
  <r>
    <x v="8"/>
    <x v="7"/>
    <x v="0"/>
    <n v="1.97037"/>
    <n v="1.9189400000000001"/>
    <n v="2.0350999999999999"/>
    <n v="1.97702"/>
    <n v="1161.5999999999999"/>
  </r>
  <r>
    <x v="8"/>
    <x v="7"/>
    <x v="0"/>
    <n v="1.97037"/>
    <n v="1.9189400000000001"/>
    <n v="2.0350999999999999"/>
    <n v="1.97702"/>
    <n v="1161.5999999999999"/>
  </r>
  <r>
    <x v="8"/>
    <x v="7"/>
    <x v="0"/>
    <n v="1.97037"/>
    <n v="1.9189400000000001"/>
    <n v="2.0350999999999999"/>
    <n v="1.97702"/>
    <n v="1161.5999999999999"/>
  </r>
  <r>
    <x v="8"/>
    <x v="7"/>
    <x v="0"/>
    <n v="1.97037"/>
    <n v="1.9189400000000001"/>
    <n v="2.0350999999999999"/>
    <n v="1.97702"/>
    <n v="1161.5999999999999"/>
  </r>
  <r>
    <x v="8"/>
    <x v="7"/>
    <x v="0"/>
    <n v="1.97037"/>
    <n v="1.9189400000000001"/>
    <n v="2.0350999999999999"/>
    <n v="1.97702"/>
    <n v="1161.5999999999999"/>
  </r>
  <r>
    <x v="8"/>
    <x v="7"/>
    <x v="0"/>
    <n v="1.97037"/>
    <n v="1.9189400000000001"/>
    <n v="2.0350999999999999"/>
    <n v="1.97702"/>
    <n v="1161.5999999999999"/>
  </r>
  <r>
    <x v="8"/>
    <x v="7"/>
    <x v="0"/>
    <n v="1.97037"/>
    <n v="1.9189400000000001"/>
    <n v="2.0350999999999999"/>
    <n v="1.97702"/>
    <n v="1161.5999999999999"/>
  </r>
  <r>
    <x v="8"/>
    <x v="7"/>
    <x v="0"/>
    <n v="1.97037"/>
    <n v="1.9189400000000001"/>
    <n v="2.0350999999999999"/>
    <n v="1.97702"/>
    <n v="1161.5999999999999"/>
  </r>
  <r>
    <x v="8"/>
    <x v="7"/>
    <x v="0"/>
    <n v="1.97037"/>
    <n v="1.9189400000000001"/>
    <n v="2.0350999999999999"/>
    <n v="1.97702"/>
    <n v="1161.5999999999999"/>
  </r>
  <r>
    <x v="8"/>
    <x v="7"/>
    <x v="0"/>
    <n v="1.97037"/>
    <n v="1.9189400000000001"/>
    <n v="2.0350999999999999"/>
    <n v="1.97702"/>
    <n v="1161.5999999999999"/>
  </r>
  <r>
    <x v="8"/>
    <x v="7"/>
    <x v="0"/>
    <n v="1.97037"/>
    <n v="1.9189400000000001"/>
    <n v="2.0350999999999999"/>
    <n v="1.97702"/>
    <n v="1161.5999999999999"/>
  </r>
  <r>
    <x v="8"/>
    <x v="7"/>
    <x v="0"/>
    <n v="1.97037"/>
    <n v="1.9189400000000001"/>
    <n v="2.0350999999999999"/>
    <n v="1.97702"/>
    <n v="1161.5999999999999"/>
  </r>
  <r>
    <x v="8"/>
    <x v="7"/>
    <x v="0"/>
    <n v="1.97037"/>
    <n v="1.9189400000000001"/>
    <n v="2.0350999999999999"/>
    <n v="1.97702"/>
    <n v="1161.5999999999999"/>
  </r>
  <r>
    <x v="8"/>
    <x v="7"/>
    <x v="0"/>
    <n v="1.97037"/>
    <n v="1.9189400000000001"/>
    <n v="2.0350999999999999"/>
    <n v="1.97702"/>
    <n v="1161.5999999999999"/>
  </r>
  <r>
    <x v="8"/>
    <x v="7"/>
    <x v="0"/>
    <n v="1.97037"/>
    <n v="1.9189400000000001"/>
    <n v="2.0350999999999999"/>
    <n v="1.97702"/>
    <n v="1161.5999999999999"/>
  </r>
  <r>
    <x v="8"/>
    <x v="7"/>
    <x v="0"/>
    <n v="1.97037"/>
    <n v="1.9189400000000001"/>
    <n v="2.0350999999999999"/>
    <n v="1.97702"/>
    <n v="1161.5999999999999"/>
  </r>
  <r>
    <x v="8"/>
    <x v="7"/>
    <x v="0"/>
    <n v="1.97037"/>
    <n v="1.9189400000000001"/>
    <n v="2.0350999999999999"/>
    <n v="1.97702"/>
    <n v="1161.5999999999999"/>
  </r>
  <r>
    <x v="8"/>
    <x v="7"/>
    <x v="0"/>
    <n v="1.97037"/>
    <n v="1.9189400000000001"/>
    <n v="2.0350999999999999"/>
    <n v="1.97702"/>
    <n v="1161.5999999999999"/>
  </r>
  <r>
    <x v="8"/>
    <x v="7"/>
    <x v="0"/>
    <n v="1.97037"/>
    <n v="1.9189400000000001"/>
    <n v="2.0350999999999999"/>
    <n v="1.97702"/>
    <n v="1161.5999999999999"/>
  </r>
  <r>
    <x v="8"/>
    <x v="7"/>
    <x v="0"/>
    <n v="1.97037"/>
    <n v="1.9189400000000001"/>
    <n v="2.0350999999999999"/>
    <n v="1.97702"/>
    <n v="1161.5999999999999"/>
  </r>
  <r>
    <x v="8"/>
    <x v="8"/>
    <x v="12"/>
    <n v="95.647000000000006"/>
    <n v="91.099000000000004"/>
    <n v="96.2"/>
    <n v="93.649500000000003"/>
    <n v="510.1"/>
  </r>
  <r>
    <x v="8"/>
    <x v="8"/>
    <x v="12"/>
    <n v="95.647000000000006"/>
    <n v="91.099000000000004"/>
    <n v="96.2"/>
    <n v="93.649500000000003"/>
    <n v="510.1"/>
  </r>
  <r>
    <x v="8"/>
    <x v="8"/>
    <x v="12"/>
    <n v="95.647000000000006"/>
    <n v="91.099000000000004"/>
    <n v="96.2"/>
    <n v="93.649500000000003"/>
    <n v="510.1"/>
  </r>
  <r>
    <x v="8"/>
    <x v="8"/>
    <x v="12"/>
    <n v="95.647000000000006"/>
    <n v="91.099000000000004"/>
    <n v="96.2"/>
    <n v="93.649500000000003"/>
    <n v="510.1"/>
  </r>
  <r>
    <x v="8"/>
    <x v="8"/>
    <x v="12"/>
    <n v="95.647000000000006"/>
    <n v="91.099000000000004"/>
    <n v="96.2"/>
    <n v="93.649500000000003"/>
    <n v="510.1"/>
  </r>
  <r>
    <x v="8"/>
    <x v="8"/>
    <x v="12"/>
    <n v="95.647000000000006"/>
    <n v="91.099000000000004"/>
    <n v="96.2"/>
    <n v="93.649500000000003"/>
    <n v="510.1"/>
  </r>
  <r>
    <x v="8"/>
    <x v="8"/>
    <x v="12"/>
    <n v="95.647000000000006"/>
    <n v="91.099000000000004"/>
    <n v="96.2"/>
    <n v="93.649500000000003"/>
    <n v="510.1"/>
  </r>
  <r>
    <x v="8"/>
    <x v="8"/>
    <x v="12"/>
    <n v="95.647000000000006"/>
    <n v="91.099000000000004"/>
    <n v="96.2"/>
    <n v="93.649500000000003"/>
    <n v="510.1"/>
  </r>
  <r>
    <x v="8"/>
    <x v="8"/>
    <x v="12"/>
    <n v="95.647000000000006"/>
    <n v="91.099000000000004"/>
    <n v="96.2"/>
    <n v="93.649500000000003"/>
    <n v="510.1"/>
  </r>
  <r>
    <x v="8"/>
    <x v="8"/>
    <x v="12"/>
    <n v="95.647000000000006"/>
    <n v="91.099000000000004"/>
    <n v="96.2"/>
    <n v="93.649500000000003"/>
    <n v="510.1"/>
  </r>
  <r>
    <x v="8"/>
    <x v="8"/>
    <x v="12"/>
    <n v="95.647000000000006"/>
    <n v="91.099000000000004"/>
    <n v="96.2"/>
    <n v="93.649500000000003"/>
    <n v="510.1"/>
  </r>
  <r>
    <x v="8"/>
    <x v="8"/>
    <x v="12"/>
    <n v="95.647000000000006"/>
    <n v="91.099000000000004"/>
    <n v="96.2"/>
    <n v="93.649500000000003"/>
    <n v="510.1"/>
  </r>
  <r>
    <x v="8"/>
    <x v="8"/>
    <x v="12"/>
    <n v="95.647000000000006"/>
    <n v="91.099000000000004"/>
    <n v="96.2"/>
    <n v="93.649500000000003"/>
    <n v="510.1"/>
  </r>
  <r>
    <x v="8"/>
    <x v="8"/>
    <x v="12"/>
    <n v="95.647000000000006"/>
    <n v="91.099000000000004"/>
    <n v="96.2"/>
    <n v="93.649500000000003"/>
    <n v="510.1"/>
  </r>
  <r>
    <x v="8"/>
    <x v="8"/>
    <x v="12"/>
    <n v="95.647000000000006"/>
    <n v="91.099000000000004"/>
    <n v="96.2"/>
    <n v="93.649500000000003"/>
    <n v="510.1"/>
  </r>
  <r>
    <x v="8"/>
    <x v="8"/>
    <x v="12"/>
    <n v="95.647000000000006"/>
    <n v="91.099000000000004"/>
    <n v="96.2"/>
    <n v="93.649500000000003"/>
    <n v="510.1"/>
  </r>
  <r>
    <x v="8"/>
    <x v="8"/>
    <x v="12"/>
    <n v="95.647000000000006"/>
    <n v="91.099000000000004"/>
    <n v="96.2"/>
    <n v="93.649500000000003"/>
    <n v="510.1"/>
  </r>
  <r>
    <x v="8"/>
    <x v="8"/>
    <x v="12"/>
    <n v="95.647000000000006"/>
    <n v="91.099000000000004"/>
    <n v="96.2"/>
    <n v="93.649500000000003"/>
    <n v="510.1"/>
  </r>
  <r>
    <x v="8"/>
    <x v="8"/>
    <x v="12"/>
    <n v="95.647000000000006"/>
    <n v="91.099000000000004"/>
    <n v="96.2"/>
    <n v="93.649500000000003"/>
    <n v="510.1"/>
  </r>
  <r>
    <x v="8"/>
    <x v="8"/>
    <x v="3"/>
    <n v="1.3130599999999999"/>
    <n v="1.3159700000000001"/>
    <n v="1.39151"/>
    <n v="1.3537399999999999"/>
    <n v="755.4"/>
  </r>
  <r>
    <x v="8"/>
    <x v="8"/>
    <x v="3"/>
    <n v="1.3130599999999999"/>
    <n v="1.3159700000000001"/>
    <n v="1.39151"/>
    <n v="1.3537399999999999"/>
    <n v="755.4"/>
  </r>
  <r>
    <x v="8"/>
    <x v="8"/>
    <x v="3"/>
    <n v="1.3130599999999999"/>
    <n v="1.3159700000000001"/>
    <n v="1.39151"/>
    <n v="1.3537399999999999"/>
    <n v="755.4"/>
  </r>
  <r>
    <x v="8"/>
    <x v="8"/>
    <x v="3"/>
    <n v="1.3130599999999999"/>
    <n v="1.3159700000000001"/>
    <n v="1.39151"/>
    <n v="1.3537399999999999"/>
    <n v="755.4"/>
  </r>
  <r>
    <x v="8"/>
    <x v="8"/>
    <x v="3"/>
    <n v="1.3130599999999999"/>
    <n v="1.3159700000000001"/>
    <n v="1.39151"/>
    <n v="1.3537399999999999"/>
    <n v="755.4"/>
  </r>
  <r>
    <x v="8"/>
    <x v="8"/>
    <x v="3"/>
    <n v="1.3130599999999999"/>
    <n v="1.3159700000000001"/>
    <n v="1.39151"/>
    <n v="1.3537399999999999"/>
    <n v="755.4"/>
  </r>
  <r>
    <x v="8"/>
    <x v="8"/>
    <x v="3"/>
    <n v="1.3130599999999999"/>
    <n v="1.3159700000000001"/>
    <n v="1.39151"/>
    <n v="1.3537399999999999"/>
    <n v="755.4"/>
  </r>
  <r>
    <x v="8"/>
    <x v="8"/>
    <x v="3"/>
    <n v="1.3130599999999999"/>
    <n v="1.3159700000000001"/>
    <n v="1.39151"/>
    <n v="1.3537399999999999"/>
    <n v="755.4"/>
  </r>
  <r>
    <x v="8"/>
    <x v="8"/>
    <x v="3"/>
    <n v="1.3130599999999999"/>
    <n v="1.3159700000000001"/>
    <n v="1.39151"/>
    <n v="1.3537399999999999"/>
    <n v="755.4"/>
  </r>
  <r>
    <x v="8"/>
    <x v="8"/>
    <x v="3"/>
    <n v="1.3130599999999999"/>
    <n v="1.3159700000000001"/>
    <n v="1.39151"/>
    <n v="1.3537399999999999"/>
    <n v="755.4"/>
  </r>
  <r>
    <x v="8"/>
    <x v="8"/>
    <x v="3"/>
    <n v="1.3130599999999999"/>
    <n v="1.3159700000000001"/>
    <n v="1.39151"/>
    <n v="1.3537399999999999"/>
    <n v="755.4"/>
  </r>
  <r>
    <x v="8"/>
    <x v="8"/>
    <x v="3"/>
    <n v="1.3130599999999999"/>
    <n v="1.3159700000000001"/>
    <n v="1.39151"/>
    <n v="1.3537399999999999"/>
    <n v="755.4"/>
  </r>
  <r>
    <x v="8"/>
    <x v="8"/>
    <x v="3"/>
    <n v="1.3130599999999999"/>
    <n v="1.3159700000000001"/>
    <n v="1.39151"/>
    <n v="1.3537399999999999"/>
    <n v="755.4"/>
  </r>
  <r>
    <x v="8"/>
    <x v="8"/>
    <x v="3"/>
    <n v="1.3130599999999999"/>
    <n v="1.3159700000000001"/>
    <n v="1.39151"/>
    <n v="1.3537399999999999"/>
    <n v="755.4"/>
  </r>
  <r>
    <x v="8"/>
    <x v="8"/>
    <x v="3"/>
    <n v="1.3130599999999999"/>
    <n v="1.3159700000000001"/>
    <n v="1.39151"/>
    <n v="1.3537399999999999"/>
    <n v="755.4"/>
  </r>
  <r>
    <x v="8"/>
    <x v="8"/>
    <x v="3"/>
    <n v="1.3130599999999999"/>
    <n v="1.3159700000000001"/>
    <n v="1.39151"/>
    <n v="1.3537399999999999"/>
    <n v="755.4"/>
  </r>
  <r>
    <x v="8"/>
    <x v="8"/>
    <x v="3"/>
    <n v="1.3130599999999999"/>
    <n v="1.3159700000000001"/>
    <n v="1.39151"/>
    <n v="1.3537399999999999"/>
    <n v="755.4"/>
  </r>
  <r>
    <x v="8"/>
    <x v="8"/>
    <x v="3"/>
    <n v="1.3130599999999999"/>
    <n v="1.3159700000000001"/>
    <n v="1.39151"/>
    <n v="1.3537399999999999"/>
    <n v="755.4"/>
  </r>
  <r>
    <x v="8"/>
    <x v="8"/>
    <x v="3"/>
    <n v="1.3130599999999999"/>
    <n v="1.3159700000000001"/>
    <n v="1.39151"/>
    <n v="1.3537399999999999"/>
    <n v="755.4"/>
  </r>
  <r>
    <x v="8"/>
    <x v="8"/>
    <x v="3"/>
    <n v="1.3130599999999999"/>
    <n v="1.3159700000000001"/>
    <n v="1.39151"/>
    <n v="1.3537399999999999"/>
    <n v="755.4"/>
  </r>
  <r>
    <x v="8"/>
    <x v="8"/>
    <x v="3"/>
    <n v="1.3130599999999999"/>
    <n v="1.3159700000000001"/>
    <n v="1.39151"/>
    <n v="1.3537399999999999"/>
    <n v="755.4"/>
  </r>
  <r>
    <x v="8"/>
    <x v="8"/>
    <x v="0"/>
    <n v="1.98454"/>
    <n v="1.9189400000000001"/>
    <n v="2.0350999999999999"/>
    <n v="1.97702"/>
    <n v="1161.5999999999999"/>
  </r>
  <r>
    <x v="8"/>
    <x v="8"/>
    <x v="0"/>
    <n v="1.98454"/>
    <n v="1.9189400000000001"/>
    <n v="2.0350999999999999"/>
    <n v="1.97702"/>
    <n v="1161.5999999999999"/>
  </r>
  <r>
    <x v="8"/>
    <x v="8"/>
    <x v="0"/>
    <n v="1.98454"/>
    <n v="1.9189400000000001"/>
    <n v="2.0350999999999999"/>
    <n v="1.97702"/>
    <n v="1161.5999999999999"/>
  </r>
  <r>
    <x v="8"/>
    <x v="8"/>
    <x v="0"/>
    <n v="1.98454"/>
    <n v="1.9189400000000001"/>
    <n v="2.0350999999999999"/>
    <n v="1.97702"/>
    <n v="1161.5999999999999"/>
  </r>
  <r>
    <x v="8"/>
    <x v="8"/>
    <x v="0"/>
    <n v="1.98454"/>
    <n v="1.9189400000000001"/>
    <n v="2.0350999999999999"/>
    <n v="1.97702"/>
    <n v="1161.5999999999999"/>
  </r>
  <r>
    <x v="8"/>
    <x v="8"/>
    <x v="0"/>
    <n v="1.98454"/>
    <n v="1.9189400000000001"/>
    <n v="2.0350999999999999"/>
    <n v="1.97702"/>
    <n v="1161.5999999999999"/>
  </r>
  <r>
    <x v="8"/>
    <x v="8"/>
    <x v="0"/>
    <n v="1.98454"/>
    <n v="1.9189400000000001"/>
    <n v="2.0350999999999999"/>
    <n v="1.97702"/>
    <n v="1161.5999999999999"/>
  </r>
  <r>
    <x v="8"/>
    <x v="8"/>
    <x v="0"/>
    <n v="1.98454"/>
    <n v="1.9189400000000001"/>
    <n v="2.0350999999999999"/>
    <n v="1.97702"/>
    <n v="1161.5999999999999"/>
  </r>
  <r>
    <x v="8"/>
    <x v="8"/>
    <x v="0"/>
    <n v="1.98454"/>
    <n v="1.9189400000000001"/>
    <n v="2.0350999999999999"/>
    <n v="1.97702"/>
    <n v="1161.5999999999999"/>
  </r>
  <r>
    <x v="8"/>
    <x v="8"/>
    <x v="0"/>
    <n v="1.98454"/>
    <n v="1.9189400000000001"/>
    <n v="2.0350999999999999"/>
    <n v="1.97702"/>
    <n v="1161.5999999999999"/>
  </r>
  <r>
    <x v="8"/>
    <x v="8"/>
    <x v="0"/>
    <n v="1.98454"/>
    <n v="1.9189400000000001"/>
    <n v="2.0350999999999999"/>
    <n v="1.97702"/>
    <n v="1161.5999999999999"/>
  </r>
  <r>
    <x v="8"/>
    <x v="8"/>
    <x v="0"/>
    <n v="1.98454"/>
    <n v="1.9189400000000001"/>
    <n v="2.0350999999999999"/>
    <n v="1.97702"/>
    <n v="1161.5999999999999"/>
  </r>
  <r>
    <x v="8"/>
    <x v="8"/>
    <x v="0"/>
    <n v="1.98454"/>
    <n v="1.9189400000000001"/>
    <n v="2.0350999999999999"/>
    <n v="1.97702"/>
    <n v="1161.5999999999999"/>
  </r>
  <r>
    <x v="8"/>
    <x v="8"/>
    <x v="0"/>
    <n v="1.98454"/>
    <n v="1.9189400000000001"/>
    <n v="2.0350999999999999"/>
    <n v="1.97702"/>
    <n v="1161.5999999999999"/>
  </r>
  <r>
    <x v="8"/>
    <x v="8"/>
    <x v="0"/>
    <n v="1.98454"/>
    <n v="1.9189400000000001"/>
    <n v="2.0350999999999999"/>
    <n v="1.97702"/>
    <n v="1161.5999999999999"/>
  </r>
  <r>
    <x v="8"/>
    <x v="8"/>
    <x v="0"/>
    <n v="1.98454"/>
    <n v="1.9189400000000001"/>
    <n v="2.0350999999999999"/>
    <n v="1.97702"/>
    <n v="1161.5999999999999"/>
  </r>
  <r>
    <x v="8"/>
    <x v="8"/>
    <x v="0"/>
    <n v="1.98454"/>
    <n v="1.9189400000000001"/>
    <n v="2.0350999999999999"/>
    <n v="1.97702"/>
    <n v="1161.5999999999999"/>
  </r>
  <r>
    <x v="8"/>
    <x v="8"/>
    <x v="0"/>
    <n v="1.98454"/>
    <n v="1.9189400000000001"/>
    <n v="2.0350999999999999"/>
    <n v="1.97702"/>
    <n v="1161.5999999999999"/>
  </r>
  <r>
    <x v="8"/>
    <x v="8"/>
    <x v="0"/>
    <n v="1.98454"/>
    <n v="1.9189400000000001"/>
    <n v="2.0350999999999999"/>
    <n v="1.97702"/>
    <n v="1161.5999999999999"/>
  </r>
  <r>
    <x v="8"/>
    <x v="8"/>
    <x v="0"/>
    <n v="1.98454"/>
    <n v="1.9189400000000001"/>
    <n v="2.0350999999999999"/>
    <n v="1.97702"/>
    <n v="1161.5999999999999"/>
  </r>
  <r>
    <x v="8"/>
    <x v="8"/>
    <x v="0"/>
    <n v="1.98454"/>
    <n v="1.9189400000000001"/>
    <n v="2.0350999999999999"/>
    <n v="1.97702"/>
    <n v="1161.5999999999999"/>
  </r>
  <r>
    <x v="8"/>
    <x v="9"/>
    <x v="0"/>
    <n v="1.9586699999999999"/>
    <n v="1.9189400000000001"/>
    <n v="2.0350999999999999"/>
    <n v="1.97702"/>
    <n v="1161.5999999999999"/>
  </r>
  <r>
    <x v="8"/>
    <x v="9"/>
    <x v="0"/>
    <n v="1.9586699999999999"/>
    <n v="1.9189400000000001"/>
    <n v="2.0350999999999999"/>
    <n v="1.97702"/>
    <n v="1161.5999999999999"/>
  </r>
  <r>
    <x v="8"/>
    <x v="9"/>
    <x v="0"/>
    <n v="1.9586699999999999"/>
    <n v="1.9189400000000001"/>
    <n v="2.0350999999999999"/>
    <n v="1.97702"/>
    <n v="1161.5999999999999"/>
  </r>
  <r>
    <x v="8"/>
    <x v="9"/>
    <x v="0"/>
    <n v="1.9586699999999999"/>
    <n v="1.9189400000000001"/>
    <n v="2.0350999999999999"/>
    <n v="1.97702"/>
    <n v="1161.5999999999999"/>
  </r>
  <r>
    <x v="8"/>
    <x v="9"/>
    <x v="0"/>
    <n v="1.9586699999999999"/>
    <n v="1.9189400000000001"/>
    <n v="2.0350999999999999"/>
    <n v="1.97702"/>
    <n v="1161.5999999999999"/>
  </r>
  <r>
    <x v="8"/>
    <x v="9"/>
    <x v="0"/>
    <n v="1.9586699999999999"/>
    <n v="1.9189400000000001"/>
    <n v="2.0350999999999999"/>
    <n v="1.97702"/>
    <n v="1161.5999999999999"/>
  </r>
  <r>
    <x v="8"/>
    <x v="9"/>
    <x v="0"/>
    <n v="1.9586699999999999"/>
    <n v="1.9189400000000001"/>
    <n v="2.0350999999999999"/>
    <n v="1.97702"/>
    <n v="1161.5999999999999"/>
  </r>
  <r>
    <x v="8"/>
    <x v="9"/>
    <x v="0"/>
    <n v="1.9586699999999999"/>
    <n v="1.9189400000000001"/>
    <n v="2.0350999999999999"/>
    <n v="1.97702"/>
    <n v="1161.5999999999999"/>
  </r>
  <r>
    <x v="8"/>
    <x v="9"/>
    <x v="0"/>
    <n v="1.9586699999999999"/>
    <n v="1.9189400000000001"/>
    <n v="2.0350999999999999"/>
    <n v="1.97702"/>
    <n v="1161.5999999999999"/>
  </r>
  <r>
    <x v="8"/>
    <x v="9"/>
    <x v="0"/>
    <n v="1.9586699999999999"/>
    <n v="1.9189400000000001"/>
    <n v="2.0350999999999999"/>
    <n v="1.97702"/>
    <n v="1161.5999999999999"/>
  </r>
  <r>
    <x v="8"/>
    <x v="9"/>
    <x v="12"/>
    <n v="96.522000000000006"/>
    <n v="91.099000000000004"/>
    <n v="97"/>
    <n v="94.049499999999995"/>
    <n v="590.1"/>
  </r>
  <r>
    <x v="8"/>
    <x v="9"/>
    <x v="12"/>
    <n v="96.522000000000006"/>
    <n v="91.099000000000004"/>
    <n v="97"/>
    <n v="94.049499999999995"/>
    <n v="590.1"/>
  </r>
  <r>
    <x v="8"/>
    <x v="9"/>
    <x v="12"/>
    <n v="96.522000000000006"/>
    <n v="91.099000000000004"/>
    <n v="97"/>
    <n v="94.049499999999995"/>
    <n v="590.1"/>
  </r>
  <r>
    <x v="8"/>
    <x v="9"/>
    <x v="12"/>
    <n v="96.522000000000006"/>
    <n v="91.099000000000004"/>
    <n v="97"/>
    <n v="94.049499999999995"/>
    <n v="590.1"/>
  </r>
  <r>
    <x v="8"/>
    <x v="9"/>
    <x v="12"/>
    <n v="96.522000000000006"/>
    <n v="91.099000000000004"/>
    <n v="97"/>
    <n v="94.049499999999995"/>
    <n v="590.1"/>
  </r>
  <r>
    <x v="8"/>
    <x v="9"/>
    <x v="12"/>
    <n v="96.522000000000006"/>
    <n v="91.099000000000004"/>
    <n v="97"/>
    <n v="94.049499999999995"/>
    <n v="590.1"/>
  </r>
  <r>
    <x v="8"/>
    <x v="9"/>
    <x v="12"/>
    <n v="96.522000000000006"/>
    <n v="91.099000000000004"/>
    <n v="97"/>
    <n v="94.049499999999995"/>
    <n v="590.1"/>
  </r>
  <r>
    <x v="8"/>
    <x v="9"/>
    <x v="12"/>
    <n v="96.522000000000006"/>
    <n v="91.099000000000004"/>
    <n v="97"/>
    <n v="94.049499999999995"/>
    <n v="590.1"/>
  </r>
  <r>
    <x v="8"/>
    <x v="9"/>
    <x v="12"/>
    <n v="96.522000000000006"/>
    <n v="91.099000000000004"/>
    <n v="97"/>
    <n v="94.049499999999995"/>
    <n v="590.1"/>
  </r>
  <r>
    <x v="8"/>
    <x v="9"/>
    <x v="12"/>
    <n v="96.522000000000006"/>
    <n v="91.099000000000004"/>
    <n v="97"/>
    <n v="94.049499999999995"/>
    <n v="590.1"/>
  </r>
  <r>
    <x v="8"/>
    <x v="9"/>
    <x v="12"/>
    <n v="96.522000000000006"/>
    <n v="91.099000000000004"/>
    <n v="97"/>
    <n v="94.049499999999995"/>
    <n v="590.1"/>
  </r>
  <r>
    <x v="8"/>
    <x v="9"/>
    <x v="12"/>
    <n v="96.522000000000006"/>
    <n v="91.099000000000004"/>
    <n v="97"/>
    <n v="94.049499999999995"/>
    <n v="590.1"/>
  </r>
  <r>
    <x v="8"/>
    <x v="9"/>
    <x v="12"/>
    <n v="96.522000000000006"/>
    <n v="91.099000000000004"/>
    <n v="97"/>
    <n v="94.049499999999995"/>
    <n v="590.1"/>
  </r>
  <r>
    <x v="8"/>
    <x v="9"/>
    <x v="12"/>
    <n v="96.522000000000006"/>
    <n v="91.099000000000004"/>
    <n v="97"/>
    <n v="94.049499999999995"/>
    <n v="590.1"/>
  </r>
  <r>
    <x v="8"/>
    <x v="9"/>
    <x v="12"/>
    <n v="96.522000000000006"/>
    <n v="91.099000000000004"/>
    <n v="97"/>
    <n v="94.049499999999995"/>
    <n v="590.1"/>
  </r>
  <r>
    <x v="8"/>
    <x v="9"/>
    <x v="12"/>
    <n v="96.522000000000006"/>
    <n v="91.099000000000004"/>
    <n v="97"/>
    <n v="94.049499999999995"/>
    <n v="590.1"/>
  </r>
  <r>
    <x v="8"/>
    <x v="9"/>
    <x v="12"/>
    <n v="96.522000000000006"/>
    <n v="91.099000000000004"/>
    <n v="97"/>
    <n v="94.049499999999995"/>
    <n v="590.1"/>
  </r>
  <r>
    <x v="8"/>
    <x v="9"/>
    <x v="12"/>
    <n v="96.522000000000006"/>
    <n v="91.099000000000004"/>
    <n v="97"/>
    <n v="94.049499999999995"/>
    <n v="590.1"/>
  </r>
  <r>
    <x v="8"/>
    <x v="9"/>
    <x v="12"/>
    <n v="96.522000000000006"/>
    <n v="91.099000000000004"/>
    <n v="97"/>
    <n v="94.049499999999995"/>
    <n v="590.1"/>
  </r>
  <r>
    <x v="8"/>
    <x v="9"/>
    <x v="12"/>
    <n v="96.522000000000006"/>
    <n v="91.099000000000004"/>
    <n v="97"/>
    <n v="94.049499999999995"/>
    <n v="590.1"/>
  </r>
  <r>
    <x v="8"/>
    <x v="9"/>
    <x v="12"/>
    <n v="96.522000000000006"/>
    <n v="91.099000000000004"/>
    <n v="97"/>
    <n v="94.049499999999995"/>
    <n v="590.1"/>
  </r>
  <r>
    <x v="8"/>
    <x v="9"/>
    <x v="12"/>
    <n v="96.522000000000006"/>
    <n v="91.099000000000004"/>
    <n v="97"/>
    <n v="94.049499999999995"/>
    <n v="590.1"/>
  </r>
  <r>
    <x v="8"/>
    <x v="9"/>
    <x v="12"/>
    <n v="96.522000000000006"/>
    <n v="91.099000000000004"/>
    <n v="97"/>
    <n v="94.049499999999995"/>
    <n v="590.1"/>
  </r>
  <r>
    <x v="8"/>
    <x v="9"/>
    <x v="12"/>
    <n v="96.522000000000006"/>
    <n v="91.099000000000004"/>
    <n v="97"/>
    <n v="94.049499999999995"/>
    <n v="590.1"/>
  </r>
  <r>
    <x v="8"/>
    <x v="9"/>
    <x v="3"/>
    <n v="1.2949900000000001"/>
    <n v="1.29199"/>
    <n v="1.39151"/>
    <n v="1.34175"/>
    <n v="995.2"/>
  </r>
  <r>
    <x v="8"/>
    <x v="9"/>
    <x v="3"/>
    <n v="1.2949900000000001"/>
    <n v="1.29199"/>
    <n v="1.39151"/>
    <n v="1.34175"/>
    <n v="995.2"/>
  </r>
  <r>
    <x v="8"/>
    <x v="9"/>
    <x v="3"/>
    <n v="1.2949900000000001"/>
    <n v="1.29199"/>
    <n v="1.39151"/>
    <n v="1.34175"/>
    <n v="995.2"/>
  </r>
  <r>
    <x v="8"/>
    <x v="9"/>
    <x v="3"/>
    <n v="1.2949900000000001"/>
    <n v="1.29199"/>
    <n v="1.39151"/>
    <n v="1.34175"/>
    <n v="995.2"/>
  </r>
  <r>
    <x v="8"/>
    <x v="9"/>
    <x v="3"/>
    <n v="1.2949900000000001"/>
    <n v="1.29199"/>
    <n v="1.39151"/>
    <n v="1.34175"/>
    <n v="995.2"/>
  </r>
  <r>
    <x v="8"/>
    <x v="9"/>
    <x v="3"/>
    <n v="1.2949900000000001"/>
    <n v="1.29199"/>
    <n v="1.39151"/>
    <n v="1.34175"/>
    <n v="995.2"/>
  </r>
  <r>
    <x v="8"/>
    <x v="9"/>
    <x v="3"/>
    <n v="1.2949900000000001"/>
    <n v="1.29199"/>
    <n v="1.39151"/>
    <n v="1.34175"/>
    <n v="995.2"/>
  </r>
  <r>
    <x v="8"/>
    <x v="9"/>
    <x v="3"/>
    <n v="1.2949900000000001"/>
    <n v="1.29199"/>
    <n v="1.39151"/>
    <n v="1.34175"/>
    <n v="995.2"/>
  </r>
  <r>
    <x v="8"/>
    <x v="9"/>
    <x v="3"/>
    <n v="1.2949900000000001"/>
    <n v="1.29199"/>
    <n v="1.39151"/>
    <n v="1.34175"/>
    <n v="995.2"/>
  </r>
  <r>
    <x v="8"/>
    <x v="9"/>
    <x v="3"/>
    <n v="1.2949900000000001"/>
    <n v="1.29199"/>
    <n v="1.39151"/>
    <n v="1.34175"/>
    <n v="995.2"/>
  </r>
  <r>
    <x v="8"/>
    <x v="9"/>
    <x v="3"/>
    <n v="1.2949900000000001"/>
    <n v="1.29199"/>
    <n v="1.39151"/>
    <n v="1.34175"/>
    <n v="995.2"/>
  </r>
  <r>
    <x v="8"/>
    <x v="9"/>
    <x v="3"/>
    <n v="1.2949900000000001"/>
    <n v="1.29199"/>
    <n v="1.39151"/>
    <n v="1.34175"/>
    <n v="995.2"/>
  </r>
  <r>
    <x v="8"/>
    <x v="9"/>
    <x v="3"/>
    <n v="1.2949900000000001"/>
    <n v="1.29199"/>
    <n v="1.39151"/>
    <n v="1.34175"/>
    <n v="995.2"/>
  </r>
  <r>
    <x v="8"/>
    <x v="9"/>
    <x v="3"/>
    <n v="1.2949900000000001"/>
    <n v="1.29199"/>
    <n v="1.39151"/>
    <n v="1.34175"/>
    <n v="995.2"/>
  </r>
  <r>
    <x v="8"/>
    <x v="9"/>
    <x v="3"/>
    <n v="1.2949900000000001"/>
    <n v="1.29199"/>
    <n v="1.39151"/>
    <n v="1.34175"/>
    <n v="995.2"/>
  </r>
  <r>
    <x v="8"/>
    <x v="9"/>
    <x v="3"/>
    <n v="1.2949900000000001"/>
    <n v="1.29199"/>
    <n v="1.39151"/>
    <n v="1.34175"/>
    <n v="995.2"/>
  </r>
  <r>
    <x v="8"/>
    <x v="9"/>
    <x v="3"/>
    <n v="1.2949900000000001"/>
    <n v="1.29199"/>
    <n v="1.39151"/>
    <n v="1.34175"/>
    <n v="995.2"/>
  </r>
  <r>
    <x v="8"/>
    <x v="9"/>
    <x v="3"/>
    <n v="1.2949900000000001"/>
    <n v="1.29199"/>
    <n v="1.39151"/>
    <n v="1.34175"/>
    <n v="995.2"/>
  </r>
  <r>
    <x v="8"/>
    <x v="9"/>
    <x v="3"/>
    <n v="1.2949900000000001"/>
    <n v="1.29199"/>
    <n v="1.39151"/>
    <n v="1.34175"/>
    <n v="995.2"/>
  </r>
  <r>
    <x v="8"/>
    <x v="9"/>
    <x v="3"/>
    <n v="1.2949900000000001"/>
    <n v="1.29199"/>
    <n v="1.39151"/>
    <n v="1.34175"/>
    <n v="995.2"/>
  </r>
  <r>
    <x v="8"/>
    <x v="9"/>
    <x v="3"/>
    <n v="1.2949900000000001"/>
    <n v="1.29199"/>
    <n v="1.39151"/>
    <n v="1.34175"/>
    <n v="995.2"/>
  </r>
  <r>
    <x v="8"/>
    <x v="9"/>
    <x v="3"/>
    <n v="1.2949900000000001"/>
    <n v="1.29199"/>
    <n v="1.39151"/>
    <n v="1.34175"/>
    <n v="995.2"/>
  </r>
  <r>
    <x v="8"/>
    <x v="9"/>
    <x v="3"/>
    <n v="1.2949900000000001"/>
    <n v="1.29199"/>
    <n v="1.39151"/>
    <n v="1.34175"/>
    <n v="995.2"/>
  </r>
  <r>
    <x v="8"/>
    <x v="9"/>
    <x v="3"/>
    <n v="1.2949900000000001"/>
    <n v="1.29199"/>
    <n v="1.39151"/>
    <n v="1.34175"/>
    <n v="995.2"/>
  </r>
  <r>
    <x v="8"/>
    <x v="9"/>
    <x v="3"/>
    <n v="1.2949900000000001"/>
    <n v="1.29199"/>
    <n v="1.39151"/>
    <n v="1.34175"/>
    <n v="995.2"/>
  </r>
  <r>
    <x v="8"/>
    <x v="9"/>
    <x v="3"/>
    <n v="1.2949900000000001"/>
    <n v="1.29199"/>
    <n v="1.39151"/>
    <n v="1.34175"/>
    <n v="995.2"/>
  </r>
  <r>
    <x v="8"/>
    <x v="9"/>
    <x v="3"/>
    <n v="1.2949900000000001"/>
    <n v="1.29199"/>
    <n v="1.39151"/>
    <n v="1.34175"/>
    <n v="995.2"/>
  </r>
  <r>
    <x v="8"/>
    <x v="9"/>
    <x v="3"/>
    <n v="1.2949900000000001"/>
    <n v="1.29199"/>
    <n v="1.39151"/>
    <n v="1.34175"/>
    <n v="995.2"/>
  </r>
  <r>
    <x v="8"/>
    <x v="9"/>
    <x v="3"/>
    <n v="1.2949900000000001"/>
    <n v="1.29199"/>
    <n v="1.39151"/>
    <n v="1.34175"/>
    <n v="995.2"/>
  </r>
  <r>
    <x v="8"/>
    <x v="9"/>
    <x v="3"/>
    <n v="1.2949900000000001"/>
    <n v="1.29199"/>
    <n v="1.39151"/>
    <n v="1.34175"/>
    <n v="995.2"/>
  </r>
  <r>
    <x v="8"/>
    <x v="9"/>
    <x v="0"/>
    <n v="1.9586699999999999"/>
    <n v="1.9189400000000001"/>
    <n v="2.0350999999999999"/>
    <n v="1.97702"/>
    <n v="1161.5999999999999"/>
  </r>
  <r>
    <x v="8"/>
    <x v="9"/>
    <x v="0"/>
    <n v="1.9586699999999999"/>
    <n v="1.9189400000000001"/>
    <n v="2.0350999999999999"/>
    <n v="1.97702"/>
    <n v="1161.5999999999999"/>
  </r>
  <r>
    <x v="8"/>
    <x v="9"/>
    <x v="0"/>
    <n v="1.9586699999999999"/>
    <n v="1.9189400000000001"/>
    <n v="2.0350999999999999"/>
    <n v="1.97702"/>
    <n v="1161.5999999999999"/>
  </r>
  <r>
    <x v="8"/>
    <x v="9"/>
    <x v="0"/>
    <n v="1.9586699999999999"/>
    <n v="1.9189400000000001"/>
    <n v="2.0350999999999999"/>
    <n v="1.97702"/>
    <n v="1161.5999999999999"/>
  </r>
  <r>
    <x v="8"/>
    <x v="9"/>
    <x v="0"/>
    <n v="1.9586699999999999"/>
    <n v="1.9189400000000001"/>
    <n v="2.0350999999999999"/>
    <n v="1.97702"/>
    <n v="1161.5999999999999"/>
  </r>
  <r>
    <x v="8"/>
    <x v="9"/>
    <x v="0"/>
    <n v="1.9586699999999999"/>
    <n v="1.9189400000000001"/>
    <n v="2.0350999999999999"/>
    <n v="1.97702"/>
    <n v="1161.5999999999999"/>
  </r>
  <r>
    <x v="8"/>
    <x v="9"/>
    <x v="0"/>
    <n v="1.9586699999999999"/>
    <n v="1.9189400000000001"/>
    <n v="2.0350999999999999"/>
    <n v="1.97702"/>
    <n v="1161.5999999999999"/>
  </r>
  <r>
    <x v="8"/>
    <x v="9"/>
    <x v="0"/>
    <n v="1.9586699999999999"/>
    <n v="1.9189400000000001"/>
    <n v="2.0350999999999999"/>
    <n v="1.97702"/>
    <n v="1161.5999999999999"/>
  </r>
  <r>
    <x v="8"/>
    <x v="9"/>
    <x v="0"/>
    <n v="1.9586699999999999"/>
    <n v="1.9189400000000001"/>
    <n v="2.0350999999999999"/>
    <n v="1.97702"/>
    <n v="1161.5999999999999"/>
  </r>
  <r>
    <x v="8"/>
    <x v="9"/>
    <x v="0"/>
    <n v="1.9586699999999999"/>
    <n v="1.9189400000000001"/>
    <n v="2.0350999999999999"/>
    <n v="1.97702"/>
    <n v="1161.5999999999999"/>
  </r>
  <r>
    <x v="8"/>
    <x v="10"/>
    <x v="0"/>
    <n v="1.9958499999999999"/>
    <n v="1.9189400000000001"/>
    <n v="2.0350999999999999"/>
    <n v="1.97702"/>
    <n v="1161.5999999999999"/>
  </r>
  <r>
    <x v="8"/>
    <x v="10"/>
    <x v="0"/>
    <n v="1.9958499999999999"/>
    <n v="1.9189400000000001"/>
    <n v="2.0350999999999999"/>
    <n v="1.97702"/>
    <n v="1161.5999999999999"/>
  </r>
  <r>
    <x v="8"/>
    <x v="10"/>
    <x v="0"/>
    <n v="1.9958499999999999"/>
    <n v="1.9189400000000001"/>
    <n v="2.0350999999999999"/>
    <n v="1.97702"/>
    <n v="1161.5999999999999"/>
  </r>
  <r>
    <x v="8"/>
    <x v="10"/>
    <x v="0"/>
    <n v="1.9958499999999999"/>
    <n v="1.9189400000000001"/>
    <n v="2.0350999999999999"/>
    <n v="1.97702"/>
    <n v="1161.5999999999999"/>
  </r>
  <r>
    <x v="8"/>
    <x v="10"/>
    <x v="0"/>
    <n v="1.9958499999999999"/>
    <n v="1.9189400000000001"/>
    <n v="2.0350999999999999"/>
    <n v="1.97702"/>
    <n v="1161.5999999999999"/>
  </r>
  <r>
    <x v="8"/>
    <x v="10"/>
    <x v="0"/>
    <n v="1.9958499999999999"/>
    <n v="1.9189400000000001"/>
    <n v="2.0350999999999999"/>
    <n v="1.97702"/>
    <n v="1161.5999999999999"/>
  </r>
  <r>
    <x v="8"/>
    <x v="10"/>
    <x v="0"/>
    <n v="1.9958499999999999"/>
    <n v="1.9189400000000001"/>
    <n v="2.0350999999999999"/>
    <n v="1.97702"/>
    <n v="1161.5999999999999"/>
  </r>
  <r>
    <x v="8"/>
    <x v="10"/>
    <x v="0"/>
    <n v="1.9958499999999999"/>
    <n v="1.9189400000000001"/>
    <n v="2.0350999999999999"/>
    <n v="1.97702"/>
    <n v="1161.5999999999999"/>
  </r>
  <r>
    <x v="8"/>
    <x v="10"/>
    <x v="0"/>
    <n v="1.9958499999999999"/>
    <n v="1.9189400000000001"/>
    <n v="2.0350999999999999"/>
    <n v="1.97702"/>
    <n v="1161.5999999999999"/>
  </r>
  <r>
    <x v="8"/>
    <x v="10"/>
    <x v="0"/>
    <n v="1.9958499999999999"/>
    <n v="1.9189400000000001"/>
    <n v="2.0350999999999999"/>
    <n v="1.97702"/>
    <n v="1161.5999999999999"/>
  </r>
  <r>
    <x v="8"/>
    <x v="10"/>
    <x v="0"/>
    <n v="1.9958499999999999"/>
    <n v="1.9189400000000001"/>
    <n v="2.0350999999999999"/>
    <n v="1.97702"/>
    <n v="1161.5999999999999"/>
  </r>
  <r>
    <x v="8"/>
    <x v="10"/>
    <x v="0"/>
    <n v="1.9958499999999999"/>
    <n v="1.9189400000000001"/>
    <n v="2.0350999999999999"/>
    <n v="1.97702"/>
    <n v="1161.5999999999999"/>
  </r>
  <r>
    <x v="8"/>
    <x v="10"/>
    <x v="0"/>
    <n v="1.9958499999999999"/>
    <n v="1.9189400000000001"/>
    <n v="2.0350999999999999"/>
    <n v="1.97702"/>
    <n v="1161.5999999999999"/>
  </r>
  <r>
    <x v="8"/>
    <x v="10"/>
    <x v="0"/>
    <n v="1.9958499999999999"/>
    <n v="1.9189400000000001"/>
    <n v="2.0350999999999999"/>
    <n v="1.97702"/>
    <n v="1161.5999999999999"/>
  </r>
  <r>
    <x v="8"/>
    <x v="10"/>
    <x v="0"/>
    <n v="1.9958499999999999"/>
    <n v="1.9189400000000001"/>
    <n v="2.0350999999999999"/>
    <n v="1.97702"/>
    <n v="1161.5999999999999"/>
  </r>
  <r>
    <x v="8"/>
    <x v="10"/>
    <x v="0"/>
    <n v="1.9958499999999999"/>
    <n v="1.9189400000000001"/>
    <n v="2.0350999999999999"/>
    <n v="1.97702"/>
    <n v="1161.5999999999999"/>
  </r>
  <r>
    <x v="8"/>
    <x v="10"/>
    <x v="0"/>
    <n v="1.9958499999999999"/>
    <n v="1.9189400000000001"/>
    <n v="2.0350999999999999"/>
    <n v="1.97702"/>
    <n v="1161.5999999999999"/>
  </r>
  <r>
    <x v="8"/>
    <x v="10"/>
    <x v="12"/>
    <n v="96.721999999999994"/>
    <n v="91.099000000000004"/>
    <n v="97.608999999999995"/>
    <n v="94.353999999999999"/>
    <n v="651"/>
  </r>
  <r>
    <x v="8"/>
    <x v="10"/>
    <x v="12"/>
    <n v="96.721999999999994"/>
    <n v="91.099000000000004"/>
    <n v="97.608999999999995"/>
    <n v="94.353999999999999"/>
    <n v="651"/>
  </r>
  <r>
    <x v="8"/>
    <x v="10"/>
    <x v="12"/>
    <n v="96.721999999999994"/>
    <n v="91.099000000000004"/>
    <n v="97.608999999999995"/>
    <n v="94.353999999999999"/>
    <n v="651"/>
  </r>
  <r>
    <x v="8"/>
    <x v="10"/>
    <x v="12"/>
    <n v="96.721999999999994"/>
    <n v="91.099000000000004"/>
    <n v="97.608999999999995"/>
    <n v="94.353999999999999"/>
    <n v="651"/>
  </r>
  <r>
    <x v="8"/>
    <x v="10"/>
    <x v="12"/>
    <n v="96.721999999999994"/>
    <n v="91.099000000000004"/>
    <n v="97.608999999999995"/>
    <n v="94.353999999999999"/>
    <n v="651"/>
  </r>
  <r>
    <x v="8"/>
    <x v="10"/>
    <x v="12"/>
    <n v="96.721999999999994"/>
    <n v="91.099000000000004"/>
    <n v="97.608999999999995"/>
    <n v="94.353999999999999"/>
    <n v="651"/>
  </r>
  <r>
    <x v="8"/>
    <x v="10"/>
    <x v="12"/>
    <n v="96.721999999999994"/>
    <n v="91.099000000000004"/>
    <n v="97.608999999999995"/>
    <n v="94.353999999999999"/>
    <n v="651"/>
  </r>
  <r>
    <x v="8"/>
    <x v="10"/>
    <x v="12"/>
    <n v="96.721999999999994"/>
    <n v="91.099000000000004"/>
    <n v="97.608999999999995"/>
    <n v="94.353999999999999"/>
    <n v="651"/>
  </r>
  <r>
    <x v="8"/>
    <x v="10"/>
    <x v="12"/>
    <n v="96.721999999999994"/>
    <n v="91.099000000000004"/>
    <n v="97.608999999999995"/>
    <n v="94.353999999999999"/>
    <n v="651"/>
  </r>
  <r>
    <x v="8"/>
    <x v="10"/>
    <x v="12"/>
    <n v="96.721999999999994"/>
    <n v="91.099000000000004"/>
    <n v="97.608999999999995"/>
    <n v="94.353999999999999"/>
    <n v="651"/>
  </r>
  <r>
    <x v="8"/>
    <x v="10"/>
    <x v="12"/>
    <n v="96.721999999999994"/>
    <n v="91.099000000000004"/>
    <n v="97.608999999999995"/>
    <n v="94.353999999999999"/>
    <n v="651"/>
  </r>
  <r>
    <x v="8"/>
    <x v="10"/>
    <x v="12"/>
    <n v="96.721999999999994"/>
    <n v="91.099000000000004"/>
    <n v="97.608999999999995"/>
    <n v="94.353999999999999"/>
    <n v="651"/>
  </r>
  <r>
    <x v="8"/>
    <x v="10"/>
    <x v="12"/>
    <n v="96.721999999999994"/>
    <n v="91.099000000000004"/>
    <n v="97.608999999999995"/>
    <n v="94.353999999999999"/>
    <n v="651"/>
  </r>
  <r>
    <x v="8"/>
    <x v="10"/>
    <x v="12"/>
    <n v="96.721999999999994"/>
    <n v="91.099000000000004"/>
    <n v="97.608999999999995"/>
    <n v="94.353999999999999"/>
    <n v="651"/>
  </r>
  <r>
    <x v="8"/>
    <x v="10"/>
    <x v="12"/>
    <n v="96.721999999999994"/>
    <n v="91.099000000000004"/>
    <n v="97.608999999999995"/>
    <n v="94.353999999999999"/>
    <n v="651"/>
  </r>
  <r>
    <x v="8"/>
    <x v="10"/>
    <x v="12"/>
    <n v="96.721999999999994"/>
    <n v="91.099000000000004"/>
    <n v="97.608999999999995"/>
    <n v="94.353999999999999"/>
    <n v="651"/>
  </r>
  <r>
    <x v="8"/>
    <x v="10"/>
    <x v="12"/>
    <n v="96.721999999999994"/>
    <n v="91.099000000000004"/>
    <n v="97.608999999999995"/>
    <n v="94.353999999999999"/>
    <n v="651"/>
  </r>
  <r>
    <x v="8"/>
    <x v="10"/>
    <x v="12"/>
    <n v="96.721999999999994"/>
    <n v="91.099000000000004"/>
    <n v="97.608999999999995"/>
    <n v="94.353999999999999"/>
    <n v="651"/>
  </r>
  <r>
    <x v="8"/>
    <x v="10"/>
    <x v="12"/>
    <n v="96.721999999999994"/>
    <n v="91.099000000000004"/>
    <n v="97.608999999999995"/>
    <n v="94.353999999999999"/>
    <n v="651"/>
  </r>
  <r>
    <x v="8"/>
    <x v="10"/>
    <x v="12"/>
    <n v="96.721999999999994"/>
    <n v="91.099000000000004"/>
    <n v="97.608999999999995"/>
    <n v="94.353999999999999"/>
    <n v="651"/>
  </r>
  <r>
    <x v="8"/>
    <x v="10"/>
    <x v="12"/>
    <n v="96.721999999999994"/>
    <n v="91.099000000000004"/>
    <n v="97.608999999999995"/>
    <n v="94.353999999999999"/>
    <n v="651"/>
  </r>
  <r>
    <x v="8"/>
    <x v="10"/>
    <x v="12"/>
    <n v="96.721999999999994"/>
    <n v="91.099000000000004"/>
    <n v="97.608999999999995"/>
    <n v="94.353999999999999"/>
    <n v="651"/>
  </r>
  <r>
    <x v="8"/>
    <x v="10"/>
    <x v="12"/>
    <n v="96.721999999999994"/>
    <n v="91.099000000000004"/>
    <n v="97.608999999999995"/>
    <n v="94.353999999999999"/>
    <n v="651"/>
  </r>
  <r>
    <x v="8"/>
    <x v="10"/>
    <x v="12"/>
    <n v="96.721999999999994"/>
    <n v="91.099000000000004"/>
    <n v="97.608999999999995"/>
    <n v="94.353999999999999"/>
    <n v="651"/>
  </r>
  <r>
    <x v="8"/>
    <x v="10"/>
    <x v="12"/>
    <n v="96.721999999999994"/>
    <n v="91.099000000000004"/>
    <n v="97.608999999999995"/>
    <n v="94.353999999999999"/>
    <n v="651"/>
  </r>
  <r>
    <x v="8"/>
    <x v="10"/>
    <x v="12"/>
    <n v="96.721999999999994"/>
    <n v="91.099000000000004"/>
    <n v="97.608999999999995"/>
    <n v="94.353999999999999"/>
    <n v="651"/>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3"/>
    <n v="1.2962499999999999"/>
    <n v="1.28596"/>
    <n v="1.39151"/>
    <n v="1.338735"/>
    <n v="1055.5"/>
  </r>
  <r>
    <x v="8"/>
    <x v="10"/>
    <x v="0"/>
    <n v="1.9958499999999999"/>
    <n v="1.9189400000000001"/>
    <n v="2.0350999999999999"/>
    <n v="1.97702"/>
    <n v="1161.5999999999999"/>
  </r>
  <r>
    <x v="8"/>
    <x v="10"/>
    <x v="0"/>
    <n v="1.9958499999999999"/>
    <n v="1.9189400000000001"/>
    <n v="2.0350999999999999"/>
    <n v="1.97702"/>
    <n v="1161.5999999999999"/>
  </r>
  <r>
    <x v="8"/>
    <x v="10"/>
    <x v="0"/>
    <n v="1.9958499999999999"/>
    <n v="1.9189400000000001"/>
    <n v="2.0350999999999999"/>
    <n v="1.97702"/>
    <n v="1161.5999999999999"/>
  </r>
  <r>
    <x v="8"/>
    <x v="10"/>
    <x v="0"/>
    <n v="1.9958499999999999"/>
    <n v="1.9189400000000001"/>
    <n v="2.0350999999999999"/>
    <n v="1.97702"/>
    <n v="1161.5999999999999"/>
  </r>
  <r>
    <x v="8"/>
    <x v="10"/>
    <x v="0"/>
    <n v="1.9958499999999999"/>
    <n v="1.9189400000000001"/>
    <n v="2.0350999999999999"/>
    <n v="1.97702"/>
    <n v="1161.5999999999999"/>
  </r>
  <r>
    <x v="8"/>
    <x v="10"/>
    <x v="0"/>
    <n v="1.9958499999999999"/>
    <n v="1.9189400000000001"/>
    <n v="2.0350999999999999"/>
    <n v="1.97702"/>
    <n v="1161.5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0"/>
    <n v="2.00278"/>
    <n v="1.9189400000000001"/>
    <n v="2.0350999999999999"/>
    <n v="1.97702"/>
    <n v="1161.5999999999999"/>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12"/>
    <n v="99.394999999999996"/>
    <n v="91.099000000000004"/>
    <n v="99.807000000000002"/>
    <n v="95.453000000000003"/>
    <n v="870.8"/>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1"/>
    <x v="3"/>
    <n v="1.2827200000000001"/>
    <n v="1.2829999999999999"/>
    <n v="1.39151"/>
    <n v="1.3372550000000001"/>
    <n v="108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0"/>
    <n v="2.0630500000000001"/>
    <n v="1.9189400000000001"/>
    <n v="2.04603"/>
    <n v="1.9824850000000001"/>
    <n v="1270.9000000000001"/>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12"/>
    <n v="97.903000000000006"/>
    <n v="91.099000000000004"/>
    <n v="99.807000000000002"/>
    <n v="95.453000000000003"/>
    <n v="870.8"/>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2"/>
    <x v="3"/>
    <n v="1.26816"/>
    <n v="1.2769999999999999"/>
    <n v="1.39151"/>
    <n v="1.334255"/>
    <n v="1145.0999999999999"/>
  </r>
  <r>
    <x v="8"/>
    <x v="13"/>
    <x v="3"/>
    <n v="1.2514000000000001"/>
    <n v="1.2681100000000001"/>
    <n v="1.39151"/>
    <n v="1.3298099999999999"/>
    <n v="1234"/>
  </r>
  <r>
    <x v="8"/>
    <x v="13"/>
    <x v="3"/>
    <n v="1.2514000000000001"/>
    <n v="1.2681100000000001"/>
    <n v="1.39151"/>
    <n v="1.3298099999999999"/>
    <n v="1234"/>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0"/>
    <n v="2.0533700000000001"/>
    <n v="1.9189400000000001"/>
    <n v="2.0460799999999999"/>
    <n v="1.98251"/>
    <n v="1271.4000000000001"/>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12"/>
    <n v="97.572999999999993"/>
    <n v="91.099000000000004"/>
    <n v="99.807000000000002"/>
    <n v="95.453000000000003"/>
    <n v="870.8"/>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3"/>
    <x v="3"/>
    <n v="1.2514000000000001"/>
    <n v="1.2681100000000001"/>
    <n v="1.39151"/>
    <n v="1.3298099999999999"/>
    <n v="1234"/>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0"/>
    <n v="2.0558900000000002"/>
    <n v="1.9189400000000001"/>
    <n v="2.0579900000000002"/>
    <n v="1.9884649999999999"/>
    <n v="1390.5"/>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12"/>
    <n v="96.081999999999994"/>
    <n v="91.099000000000004"/>
    <n v="99.807000000000002"/>
    <n v="95.453000000000003"/>
    <n v="870.8"/>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4"/>
    <x v="3"/>
    <n v="1.26264"/>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0"/>
    <n v="2.0294599999999998"/>
    <n v="1.9189400000000001"/>
    <n v="2.0619200000000002"/>
    <n v="1.9904299999999999"/>
    <n v="1429.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12"/>
    <n v="94.754000000000005"/>
    <n v="91.099000000000004"/>
    <n v="99.807000000000002"/>
    <n v="95.453000000000003"/>
    <n v="870.8"/>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5"/>
    <x v="3"/>
    <n v="1.2758799999999999"/>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0"/>
    <n v="2.0467200000000001"/>
    <n v="1.9189400000000001"/>
    <n v="2.0619200000000002"/>
    <n v="1.9904299999999999"/>
    <n v="1429.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12"/>
    <n v="96.266000000000005"/>
    <n v="91.099000000000004"/>
    <n v="99.807000000000002"/>
    <n v="95.453000000000003"/>
    <n v="870.8"/>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6"/>
    <x v="3"/>
    <n v="1.2668600000000001"/>
    <n v="1.262"/>
    <n v="1.39151"/>
    <n v="1.3267549999999999"/>
    <n v="1295.0999999999999"/>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0"/>
    <n v="2.0505"/>
    <n v="1.9189400000000001"/>
    <n v="2.0619200000000002"/>
    <n v="1.9904299999999999"/>
    <n v="1429.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12"/>
    <n v="99.656999999999996"/>
    <n v="91.099000000000004"/>
    <n v="99.807000000000002"/>
    <n v="95.453000000000003"/>
    <n v="870.8"/>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7"/>
    <x v="3"/>
    <n v="1.25222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0"/>
    <n v="2.04481"/>
    <n v="1.9189400000000001"/>
    <n v="2.0619200000000002"/>
    <n v="1.9904299999999999"/>
    <n v="1429.8"/>
  </r>
  <r>
    <x v="8"/>
    <x v="18"/>
    <x v="0"/>
    <n v="2.04481"/>
    <n v="1.9189400000000001"/>
    <n v="2.0619200000000002"/>
    <n v="1.9904299999999999"/>
    <n v="1429.8"/>
  </r>
  <r>
    <x v="8"/>
    <x v="18"/>
    <x v="0"/>
    <n v="2.04481"/>
    <n v="1.9189400000000001"/>
    <n v="2.0619200000000002"/>
    <n v="1.9904299999999999"/>
    <n v="1429.8"/>
  </r>
  <r>
    <x v="8"/>
    <x v="18"/>
    <x v="0"/>
    <n v="2.04481"/>
    <n v="1.9189400000000001"/>
    <n v="2.0619200000000002"/>
    <n v="1.9904299999999999"/>
    <n v="1429.8"/>
  </r>
  <r>
    <x v="8"/>
    <x v="18"/>
    <x v="0"/>
    <n v="2.04481"/>
    <n v="1.9189400000000001"/>
    <n v="2.0619200000000002"/>
    <n v="1.9904299999999999"/>
    <n v="1429.8"/>
  </r>
  <r>
    <x v="8"/>
    <x v="18"/>
    <x v="0"/>
    <n v="2.04481"/>
    <n v="1.9189400000000001"/>
    <n v="2.0619200000000002"/>
    <n v="1.9904299999999999"/>
    <n v="1429.8"/>
  </r>
  <r>
    <x v="8"/>
    <x v="18"/>
    <x v="0"/>
    <n v="2.04481"/>
    <n v="1.9189400000000001"/>
    <n v="2.0619200000000002"/>
    <n v="1.9904299999999999"/>
    <n v="1429.8"/>
  </r>
  <r>
    <x v="8"/>
    <x v="18"/>
    <x v="0"/>
    <n v="2.04481"/>
    <n v="1.9189400000000001"/>
    <n v="2.0619200000000002"/>
    <n v="1.9904299999999999"/>
    <n v="1429.8"/>
  </r>
  <r>
    <x v="8"/>
    <x v="18"/>
    <x v="0"/>
    <n v="2.04481"/>
    <n v="1.9189400000000001"/>
    <n v="2.0619200000000002"/>
    <n v="1.9904299999999999"/>
    <n v="1429.8"/>
  </r>
  <r>
    <x v="8"/>
    <x v="18"/>
    <x v="0"/>
    <n v="2.04481"/>
    <n v="1.9189400000000001"/>
    <n v="2.0619200000000002"/>
    <n v="1.9904299999999999"/>
    <n v="1429.8"/>
  </r>
  <r>
    <x v="8"/>
    <x v="18"/>
    <x v="0"/>
    <n v="2.04481"/>
    <n v="1.9189400000000001"/>
    <n v="2.0619200000000002"/>
    <n v="1.9904299999999999"/>
    <n v="1429.8"/>
  </r>
  <r>
    <x v="8"/>
    <x v="18"/>
    <x v="0"/>
    <n v="2.04481"/>
    <n v="1.9189400000000001"/>
    <n v="2.0619200000000002"/>
    <n v="1.9904299999999999"/>
    <n v="1429.8"/>
  </r>
  <r>
    <x v="8"/>
    <x v="18"/>
    <x v="0"/>
    <n v="2.04481"/>
    <n v="1.9189400000000001"/>
    <n v="2.0619200000000002"/>
    <n v="1.9904299999999999"/>
    <n v="1429.8"/>
  </r>
  <r>
    <x v="8"/>
    <x v="18"/>
    <x v="0"/>
    <n v="2.04481"/>
    <n v="1.9189400000000001"/>
    <n v="2.0619200000000002"/>
    <n v="1.9904299999999999"/>
    <n v="1429.8"/>
  </r>
  <r>
    <x v="8"/>
    <x v="18"/>
    <x v="0"/>
    <n v="2.04481"/>
    <n v="1.9189400000000001"/>
    <n v="2.0619200000000002"/>
    <n v="1.9904299999999999"/>
    <n v="1429.8"/>
  </r>
  <r>
    <x v="8"/>
    <x v="18"/>
    <x v="0"/>
    <n v="2.04481"/>
    <n v="1.9189400000000001"/>
    <n v="2.0619200000000002"/>
    <n v="1.9904299999999999"/>
    <n v="1429.8"/>
  </r>
  <r>
    <x v="8"/>
    <x v="18"/>
    <x v="0"/>
    <n v="2.04481"/>
    <n v="1.9189400000000001"/>
    <n v="2.0619200000000002"/>
    <n v="1.9904299999999999"/>
    <n v="1429.8"/>
  </r>
  <r>
    <x v="8"/>
    <x v="18"/>
    <x v="0"/>
    <n v="2.04481"/>
    <n v="1.9189400000000001"/>
    <n v="2.0619200000000002"/>
    <n v="1.9904299999999999"/>
    <n v="1429.8"/>
  </r>
  <r>
    <x v="8"/>
    <x v="18"/>
    <x v="0"/>
    <n v="2.04481"/>
    <n v="1.9189400000000001"/>
    <n v="2.0619200000000002"/>
    <n v="1.9904299999999999"/>
    <n v="1429.8"/>
  </r>
  <r>
    <x v="8"/>
    <x v="18"/>
    <x v="0"/>
    <n v="2.04481"/>
    <n v="1.9189400000000001"/>
    <n v="2.0619200000000002"/>
    <n v="1.9904299999999999"/>
    <n v="1429.8"/>
  </r>
  <r>
    <x v="8"/>
    <x v="18"/>
    <x v="0"/>
    <n v="2.04481"/>
    <n v="1.9189400000000001"/>
    <n v="2.0619200000000002"/>
    <n v="1.9904299999999999"/>
    <n v="1429.8"/>
  </r>
  <r>
    <x v="8"/>
    <x v="18"/>
    <x v="0"/>
    <n v="2.04481"/>
    <n v="1.9189400000000001"/>
    <n v="2.0619200000000002"/>
    <n v="1.9904299999999999"/>
    <n v="1429.8"/>
  </r>
  <r>
    <x v="8"/>
    <x v="18"/>
    <x v="0"/>
    <n v="2.04481"/>
    <n v="1.9189400000000001"/>
    <n v="2.0619200000000002"/>
    <n v="1.9904299999999999"/>
    <n v="1429.8"/>
  </r>
  <r>
    <x v="8"/>
    <x v="18"/>
    <x v="0"/>
    <n v="2.04481"/>
    <n v="1.9189400000000001"/>
    <n v="2.0619200000000002"/>
    <n v="1.9904299999999999"/>
    <n v="1429.8"/>
  </r>
  <r>
    <x v="8"/>
    <x v="18"/>
    <x v="0"/>
    <n v="2.04481"/>
    <n v="1.9189400000000001"/>
    <n v="2.0619200000000002"/>
    <n v="1.9904299999999999"/>
    <n v="1429.8"/>
  </r>
  <r>
    <x v="8"/>
    <x v="18"/>
    <x v="0"/>
    <n v="2.04481"/>
    <n v="1.9189400000000001"/>
    <n v="2.0619200000000002"/>
    <n v="1.9904299999999999"/>
    <n v="1429.8"/>
  </r>
  <r>
    <x v="8"/>
    <x v="18"/>
    <x v="0"/>
    <n v="2.04481"/>
    <n v="1.9189400000000001"/>
    <n v="2.0619200000000002"/>
    <n v="1.9904299999999999"/>
    <n v="1429.8"/>
  </r>
  <r>
    <x v="8"/>
    <x v="18"/>
    <x v="0"/>
    <n v="2.04481"/>
    <n v="1.9189400000000001"/>
    <n v="2.0619200000000002"/>
    <n v="1.9904299999999999"/>
    <n v="1429.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12"/>
    <n v="101.11"/>
    <n v="91.099000000000004"/>
    <n v="99.807000000000002"/>
    <n v="95.453000000000003"/>
    <n v="870.8"/>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8"/>
    <x v="3"/>
    <n v="1.2453700000000001"/>
    <n v="1.256"/>
    <n v="1.39151"/>
    <n v="1.323755"/>
    <n v="135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0"/>
    <n v="1.9801299999999999"/>
    <n v="1.9189400000000001"/>
    <n v="2.0619200000000002"/>
    <n v="1.9904299999999999"/>
    <n v="1429.8"/>
  </r>
  <r>
    <x v="8"/>
    <x v="19"/>
    <x v="0"/>
    <n v="1.9801299999999999"/>
    <n v="1.9189400000000001"/>
    <n v="2.0619200000000002"/>
    <n v="1.9904299999999999"/>
    <n v="1429.8"/>
  </r>
  <r>
    <x v="8"/>
    <x v="19"/>
    <x v="0"/>
    <n v="1.9801299999999999"/>
    <n v="1.9189400000000001"/>
    <n v="2.0619200000000002"/>
    <n v="1.9904299999999999"/>
    <n v="1429.8"/>
  </r>
  <r>
    <x v="8"/>
    <x v="19"/>
    <x v="0"/>
    <n v="1.9801299999999999"/>
    <n v="1.9189400000000001"/>
    <n v="2.0619200000000002"/>
    <n v="1.9904299999999999"/>
    <n v="1429.8"/>
  </r>
  <r>
    <x v="8"/>
    <x v="19"/>
    <x v="0"/>
    <n v="1.9801299999999999"/>
    <n v="1.9189400000000001"/>
    <n v="2.0619200000000002"/>
    <n v="1.9904299999999999"/>
    <n v="1429.8"/>
  </r>
  <r>
    <x v="8"/>
    <x v="19"/>
    <x v="0"/>
    <n v="1.9801299999999999"/>
    <n v="1.9189400000000001"/>
    <n v="2.0619200000000002"/>
    <n v="1.9904299999999999"/>
    <n v="1429.8"/>
  </r>
  <r>
    <x v="8"/>
    <x v="19"/>
    <x v="0"/>
    <n v="1.9801299999999999"/>
    <n v="1.9189400000000001"/>
    <n v="2.0619200000000002"/>
    <n v="1.9904299999999999"/>
    <n v="1429.8"/>
  </r>
  <r>
    <x v="8"/>
    <x v="19"/>
    <x v="0"/>
    <n v="1.9801299999999999"/>
    <n v="1.9189400000000001"/>
    <n v="2.0619200000000002"/>
    <n v="1.9904299999999999"/>
    <n v="1429.8"/>
  </r>
  <r>
    <x v="8"/>
    <x v="19"/>
    <x v="0"/>
    <n v="1.9801299999999999"/>
    <n v="1.9189400000000001"/>
    <n v="2.0619200000000002"/>
    <n v="1.9904299999999999"/>
    <n v="1429.8"/>
  </r>
  <r>
    <x v="8"/>
    <x v="19"/>
    <x v="0"/>
    <n v="1.9801299999999999"/>
    <n v="1.9189400000000001"/>
    <n v="2.0619200000000002"/>
    <n v="1.9904299999999999"/>
    <n v="1429.8"/>
  </r>
  <r>
    <x v="8"/>
    <x v="19"/>
    <x v="0"/>
    <n v="1.9801299999999999"/>
    <n v="1.9189400000000001"/>
    <n v="2.0619200000000002"/>
    <n v="1.9904299999999999"/>
    <n v="1429.8"/>
  </r>
  <r>
    <x v="8"/>
    <x v="19"/>
    <x v="0"/>
    <n v="1.9801299999999999"/>
    <n v="1.9189400000000001"/>
    <n v="2.0619200000000002"/>
    <n v="1.9904299999999999"/>
    <n v="1429.8"/>
  </r>
  <r>
    <x v="8"/>
    <x v="19"/>
    <x v="0"/>
    <n v="1.9801299999999999"/>
    <n v="1.9189400000000001"/>
    <n v="2.0619200000000002"/>
    <n v="1.9904299999999999"/>
    <n v="1429.8"/>
  </r>
  <r>
    <x v="8"/>
    <x v="19"/>
    <x v="0"/>
    <n v="1.9801299999999999"/>
    <n v="1.9189400000000001"/>
    <n v="2.0619200000000002"/>
    <n v="1.9904299999999999"/>
    <n v="1429.8"/>
  </r>
  <r>
    <x v="8"/>
    <x v="19"/>
    <x v="0"/>
    <n v="1.9801299999999999"/>
    <n v="1.9189400000000001"/>
    <n v="2.0619200000000002"/>
    <n v="1.9904299999999999"/>
    <n v="1429.8"/>
  </r>
  <r>
    <x v="8"/>
    <x v="19"/>
    <x v="0"/>
    <n v="1.9801299999999999"/>
    <n v="1.9189400000000001"/>
    <n v="2.0619200000000002"/>
    <n v="1.9904299999999999"/>
    <n v="1429.8"/>
  </r>
  <r>
    <x v="8"/>
    <x v="19"/>
    <x v="0"/>
    <n v="1.9801299999999999"/>
    <n v="1.9189400000000001"/>
    <n v="2.0619200000000002"/>
    <n v="1.9904299999999999"/>
    <n v="1429.8"/>
  </r>
  <r>
    <x v="8"/>
    <x v="19"/>
    <x v="0"/>
    <n v="1.9801299999999999"/>
    <n v="1.9189400000000001"/>
    <n v="2.0619200000000002"/>
    <n v="1.9904299999999999"/>
    <n v="1429.8"/>
  </r>
  <r>
    <x v="8"/>
    <x v="19"/>
    <x v="0"/>
    <n v="1.9801299999999999"/>
    <n v="1.9189400000000001"/>
    <n v="2.0619200000000002"/>
    <n v="1.9904299999999999"/>
    <n v="1429.8"/>
  </r>
  <r>
    <x v="8"/>
    <x v="19"/>
    <x v="0"/>
    <n v="1.9801299999999999"/>
    <n v="1.9189400000000001"/>
    <n v="2.0619200000000002"/>
    <n v="1.9904299999999999"/>
    <n v="1429.8"/>
  </r>
  <r>
    <x v="8"/>
    <x v="19"/>
    <x v="0"/>
    <n v="1.9801299999999999"/>
    <n v="1.9189400000000001"/>
    <n v="2.0619200000000002"/>
    <n v="1.9904299999999999"/>
    <n v="1429.8"/>
  </r>
  <r>
    <x v="8"/>
    <x v="19"/>
    <x v="0"/>
    <n v="1.9801299999999999"/>
    <n v="1.9189400000000001"/>
    <n v="2.0619200000000002"/>
    <n v="1.9904299999999999"/>
    <n v="1429.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12"/>
    <n v="102.98"/>
    <n v="91.099000000000004"/>
    <n v="99.807000000000002"/>
    <n v="95.453000000000003"/>
    <n v="870.8"/>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19"/>
    <x v="3"/>
    <n v="1.25244"/>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0"/>
    <n v="1.9839800000000001"/>
    <n v="1.9189400000000001"/>
    <n v="2.0619200000000002"/>
    <n v="1.9904299999999999"/>
    <n v="1429.8"/>
  </r>
  <r>
    <x v="8"/>
    <x v="20"/>
    <x v="0"/>
    <n v="1.9839800000000001"/>
    <n v="1.9189400000000001"/>
    <n v="2.0619200000000002"/>
    <n v="1.9904299999999999"/>
    <n v="1429.8"/>
  </r>
  <r>
    <x v="8"/>
    <x v="20"/>
    <x v="0"/>
    <n v="1.9839800000000001"/>
    <n v="1.9189400000000001"/>
    <n v="2.0619200000000002"/>
    <n v="1.9904299999999999"/>
    <n v="1429.8"/>
  </r>
  <r>
    <x v="8"/>
    <x v="20"/>
    <x v="0"/>
    <n v="1.9839800000000001"/>
    <n v="1.9189400000000001"/>
    <n v="2.0619200000000002"/>
    <n v="1.9904299999999999"/>
    <n v="1429.8"/>
  </r>
  <r>
    <x v="8"/>
    <x v="20"/>
    <x v="0"/>
    <n v="1.9839800000000001"/>
    <n v="1.9189400000000001"/>
    <n v="2.0619200000000002"/>
    <n v="1.9904299999999999"/>
    <n v="1429.8"/>
  </r>
  <r>
    <x v="8"/>
    <x v="20"/>
    <x v="0"/>
    <n v="1.9839800000000001"/>
    <n v="1.9189400000000001"/>
    <n v="2.0619200000000002"/>
    <n v="1.9904299999999999"/>
    <n v="1429.8"/>
  </r>
  <r>
    <x v="8"/>
    <x v="20"/>
    <x v="0"/>
    <n v="1.9839800000000001"/>
    <n v="1.9189400000000001"/>
    <n v="2.0619200000000002"/>
    <n v="1.9904299999999999"/>
    <n v="1429.8"/>
  </r>
  <r>
    <x v="8"/>
    <x v="20"/>
    <x v="0"/>
    <n v="1.9839800000000001"/>
    <n v="1.9189400000000001"/>
    <n v="2.0619200000000002"/>
    <n v="1.9904299999999999"/>
    <n v="1429.8"/>
  </r>
  <r>
    <x v="8"/>
    <x v="20"/>
    <x v="0"/>
    <n v="1.9839800000000001"/>
    <n v="1.9189400000000001"/>
    <n v="2.0619200000000002"/>
    <n v="1.9904299999999999"/>
    <n v="1429.8"/>
  </r>
  <r>
    <x v="8"/>
    <x v="20"/>
    <x v="0"/>
    <n v="1.9839800000000001"/>
    <n v="1.9189400000000001"/>
    <n v="2.0619200000000002"/>
    <n v="1.9904299999999999"/>
    <n v="1429.8"/>
  </r>
  <r>
    <x v="8"/>
    <x v="20"/>
    <x v="0"/>
    <n v="1.9839800000000001"/>
    <n v="1.9189400000000001"/>
    <n v="2.0619200000000002"/>
    <n v="1.9904299999999999"/>
    <n v="1429.8"/>
  </r>
  <r>
    <x v="8"/>
    <x v="20"/>
    <x v="0"/>
    <n v="1.9839800000000001"/>
    <n v="1.9189400000000001"/>
    <n v="2.0619200000000002"/>
    <n v="1.9904299999999999"/>
    <n v="1429.8"/>
  </r>
  <r>
    <x v="8"/>
    <x v="20"/>
    <x v="0"/>
    <n v="1.9839800000000001"/>
    <n v="1.9189400000000001"/>
    <n v="2.0619200000000002"/>
    <n v="1.9904299999999999"/>
    <n v="1429.8"/>
  </r>
  <r>
    <x v="8"/>
    <x v="20"/>
    <x v="0"/>
    <n v="1.9839800000000001"/>
    <n v="1.9189400000000001"/>
    <n v="2.0619200000000002"/>
    <n v="1.9904299999999999"/>
    <n v="1429.8"/>
  </r>
  <r>
    <x v="8"/>
    <x v="20"/>
    <x v="0"/>
    <n v="1.9839800000000001"/>
    <n v="1.9189400000000001"/>
    <n v="2.0619200000000002"/>
    <n v="1.9904299999999999"/>
    <n v="1429.8"/>
  </r>
  <r>
    <x v="8"/>
    <x v="20"/>
    <x v="0"/>
    <n v="1.9839800000000001"/>
    <n v="1.9189400000000001"/>
    <n v="2.0619200000000002"/>
    <n v="1.9904299999999999"/>
    <n v="1429.8"/>
  </r>
  <r>
    <x v="8"/>
    <x v="20"/>
    <x v="0"/>
    <n v="1.9839800000000001"/>
    <n v="1.9189400000000001"/>
    <n v="2.0619200000000002"/>
    <n v="1.9904299999999999"/>
    <n v="1429.8"/>
  </r>
  <r>
    <x v="8"/>
    <x v="20"/>
    <x v="0"/>
    <n v="1.9839800000000001"/>
    <n v="1.9189400000000001"/>
    <n v="2.0619200000000002"/>
    <n v="1.9904299999999999"/>
    <n v="1429.8"/>
  </r>
  <r>
    <x v="8"/>
    <x v="20"/>
    <x v="0"/>
    <n v="1.9839800000000001"/>
    <n v="1.9189400000000001"/>
    <n v="2.0619200000000002"/>
    <n v="1.9904299999999999"/>
    <n v="1429.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12"/>
    <n v="104.78400000000001"/>
    <n v="91.099000000000004"/>
    <n v="99.807000000000002"/>
    <n v="95.453000000000003"/>
    <n v="870.8"/>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0"/>
    <x v="3"/>
    <n v="1.2390099999999999"/>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0"/>
    <n v="1.99255"/>
    <n v="1.9189400000000001"/>
    <n v="2.0619200000000002"/>
    <n v="1.9904299999999999"/>
    <n v="1429.8"/>
  </r>
  <r>
    <x v="8"/>
    <x v="21"/>
    <x v="0"/>
    <n v="1.99255"/>
    <n v="1.9189400000000001"/>
    <n v="2.0619200000000002"/>
    <n v="1.9904299999999999"/>
    <n v="1429.8"/>
  </r>
  <r>
    <x v="8"/>
    <x v="21"/>
    <x v="0"/>
    <n v="1.99255"/>
    <n v="1.9189400000000001"/>
    <n v="2.0619200000000002"/>
    <n v="1.9904299999999999"/>
    <n v="1429.8"/>
  </r>
  <r>
    <x v="8"/>
    <x v="21"/>
    <x v="0"/>
    <n v="1.99255"/>
    <n v="1.9189400000000001"/>
    <n v="2.0619200000000002"/>
    <n v="1.9904299999999999"/>
    <n v="1429.8"/>
  </r>
  <r>
    <x v="8"/>
    <x v="21"/>
    <x v="0"/>
    <n v="1.99255"/>
    <n v="1.9189400000000001"/>
    <n v="2.0619200000000002"/>
    <n v="1.9904299999999999"/>
    <n v="1429.8"/>
  </r>
  <r>
    <x v="8"/>
    <x v="21"/>
    <x v="0"/>
    <n v="1.99255"/>
    <n v="1.9189400000000001"/>
    <n v="2.0619200000000002"/>
    <n v="1.9904299999999999"/>
    <n v="1429.8"/>
  </r>
  <r>
    <x v="8"/>
    <x v="21"/>
    <x v="0"/>
    <n v="1.99255"/>
    <n v="1.9189400000000001"/>
    <n v="2.0619200000000002"/>
    <n v="1.9904299999999999"/>
    <n v="1429.8"/>
  </r>
  <r>
    <x v="8"/>
    <x v="21"/>
    <x v="0"/>
    <n v="1.99255"/>
    <n v="1.9189400000000001"/>
    <n v="2.0619200000000002"/>
    <n v="1.9904299999999999"/>
    <n v="1429.8"/>
  </r>
  <r>
    <x v="8"/>
    <x v="21"/>
    <x v="0"/>
    <n v="1.99255"/>
    <n v="1.9189400000000001"/>
    <n v="2.0619200000000002"/>
    <n v="1.9904299999999999"/>
    <n v="1429.8"/>
  </r>
  <r>
    <x v="8"/>
    <x v="21"/>
    <x v="0"/>
    <n v="1.99255"/>
    <n v="1.9189400000000001"/>
    <n v="2.0619200000000002"/>
    <n v="1.9904299999999999"/>
    <n v="1429.8"/>
  </r>
  <r>
    <x v="8"/>
    <x v="21"/>
    <x v="0"/>
    <n v="1.99255"/>
    <n v="1.9189400000000001"/>
    <n v="2.0619200000000002"/>
    <n v="1.9904299999999999"/>
    <n v="1429.8"/>
  </r>
  <r>
    <x v="8"/>
    <x v="21"/>
    <x v="0"/>
    <n v="1.99255"/>
    <n v="1.9189400000000001"/>
    <n v="2.0619200000000002"/>
    <n v="1.9904299999999999"/>
    <n v="1429.8"/>
  </r>
  <r>
    <x v="8"/>
    <x v="21"/>
    <x v="0"/>
    <n v="1.99255"/>
    <n v="1.9189400000000001"/>
    <n v="2.0619200000000002"/>
    <n v="1.9904299999999999"/>
    <n v="1429.8"/>
  </r>
  <r>
    <x v="8"/>
    <x v="21"/>
    <x v="0"/>
    <n v="1.99255"/>
    <n v="1.9189400000000001"/>
    <n v="2.0619200000000002"/>
    <n v="1.9904299999999999"/>
    <n v="1429.8"/>
  </r>
  <r>
    <x v="8"/>
    <x v="21"/>
    <x v="0"/>
    <n v="1.99255"/>
    <n v="1.9189400000000001"/>
    <n v="2.0619200000000002"/>
    <n v="1.9904299999999999"/>
    <n v="1429.8"/>
  </r>
  <r>
    <x v="8"/>
    <x v="21"/>
    <x v="0"/>
    <n v="1.99255"/>
    <n v="1.9189400000000001"/>
    <n v="2.0619200000000002"/>
    <n v="1.9904299999999999"/>
    <n v="1429.8"/>
  </r>
  <r>
    <x v="8"/>
    <x v="21"/>
    <x v="0"/>
    <n v="1.99255"/>
    <n v="1.9189400000000001"/>
    <n v="2.0619200000000002"/>
    <n v="1.9904299999999999"/>
    <n v="1429.8"/>
  </r>
  <r>
    <x v="8"/>
    <x v="21"/>
    <x v="0"/>
    <n v="1.99255"/>
    <n v="1.9189400000000001"/>
    <n v="2.0619200000000002"/>
    <n v="1.9904299999999999"/>
    <n v="1429.8"/>
  </r>
  <r>
    <x v="8"/>
    <x v="21"/>
    <x v="0"/>
    <n v="1.99255"/>
    <n v="1.9189400000000001"/>
    <n v="2.0619200000000002"/>
    <n v="1.9904299999999999"/>
    <n v="1429.8"/>
  </r>
  <r>
    <x v="8"/>
    <x v="21"/>
    <x v="0"/>
    <n v="1.99255"/>
    <n v="1.9189400000000001"/>
    <n v="2.0619200000000002"/>
    <n v="1.9904299999999999"/>
    <n v="1429.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12"/>
    <n v="103.762"/>
    <n v="91.099000000000004"/>
    <n v="99.807000000000002"/>
    <n v="95.453000000000003"/>
    <n v="870.8"/>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1"/>
    <x v="3"/>
    <n v="1.24491"/>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0"/>
    <n v="2.0185"/>
    <n v="1.9189400000000001"/>
    <n v="2.0619200000000002"/>
    <n v="1.9904299999999999"/>
    <n v="1429.8"/>
  </r>
  <r>
    <x v="8"/>
    <x v="22"/>
    <x v="0"/>
    <n v="2.0185"/>
    <n v="1.9189400000000001"/>
    <n v="2.0619200000000002"/>
    <n v="1.9904299999999999"/>
    <n v="1429.8"/>
  </r>
  <r>
    <x v="8"/>
    <x v="22"/>
    <x v="0"/>
    <n v="2.0185"/>
    <n v="1.9189400000000001"/>
    <n v="2.0619200000000002"/>
    <n v="1.9904299999999999"/>
    <n v="1429.8"/>
  </r>
  <r>
    <x v="8"/>
    <x v="22"/>
    <x v="0"/>
    <n v="2.0185"/>
    <n v="1.9189400000000001"/>
    <n v="2.0619200000000002"/>
    <n v="1.9904299999999999"/>
    <n v="1429.8"/>
  </r>
  <r>
    <x v="8"/>
    <x v="22"/>
    <x v="0"/>
    <n v="2.0185"/>
    <n v="1.9189400000000001"/>
    <n v="2.0619200000000002"/>
    <n v="1.9904299999999999"/>
    <n v="1429.8"/>
  </r>
  <r>
    <x v="8"/>
    <x v="22"/>
    <x v="0"/>
    <n v="2.0185"/>
    <n v="1.9189400000000001"/>
    <n v="2.0619200000000002"/>
    <n v="1.9904299999999999"/>
    <n v="1429.8"/>
  </r>
  <r>
    <x v="8"/>
    <x v="22"/>
    <x v="0"/>
    <n v="2.0185"/>
    <n v="1.9189400000000001"/>
    <n v="2.0619200000000002"/>
    <n v="1.9904299999999999"/>
    <n v="1429.8"/>
  </r>
  <r>
    <x v="8"/>
    <x v="22"/>
    <x v="0"/>
    <n v="2.0185"/>
    <n v="1.9189400000000001"/>
    <n v="2.0619200000000002"/>
    <n v="1.9904299999999999"/>
    <n v="1429.8"/>
  </r>
  <r>
    <x v="8"/>
    <x v="22"/>
    <x v="0"/>
    <n v="2.0185"/>
    <n v="1.9189400000000001"/>
    <n v="2.0619200000000002"/>
    <n v="1.9904299999999999"/>
    <n v="1429.8"/>
  </r>
  <r>
    <x v="8"/>
    <x v="22"/>
    <x v="0"/>
    <n v="2.0185"/>
    <n v="1.9189400000000001"/>
    <n v="2.0619200000000002"/>
    <n v="1.9904299999999999"/>
    <n v="1429.8"/>
  </r>
  <r>
    <x v="8"/>
    <x v="22"/>
    <x v="0"/>
    <n v="2.0185"/>
    <n v="1.9189400000000001"/>
    <n v="2.0619200000000002"/>
    <n v="1.9904299999999999"/>
    <n v="1429.8"/>
  </r>
  <r>
    <x v="8"/>
    <x v="22"/>
    <x v="0"/>
    <n v="2.0185"/>
    <n v="1.9189400000000001"/>
    <n v="2.0619200000000002"/>
    <n v="1.9904299999999999"/>
    <n v="1429.8"/>
  </r>
  <r>
    <x v="8"/>
    <x v="22"/>
    <x v="0"/>
    <n v="2.0185"/>
    <n v="1.9189400000000001"/>
    <n v="2.0619200000000002"/>
    <n v="1.9904299999999999"/>
    <n v="1429.8"/>
  </r>
  <r>
    <x v="8"/>
    <x v="22"/>
    <x v="0"/>
    <n v="2.0185"/>
    <n v="1.9189400000000001"/>
    <n v="2.0619200000000002"/>
    <n v="1.9904299999999999"/>
    <n v="1429.8"/>
  </r>
  <r>
    <x v="8"/>
    <x v="22"/>
    <x v="0"/>
    <n v="2.0185"/>
    <n v="1.9189400000000001"/>
    <n v="2.0619200000000002"/>
    <n v="1.9904299999999999"/>
    <n v="1429.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12"/>
    <n v="106.188"/>
    <n v="91.099000000000004"/>
    <n v="99.807000000000002"/>
    <n v="95.453000000000003"/>
    <n v="870.8"/>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2"/>
    <x v="3"/>
    <n v="1.2281899999999999"/>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0"/>
    <n v="2.0183599999999999"/>
    <n v="1.9189400000000001"/>
    <n v="2.0619200000000002"/>
    <n v="1.9904299999999999"/>
    <n v="1429.8"/>
  </r>
  <r>
    <x v="8"/>
    <x v="23"/>
    <x v="0"/>
    <n v="2.0183599999999999"/>
    <n v="1.9189400000000001"/>
    <n v="2.0619200000000002"/>
    <n v="1.9904299999999999"/>
    <n v="1429.8"/>
  </r>
  <r>
    <x v="8"/>
    <x v="23"/>
    <x v="0"/>
    <n v="2.0183599999999999"/>
    <n v="1.9189400000000001"/>
    <n v="2.0619200000000002"/>
    <n v="1.9904299999999999"/>
    <n v="1429.8"/>
  </r>
  <r>
    <x v="8"/>
    <x v="23"/>
    <x v="0"/>
    <n v="2.0183599999999999"/>
    <n v="1.9189400000000001"/>
    <n v="2.0619200000000002"/>
    <n v="1.9904299999999999"/>
    <n v="1429.8"/>
  </r>
  <r>
    <x v="8"/>
    <x v="23"/>
    <x v="0"/>
    <n v="2.0183599999999999"/>
    <n v="1.9189400000000001"/>
    <n v="2.0619200000000002"/>
    <n v="1.9904299999999999"/>
    <n v="1429.8"/>
  </r>
  <r>
    <x v="8"/>
    <x v="23"/>
    <x v="0"/>
    <n v="2.0183599999999999"/>
    <n v="1.9189400000000001"/>
    <n v="2.0619200000000002"/>
    <n v="1.9904299999999999"/>
    <n v="1429.8"/>
  </r>
  <r>
    <x v="8"/>
    <x v="23"/>
    <x v="0"/>
    <n v="2.0183599999999999"/>
    <n v="1.9189400000000001"/>
    <n v="2.0619200000000002"/>
    <n v="1.9904299999999999"/>
    <n v="1429.8"/>
  </r>
  <r>
    <x v="8"/>
    <x v="23"/>
    <x v="0"/>
    <n v="2.0183599999999999"/>
    <n v="1.9189400000000001"/>
    <n v="2.0619200000000002"/>
    <n v="1.9904299999999999"/>
    <n v="1429.8"/>
  </r>
  <r>
    <x v="8"/>
    <x v="23"/>
    <x v="0"/>
    <n v="2.0183599999999999"/>
    <n v="1.9189400000000001"/>
    <n v="2.0619200000000002"/>
    <n v="1.9904299999999999"/>
    <n v="1429.8"/>
  </r>
  <r>
    <x v="8"/>
    <x v="23"/>
    <x v="0"/>
    <n v="2.0183599999999999"/>
    <n v="1.9189400000000001"/>
    <n v="2.0619200000000002"/>
    <n v="1.9904299999999999"/>
    <n v="1429.8"/>
  </r>
  <r>
    <x v="8"/>
    <x v="23"/>
    <x v="0"/>
    <n v="2.0183599999999999"/>
    <n v="1.9189400000000001"/>
    <n v="2.0619200000000002"/>
    <n v="1.9904299999999999"/>
    <n v="1429.8"/>
  </r>
  <r>
    <x v="8"/>
    <x v="23"/>
    <x v="0"/>
    <n v="2.0183599999999999"/>
    <n v="1.9189400000000001"/>
    <n v="2.0619200000000002"/>
    <n v="1.9904299999999999"/>
    <n v="1429.8"/>
  </r>
  <r>
    <x v="8"/>
    <x v="23"/>
    <x v="0"/>
    <n v="2.0183599999999999"/>
    <n v="1.9189400000000001"/>
    <n v="2.0619200000000002"/>
    <n v="1.9904299999999999"/>
    <n v="1429.8"/>
  </r>
  <r>
    <x v="8"/>
    <x v="23"/>
    <x v="0"/>
    <n v="2.0183599999999999"/>
    <n v="1.9189400000000001"/>
    <n v="2.0619200000000002"/>
    <n v="1.9904299999999999"/>
    <n v="1429.8"/>
  </r>
  <r>
    <x v="8"/>
    <x v="23"/>
    <x v="0"/>
    <n v="2.0183599999999999"/>
    <n v="1.9189400000000001"/>
    <n v="2.0619200000000002"/>
    <n v="1.9904299999999999"/>
    <n v="1429.8"/>
  </r>
  <r>
    <x v="8"/>
    <x v="23"/>
    <x v="0"/>
    <n v="2.0183599999999999"/>
    <n v="1.9189400000000001"/>
    <n v="2.0619200000000002"/>
    <n v="1.9904299999999999"/>
    <n v="1429.8"/>
  </r>
  <r>
    <x v="8"/>
    <x v="23"/>
    <x v="0"/>
    <n v="2.0183599999999999"/>
    <n v="1.9189400000000001"/>
    <n v="2.0619200000000002"/>
    <n v="1.9904299999999999"/>
    <n v="1429.8"/>
  </r>
  <r>
    <x v="8"/>
    <x v="23"/>
    <x v="0"/>
    <n v="2.0183599999999999"/>
    <n v="1.9189400000000001"/>
    <n v="2.0619200000000002"/>
    <n v="1.9904299999999999"/>
    <n v="1429.8"/>
  </r>
  <r>
    <x v="8"/>
    <x v="23"/>
    <x v="0"/>
    <n v="2.0183599999999999"/>
    <n v="1.9189400000000001"/>
    <n v="2.0619200000000002"/>
    <n v="1.9904299999999999"/>
    <n v="1429.8"/>
  </r>
  <r>
    <x v="8"/>
    <x v="23"/>
    <x v="0"/>
    <n v="2.0183599999999999"/>
    <n v="1.9189400000000001"/>
    <n v="2.0619200000000002"/>
    <n v="1.9904299999999999"/>
    <n v="1429.8"/>
  </r>
  <r>
    <x v="8"/>
    <x v="23"/>
    <x v="0"/>
    <n v="2.0183599999999999"/>
    <n v="1.9189400000000001"/>
    <n v="2.0619200000000002"/>
    <n v="1.9904299999999999"/>
    <n v="1429.8"/>
  </r>
  <r>
    <x v="8"/>
    <x v="23"/>
    <x v="0"/>
    <n v="2.0183599999999999"/>
    <n v="1.9189400000000001"/>
    <n v="2.0619200000000002"/>
    <n v="1.9904299999999999"/>
    <n v="1429.8"/>
  </r>
  <r>
    <x v="8"/>
    <x v="23"/>
    <x v="0"/>
    <n v="2.0183599999999999"/>
    <n v="1.9189400000000001"/>
    <n v="2.0619200000000002"/>
    <n v="1.9904299999999999"/>
    <n v="1429.8"/>
  </r>
  <r>
    <x v="8"/>
    <x v="23"/>
    <x v="0"/>
    <n v="2.0183599999999999"/>
    <n v="1.9189400000000001"/>
    <n v="2.0619200000000002"/>
    <n v="1.9904299999999999"/>
    <n v="1429.8"/>
  </r>
  <r>
    <x v="8"/>
    <x v="23"/>
    <x v="0"/>
    <n v="2.0183599999999999"/>
    <n v="1.9189400000000001"/>
    <n v="2.0619200000000002"/>
    <n v="1.9904299999999999"/>
    <n v="1429.8"/>
  </r>
  <r>
    <x v="8"/>
    <x v="23"/>
    <x v="0"/>
    <n v="2.0183599999999999"/>
    <n v="1.9189400000000001"/>
    <n v="2.0619200000000002"/>
    <n v="1.9904299999999999"/>
    <n v="1429.8"/>
  </r>
  <r>
    <x v="8"/>
    <x v="23"/>
    <x v="0"/>
    <n v="2.0183599999999999"/>
    <n v="1.9189400000000001"/>
    <n v="2.0619200000000002"/>
    <n v="1.9904299999999999"/>
    <n v="1429.8"/>
  </r>
  <r>
    <x v="8"/>
    <x v="23"/>
    <x v="0"/>
    <n v="2.0183599999999999"/>
    <n v="1.9189400000000001"/>
    <n v="2.0619200000000002"/>
    <n v="1.9904299999999999"/>
    <n v="1429.8"/>
  </r>
  <r>
    <x v="8"/>
    <x v="23"/>
    <x v="0"/>
    <n v="2.0183599999999999"/>
    <n v="1.9189400000000001"/>
    <n v="2.0619200000000002"/>
    <n v="1.9904299999999999"/>
    <n v="1429.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12"/>
    <n v="102.483"/>
    <n v="91.099000000000004"/>
    <n v="99.807000000000002"/>
    <n v="95.453000000000003"/>
    <n v="870.8"/>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3"/>
    <x v="3"/>
    <n v="1.24594"/>
    <n v="1.2410000000000001"/>
    <n v="1.39151"/>
    <n v="1.316255"/>
    <n v="1505.1"/>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12"/>
    <n v="100.30200000000001"/>
    <n v="91.099000000000004"/>
    <n v="99.807000000000002"/>
    <n v="95.453000000000003"/>
    <n v="870.8"/>
  </r>
  <r>
    <x v="8"/>
    <x v="24"/>
    <x v="3"/>
    <n v="1.2472799999999999"/>
    <n v="1.2410000000000001"/>
    <n v="1.39151"/>
    <n v="1.316255"/>
    <n v="1505.1"/>
  </r>
  <r>
    <x v="9"/>
    <x v="46"/>
    <x v="13"/>
    <m/>
    <n v="0.90654999999999997"/>
    <n v="0.90766999999999998"/>
    <n v="0.90710999999999997"/>
    <n v="11.2"/>
  </r>
  <r>
    <x v="9"/>
    <x v="46"/>
    <x v="13"/>
    <m/>
    <n v="0.90654999999999997"/>
    <n v="0.90766999999999998"/>
    <n v="0.90710999999999997"/>
    <n v="11.2"/>
  </r>
  <r>
    <x v="9"/>
    <x v="46"/>
    <x v="13"/>
    <m/>
    <n v="0.90654999999999997"/>
    <n v="0.90766999999999998"/>
    <n v="0.90710999999999997"/>
    <n v="11.2"/>
  </r>
  <r>
    <x v="9"/>
    <x v="46"/>
    <x v="13"/>
    <m/>
    <n v="0.90654999999999997"/>
    <n v="0.90766999999999998"/>
    <n v="0.90710999999999997"/>
    <n v="11.2"/>
  </r>
  <r>
    <x v="9"/>
    <x v="46"/>
    <x v="13"/>
    <m/>
    <n v="0.90654999999999997"/>
    <n v="0.90766999999999998"/>
    <n v="0.90710999999999997"/>
    <n v="11.2"/>
  </r>
  <r>
    <x v="9"/>
    <x v="46"/>
    <x v="13"/>
    <m/>
    <n v="0.90654999999999997"/>
    <n v="0.90766999999999998"/>
    <n v="0.90710999999999997"/>
    <n v="11.2"/>
  </r>
  <r>
    <x v="9"/>
    <x v="46"/>
    <x v="13"/>
    <m/>
    <n v="0.90654999999999997"/>
    <n v="0.90766999999999998"/>
    <n v="0.90710999999999997"/>
    <n v="11.2"/>
  </r>
  <r>
    <x v="9"/>
    <x v="46"/>
    <x v="13"/>
    <m/>
    <n v="0.90654999999999997"/>
    <n v="0.90766999999999998"/>
    <n v="0.90710999999999997"/>
    <n v="11.2"/>
  </r>
  <r>
    <x v="9"/>
    <x v="46"/>
    <x v="13"/>
    <m/>
    <n v="0.90654999999999997"/>
    <n v="0.90766999999999998"/>
    <n v="0.90710999999999997"/>
    <n v="11.2"/>
  </r>
  <r>
    <x v="9"/>
    <x v="46"/>
    <x v="13"/>
    <m/>
    <n v="0.90654999999999997"/>
    <n v="0.90766999999999998"/>
    <n v="0.90710999999999997"/>
    <n v="11.2"/>
  </r>
  <r>
    <x v="9"/>
    <x v="46"/>
    <x v="13"/>
    <m/>
    <n v="0.90654999999999997"/>
    <n v="0.90766999999999998"/>
    <n v="0.90710999999999997"/>
    <n v="11.2"/>
  </r>
  <r>
    <x v="9"/>
    <x v="46"/>
    <x v="13"/>
    <m/>
    <n v="0.90654999999999997"/>
    <n v="0.90766999999999998"/>
    <n v="0.90710999999999997"/>
    <n v="11.2"/>
  </r>
  <r>
    <x v="9"/>
    <x v="46"/>
    <x v="13"/>
    <m/>
    <n v="0.90654999999999997"/>
    <n v="0.90766999999999998"/>
    <n v="0.90710999999999997"/>
    <n v="11.2"/>
  </r>
  <r>
    <x v="9"/>
    <x v="46"/>
    <x v="9"/>
    <m/>
    <n v="0.82991000000000004"/>
    <n v="0.83038999999999996"/>
    <n v="0.83015000000000005"/>
    <n v="4.8"/>
  </r>
  <r>
    <x v="9"/>
    <x v="46"/>
    <x v="9"/>
    <m/>
    <n v="0.82991000000000004"/>
    <n v="0.83038999999999996"/>
    <n v="0.83015000000000005"/>
    <n v="4.8"/>
  </r>
  <r>
    <x v="9"/>
    <x v="46"/>
    <x v="9"/>
    <m/>
    <n v="0.82991000000000004"/>
    <n v="0.83038999999999996"/>
    <n v="0.83015000000000005"/>
    <n v="4.8"/>
  </r>
  <r>
    <x v="9"/>
    <x v="46"/>
    <x v="9"/>
    <m/>
    <n v="0.82991000000000004"/>
    <n v="0.83038999999999996"/>
    <n v="0.83015000000000005"/>
    <n v="4.8"/>
  </r>
  <r>
    <x v="9"/>
    <x v="46"/>
    <x v="9"/>
    <m/>
    <n v="0.82991000000000004"/>
    <n v="0.83038999999999996"/>
    <n v="0.83015000000000005"/>
    <n v="4.8"/>
  </r>
  <r>
    <x v="9"/>
    <x v="46"/>
    <x v="0"/>
    <m/>
    <n v="1.9717"/>
    <n v="1.9743999999999999"/>
    <n v="1.97305"/>
    <n v="27"/>
  </r>
  <r>
    <x v="9"/>
    <x v="46"/>
    <x v="0"/>
    <m/>
    <n v="1.9717"/>
    <n v="1.9743999999999999"/>
    <n v="1.97305"/>
    <n v="27"/>
  </r>
  <r>
    <x v="9"/>
    <x v="46"/>
    <x v="0"/>
    <m/>
    <n v="1.9717"/>
    <n v="1.9743999999999999"/>
    <n v="1.97305"/>
    <n v="27"/>
  </r>
  <r>
    <x v="9"/>
    <x v="46"/>
    <x v="0"/>
    <m/>
    <n v="1.9717"/>
    <n v="1.9743999999999999"/>
    <n v="1.97305"/>
    <n v="27"/>
  </r>
  <r>
    <x v="9"/>
    <x v="46"/>
    <x v="0"/>
    <m/>
    <n v="1.9717"/>
    <n v="1.9743999999999999"/>
    <n v="1.97305"/>
    <n v="27"/>
  </r>
  <r>
    <x v="9"/>
    <x v="46"/>
    <x v="0"/>
    <m/>
    <n v="1.9717"/>
    <n v="1.9743999999999999"/>
    <n v="1.97305"/>
    <n v="27"/>
  </r>
  <r>
    <x v="9"/>
    <x v="46"/>
    <x v="0"/>
    <m/>
    <n v="1.9717"/>
    <n v="1.9743999999999999"/>
    <n v="1.97305"/>
    <n v="27"/>
  </r>
  <r>
    <x v="9"/>
    <x v="46"/>
    <x v="0"/>
    <m/>
    <n v="1.9717"/>
    <n v="1.9743999999999999"/>
    <n v="1.97305"/>
    <n v="27"/>
  </r>
  <r>
    <x v="9"/>
    <x v="46"/>
    <x v="0"/>
    <m/>
    <n v="1.9717"/>
    <n v="1.9743999999999999"/>
    <n v="1.97305"/>
    <n v="27"/>
  </r>
  <r>
    <x v="9"/>
    <x v="46"/>
    <x v="0"/>
    <m/>
    <n v="1.9717"/>
    <n v="1.9743999999999999"/>
    <n v="1.97305"/>
    <n v="27"/>
  </r>
  <r>
    <x v="9"/>
    <x v="46"/>
    <x v="0"/>
    <m/>
    <n v="1.9717"/>
    <n v="1.9743999999999999"/>
    <n v="1.97305"/>
    <n v="27"/>
  </r>
  <r>
    <x v="9"/>
    <x v="46"/>
    <x v="2"/>
    <m/>
    <n v="103.24"/>
    <n v="103.282"/>
    <n v="103.261"/>
    <n v="4.2"/>
  </r>
  <r>
    <x v="9"/>
    <x v="46"/>
    <x v="2"/>
    <m/>
    <n v="103.24"/>
    <n v="103.282"/>
    <n v="103.261"/>
    <n v="4.2"/>
  </r>
  <r>
    <x v="9"/>
    <x v="46"/>
    <x v="2"/>
    <m/>
    <n v="103.24"/>
    <n v="103.282"/>
    <n v="103.261"/>
    <n v="4.2"/>
  </r>
  <r>
    <x v="9"/>
    <x v="46"/>
    <x v="2"/>
    <m/>
    <n v="103.24"/>
    <n v="103.282"/>
    <n v="103.261"/>
    <n v="4.2"/>
  </r>
  <r>
    <x v="9"/>
    <x v="46"/>
    <x v="2"/>
    <m/>
    <n v="103.24"/>
    <n v="103.282"/>
    <n v="103.261"/>
    <n v="4.2"/>
  </r>
  <r>
    <x v="9"/>
    <x v="46"/>
    <x v="2"/>
    <m/>
    <n v="103.24"/>
    <n v="103.282"/>
    <n v="103.261"/>
    <n v="4.2"/>
  </r>
  <r>
    <x v="9"/>
    <x v="46"/>
    <x v="2"/>
    <m/>
    <n v="103.24"/>
    <n v="103.282"/>
    <n v="103.261"/>
    <n v="4.2"/>
  </r>
  <r>
    <x v="9"/>
    <x v="46"/>
    <x v="2"/>
    <m/>
    <n v="103.24"/>
    <n v="103.282"/>
    <n v="103.261"/>
    <n v="4.2"/>
  </r>
  <r>
    <x v="9"/>
    <x v="46"/>
    <x v="2"/>
    <m/>
    <n v="103.24"/>
    <n v="103.282"/>
    <n v="103.261"/>
    <n v="4.2"/>
  </r>
  <r>
    <x v="9"/>
    <x v="46"/>
    <x v="2"/>
    <m/>
    <n v="103.24"/>
    <n v="103.282"/>
    <n v="103.261"/>
    <n v="4.2"/>
  </r>
  <r>
    <x v="9"/>
    <x v="46"/>
    <x v="2"/>
    <m/>
    <n v="103.24"/>
    <n v="103.282"/>
    <n v="103.261"/>
    <n v="4.2"/>
  </r>
  <r>
    <x v="9"/>
    <x v="46"/>
    <x v="2"/>
    <m/>
    <n v="103.24"/>
    <n v="103.282"/>
    <n v="103.261"/>
    <n v="4.2"/>
  </r>
  <r>
    <x v="9"/>
    <x v="46"/>
    <x v="2"/>
    <m/>
    <n v="103.24"/>
    <n v="103.282"/>
    <n v="103.261"/>
    <n v="4.2"/>
  </r>
  <r>
    <x v="9"/>
    <x v="47"/>
    <x v="13"/>
    <m/>
    <n v="0.90283999999999998"/>
    <n v="0.90766999999999998"/>
    <n v="0.90525500000000003"/>
    <n v="48.3"/>
  </r>
  <r>
    <x v="9"/>
    <x v="47"/>
    <x v="13"/>
    <m/>
    <n v="0.90283999999999998"/>
    <n v="0.90766999999999998"/>
    <n v="0.90525500000000003"/>
    <n v="48.3"/>
  </r>
  <r>
    <x v="9"/>
    <x v="47"/>
    <x v="13"/>
    <m/>
    <n v="0.90283999999999998"/>
    <n v="0.90766999999999998"/>
    <n v="0.90525500000000003"/>
    <n v="48.3"/>
  </r>
  <r>
    <x v="9"/>
    <x v="47"/>
    <x v="13"/>
    <m/>
    <n v="0.90283999999999998"/>
    <n v="0.90766999999999998"/>
    <n v="0.90525500000000003"/>
    <n v="48.3"/>
  </r>
  <r>
    <x v="9"/>
    <x v="47"/>
    <x v="13"/>
    <m/>
    <n v="0.90283999999999998"/>
    <n v="0.90766999999999998"/>
    <n v="0.90525500000000003"/>
    <n v="48.3"/>
  </r>
  <r>
    <x v="9"/>
    <x v="47"/>
    <x v="13"/>
    <m/>
    <n v="0.90283999999999998"/>
    <n v="0.90766999999999998"/>
    <n v="0.90525500000000003"/>
    <n v="48.3"/>
  </r>
  <r>
    <x v="9"/>
    <x v="47"/>
    <x v="13"/>
    <m/>
    <n v="0.90283999999999998"/>
    <n v="0.90766999999999998"/>
    <n v="0.90525500000000003"/>
    <n v="48.3"/>
  </r>
  <r>
    <x v="9"/>
    <x v="47"/>
    <x v="13"/>
    <m/>
    <n v="0.90283999999999998"/>
    <n v="0.90766999999999998"/>
    <n v="0.90525500000000003"/>
    <n v="48.3"/>
  </r>
  <r>
    <x v="9"/>
    <x v="47"/>
    <x v="13"/>
    <m/>
    <n v="0.90283999999999998"/>
    <n v="0.90766999999999998"/>
    <n v="0.90525500000000003"/>
    <n v="48.3"/>
  </r>
  <r>
    <x v="9"/>
    <x v="47"/>
    <x v="13"/>
    <m/>
    <n v="0.90283999999999998"/>
    <n v="0.90766999999999998"/>
    <n v="0.90525500000000003"/>
    <n v="48.3"/>
  </r>
  <r>
    <x v="9"/>
    <x v="47"/>
    <x v="13"/>
    <m/>
    <n v="0.90283999999999998"/>
    <n v="0.90766999999999998"/>
    <n v="0.90525500000000003"/>
    <n v="48.3"/>
  </r>
  <r>
    <x v="9"/>
    <x v="47"/>
    <x v="13"/>
    <m/>
    <n v="0.90283999999999998"/>
    <n v="0.90766999999999998"/>
    <n v="0.90525500000000003"/>
    <n v="48.3"/>
  </r>
  <r>
    <x v="9"/>
    <x v="47"/>
    <x v="13"/>
    <m/>
    <n v="0.90283999999999998"/>
    <n v="0.90766999999999998"/>
    <n v="0.90525500000000003"/>
    <n v="48.3"/>
  </r>
  <r>
    <x v="9"/>
    <x v="47"/>
    <x v="9"/>
    <m/>
    <n v="0.82991000000000004"/>
    <n v="0.83584000000000003"/>
    <n v="0.83287500000000003"/>
    <n v="59.3"/>
  </r>
  <r>
    <x v="9"/>
    <x v="47"/>
    <x v="9"/>
    <m/>
    <n v="0.82991000000000004"/>
    <n v="0.83584000000000003"/>
    <n v="0.83287500000000003"/>
    <n v="59.3"/>
  </r>
  <r>
    <x v="9"/>
    <x v="47"/>
    <x v="9"/>
    <m/>
    <n v="0.82991000000000004"/>
    <n v="0.83584000000000003"/>
    <n v="0.83287500000000003"/>
    <n v="59.3"/>
  </r>
  <r>
    <x v="9"/>
    <x v="47"/>
    <x v="9"/>
    <m/>
    <n v="0.82991000000000004"/>
    <n v="0.83584000000000003"/>
    <n v="0.83287500000000003"/>
    <n v="59.3"/>
  </r>
  <r>
    <x v="9"/>
    <x v="47"/>
    <x v="9"/>
    <m/>
    <n v="0.82991000000000004"/>
    <n v="0.83584000000000003"/>
    <n v="0.83287500000000003"/>
    <n v="59.3"/>
  </r>
  <r>
    <x v="9"/>
    <x v="47"/>
    <x v="9"/>
    <m/>
    <n v="0.82991000000000004"/>
    <n v="0.83584000000000003"/>
    <n v="0.83287500000000003"/>
    <n v="59.3"/>
  </r>
  <r>
    <x v="9"/>
    <x v="47"/>
    <x v="9"/>
    <m/>
    <n v="0.82991000000000004"/>
    <n v="0.83584000000000003"/>
    <n v="0.83287500000000003"/>
    <n v="59.3"/>
  </r>
  <r>
    <x v="9"/>
    <x v="47"/>
    <x v="9"/>
    <m/>
    <n v="0.82991000000000004"/>
    <n v="0.83584000000000003"/>
    <n v="0.83287500000000003"/>
    <n v="59.3"/>
  </r>
  <r>
    <x v="9"/>
    <x v="47"/>
    <x v="9"/>
    <m/>
    <n v="0.82991000000000004"/>
    <n v="0.83584000000000003"/>
    <n v="0.83287500000000003"/>
    <n v="59.3"/>
  </r>
  <r>
    <x v="9"/>
    <x v="47"/>
    <x v="0"/>
    <m/>
    <n v="1.95038"/>
    <n v="1.9743999999999999"/>
    <n v="1.9623900000000001"/>
    <n v="240.2"/>
  </r>
  <r>
    <x v="9"/>
    <x v="47"/>
    <x v="0"/>
    <m/>
    <n v="1.95038"/>
    <n v="1.9743999999999999"/>
    <n v="1.9623900000000001"/>
    <n v="240.2"/>
  </r>
  <r>
    <x v="9"/>
    <x v="47"/>
    <x v="0"/>
    <m/>
    <n v="1.95038"/>
    <n v="1.9743999999999999"/>
    <n v="1.9623900000000001"/>
    <n v="240.2"/>
  </r>
  <r>
    <x v="9"/>
    <x v="47"/>
    <x v="0"/>
    <m/>
    <n v="1.95038"/>
    <n v="1.9743999999999999"/>
    <n v="1.9623900000000001"/>
    <n v="240.2"/>
  </r>
  <r>
    <x v="9"/>
    <x v="47"/>
    <x v="0"/>
    <m/>
    <n v="1.95038"/>
    <n v="1.9743999999999999"/>
    <n v="1.9623900000000001"/>
    <n v="240.2"/>
  </r>
  <r>
    <x v="9"/>
    <x v="47"/>
    <x v="0"/>
    <m/>
    <n v="1.95038"/>
    <n v="1.9743999999999999"/>
    <n v="1.9623900000000001"/>
    <n v="240.2"/>
  </r>
  <r>
    <x v="9"/>
    <x v="47"/>
    <x v="0"/>
    <m/>
    <n v="1.95038"/>
    <n v="1.9743999999999999"/>
    <n v="1.9623900000000001"/>
    <n v="240.2"/>
  </r>
  <r>
    <x v="9"/>
    <x v="47"/>
    <x v="0"/>
    <m/>
    <n v="1.95038"/>
    <n v="1.9743999999999999"/>
    <n v="1.9623900000000001"/>
    <n v="240.2"/>
  </r>
  <r>
    <x v="9"/>
    <x v="47"/>
    <x v="0"/>
    <m/>
    <n v="1.95038"/>
    <n v="1.9743999999999999"/>
    <n v="1.9623900000000001"/>
    <n v="240.2"/>
  </r>
  <r>
    <x v="9"/>
    <x v="47"/>
    <x v="0"/>
    <m/>
    <n v="1.95038"/>
    <n v="1.9743999999999999"/>
    <n v="1.9623900000000001"/>
    <n v="240.2"/>
  </r>
  <r>
    <x v="9"/>
    <x v="47"/>
    <x v="0"/>
    <m/>
    <n v="1.95038"/>
    <n v="1.9743999999999999"/>
    <n v="1.9623900000000001"/>
    <n v="240.2"/>
  </r>
  <r>
    <x v="9"/>
    <x v="47"/>
    <x v="0"/>
    <m/>
    <n v="1.95038"/>
    <n v="1.9743999999999999"/>
    <n v="1.9623900000000001"/>
    <n v="240.2"/>
  </r>
  <r>
    <x v="9"/>
    <x v="47"/>
    <x v="0"/>
    <m/>
    <n v="1.95038"/>
    <n v="1.9743999999999999"/>
    <n v="1.9623900000000001"/>
    <n v="240.2"/>
  </r>
  <r>
    <x v="9"/>
    <x v="47"/>
    <x v="0"/>
    <m/>
    <n v="1.95038"/>
    <n v="1.9743999999999999"/>
    <n v="1.9623900000000001"/>
    <n v="240.2"/>
  </r>
  <r>
    <x v="9"/>
    <x v="47"/>
    <x v="0"/>
    <m/>
    <n v="1.95038"/>
    <n v="1.9743999999999999"/>
    <n v="1.9623900000000001"/>
    <n v="240.2"/>
  </r>
  <r>
    <x v="9"/>
    <x v="47"/>
    <x v="0"/>
    <m/>
    <n v="1.95038"/>
    <n v="1.9743999999999999"/>
    <n v="1.9623900000000001"/>
    <n v="240.2"/>
  </r>
  <r>
    <x v="9"/>
    <x v="47"/>
    <x v="2"/>
    <m/>
    <n v="101.33199999999999"/>
    <n v="103.282"/>
    <n v="102.307"/>
    <n v="195"/>
  </r>
  <r>
    <x v="9"/>
    <x v="47"/>
    <x v="2"/>
    <m/>
    <n v="101.33199999999999"/>
    <n v="103.282"/>
    <n v="102.307"/>
    <n v="195"/>
  </r>
  <r>
    <x v="9"/>
    <x v="47"/>
    <x v="2"/>
    <m/>
    <n v="101.33199999999999"/>
    <n v="103.282"/>
    <n v="102.307"/>
    <n v="195"/>
  </r>
  <r>
    <x v="9"/>
    <x v="47"/>
    <x v="2"/>
    <m/>
    <n v="101.33199999999999"/>
    <n v="103.282"/>
    <n v="102.307"/>
    <n v="195"/>
  </r>
  <r>
    <x v="9"/>
    <x v="47"/>
    <x v="2"/>
    <m/>
    <n v="101.33199999999999"/>
    <n v="103.282"/>
    <n v="102.307"/>
    <n v="195"/>
  </r>
  <r>
    <x v="9"/>
    <x v="47"/>
    <x v="2"/>
    <m/>
    <n v="101.33199999999999"/>
    <n v="103.282"/>
    <n v="102.307"/>
    <n v="195"/>
  </r>
  <r>
    <x v="9"/>
    <x v="47"/>
    <x v="2"/>
    <m/>
    <n v="101.33199999999999"/>
    <n v="103.282"/>
    <n v="102.307"/>
    <n v="195"/>
  </r>
  <r>
    <x v="9"/>
    <x v="47"/>
    <x v="2"/>
    <m/>
    <n v="101.33199999999999"/>
    <n v="103.282"/>
    <n v="102.307"/>
    <n v="195"/>
  </r>
  <r>
    <x v="9"/>
    <x v="47"/>
    <x v="2"/>
    <m/>
    <n v="101.33199999999999"/>
    <n v="103.282"/>
    <n v="102.307"/>
    <n v="195"/>
  </r>
  <r>
    <x v="9"/>
    <x v="47"/>
    <x v="2"/>
    <m/>
    <n v="101.33199999999999"/>
    <n v="103.282"/>
    <n v="102.307"/>
    <n v="195"/>
  </r>
  <r>
    <x v="9"/>
    <x v="47"/>
    <x v="2"/>
    <m/>
    <n v="101.33199999999999"/>
    <n v="103.282"/>
    <n v="102.307"/>
    <n v="195"/>
  </r>
  <r>
    <x v="9"/>
    <x v="47"/>
    <x v="2"/>
    <m/>
    <n v="101.33199999999999"/>
    <n v="103.282"/>
    <n v="102.307"/>
    <n v="195"/>
  </r>
  <r>
    <x v="9"/>
    <x v="47"/>
    <x v="2"/>
    <m/>
    <n v="101.33199999999999"/>
    <n v="103.282"/>
    <n v="102.307"/>
    <n v="195"/>
  </r>
  <r>
    <x v="9"/>
    <x v="48"/>
    <x v="13"/>
    <m/>
    <n v="0.90283999999999998"/>
    <n v="0.90883000000000003"/>
    <n v="0.90583499999999995"/>
    <n v="59.9"/>
  </r>
  <r>
    <x v="9"/>
    <x v="48"/>
    <x v="13"/>
    <m/>
    <n v="0.90283999999999998"/>
    <n v="0.90883000000000003"/>
    <n v="0.90583499999999995"/>
    <n v="59.9"/>
  </r>
  <r>
    <x v="9"/>
    <x v="48"/>
    <x v="13"/>
    <m/>
    <n v="0.90283999999999998"/>
    <n v="0.90883000000000003"/>
    <n v="0.90583499999999995"/>
    <n v="59.9"/>
  </r>
  <r>
    <x v="9"/>
    <x v="48"/>
    <x v="13"/>
    <m/>
    <n v="0.90283999999999998"/>
    <n v="0.90883000000000003"/>
    <n v="0.90583499999999995"/>
    <n v="59.9"/>
  </r>
  <r>
    <x v="9"/>
    <x v="48"/>
    <x v="13"/>
    <m/>
    <n v="0.90283999999999998"/>
    <n v="0.90883000000000003"/>
    <n v="0.90583499999999995"/>
    <n v="59.9"/>
  </r>
  <r>
    <x v="9"/>
    <x v="48"/>
    <x v="13"/>
    <m/>
    <n v="0.90283999999999998"/>
    <n v="0.90883000000000003"/>
    <n v="0.90583499999999995"/>
    <n v="59.9"/>
  </r>
  <r>
    <x v="9"/>
    <x v="48"/>
    <x v="13"/>
    <m/>
    <n v="0.90283999999999998"/>
    <n v="0.90883000000000003"/>
    <n v="0.90583499999999995"/>
    <n v="59.9"/>
  </r>
  <r>
    <x v="9"/>
    <x v="48"/>
    <x v="13"/>
    <m/>
    <n v="0.90283999999999998"/>
    <n v="0.90883000000000003"/>
    <n v="0.90583499999999995"/>
    <n v="59.9"/>
  </r>
  <r>
    <x v="9"/>
    <x v="48"/>
    <x v="13"/>
    <m/>
    <n v="0.90283999999999998"/>
    <n v="0.90883000000000003"/>
    <n v="0.90583499999999995"/>
    <n v="59.9"/>
  </r>
  <r>
    <x v="9"/>
    <x v="48"/>
    <x v="13"/>
    <m/>
    <n v="0.90283999999999998"/>
    <n v="0.90883000000000003"/>
    <n v="0.90583499999999995"/>
    <n v="59.9"/>
  </r>
  <r>
    <x v="9"/>
    <x v="48"/>
    <x v="13"/>
    <m/>
    <n v="0.90283999999999998"/>
    <n v="0.90883000000000003"/>
    <n v="0.90583499999999995"/>
    <n v="59.9"/>
  </r>
  <r>
    <x v="9"/>
    <x v="48"/>
    <x v="13"/>
    <m/>
    <n v="0.90283999999999998"/>
    <n v="0.90883000000000003"/>
    <n v="0.90583499999999995"/>
    <n v="59.9"/>
  </r>
  <r>
    <x v="9"/>
    <x v="48"/>
    <x v="13"/>
    <m/>
    <n v="0.90283999999999998"/>
    <n v="0.90883000000000003"/>
    <n v="0.90583499999999995"/>
    <n v="59.9"/>
  </r>
  <r>
    <x v="9"/>
    <x v="48"/>
    <x v="9"/>
    <m/>
    <n v="0.82991000000000004"/>
    <n v="0.83677999999999997"/>
    <n v="0.833345"/>
    <n v="68.7"/>
  </r>
  <r>
    <x v="9"/>
    <x v="48"/>
    <x v="9"/>
    <m/>
    <n v="0.82991000000000004"/>
    <n v="0.83677999999999997"/>
    <n v="0.833345"/>
    <n v="68.7"/>
  </r>
  <r>
    <x v="9"/>
    <x v="48"/>
    <x v="9"/>
    <m/>
    <n v="0.82991000000000004"/>
    <n v="0.83677999999999997"/>
    <n v="0.833345"/>
    <n v="68.7"/>
  </r>
  <r>
    <x v="9"/>
    <x v="48"/>
    <x v="9"/>
    <m/>
    <n v="0.82991000000000004"/>
    <n v="0.83677999999999997"/>
    <n v="0.833345"/>
    <n v="68.7"/>
  </r>
  <r>
    <x v="9"/>
    <x v="48"/>
    <x v="9"/>
    <m/>
    <n v="0.82991000000000004"/>
    <n v="0.83677999999999997"/>
    <n v="0.833345"/>
    <n v="68.7"/>
  </r>
  <r>
    <x v="9"/>
    <x v="48"/>
    <x v="9"/>
    <m/>
    <n v="0.82991000000000004"/>
    <n v="0.83677999999999997"/>
    <n v="0.833345"/>
    <n v="68.7"/>
  </r>
  <r>
    <x v="9"/>
    <x v="48"/>
    <x v="9"/>
    <m/>
    <n v="0.82991000000000004"/>
    <n v="0.83677999999999997"/>
    <n v="0.833345"/>
    <n v="68.7"/>
  </r>
  <r>
    <x v="9"/>
    <x v="48"/>
    <x v="9"/>
    <m/>
    <n v="0.82991000000000004"/>
    <n v="0.83677999999999997"/>
    <n v="0.833345"/>
    <n v="68.7"/>
  </r>
  <r>
    <x v="9"/>
    <x v="48"/>
    <x v="9"/>
    <m/>
    <n v="0.82991000000000004"/>
    <n v="0.83677999999999997"/>
    <n v="0.833345"/>
    <n v="68.7"/>
  </r>
  <r>
    <x v="9"/>
    <x v="48"/>
    <x v="9"/>
    <m/>
    <n v="0.82991000000000004"/>
    <n v="0.83677999999999997"/>
    <n v="0.833345"/>
    <n v="68.7"/>
  </r>
  <r>
    <x v="9"/>
    <x v="48"/>
    <x v="0"/>
    <m/>
    <n v="1.93"/>
    <n v="1.9743999999999999"/>
    <n v="1.9521999999999999"/>
    <n v="444"/>
  </r>
  <r>
    <x v="9"/>
    <x v="48"/>
    <x v="0"/>
    <m/>
    <n v="1.93"/>
    <n v="1.9743999999999999"/>
    <n v="1.9521999999999999"/>
    <n v="444"/>
  </r>
  <r>
    <x v="9"/>
    <x v="48"/>
    <x v="0"/>
    <m/>
    <n v="1.93"/>
    <n v="1.9743999999999999"/>
    <n v="1.9521999999999999"/>
    <n v="444"/>
  </r>
  <r>
    <x v="9"/>
    <x v="48"/>
    <x v="0"/>
    <m/>
    <n v="1.93"/>
    <n v="1.9743999999999999"/>
    <n v="1.9521999999999999"/>
    <n v="444"/>
  </r>
  <r>
    <x v="9"/>
    <x v="48"/>
    <x v="0"/>
    <m/>
    <n v="1.93"/>
    <n v="1.9743999999999999"/>
    <n v="1.9521999999999999"/>
    <n v="444"/>
  </r>
  <r>
    <x v="9"/>
    <x v="48"/>
    <x v="0"/>
    <m/>
    <n v="1.93"/>
    <n v="1.9743999999999999"/>
    <n v="1.9521999999999999"/>
    <n v="444"/>
  </r>
  <r>
    <x v="9"/>
    <x v="48"/>
    <x v="0"/>
    <m/>
    <n v="1.93"/>
    <n v="1.9743999999999999"/>
    <n v="1.9521999999999999"/>
    <n v="444"/>
  </r>
  <r>
    <x v="9"/>
    <x v="48"/>
    <x v="0"/>
    <m/>
    <n v="1.93"/>
    <n v="1.9743999999999999"/>
    <n v="1.9521999999999999"/>
    <n v="444"/>
  </r>
  <r>
    <x v="9"/>
    <x v="48"/>
    <x v="0"/>
    <m/>
    <n v="1.93"/>
    <n v="1.9743999999999999"/>
    <n v="1.9521999999999999"/>
    <n v="444"/>
  </r>
  <r>
    <x v="9"/>
    <x v="48"/>
    <x v="0"/>
    <m/>
    <n v="1.93"/>
    <n v="1.9743999999999999"/>
    <n v="1.9521999999999999"/>
    <n v="444"/>
  </r>
  <r>
    <x v="9"/>
    <x v="48"/>
    <x v="0"/>
    <m/>
    <n v="1.93"/>
    <n v="1.9743999999999999"/>
    <n v="1.9521999999999999"/>
    <n v="444"/>
  </r>
  <r>
    <x v="9"/>
    <x v="48"/>
    <x v="0"/>
    <m/>
    <n v="1.93"/>
    <n v="1.9743999999999999"/>
    <n v="1.9521999999999999"/>
    <n v="444"/>
  </r>
  <r>
    <x v="9"/>
    <x v="48"/>
    <x v="0"/>
    <m/>
    <n v="1.93"/>
    <n v="1.9743999999999999"/>
    <n v="1.9521999999999999"/>
    <n v="444"/>
  </r>
  <r>
    <x v="9"/>
    <x v="48"/>
    <x v="0"/>
    <m/>
    <n v="1.93"/>
    <n v="1.9743999999999999"/>
    <n v="1.9521999999999999"/>
    <n v="444"/>
  </r>
  <r>
    <x v="9"/>
    <x v="48"/>
    <x v="0"/>
    <m/>
    <n v="1.93"/>
    <n v="1.9743999999999999"/>
    <n v="1.9521999999999999"/>
    <n v="444"/>
  </r>
  <r>
    <x v="9"/>
    <x v="48"/>
    <x v="0"/>
    <m/>
    <n v="1.93"/>
    <n v="1.9743999999999999"/>
    <n v="1.9521999999999999"/>
    <n v="444"/>
  </r>
  <r>
    <x v="9"/>
    <x v="48"/>
    <x v="0"/>
    <m/>
    <n v="1.93"/>
    <n v="1.9743999999999999"/>
    <n v="1.9521999999999999"/>
    <n v="444"/>
  </r>
  <r>
    <x v="9"/>
    <x v="48"/>
    <x v="0"/>
    <m/>
    <n v="1.93"/>
    <n v="1.9743999999999999"/>
    <n v="1.9521999999999999"/>
    <n v="444"/>
  </r>
  <r>
    <x v="9"/>
    <x v="48"/>
    <x v="0"/>
    <m/>
    <n v="1.93"/>
    <n v="1.9743999999999999"/>
    <n v="1.9521999999999999"/>
    <n v="444"/>
  </r>
  <r>
    <x v="9"/>
    <x v="48"/>
    <x v="0"/>
    <m/>
    <n v="1.93"/>
    <n v="1.9743999999999999"/>
    <n v="1.9521999999999999"/>
    <n v="444"/>
  </r>
  <r>
    <x v="9"/>
    <x v="48"/>
    <x v="0"/>
    <m/>
    <n v="1.93"/>
    <n v="1.9743999999999999"/>
    <n v="1.9521999999999999"/>
    <n v="444"/>
  </r>
  <r>
    <x v="9"/>
    <x v="48"/>
    <x v="0"/>
    <m/>
    <n v="1.93"/>
    <n v="1.9743999999999999"/>
    <n v="1.9521999999999999"/>
    <n v="444"/>
  </r>
  <r>
    <x v="9"/>
    <x v="48"/>
    <x v="0"/>
    <m/>
    <n v="1.93"/>
    <n v="1.9743999999999999"/>
    <n v="1.9521999999999999"/>
    <n v="444"/>
  </r>
  <r>
    <x v="9"/>
    <x v="48"/>
    <x v="0"/>
    <m/>
    <n v="1.93"/>
    <n v="1.9743999999999999"/>
    <n v="1.9521999999999999"/>
    <n v="444"/>
  </r>
  <r>
    <x v="9"/>
    <x v="48"/>
    <x v="2"/>
    <m/>
    <n v="101.33199999999999"/>
    <n v="103.282"/>
    <n v="102.307"/>
    <n v="195"/>
  </r>
  <r>
    <x v="9"/>
    <x v="48"/>
    <x v="2"/>
    <m/>
    <n v="101.33199999999999"/>
    <n v="103.282"/>
    <n v="102.307"/>
    <n v="195"/>
  </r>
  <r>
    <x v="9"/>
    <x v="48"/>
    <x v="2"/>
    <m/>
    <n v="101.33199999999999"/>
    <n v="103.282"/>
    <n v="102.307"/>
    <n v="195"/>
  </r>
  <r>
    <x v="9"/>
    <x v="48"/>
    <x v="2"/>
    <m/>
    <n v="101.33199999999999"/>
    <n v="103.282"/>
    <n v="102.307"/>
    <n v="195"/>
  </r>
  <r>
    <x v="9"/>
    <x v="48"/>
    <x v="2"/>
    <m/>
    <n v="101.33199999999999"/>
    <n v="103.282"/>
    <n v="102.307"/>
    <n v="195"/>
  </r>
  <r>
    <x v="9"/>
    <x v="48"/>
    <x v="2"/>
    <m/>
    <n v="101.33199999999999"/>
    <n v="103.282"/>
    <n v="102.307"/>
    <n v="195"/>
  </r>
  <r>
    <x v="9"/>
    <x v="48"/>
    <x v="2"/>
    <m/>
    <n v="101.33199999999999"/>
    <n v="103.282"/>
    <n v="102.307"/>
    <n v="195"/>
  </r>
  <r>
    <x v="9"/>
    <x v="48"/>
    <x v="2"/>
    <m/>
    <n v="101.33199999999999"/>
    <n v="103.282"/>
    <n v="102.307"/>
    <n v="195"/>
  </r>
  <r>
    <x v="9"/>
    <x v="48"/>
    <x v="2"/>
    <m/>
    <n v="101.33199999999999"/>
    <n v="103.282"/>
    <n v="102.307"/>
    <n v="195"/>
  </r>
  <r>
    <x v="9"/>
    <x v="48"/>
    <x v="2"/>
    <m/>
    <n v="101.33199999999999"/>
    <n v="103.282"/>
    <n v="102.307"/>
    <n v="195"/>
  </r>
  <r>
    <x v="9"/>
    <x v="48"/>
    <x v="2"/>
    <m/>
    <n v="101.33199999999999"/>
    <n v="103.282"/>
    <n v="102.307"/>
    <n v="195"/>
  </r>
  <r>
    <x v="9"/>
    <x v="48"/>
    <x v="2"/>
    <m/>
    <n v="101.33199999999999"/>
    <n v="103.282"/>
    <n v="102.307"/>
    <n v="195"/>
  </r>
  <r>
    <x v="9"/>
    <x v="48"/>
    <x v="2"/>
    <m/>
    <n v="101.33199999999999"/>
    <n v="103.282"/>
    <n v="102.307"/>
    <n v="195"/>
  </r>
  <r>
    <x v="9"/>
    <x v="49"/>
    <x v="2"/>
    <m/>
    <n v="101.33199999999999"/>
    <n v="103.282"/>
    <n v="102.307"/>
    <n v="195"/>
  </r>
  <r>
    <x v="9"/>
    <x v="49"/>
    <x v="2"/>
    <m/>
    <n v="101.33199999999999"/>
    <n v="103.282"/>
    <n v="102.307"/>
    <n v="195"/>
  </r>
  <r>
    <x v="9"/>
    <x v="49"/>
    <x v="2"/>
    <m/>
    <n v="101.33199999999999"/>
    <n v="103.282"/>
    <n v="102.307"/>
    <n v="195"/>
  </r>
  <r>
    <x v="9"/>
    <x v="49"/>
    <x v="2"/>
    <m/>
    <n v="101.33199999999999"/>
    <n v="103.282"/>
    <n v="102.307"/>
    <n v="195"/>
  </r>
  <r>
    <x v="9"/>
    <x v="49"/>
    <x v="2"/>
    <m/>
    <n v="101.33199999999999"/>
    <n v="103.282"/>
    <n v="102.307"/>
    <n v="195"/>
  </r>
  <r>
    <x v="9"/>
    <x v="49"/>
    <x v="2"/>
    <m/>
    <n v="101.33199999999999"/>
    <n v="103.282"/>
    <n v="102.307"/>
    <n v="195"/>
  </r>
  <r>
    <x v="9"/>
    <x v="49"/>
    <x v="2"/>
    <m/>
    <n v="101.33199999999999"/>
    <n v="103.282"/>
    <n v="102.307"/>
    <n v="195"/>
  </r>
  <r>
    <x v="9"/>
    <x v="49"/>
    <x v="13"/>
    <m/>
    <n v="0.90283999999999998"/>
    <n v="0.92496999999999996"/>
    <n v="0.91390499999999997"/>
    <n v="221.3"/>
  </r>
  <r>
    <x v="9"/>
    <x v="49"/>
    <x v="13"/>
    <m/>
    <n v="0.90283999999999998"/>
    <n v="0.92496999999999996"/>
    <n v="0.91390499999999997"/>
    <n v="221.3"/>
  </r>
  <r>
    <x v="9"/>
    <x v="49"/>
    <x v="13"/>
    <m/>
    <n v="0.90283999999999998"/>
    <n v="0.92496999999999996"/>
    <n v="0.91390499999999997"/>
    <n v="221.3"/>
  </r>
  <r>
    <x v="9"/>
    <x v="49"/>
    <x v="13"/>
    <m/>
    <n v="0.90283999999999998"/>
    <n v="0.92496999999999996"/>
    <n v="0.91390499999999997"/>
    <n v="221.3"/>
  </r>
  <r>
    <x v="9"/>
    <x v="49"/>
    <x v="13"/>
    <m/>
    <n v="0.90283999999999998"/>
    <n v="0.92496999999999996"/>
    <n v="0.91390499999999997"/>
    <n v="221.3"/>
  </r>
  <r>
    <x v="9"/>
    <x v="49"/>
    <x v="13"/>
    <m/>
    <n v="0.90283999999999998"/>
    <n v="0.92496999999999996"/>
    <n v="0.91390499999999997"/>
    <n v="221.3"/>
  </r>
  <r>
    <x v="9"/>
    <x v="49"/>
    <x v="13"/>
    <m/>
    <n v="0.90283999999999998"/>
    <n v="0.92496999999999996"/>
    <n v="0.91390499999999997"/>
    <n v="221.3"/>
  </r>
  <r>
    <x v="9"/>
    <x v="49"/>
    <x v="13"/>
    <m/>
    <n v="0.90283999999999998"/>
    <n v="0.92496999999999996"/>
    <n v="0.91390499999999997"/>
    <n v="221.3"/>
  </r>
  <r>
    <x v="9"/>
    <x v="49"/>
    <x v="13"/>
    <m/>
    <n v="0.90283999999999998"/>
    <n v="0.92496999999999996"/>
    <n v="0.91390499999999997"/>
    <n v="221.3"/>
  </r>
  <r>
    <x v="9"/>
    <x v="49"/>
    <x v="13"/>
    <m/>
    <n v="0.90283999999999998"/>
    <n v="0.92496999999999996"/>
    <n v="0.91390499999999997"/>
    <n v="221.3"/>
  </r>
  <r>
    <x v="9"/>
    <x v="49"/>
    <x v="13"/>
    <m/>
    <n v="0.90283999999999998"/>
    <n v="0.92496999999999996"/>
    <n v="0.91390499999999997"/>
    <n v="221.3"/>
  </r>
  <r>
    <x v="9"/>
    <x v="49"/>
    <x v="13"/>
    <m/>
    <n v="0.90283999999999998"/>
    <n v="0.92496999999999996"/>
    <n v="0.91390499999999997"/>
    <n v="221.3"/>
  </r>
  <r>
    <x v="9"/>
    <x v="49"/>
    <x v="13"/>
    <m/>
    <n v="0.90283999999999998"/>
    <n v="0.92496999999999996"/>
    <n v="0.91390499999999997"/>
    <n v="221.3"/>
  </r>
  <r>
    <x v="9"/>
    <x v="49"/>
    <x v="13"/>
    <m/>
    <n v="0.90283999999999998"/>
    <n v="0.92496999999999996"/>
    <n v="0.91390499999999997"/>
    <n v="221.3"/>
  </r>
  <r>
    <x v="9"/>
    <x v="49"/>
    <x v="13"/>
    <m/>
    <n v="0.90283999999999998"/>
    <n v="0.92496999999999996"/>
    <n v="0.91390499999999997"/>
    <n v="221.3"/>
  </r>
  <r>
    <x v="9"/>
    <x v="49"/>
    <x v="13"/>
    <m/>
    <n v="0.90283999999999998"/>
    <n v="0.92496999999999996"/>
    <n v="0.91390499999999997"/>
    <n v="221.3"/>
  </r>
  <r>
    <x v="9"/>
    <x v="49"/>
    <x v="13"/>
    <m/>
    <n v="0.90283999999999998"/>
    <n v="0.92496999999999996"/>
    <n v="0.91390499999999997"/>
    <n v="221.3"/>
  </r>
  <r>
    <x v="9"/>
    <x v="49"/>
    <x v="13"/>
    <m/>
    <n v="0.90283999999999998"/>
    <n v="0.92496999999999996"/>
    <n v="0.91390499999999997"/>
    <n v="221.3"/>
  </r>
  <r>
    <x v="9"/>
    <x v="49"/>
    <x v="13"/>
    <m/>
    <n v="0.90283999999999998"/>
    <n v="0.92496999999999996"/>
    <n v="0.91390499999999997"/>
    <n v="221.3"/>
  </r>
  <r>
    <x v="9"/>
    <x v="49"/>
    <x v="13"/>
    <m/>
    <n v="0.90283999999999998"/>
    <n v="0.92496999999999996"/>
    <n v="0.91390499999999997"/>
    <n v="221.3"/>
  </r>
  <r>
    <x v="9"/>
    <x v="49"/>
    <x v="13"/>
    <m/>
    <n v="0.90283999999999998"/>
    <n v="0.92496999999999996"/>
    <n v="0.91390499999999997"/>
    <n v="221.3"/>
  </r>
  <r>
    <x v="9"/>
    <x v="49"/>
    <x v="9"/>
    <m/>
    <n v="0.82632000000000005"/>
    <n v="0.83677999999999997"/>
    <n v="0.83155000000000001"/>
    <n v="104.6"/>
  </r>
  <r>
    <x v="9"/>
    <x v="49"/>
    <x v="9"/>
    <m/>
    <n v="0.82632000000000005"/>
    <n v="0.83677999999999997"/>
    <n v="0.83155000000000001"/>
    <n v="104.6"/>
  </r>
  <r>
    <x v="9"/>
    <x v="49"/>
    <x v="9"/>
    <m/>
    <n v="0.82632000000000005"/>
    <n v="0.83677999999999997"/>
    <n v="0.83155000000000001"/>
    <n v="104.6"/>
  </r>
  <r>
    <x v="9"/>
    <x v="49"/>
    <x v="9"/>
    <m/>
    <n v="0.82632000000000005"/>
    <n v="0.83677999999999997"/>
    <n v="0.83155000000000001"/>
    <n v="104.6"/>
  </r>
  <r>
    <x v="9"/>
    <x v="49"/>
    <x v="9"/>
    <m/>
    <n v="0.82632000000000005"/>
    <n v="0.83677999999999997"/>
    <n v="0.83155000000000001"/>
    <n v="104.6"/>
  </r>
  <r>
    <x v="9"/>
    <x v="49"/>
    <x v="9"/>
    <m/>
    <n v="0.82632000000000005"/>
    <n v="0.83677999999999997"/>
    <n v="0.83155000000000001"/>
    <n v="104.6"/>
  </r>
  <r>
    <x v="9"/>
    <x v="49"/>
    <x v="9"/>
    <m/>
    <n v="0.82632000000000005"/>
    <n v="0.83677999999999997"/>
    <n v="0.83155000000000001"/>
    <n v="104.6"/>
  </r>
  <r>
    <x v="9"/>
    <x v="49"/>
    <x v="9"/>
    <m/>
    <n v="0.82632000000000005"/>
    <n v="0.83677999999999997"/>
    <n v="0.83155000000000001"/>
    <n v="104.6"/>
  </r>
  <r>
    <x v="9"/>
    <x v="49"/>
    <x v="9"/>
    <m/>
    <n v="0.82632000000000005"/>
    <n v="0.83677999999999997"/>
    <n v="0.83155000000000001"/>
    <n v="104.6"/>
  </r>
  <r>
    <x v="9"/>
    <x v="49"/>
    <x v="9"/>
    <m/>
    <n v="0.82632000000000005"/>
    <n v="0.83677999999999997"/>
    <n v="0.83155000000000001"/>
    <n v="104.6"/>
  </r>
  <r>
    <x v="9"/>
    <x v="49"/>
    <x v="0"/>
    <m/>
    <n v="1.9189400000000001"/>
    <n v="1.9743999999999999"/>
    <n v="1.9466699999999999"/>
    <n v="554.6"/>
  </r>
  <r>
    <x v="9"/>
    <x v="49"/>
    <x v="0"/>
    <m/>
    <n v="1.9189400000000001"/>
    <n v="1.9743999999999999"/>
    <n v="1.9466699999999999"/>
    <n v="554.6"/>
  </r>
  <r>
    <x v="9"/>
    <x v="49"/>
    <x v="0"/>
    <m/>
    <n v="1.9189400000000001"/>
    <n v="1.9743999999999999"/>
    <n v="1.9466699999999999"/>
    <n v="554.6"/>
  </r>
  <r>
    <x v="9"/>
    <x v="49"/>
    <x v="0"/>
    <m/>
    <n v="1.9189400000000001"/>
    <n v="1.9743999999999999"/>
    <n v="1.9466699999999999"/>
    <n v="554.6"/>
  </r>
  <r>
    <x v="9"/>
    <x v="49"/>
    <x v="0"/>
    <m/>
    <n v="1.9189400000000001"/>
    <n v="1.9743999999999999"/>
    <n v="1.9466699999999999"/>
    <n v="554.6"/>
  </r>
  <r>
    <x v="9"/>
    <x v="49"/>
    <x v="0"/>
    <m/>
    <n v="1.9189400000000001"/>
    <n v="1.9743999999999999"/>
    <n v="1.9466699999999999"/>
    <n v="554.6"/>
  </r>
  <r>
    <x v="9"/>
    <x v="49"/>
    <x v="0"/>
    <m/>
    <n v="1.9189400000000001"/>
    <n v="1.9743999999999999"/>
    <n v="1.9466699999999999"/>
    <n v="554.6"/>
  </r>
  <r>
    <x v="9"/>
    <x v="49"/>
    <x v="0"/>
    <m/>
    <n v="1.9189400000000001"/>
    <n v="1.9743999999999999"/>
    <n v="1.9466699999999999"/>
    <n v="554.6"/>
  </r>
  <r>
    <x v="9"/>
    <x v="49"/>
    <x v="0"/>
    <m/>
    <n v="1.9189400000000001"/>
    <n v="1.9743999999999999"/>
    <n v="1.9466699999999999"/>
    <n v="554.6"/>
  </r>
  <r>
    <x v="9"/>
    <x v="49"/>
    <x v="0"/>
    <m/>
    <n v="1.9189400000000001"/>
    <n v="1.9743999999999999"/>
    <n v="1.9466699999999999"/>
    <n v="554.6"/>
  </r>
  <r>
    <x v="9"/>
    <x v="49"/>
    <x v="0"/>
    <m/>
    <n v="1.9189400000000001"/>
    <n v="1.9743999999999999"/>
    <n v="1.9466699999999999"/>
    <n v="554.6"/>
  </r>
  <r>
    <x v="9"/>
    <x v="49"/>
    <x v="0"/>
    <m/>
    <n v="1.9189400000000001"/>
    <n v="1.9743999999999999"/>
    <n v="1.9466699999999999"/>
    <n v="554.6"/>
  </r>
  <r>
    <x v="9"/>
    <x v="49"/>
    <x v="0"/>
    <m/>
    <n v="1.9189400000000001"/>
    <n v="1.9743999999999999"/>
    <n v="1.9466699999999999"/>
    <n v="554.6"/>
  </r>
  <r>
    <x v="9"/>
    <x v="49"/>
    <x v="0"/>
    <m/>
    <n v="1.9189400000000001"/>
    <n v="1.9743999999999999"/>
    <n v="1.9466699999999999"/>
    <n v="554.6"/>
  </r>
  <r>
    <x v="9"/>
    <x v="49"/>
    <x v="0"/>
    <m/>
    <n v="1.9189400000000001"/>
    <n v="1.9743999999999999"/>
    <n v="1.9466699999999999"/>
    <n v="554.6"/>
  </r>
  <r>
    <x v="9"/>
    <x v="49"/>
    <x v="0"/>
    <m/>
    <n v="1.9189400000000001"/>
    <n v="1.9743999999999999"/>
    <n v="1.9466699999999999"/>
    <n v="554.6"/>
  </r>
  <r>
    <x v="9"/>
    <x v="49"/>
    <x v="0"/>
    <m/>
    <n v="1.9189400000000001"/>
    <n v="1.9743999999999999"/>
    <n v="1.9466699999999999"/>
    <n v="554.6"/>
  </r>
  <r>
    <x v="9"/>
    <x v="49"/>
    <x v="0"/>
    <m/>
    <n v="1.9189400000000001"/>
    <n v="1.9743999999999999"/>
    <n v="1.9466699999999999"/>
    <n v="554.6"/>
  </r>
  <r>
    <x v="9"/>
    <x v="49"/>
    <x v="0"/>
    <m/>
    <n v="1.9189400000000001"/>
    <n v="1.9743999999999999"/>
    <n v="1.9466699999999999"/>
    <n v="554.6"/>
  </r>
  <r>
    <x v="9"/>
    <x v="49"/>
    <x v="0"/>
    <m/>
    <n v="1.9189400000000001"/>
    <n v="1.9743999999999999"/>
    <n v="1.9466699999999999"/>
    <n v="554.6"/>
  </r>
  <r>
    <x v="9"/>
    <x v="49"/>
    <x v="0"/>
    <m/>
    <n v="1.9189400000000001"/>
    <n v="1.9743999999999999"/>
    <n v="1.9466699999999999"/>
    <n v="554.6"/>
  </r>
  <r>
    <x v="9"/>
    <x v="49"/>
    <x v="0"/>
    <m/>
    <n v="1.9189400000000001"/>
    <n v="1.9743999999999999"/>
    <n v="1.9466699999999999"/>
    <n v="554.6"/>
  </r>
  <r>
    <x v="9"/>
    <x v="49"/>
    <x v="0"/>
    <m/>
    <n v="1.9189400000000001"/>
    <n v="1.9743999999999999"/>
    <n v="1.9466699999999999"/>
    <n v="554.6"/>
  </r>
  <r>
    <x v="9"/>
    <x v="49"/>
    <x v="0"/>
    <m/>
    <n v="1.9189400000000001"/>
    <n v="1.9743999999999999"/>
    <n v="1.9466699999999999"/>
    <n v="554.6"/>
  </r>
  <r>
    <x v="9"/>
    <x v="49"/>
    <x v="0"/>
    <m/>
    <n v="1.9189400000000001"/>
    <n v="1.9743999999999999"/>
    <n v="1.9466699999999999"/>
    <n v="554.6"/>
  </r>
  <r>
    <x v="9"/>
    <x v="49"/>
    <x v="0"/>
    <m/>
    <n v="1.9189400000000001"/>
    <n v="1.9743999999999999"/>
    <n v="1.9466699999999999"/>
    <n v="554.6"/>
  </r>
  <r>
    <x v="9"/>
    <x v="49"/>
    <x v="0"/>
    <m/>
    <n v="1.9189400000000001"/>
    <n v="1.9743999999999999"/>
    <n v="1.9466699999999999"/>
    <n v="554.6"/>
  </r>
  <r>
    <x v="9"/>
    <x v="49"/>
    <x v="2"/>
    <m/>
    <n v="101.33199999999999"/>
    <n v="103.282"/>
    <n v="102.307"/>
    <n v="195"/>
  </r>
  <r>
    <x v="9"/>
    <x v="49"/>
    <x v="2"/>
    <m/>
    <n v="101.33199999999999"/>
    <n v="103.282"/>
    <n v="102.307"/>
    <n v="195"/>
  </r>
  <r>
    <x v="9"/>
    <x v="49"/>
    <x v="2"/>
    <m/>
    <n v="101.33199999999999"/>
    <n v="103.282"/>
    <n v="102.307"/>
    <n v="195"/>
  </r>
  <r>
    <x v="9"/>
    <x v="49"/>
    <x v="2"/>
    <m/>
    <n v="101.33199999999999"/>
    <n v="103.282"/>
    <n v="102.307"/>
    <n v="195"/>
  </r>
  <r>
    <x v="9"/>
    <x v="49"/>
    <x v="2"/>
    <m/>
    <n v="101.33199999999999"/>
    <n v="103.282"/>
    <n v="102.307"/>
    <n v="195"/>
  </r>
  <r>
    <x v="9"/>
    <x v="49"/>
    <x v="2"/>
    <m/>
    <n v="101.33199999999999"/>
    <n v="103.282"/>
    <n v="102.307"/>
    <n v="195"/>
  </r>
  <r>
    <x v="9"/>
    <x v="50"/>
    <x v="2"/>
    <m/>
    <n v="101.33199999999999"/>
    <n v="103.343"/>
    <n v="102.33750000000001"/>
    <n v="201.1"/>
  </r>
  <r>
    <x v="9"/>
    <x v="50"/>
    <x v="2"/>
    <m/>
    <n v="101.33199999999999"/>
    <n v="103.343"/>
    <n v="102.33750000000001"/>
    <n v="201.1"/>
  </r>
  <r>
    <x v="9"/>
    <x v="50"/>
    <x v="2"/>
    <m/>
    <n v="101.33199999999999"/>
    <n v="103.343"/>
    <n v="102.33750000000001"/>
    <n v="201.1"/>
  </r>
  <r>
    <x v="9"/>
    <x v="50"/>
    <x v="2"/>
    <m/>
    <n v="101.33199999999999"/>
    <n v="103.343"/>
    <n v="102.33750000000001"/>
    <n v="201.1"/>
  </r>
  <r>
    <x v="9"/>
    <x v="50"/>
    <x v="2"/>
    <m/>
    <n v="101.33199999999999"/>
    <n v="103.343"/>
    <n v="102.33750000000001"/>
    <n v="201.1"/>
  </r>
  <r>
    <x v="9"/>
    <x v="50"/>
    <x v="2"/>
    <m/>
    <n v="101.33199999999999"/>
    <n v="103.343"/>
    <n v="102.33750000000001"/>
    <n v="201.1"/>
  </r>
  <r>
    <x v="9"/>
    <x v="50"/>
    <x v="2"/>
    <m/>
    <n v="101.33199999999999"/>
    <n v="103.343"/>
    <n v="102.33750000000001"/>
    <n v="201.1"/>
  </r>
  <r>
    <x v="9"/>
    <x v="50"/>
    <x v="2"/>
    <m/>
    <n v="101.33199999999999"/>
    <n v="103.343"/>
    <n v="102.33750000000001"/>
    <n v="201.1"/>
  </r>
  <r>
    <x v="9"/>
    <x v="50"/>
    <x v="2"/>
    <m/>
    <n v="101.33199999999999"/>
    <n v="103.343"/>
    <n v="102.33750000000001"/>
    <n v="201.1"/>
  </r>
  <r>
    <x v="9"/>
    <x v="50"/>
    <x v="13"/>
    <m/>
    <n v="0.90283999999999998"/>
    <n v="0.92942999999999998"/>
    <n v="0.91613500000000003"/>
    <n v="265.89999999999998"/>
  </r>
  <r>
    <x v="9"/>
    <x v="50"/>
    <x v="13"/>
    <m/>
    <n v="0.90283999999999998"/>
    <n v="0.92942999999999998"/>
    <n v="0.91613500000000003"/>
    <n v="265.89999999999998"/>
  </r>
  <r>
    <x v="9"/>
    <x v="50"/>
    <x v="13"/>
    <m/>
    <n v="0.90283999999999998"/>
    <n v="0.92942999999999998"/>
    <n v="0.91613500000000003"/>
    <n v="265.89999999999998"/>
  </r>
  <r>
    <x v="9"/>
    <x v="50"/>
    <x v="13"/>
    <m/>
    <n v="0.90283999999999998"/>
    <n v="0.92942999999999998"/>
    <n v="0.91613500000000003"/>
    <n v="265.89999999999998"/>
  </r>
  <r>
    <x v="9"/>
    <x v="50"/>
    <x v="13"/>
    <m/>
    <n v="0.90283999999999998"/>
    <n v="0.92942999999999998"/>
    <n v="0.91613500000000003"/>
    <n v="265.89999999999998"/>
  </r>
  <r>
    <x v="9"/>
    <x v="50"/>
    <x v="13"/>
    <m/>
    <n v="0.90283999999999998"/>
    <n v="0.92942999999999998"/>
    <n v="0.91613500000000003"/>
    <n v="265.89999999999998"/>
  </r>
  <r>
    <x v="9"/>
    <x v="50"/>
    <x v="13"/>
    <m/>
    <n v="0.90283999999999998"/>
    <n v="0.92942999999999998"/>
    <n v="0.91613500000000003"/>
    <n v="265.89999999999998"/>
  </r>
  <r>
    <x v="9"/>
    <x v="50"/>
    <x v="13"/>
    <m/>
    <n v="0.90283999999999998"/>
    <n v="0.92942999999999998"/>
    <n v="0.91613500000000003"/>
    <n v="265.89999999999998"/>
  </r>
  <r>
    <x v="9"/>
    <x v="50"/>
    <x v="13"/>
    <m/>
    <n v="0.90283999999999998"/>
    <n v="0.92942999999999998"/>
    <n v="0.91613500000000003"/>
    <n v="265.89999999999998"/>
  </r>
  <r>
    <x v="9"/>
    <x v="50"/>
    <x v="13"/>
    <m/>
    <n v="0.90283999999999998"/>
    <n v="0.92942999999999998"/>
    <n v="0.91613500000000003"/>
    <n v="265.89999999999998"/>
  </r>
  <r>
    <x v="9"/>
    <x v="50"/>
    <x v="13"/>
    <m/>
    <n v="0.90283999999999998"/>
    <n v="0.92942999999999998"/>
    <n v="0.91613500000000003"/>
    <n v="265.89999999999998"/>
  </r>
  <r>
    <x v="9"/>
    <x v="50"/>
    <x v="13"/>
    <m/>
    <n v="0.90283999999999998"/>
    <n v="0.92942999999999998"/>
    <n v="0.91613500000000003"/>
    <n v="265.89999999999998"/>
  </r>
  <r>
    <x v="9"/>
    <x v="50"/>
    <x v="13"/>
    <m/>
    <n v="0.90283999999999998"/>
    <n v="0.92942999999999998"/>
    <n v="0.91613500000000003"/>
    <n v="265.89999999999998"/>
  </r>
  <r>
    <x v="9"/>
    <x v="50"/>
    <x v="13"/>
    <m/>
    <n v="0.90283999999999998"/>
    <n v="0.92942999999999998"/>
    <n v="0.91613500000000003"/>
    <n v="265.89999999999998"/>
  </r>
  <r>
    <x v="9"/>
    <x v="50"/>
    <x v="13"/>
    <m/>
    <n v="0.90283999999999998"/>
    <n v="0.92942999999999998"/>
    <n v="0.91613500000000003"/>
    <n v="265.89999999999998"/>
  </r>
  <r>
    <x v="9"/>
    <x v="50"/>
    <x v="13"/>
    <m/>
    <n v="0.90283999999999998"/>
    <n v="0.92942999999999998"/>
    <n v="0.91613500000000003"/>
    <n v="265.89999999999998"/>
  </r>
  <r>
    <x v="9"/>
    <x v="50"/>
    <x v="13"/>
    <m/>
    <n v="0.90283999999999998"/>
    <n v="0.92942999999999998"/>
    <n v="0.91613500000000003"/>
    <n v="265.89999999999998"/>
  </r>
  <r>
    <x v="9"/>
    <x v="50"/>
    <x v="13"/>
    <m/>
    <n v="0.90283999999999998"/>
    <n v="0.92942999999999998"/>
    <n v="0.91613500000000003"/>
    <n v="265.89999999999998"/>
  </r>
  <r>
    <x v="9"/>
    <x v="50"/>
    <x v="13"/>
    <m/>
    <n v="0.90283999999999998"/>
    <n v="0.92942999999999998"/>
    <n v="0.91613500000000003"/>
    <n v="265.89999999999998"/>
  </r>
  <r>
    <x v="9"/>
    <x v="50"/>
    <x v="13"/>
    <m/>
    <n v="0.90283999999999998"/>
    <n v="0.92942999999999998"/>
    <n v="0.91613500000000003"/>
    <n v="265.89999999999998"/>
  </r>
  <r>
    <x v="9"/>
    <x v="50"/>
    <x v="13"/>
    <m/>
    <n v="0.90283999999999998"/>
    <n v="0.92942999999999998"/>
    <n v="0.91613500000000003"/>
    <n v="265.89999999999998"/>
  </r>
  <r>
    <x v="9"/>
    <x v="50"/>
    <x v="9"/>
    <m/>
    <n v="0.82630999999999999"/>
    <n v="0.83677999999999997"/>
    <n v="0.83154499999999998"/>
    <n v="104.7"/>
  </r>
  <r>
    <x v="9"/>
    <x v="50"/>
    <x v="9"/>
    <m/>
    <n v="0.82630999999999999"/>
    <n v="0.83677999999999997"/>
    <n v="0.83154499999999998"/>
    <n v="104.7"/>
  </r>
  <r>
    <x v="9"/>
    <x v="50"/>
    <x v="9"/>
    <m/>
    <n v="0.82630999999999999"/>
    <n v="0.83677999999999997"/>
    <n v="0.83154499999999998"/>
    <n v="104.7"/>
  </r>
  <r>
    <x v="9"/>
    <x v="50"/>
    <x v="9"/>
    <m/>
    <n v="0.82630999999999999"/>
    <n v="0.83677999999999997"/>
    <n v="0.83154499999999998"/>
    <n v="104.7"/>
  </r>
  <r>
    <x v="9"/>
    <x v="50"/>
    <x v="9"/>
    <m/>
    <n v="0.82630999999999999"/>
    <n v="0.83677999999999997"/>
    <n v="0.83154499999999998"/>
    <n v="104.7"/>
  </r>
  <r>
    <x v="9"/>
    <x v="50"/>
    <x v="9"/>
    <m/>
    <n v="0.82630999999999999"/>
    <n v="0.83677999999999997"/>
    <n v="0.83154499999999998"/>
    <n v="104.7"/>
  </r>
  <r>
    <x v="9"/>
    <x v="50"/>
    <x v="9"/>
    <m/>
    <n v="0.82630999999999999"/>
    <n v="0.83677999999999997"/>
    <n v="0.83154499999999998"/>
    <n v="104.7"/>
  </r>
  <r>
    <x v="9"/>
    <x v="50"/>
    <x v="9"/>
    <m/>
    <n v="0.82630999999999999"/>
    <n v="0.83677999999999997"/>
    <n v="0.83154499999999998"/>
    <n v="104.7"/>
  </r>
  <r>
    <x v="9"/>
    <x v="50"/>
    <x v="9"/>
    <m/>
    <n v="0.82630999999999999"/>
    <n v="0.83677999999999997"/>
    <n v="0.83154499999999998"/>
    <n v="104.7"/>
  </r>
  <r>
    <x v="9"/>
    <x v="50"/>
    <x v="9"/>
    <m/>
    <n v="0.82630999999999999"/>
    <n v="0.83677999999999997"/>
    <n v="0.83154499999999998"/>
    <n v="104.7"/>
  </r>
  <r>
    <x v="9"/>
    <x v="50"/>
    <x v="0"/>
    <m/>
    <n v="1.9189400000000001"/>
    <n v="1.9743999999999999"/>
    <n v="1.9466699999999999"/>
    <n v="554.6"/>
  </r>
  <r>
    <x v="9"/>
    <x v="50"/>
    <x v="0"/>
    <m/>
    <n v="1.9189400000000001"/>
    <n v="1.9743999999999999"/>
    <n v="1.9466699999999999"/>
    <n v="554.6"/>
  </r>
  <r>
    <x v="9"/>
    <x v="50"/>
    <x v="0"/>
    <m/>
    <n v="1.9189400000000001"/>
    <n v="1.9743999999999999"/>
    <n v="1.9466699999999999"/>
    <n v="554.6"/>
  </r>
  <r>
    <x v="9"/>
    <x v="50"/>
    <x v="0"/>
    <m/>
    <n v="1.9189400000000001"/>
    <n v="1.9743999999999999"/>
    <n v="1.9466699999999999"/>
    <n v="554.6"/>
  </r>
  <r>
    <x v="9"/>
    <x v="50"/>
    <x v="0"/>
    <m/>
    <n v="1.9189400000000001"/>
    <n v="1.9743999999999999"/>
    <n v="1.9466699999999999"/>
    <n v="554.6"/>
  </r>
  <r>
    <x v="9"/>
    <x v="50"/>
    <x v="0"/>
    <m/>
    <n v="1.9189400000000001"/>
    <n v="1.9743999999999999"/>
    <n v="1.9466699999999999"/>
    <n v="554.6"/>
  </r>
  <r>
    <x v="9"/>
    <x v="50"/>
    <x v="0"/>
    <m/>
    <n v="1.9189400000000001"/>
    <n v="1.9743999999999999"/>
    <n v="1.9466699999999999"/>
    <n v="554.6"/>
  </r>
  <r>
    <x v="9"/>
    <x v="50"/>
    <x v="0"/>
    <m/>
    <n v="1.9189400000000001"/>
    <n v="1.9743999999999999"/>
    <n v="1.9466699999999999"/>
    <n v="554.6"/>
  </r>
  <r>
    <x v="9"/>
    <x v="50"/>
    <x v="0"/>
    <m/>
    <n v="1.9189400000000001"/>
    <n v="1.9743999999999999"/>
    <n v="1.9466699999999999"/>
    <n v="554.6"/>
  </r>
  <r>
    <x v="9"/>
    <x v="50"/>
    <x v="0"/>
    <m/>
    <n v="1.9189400000000001"/>
    <n v="1.9743999999999999"/>
    <n v="1.9466699999999999"/>
    <n v="554.6"/>
  </r>
  <r>
    <x v="9"/>
    <x v="50"/>
    <x v="0"/>
    <m/>
    <n v="1.9189400000000001"/>
    <n v="1.9743999999999999"/>
    <n v="1.9466699999999999"/>
    <n v="554.6"/>
  </r>
  <r>
    <x v="9"/>
    <x v="50"/>
    <x v="0"/>
    <m/>
    <n v="1.9189400000000001"/>
    <n v="1.9743999999999999"/>
    <n v="1.9466699999999999"/>
    <n v="554.6"/>
  </r>
  <r>
    <x v="9"/>
    <x v="50"/>
    <x v="0"/>
    <m/>
    <n v="1.9189400000000001"/>
    <n v="1.9743999999999999"/>
    <n v="1.9466699999999999"/>
    <n v="554.6"/>
  </r>
  <r>
    <x v="9"/>
    <x v="50"/>
    <x v="0"/>
    <m/>
    <n v="1.9189400000000001"/>
    <n v="1.9743999999999999"/>
    <n v="1.9466699999999999"/>
    <n v="554.6"/>
  </r>
  <r>
    <x v="9"/>
    <x v="50"/>
    <x v="0"/>
    <m/>
    <n v="1.9189400000000001"/>
    <n v="1.9743999999999999"/>
    <n v="1.9466699999999999"/>
    <n v="554.6"/>
  </r>
  <r>
    <x v="9"/>
    <x v="50"/>
    <x v="0"/>
    <m/>
    <n v="1.9189400000000001"/>
    <n v="1.9743999999999999"/>
    <n v="1.9466699999999999"/>
    <n v="554.6"/>
  </r>
  <r>
    <x v="9"/>
    <x v="50"/>
    <x v="0"/>
    <m/>
    <n v="1.9189400000000001"/>
    <n v="1.9743999999999999"/>
    <n v="1.9466699999999999"/>
    <n v="554.6"/>
  </r>
  <r>
    <x v="9"/>
    <x v="50"/>
    <x v="0"/>
    <m/>
    <n v="1.9189400000000001"/>
    <n v="1.9743999999999999"/>
    <n v="1.9466699999999999"/>
    <n v="554.6"/>
  </r>
  <r>
    <x v="9"/>
    <x v="50"/>
    <x v="0"/>
    <m/>
    <n v="1.9189400000000001"/>
    <n v="1.9743999999999999"/>
    <n v="1.9466699999999999"/>
    <n v="554.6"/>
  </r>
  <r>
    <x v="9"/>
    <x v="50"/>
    <x v="0"/>
    <m/>
    <n v="1.9189400000000001"/>
    <n v="1.9743999999999999"/>
    <n v="1.9466699999999999"/>
    <n v="554.6"/>
  </r>
  <r>
    <x v="9"/>
    <x v="50"/>
    <x v="0"/>
    <m/>
    <n v="1.9189400000000001"/>
    <n v="1.9743999999999999"/>
    <n v="1.9466699999999999"/>
    <n v="554.6"/>
  </r>
  <r>
    <x v="9"/>
    <x v="50"/>
    <x v="0"/>
    <m/>
    <n v="1.9189400000000001"/>
    <n v="1.9743999999999999"/>
    <n v="1.9466699999999999"/>
    <n v="554.6"/>
  </r>
  <r>
    <x v="9"/>
    <x v="50"/>
    <x v="0"/>
    <m/>
    <n v="1.9189400000000001"/>
    <n v="1.9743999999999999"/>
    <n v="1.9466699999999999"/>
    <n v="554.6"/>
  </r>
  <r>
    <x v="9"/>
    <x v="50"/>
    <x v="0"/>
    <m/>
    <n v="1.9189400000000001"/>
    <n v="1.9743999999999999"/>
    <n v="1.9466699999999999"/>
    <n v="554.6"/>
  </r>
  <r>
    <x v="9"/>
    <x v="50"/>
    <x v="0"/>
    <m/>
    <n v="1.9189400000000001"/>
    <n v="1.9743999999999999"/>
    <n v="1.9466699999999999"/>
    <n v="554.6"/>
  </r>
  <r>
    <x v="9"/>
    <x v="50"/>
    <x v="0"/>
    <m/>
    <n v="1.9189400000000001"/>
    <n v="1.9743999999999999"/>
    <n v="1.9466699999999999"/>
    <n v="554.6"/>
  </r>
  <r>
    <x v="9"/>
    <x v="50"/>
    <x v="0"/>
    <m/>
    <n v="1.9189400000000001"/>
    <n v="1.9743999999999999"/>
    <n v="1.9466699999999999"/>
    <n v="554.6"/>
  </r>
  <r>
    <x v="9"/>
    <x v="50"/>
    <x v="2"/>
    <m/>
    <n v="101.33199999999999"/>
    <n v="103.343"/>
    <n v="102.33750000000001"/>
    <n v="201.1"/>
  </r>
  <r>
    <x v="9"/>
    <x v="50"/>
    <x v="2"/>
    <m/>
    <n v="101.33199999999999"/>
    <n v="103.343"/>
    <n v="102.33750000000001"/>
    <n v="201.1"/>
  </r>
  <r>
    <x v="9"/>
    <x v="50"/>
    <x v="2"/>
    <m/>
    <n v="101.33199999999999"/>
    <n v="103.343"/>
    <n v="102.33750000000001"/>
    <n v="201.1"/>
  </r>
  <r>
    <x v="9"/>
    <x v="50"/>
    <x v="2"/>
    <m/>
    <n v="101.33199999999999"/>
    <n v="103.343"/>
    <n v="102.33750000000001"/>
    <n v="201.1"/>
  </r>
  <r>
    <x v="9"/>
    <x v="50"/>
    <x v="2"/>
    <m/>
    <n v="101.33199999999999"/>
    <n v="103.343"/>
    <n v="102.33750000000001"/>
    <n v="201.1"/>
  </r>
  <r>
    <x v="9"/>
    <x v="50"/>
    <x v="2"/>
    <m/>
    <n v="101.33199999999999"/>
    <n v="103.343"/>
    <n v="102.33750000000001"/>
    <n v="201.1"/>
  </r>
  <r>
    <x v="9"/>
    <x v="51"/>
    <x v="0"/>
    <m/>
    <n v="1.9189400000000001"/>
    <n v="1.9743999999999999"/>
    <n v="1.9466699999999999"/>
    <n v="554.6"/>
  </r>
  <r>
    <x v="9"/>
    <x v="51"/>
    <x v="0"/>
    <m/>
    <n v="1.9189400000000001"/>
    <n v="1.9743999999999999"/>
    <n v="1.9466699999999999"/>
    <n v="554.6"/>
  </r>
  <r>
    <x v="9"/>
    <x v="51"/>
    <x v="2"/>
    <m/>
    <n v="101.33199999999999"/>
    <n v="103.343"/>
    <n v="102.33750000000001"/>
    <n v="201.1"/>
  </r>
  <r>
    <x v="9"/>
    <x v="51"/>
    <x v="2"/>
    <m/>
    <n v="101.33199999999999"/>
    <n v="103.343"/>
    <n v="102.33750000000001"/>
    <n v="201.1"/>
  </r>
  <r>
    <x v="9"/>
    <x v="51"/>
    <x v="2"/>
    <m/>
    <n v="101.33199999999999"/>
    <n v="103.343"/>
    <n v="102.33750000000001"/>
    <n v="201.1"/>
  </r>
  <r>
    <x v="9"/>
    <x v="51"/>
    <x v="2"/>
    <m/>
    <n v="101.33199999999999"/>
    <n v="103.343"/>
    <n v="102.33750000000001"/>
    <n v="201.1"/>
  </r>
  <r>
    <x v="9"/>
    <x v="51"/>
    <x v="2"/>
    <m/>
    <n v="101.33199999999999"/>
    <n v="103.343"/>
    <n v="102.33750000000001"/>
    <n v="201.1"/>
  </r>
  <r>
    <x v="9"/>
    <x v="51"/>
    <x v="2"/>
    <m/>
    <n v="101.33199999999999"/>
    <n v="103.343"/>
    <n v="102.33750000000001"/>
    <n v="201.1"/>
  </r>
  <r>
    <x v="9"/>
    <x v="51"/>
    <x v="2"/>
    <m/>
    <n v="101.33199999999999"/>
    <n v="103.343"/>
    <n v="102.33750000000001"/>
    <n v="201.1"/>
  </r>
  <r>
    <x v="9"/>
    <x v="51"/>
    <x v="2"/>
    <m/>
    <n v="101.33199999999999"/>
    <n v="103.343"/>
    <n v="102.33750000000001"/>
    <n v="201.1"/>
  </r>
  <r>
    <x v="9"/>
    <x v="51"/>
    <x v="2"/>
    <m/>
    <n v="101.33199999999999"/>
    <n v="103.343"/>
    <n v="102.33750000000001"/>
    <n v="201.1"/>
  </r>
  <r>
    <x v="9"/>
    <x v="51"/>
    <x v="2"/>
    <m/>
    <n v="101.33199999999999"/>
    <n v="103.343"/>
    <n v="102.33750000000001"/>
    <n v="201.1"/>
  </r>
  <r>
    <x v="9"/>
    <x v="51"/>
    <x v="2"/>
    <m/>
    <n v="101.33199999999999"/>
    <n v="103.343"/>
    <n v="102.33750000000001"/>
    <n v="201.1"/>
  </r>
  <r>
    <x v="9"/>
    <x v="51"/>
    <x v="2"/>
    <m/>
    <n v="101.33199999999999"/>
    <n v="103.343"/>
    <n v="102.33750000000001"/>
    <n v="201.1"/>
  </r>
  <r>
    <x v="9"/>
    <x v="51"/>
    <x v="2"/>
    <m/>
    <n v="101.33199999999999"/>
    <n v="103.343"/>
    <n v="102.33750000000001"/>
    <n v="201.1"/>
  </r>
  <r>
    <x v="9"/>
    <x v="51"/>
    <x v="2"/>
    <m/>
    <n v="101.33199999999999"/>
    <n v="103.343"/>
    <n v="102.33750000000001"/>
    <n v="201.1"/>
  </r>
  <r>
    <x v="9"/>
    <x v="51"/>
    <x v="2"/>
    <m/>
    <n v="101.33199999999999"/>
    <n v="103.343"/>
    <n v="102.33750000000001"/>
    <n v="201.1"/>
  </r>
  <r>
    <x v="9"/>
    <x v="51"/>
    <x v="13"/>
    <m/>
    <n v="0.90283999999999998"/>
    <n v="0.94006000000000001"/>
    <n v="0.92144999999999999"/>
    <n v="372.2"/>
  </r>
  <r>
    <x v="9"/>
    <x v="51"/>
    <x v="13"/>
    <m/>
    <n v="0.90283999999999998"/>
    <n v="0.94006000000000001"/>
    <n v="0.92144999999999999"/>
    <n v="372.2"/>
  </r>
  <r>
    <x v="9"/>
    <x v="51"/>
    <x v="13"/>
    <m/>
    <n v="0.90283999999999998"/>
    <n v="0.94006000000000001"/>
    <n v="0.92144999999999999"/>
    <n v="372.2"/>
  </r>
  <r>
    <x v="9"/>
    <x v="51"/>
    <x v="13"/>
    <m/>
    <n v="0.90283999999999998"/>
    <n v="0.94006000000000001"/>
    <n v="0.92144999999999999"/>
    <n v="372.2"/>
  </r>
  <r>
    <x v="9"/>
    <x v="51"/>
    <x v="13"/>
    <m/>
    <n v="0.90283999999999998"/>
    <n v="0.94006000000000001"/>
    <n v="0.92144999999999999"/>
    <n v="372.2"/>
  </r>
  <r>
    <x v="9"/>
    <x v="51"/>
    <x v="13"/>
    <m/>
    <n v="0.90283999999999998"/>
    <n v="0.94006000000000001"/>
    <n v="0.92144999999999999"/>
    <n v="372.2"/>
  </r>
  <r>
    <x v="9"/>
    <x v="51"/>
    <x v="13"/>
    <m/>
    <n v="0.90283999999999998"/>
    <n v="0.94006000000000001"/>
    <n v="0.92144999999999999"/>
    <n v="372.2"/>
  </r>
  <r>
    <x v="9"/>
    <x v="51"/>
    <x v="13"/>
    <m/>
    <n v="0.90283999999999998"/>
    <n v="0.94006000000000001"/>
    <n v="0.92144999999999999"/>
    <n v="372.2"/>
  </r>
  <r>
    <x v="9"/>
    <x v="51"/>
    <x v="13"/>
    <m/>
    <n v="0.90283999999999998"/>
    <n v="0.94006000000000001"/>
    <n v="0.92144999999999999"/>
    <n v="372.2"/>
  </r>
  <r>
    <x v="9"/>
    <x v="51"/>
    <x v="13"/>
    <m/>
    <n v="0.90283999999999998"/>
    <n v="0.94006000000000001"/>
    <n v="0.92144999999999999"/>
    <n v="372.2"/>
  </r>
  <r>
    <x v="9"/>
    <x v="51"/>
    <x v="13"/>
    <m/>
    <n v="0.90283999999999998"/>
    <n v="0.94006000000000001"/>
    <n v="0.92144999999999999"/>
    <n v="372.2"/>
  </r>
  <r>
    <x v="9"/>
    <x v="51"/>
    <x v="13"/>
    <m/>
    <n v="0.90283999999999998"/>
    <n v="0.94006000000000001"/>
    <n v="0.92144999999999999"/>
    <n v="372.2"/>
  </r>
  <r>
    <x v="9"/>
    <x v="51"/>
    <x v="13"/>
    <m/>
    <n v="0.90283999999999998"/>
    <n v="0.94006000000000001"/>
    <n v="0.92144999999999999"/>
    <n v="372.2"/>
  </r>
  <r>
    <x v="9"/>
    <x v="51"/>
    <x v="13"/>
    <m/>
    <n v="0.90283999999999998"/>
    <n v="0.94006000000000001"/>
    <n v="0.92144999999999999"/>
    <n v="372.2"/>
  </r>
  <r>
    <x v="9"/>
    <x v="51"/>
    <x v="13"/>
    <m/>
    <n v="0.90283999999999998"/>
    <n v="0.94006000000000001"/>
    <n v="0.92144999999999999"/>
    <n v="372.2"/>
  </r>
  <r>
    <x v="9"/>
    <x v="51"/>
    <x v="13"/>
    <m/>
    <n v="0.90283999999999998"/>
    <n v="0.94006000000000001"/>
    <n v="0.92144999999999999"/>
    <n v="372.2"/>
  </r>
  <r>
    <x v="9"/>
    <x v="51"/>
    <x v="13"/>
    <m/>
    <n v="0.90283999999999998"/>
    <n v="0.94006000000000001"/>
    <n v="0.92144999999999999"/>
    <n v="372.2"/>
  </r>
  <r>
    <x v="9"/>
    <x v="51"/>
    <x v="13"/>
    <m/>
    <n v="0.90283999999999998"/>
    <n v="0.94006000000000001"/>
    <n v="0.92144999999999999"/>
    <n v="372.2"/>
  </r>
  <r>
    <x v="9"/>
    <x v="51"/>
    <x v="13"/>
    <m/>
    <n v="0.90283999999999998"/>
    <n v="0.94006000000000001"/>
    <n v="0.92144999999999999"/>
    <n v="372.2"/>
  </r>
  <r>
    <x v="9"/>
    <x v="51"/>
    <x v="13"/>
    <m/>
    <n v="0.90283999999999998"/>
    <n v="0.94006000000000001"/>
    <n v="0.92144999999999999"/>
    <n v="372.2"/>
  </r>
  <r>
    <x v="9"/>
    <x v="51"/>
    <x v="13"/>
    <m/>
    <n v="0.90283999999999998"/>
    <n v="0.94006000000000001"/>
    <n v="0.92144999999999999"/>
    <n v="372.2"/>
  </r>
  <r>
    <x v="9"/>
    <x v="51"/>
    <x v="13"/>
    <m/>
    <n v="0.90283999999999998"/>
    <n v="0.94006000000000001"/>
    <n v="0.92144999999999999"/>
    <n v="372.2"/>
  </r>
  <r>
    <x v="9"/>
    <x v="51"/>
    <x v="13"/>
    <m/>
    <n v="0.90283999999999998"/>
    <n v="0.94006000000000001"/>
    <n v="0.92144999999999999"/>
    <n v="372.2"/>
  </r>
  <r>
    <x v="9"/>
    <x v="51"/>
    <x v="13"/>
    <m/>
    <n v="0.90283999999999998"/>
    <n v="0.94006000000000001"/>
    <n v="0.92144999999999999"/>
    <n v="372.2"/>
  </r>
  <r>
    <x v="9"/>
    <x v="51"/>
    <x v="13"/>
    <m/>
    <n v="0.90283999999999998"/>
    <n v="0.94006000000000001"/>
    <n v="0.92144999999999999"/>
    <n v="372.2"/>
  </r>
  <r>
    <x v="9"/>
    <x v="51"/>
    <x v="13"/>
    <m/>
    <n v="0.90283999999999998"/>
    <n v="0.94006000000000001"/>
    <n v="0.92144999999999999"/>
    <n v="372.2"/>
  </r>
  <r>
    <x v="9"/>
    <x v="51"/>
    <x v="13"/>
    <m/>
    <n v="0.90283999999999998"/>
    <n v="0.94006000000000001"/>
    <n v="0.92144999999999999"/>
    <n v="372.2"/>
  </r>
  <r>
    <x v="9"/>
    <x v="51"/>
    <x v="13"/>
    <m/>
    <n v="0.90283999999999998"/>
    <n v="0.94006000000000001"/>
    <n v="0.92144999999999999"/>
    <n v="372.2"/>
  </r>
  <r>
    <x v="9"/>
    <x v="51"/>
    <x v="13"/>
    <m/>
    <n v="0.90283999999999998"/>
    <n v="0.94006000000000001"/>
    <n v="0.92144999999999999"/>
    <n v="372.2"/>
  </r>
  <r>
    <x v="9"/>
    <x v="51"/>
    <x v="9"/>
    <m/>
    <n v="0.82630999999999999"/>
    <n v="0.83677999999999997"/>
    <n v="0.83154499999999998"/>
    <n v="104.7"/>
  </r>
  <r>
    <x v="9"/>
    <x v="51"/>
    <x v="9"/>
    <m/>
    <n v="0.82630999999999999"/>
    <n v="0.83677999999999997"/>
    <n v="0.83154499999999998"/>
    <n v="104.7"/>
  </r>
  <r>
    <x v="9"/>
    <x v="51"/>
    <x v="9"/>
    <m/>
    <n v="0.82630999999999999"/>
    <n v="0.83677999999999997"/>
    <n v="0.83154499999999998"/>
    <n v="104.7"/>
  </r>
  <r>
    <x v="9"/>
    <x v="51"/>
    <x v="9"/>
    <m/>
    <n v="0.82630999999999999"/>
    <n v="0.83677999999999997"/>
    <n v="0.83154499999999998"/>
    <n v="104.7"/>
  </r>
  <r>
    <x v="9"/>
    <x v="51"/>
    <x v="9"/>
    <m/>
    <n v="0.82630999999999999"/>
    <n v="0.83677999999999997"/>
    <n v="0.83154499999999998"/>
    <n v="104.7"/>
  </r>
  <r>
    <x v="9"/>
    <x v="51"/>
    <x v="9"/>
    <m/>
    <n v="0.82630999999999999"/>
    <n v="0.83677999999999997"/>
    <n v="0.83154499999999998"/>
    <n v="104.7"/>
  </r>
  <r>
    <x v="9"/>
    <x v="51"/>
    <x v="9"/>
    <m/>
    <n v="0.82630999999999999"/>
    <n v="0.83677999999999997"/>
    <n v="0.83154499999999998"/>
    <n v="104.7"/>
  </r>
  <r>
    <x v="9"/>
    <x v="51"/>
    <x v="9"/>
    <m/>
    <n v="0.82630999999999999"/>
    <n v="0.83677999999999997"/>
    <n v="0.83154499999999998"/>
    <n v="104.7"/>
  </r>
  <r>
    <x v="9"/>
    <x v="51"/>
    <x v="9"/>
    <m/>
    <n v="0.82630999999999999"/>
    <n v="0.83677999999999997"/>
    <n v="0.83154499999999998"/>
    <n v="104.7"/>
  </r>
  <r>
    <x v="9"/>
    <x v="51"/>
    <x v="9"/>
    <m/>
    <n v="0.82630999999999999"/>
    <n v="0.83677999999999997"/>
    <n v="0.83154499999999998"/>
    <n v="104.7"/>
  </r>
  <r>
    <x v="9"/>
    <x v="51"/>
    <x v="9"/>
    <m/>
    <n v="0.82630999999999999"/>
    <n v="0.83677999999999997"/>
    <n v="0.83154499999999998"/>
    <n v="104.7"/>
  </r>
  <r>
    <x v="9"/>
    <x v="51"/>
    <x v="0"/>
    <m/>
    <n v="1.9189400000000001"/>
    <n v="1.9743999999999999"/>
    <n v="1.9466699999999999"/>
    <n v="554.6"/>
  </r>
  <r>
    <x v="9"/>
    <x v="51"/>
    <x v="0"/>
    <m/>
    <n v="1.9189400000000001"/>
    <n v="1.9743999999999999"/>
    <n v="1.9466699999999999"/>
    <n v="554.6"/>
  </r>
  <r>
    <x v="9"/>
    <x v="51"/>
    <x v="0"/>
    <m/>
    <n v="1.9189400000000001"/>
    <n v="1.9743999999999999"/>
    <n v="1.9466699999999999"/>
    <n v="554.6"/>
  </r>
  <r>
    <x v="9"/>
    <x v="51"/>
    <x v="0"/>
    <m/>
    <n v="1.9189400000000001"/>
    <n v="1.9743999999999999"/>
    <n v="1.9466699999999999"/>
    <n v="554.6"/>
  </r>
  <r>
    <x v="9"/>
    <x v="51"/>
    <x v="0"/>
    <m/>
    <n v="1.9189400000000001"/>
    <n v="1.9743999999999999"/>
    <n v="1.9466699999999999"/>
    <n v="554.6"/>
  </r>
  <r>
    <x v="9"/>
    <x v="51"/>
    <x v="0"/>
    <m/>
    <n v="1.9189400000000001"/>
    <n v="1.9743999999999999"/>
    <n v="1.9466699999999999"/>
    <n v="554.6"/>
  </r>
  <r>
    <x v="9"/>
    <x v="51"/>
    <x v="0"/>
    <m/>
    <n v="1.9189400000000001"/>
    <n v="1.9743999999999999"/>
    <n v="1.9466699999999999"/>
    <n v="554.6"/>
  </r>
  <r>
    <x v="9"/>
    <x v="51"/>
    <x v="0"/>
    <m/>
    <n v="1.9189400000000001"/>
    <n v="1.9743999999999999"/>
    <n v="1.9466699999999999"/>
    <n v="554.6"/>
  </r>
  <r>
    <x v="9"/>
    <x v="51"/>
    <x v="0"/>
    <m/>
    <n v="1.9189400000000001"/>
    <n v="1.9743999999999999"/>
    <n v="1.9466699999999999"/>
    <n v="554.6"/>
  </r>
  <r>
    <x v="9"/>
    <x v="51"/>
    <x v="0"/>
    <m/>
    <n v="1.9189400000000001"/>
    <n v="1.9743999999999999"/>
    <n v="1.9466699999999999"/>
    <n v="554.6"/>
  </r>
  <r>
    <x v="9"/>
    <x v="51"/>
    <x v="0"/>
    <m/>
    <n v="1.9189400000000001"/>
    <n v="1.9743999999999999"/>
    <n v="1.9466699999999999"/>
    <n v="554.6"/>
  </r>
  <r>
    <x v="9"/>
    <x v="51"/>
    <x v="0"/>
    <m/>
    <n v="1.9189400000000001"/>
    <n v="1.9743999999999999"/>
    <n v="1.9466699999999999"/>
    <n v="554.6"/>
  </r>
  <r>
    <x v="9"/>
    <x v="51"/>
    <x v="0"/>
    <m/>
    <n v="1.9189400000000001"/>
    <n v="1.9743999999999999"/>
    <n v="1.9466699999999999"/>
    <n v="554.6"/>
  </r>
  <r>
    <x v="9"/>
    <x v="51"/>
    <x v="0"/>
    <m/>
    <n v="1.9189400000000001"/>
    <n v="1.9743999999999999"/>
    <n v="1.9466699999999999"/>
    <n v="554.6"/>
  </r>
  <r>
    <x v="9"/>
    <x v="51"/>
    <x v="0"/>
    <m/>
    <n v="1.9189400000000001"/>
    <n v="1.9743999999999999"/>
    <n v="1.9466699999999999"/>
    <n v="554.6"/>
  </r>
  <r>
    <x v="9"/>
    <x v="51"/>
    <x v="0"/>
    <m/>
    <n v="1.9189400000000001"/>
    <n v="1.9743999999999999"/>
    <n v="1.9466699999999999"/>
    <n v="554.6"/>
  </r>
  <r>
    <x v="9"/>
    <x v="51"/>
    <x v="0"/>
    <m/>
    <n v="1.9189400000000001"/>
    <n v="1.9743999999999999"/>
    <n v="1.9466699999999999"/>
    <n v="554.6"/>
  </r>
  <r>
    <x v="9"/>
    <x v="51"/>
    <x v="0"/>
    <m/>
    <n v="1.9189400000000001"/>
    <n v="1.9743999999999999"/>
    <n v="1.9466699999999999"/>
    <n v="554.6"/>
  </r>
  <r>
    <x v="9"/>
    <x v="51"/>
    <x v="0"/>
    <m/>
    <n v="1.9189400000000001"/>
    <n v="1.9743999999999999"/>
    <n v="1.9466699999999999"/>
    <n v="554.6"/>
  </r>
  <r>
    <x v="9"/>
    <x v="51"/>
    <x v="0"/>
    <m/>
    <n v="1.9189400000000001"/>
    <n v="1.9743999999999999"/>
    <n v="1.9466699999999999"/>
    <n v="554.6"/>
  </r>
  <r>
    <x v="9"/>
    <x v="51"/>
    <x v="0"/>
    <m/>
    <n v="1.9189400000000001"/>
    <n v="1.9743999999999999"/>
    <n v="1.9466699999999999"/>
    <n v="554.6"/>
  </r>
  <r>
    <x v="9"/>
    <x v="51"/>
    <x v="0"/>
    <m/>
    <n v="1.9189400000000001"/>
    <n v="1.9743999999999999"/>
    <n v="1.9466699999999999"/>
    <n v="554.6"/>
  </r>
  <r>
    <x v="9"/>
    <x v="51"/>
    <x v="0"/>
    <m/>
    <n v="1.9189400000000001"/>
    <n v="1.9743999999999999"/>
    <n v="1.9466699999999999"/>
    <n v="554.6"/>
  </r>
  <r>
    <x v="9"/>
    <x v="51"/>
    <x v="0"/>
    <m/>
    <n v="1.9189400000000001"/>
    <n v="1.9743999999999999"/>
    <n v="1.9466699999999999"/>
    <n v="554.6"/>
  </r>
  <r>
    <x v="9"/>
    <x v="52"/>
    <x v="0"/>
    <m/>
    <n v="1.9189400000000001"/>
    <n v="1.9743999999999999"/>
    <n v="1.9466699999999999"/>
    <n v="554.6"/>
  </r>
  <r>
    <x v="9"/>
    <x v="52"/>
    <x v="2"/>
    <m/>
    <n v="101.33199999999999"/>
    <n v="103.343"/>
    <n v="102.33750000000001"/>
    <n v="201.1"/>
  </r>
  <r>
    <x v="9"/>
    <x v="52"/>
    <x v="2"/>
    <m/>
    <n v="101.33199999999999"/>
    <n v="103.343"/>
    <n v="102.33750000000001"/>
    <n v="201.1"/>
  </r>
  <r>
    <x v="9"/>
    <x v="52"/>
    <x v="2"/>
    <m/>
    <n v="101.33199999999999"/>
    <n v="103.343"/>
    <n v="102.33750000000001"/>
    <n v="201.1"/>
  </r>
  <r>
    <x v="9"/>
    <x v="52"/>
    <x v="2"/>
    <m/>
    <n v="101.33199999999999"/>
    <n v="103.343"/>
    <n v="102.33750000000001"/>
    <n v="201.1"/>
  </r>
  <r>
    <x v="9"/>
    <x v="52"/>
    <x v="2"/>
    <m/>
    <n v="101.33199999999999"/>
    <n v="103.343"/>
    <n v="102.33750000000001"/>
    <n v="201.1"/>
  </r>
  <r>
    <x v="9"/>
    <x v="52"/>
    <x v="2"/>
    <m/>
    <n v="101.33199999999999"/>
    <n v="103.343"/>
    <n v="102.33750000000001"/>
    <n v="201.1"/>
  </r>
  <r>
    <x v="9"/>
    <x v="52"/>
    <x v="2"/>
    <m/>
    <n v="101.33199999999999"/>
    <n v="103.343"/>
    <n v="102.33750000000001"/>
    <n v="201.1"/>
  </r>
  <r>
    <x v="9"/>
    <x v="52"/>
    <x v="2"/>
    <m/>
    <n v="101.33199999999999"/>
    <n v="103.343"/>
    <n v="102.33750000000001"/>
    <n v="201.1"/>
  </r>
  <r>
    <x v="9"/>
    <x v="52"/>
    <x v="2"/>
    <m/>
    <n v="101.33199999999999"/>
    <n v="103.343"/>
    <n v="102.33750000000001"/>
    <n v="201.1"/>
  </r>
  <r>
    <x v="9"/>
    <x v="52"/>
    <x v="2"/>
    <m/>
    <n v="101.33199999999999"/>
    <n v="103.343"/>
    <n v="102.33750000000001"/>
    <n v="201.1"/>
  </r>
  <r>
    <x v="9"/>
    <x v="52"/>
    <x v="2"/>
    <m/>
    <n v="101.33199999999999"/>
    <n v="103.343"/>
    <n v="102.33750000000001"/>
    <n v="201.1"/>
  </r>
  <r>
    <x v="9"/>
    <x v="52"/>
    <x v="2"/>
    <m/>
    <n v="101.33199999999999"/>
    <n v="103.343"/>
    <n v="102.33750000000001"/>
    <n v="201.1"/>
  </r>
  <r>
    <x v="9"/>
    <x v="52"/>
    <x v="2"/>
    <m/>
    <n v="101.33199999999999"/>
    <n v="103.343"/>
    <n v="102.33750000000001"/>
    <n v="201.1"/>
  </r>
  <r>
    <x v="9"/>
    <x v="52"/>
    <x v="2"/>
    <m/>
    <n v="101.33199999999999"/>
    <n v="103.343"/>
    <n v="102.33750000000001"/>
    <n v="201.1"/>
  </r>
  <r>
    <x v="9"/>
    <x v="52"/>
    <x v="2"/>
    <m/>
    <n v="101.33199999999999"/>
    <n v="103.343"/>
    <n v="102.33750000000001"/>
    <n v="201.1"/>
  </r>
  <r>
    <x v="9"/>
    <x v="52"/>
    <x v="13"/>
    <m/>
    <n v="0.90283999999999998"/>
    <n v="0.94006000000000001"/>
    <n v="0.92144999999999999"/>
    <n v="372.2"/>
  </r>
  <r>
    <x v="9"/>
    <x v="52"/>
    <x v="13"/>
    <m/>
    <n v="0.90283999999999998"/>
    <n v="0.94006000000000001"/>
    <n v="0.92144999999999999"/>
    <n v="372.2"/>
  </r>
  <r>
    <x v="9"/>
    <x v="52"/>
    <x v="13"/>
    <m/>
    <n v="0.90283999999999998"/>
    <n v="0.94006000000000001"/>
    <n v="0.92144999999999999"/>
    <n v="372.2"/>
  </r>
  <r>
    <x v="9"/>
    <x v="52"/>
    <x v="13"/>
    <m/>
    <n v="0.90283999999999998"/>
    <n v="0.94006000000000001"/>
    <n v="0.92144999999999999"/>
    <n v="372.2"/>
  </r>
  <r>
    <x v="9"/>
    <x v="52"/>
    <x v="13"/>
    <m/>
    <n v="0.90283999999999998"/>
    <n v="0.94006000000000001"/>
    <n v="0.92144999999999999"/>
    <n v="372.2"/>
  </r>
  <r>
    <x v="9"/>
    <x v="52"/>
    <x v="13"/>
    <m/>
    <n v="0.90283999999999998"/>
    <n v="0.94006000000000001"/>
    <n v="0.92144999999999999"/>
    <n v="372.2"/>
  </r>
  <r>
    <x v="9"/>
    <x v="52"/>
    <x v="13"/>
    <m/>
    <n v="0.90283999999999998"/>
    <n v="0.94006000000000001"/>
    <n v="0.92144999999999999"/>
    <n v="372.2"/>
  </r>
  <r>
    <x v="9"/>
    <x v="52"/>
    <x v="13"/>
    <m/>
    <n v="0.90283999999999998"/>
    <n v="0.94006000000000001"/>
    <n v="0.92144999999999999"/>
    <n v="372.2"/>
  </r>
  <r>
    <x v="9"/>
    <x v="52"/>
    <x v="13"/>
    <m/>
    <n v="0.90283999999999998"/>
    <n v="0.94006000000000001"/>
    <n v="0.92144999999999999"/>
    <n v="372.2"/>
  </r>
  <r>
    <x v="9"/>
    <x v="52"/>
    <x v="13"/>
    <m/>
    <n v="0.90283999999999998"/>
    <n v="0.94006000000000001"/>
    <n v="0.92144999999999999"/>
    <n v="372.2"/>
  </r>
  <r>
    <x v="9"/>
    <x v="52"/>
    <x v="13"/>
    <m/>
    <n v="0.90283999999999998"/>
    <n v="0.94006000000000001"/>
    <n v="0.92144999999999999"/>
    <n v="372.2"/>
  </r>
  <r>
    <x v="9"/>
    <x v="52"/>
    <x v="13"/>
    <m/>
    <n v="0.90283999999999998"/>
    <n v="0.94006000000000001"/>
    <n v="0.92144999999999999"/>
    <n v="372.2"/>
  </r>
  <r>
    <x v="9"/>
    <x v="52"/>
    <x v="13"/>
    <m/>
    <n v="0.90283999999999998"/>
    <n v="0.94006000000000001"/>
    <n v="0.92144999999999999"/>
    <n v="372.2"/>
  </r>
  <r>
    <x v="9"/>
    <x v="52"/>
    <x v="13"/>
    <m/>
    <n v="0.90283999999999998"/>
    <n v="0.94006000000000001"/>
    <n v="0.92144999999999999"/>
    <n v="372.2"/>
  </r>
  <r>
    <x v="9"/>
    <x v="52"/>
    <x v="13"/>
    <m/>
    <n v="0.90283999999999998"/>
    <n v="0.94006000000000001"/>
    <n v="0.92144999999999999"/>
    <n v="372.2"/>
  </r>
  <r>
    <x v="9"/>
    <x v="52"/>
    <x v="13"/>
    <m/>
    <n v="0.90283999999999998"/>
    <n v="0.94006000000000001"/>
    <n v="0.92144999999999999"/>
    <n v="372.2"/>
  </r>
  <r>
    <x v="9"/>
    <x v="52"/>
    <x v="13"/>
    <m/>
    <n v="0.90283999999999998"/>
    <n v="0.94006000000000001"/>
    <n v="0.92144999999999999"/>
    <n v="372.2"/>
  </r>
  <r>
    <x v="9"/>
    <x v="52"/>
    <x v="13"/>
    <m/>
    <n v="0.90283999999999998"/>
    <n v="0.94006000000000001"/>
    <n v="0.92144999999999999"/>
    <n v="372.2"/>
  </r>
  <r>
    <x v="9"/>
    <x v="52"/>
    <x v="13"/>
    <m/>
    <n v="0.90283999999999998"/>
    <n v="0.94006000000000001"/>
    <n v="0.92144999999999999"/>
    <n v="372.2"/>
  </r>
  <r>
    <x v="9"/>
    <x v="52"/>
    <x v="13"/>
    <m/>
    <n v="0.90283999999999998"/>
    <n v="0.94006000000000001"/>
    <n v="0.92144999999999999"/>
    <n v="372.2"/>
  </r>
  <r>
    <x v="9"/>
    <x v="52"/>
    <x v="13"/>
    <m/>
    <n v="0.90283999999999998"/>
    <n v="0.94006000000000001"/>
    <n v="0.92144999999999999"/>
    <n v="372.2"/>
  </r>
  <r>
    <x v="9"/>
    <x v="52"/>
    <x v="13"/>
    <m/>
    <n v="0.90283999999999998"/>
    <n v="0.94006000000000001"/>
    <n v="0.92144999999999999"/>
    <n v="372.2"/>
  </r>
  <r>
    <x v="9"/>
    <x v="52"/>
    <x v="13"/>
    <m/>
    <n v="0.90283999999999998"/>
    <n v="0.94006000000000001"/>
    <n v="0.92144999999999999"/>
    <n v="372.2"/>
  </r>
  <r>
    <x v="9"/>
    <x v="52"/>
    <x v="13"/>
    <m/>
    <n v="0.90283999999999998"/>
    <n v="0.94006000000000001"/>
    <n v="0.92144999999999999"/>
    <n v="372.2"/>
  </r>
  <r>
    <x v="9"/>
    <x v="52"/>
    <x v="13"/>
    <m/>
    <n v="0.90283999999999998"/>
    <n v="0.94006000000000001"/>
    <n v="0.92144999999999999"/>
    <n v="372.2"/>
  </r>
  <r>
    <x v="9"/>
    <x v="52"/>
    <x v="13"/>
    <m/>
    <n v="0.90283999999999998"/>
    <n v="0.94006000000000001"/>
    <n v="0.92144999999999999"/>
    <n v="372.2"/>
  </r>
  <r>
    <x v="9"/>
    <x v="52"/>
    <x v="13"/>
    <m/>
    <n v="0.90283999999999998"/>
    <n v="0.94006000000000001"/>
    <n v="0.92144999999999999"/>
    <n v="372.2"/>
  </r>
  <r>
    <x v="9"/>
    <x v="52"/>
    <x v="13"/>
    <m/>
    <n v="0.90283999999999998"/>
    <n v="0.94006000000000001"/>
    <n v="0.92144999999999999"/>
    <n v="372.2"/>
  </r>
  <r>
    <x v="9"/>
    <x v="52"/>
    <x v="9"/>
    <m/>
    <n v="0.82249000000000005"/>
    <n v="0.83677999999999997"/>
    <n v="0.82963500000000001"/>
    <n v="142.9"/>
  </r>
  <r>
    <x v="9"/>
    <x v="52"/>
    <x v="9"/>
    <m/>
    <n v="0.82249000000000005"/>
    <n v="0.83677999999999997"/>
    <n v="0.82963500000000001"/>
    <n v="142.9"/>
  </r>
  <r>
    <x v="9"/>
    <x v="52"/>
    <x v="9"/>
    <m/>
    <n v="0.82249000000000005"/>
    <n v="0.83677999999999997"/>
    <n v="0.82963500000000001"/>
    <n v="142.9"/>
  </r>
  <r>
    <x v="9"/>
    <x v="52"/>
    <x v="9"/>
    <m/>
    <n v="0.82249000000000005"/>
    <n v="0.83677999999999997"/>
    <n v="0.82963500000000001"/>
    <n v="142.9"/>
  </r>
  <r>
    <x v="9"/>
    <x v="52"/>
    <x v="9"/>
    <m/>
    <n v="0.82249000000000005"/>
    <n v="0.83677999999999997"/>
    <n v="0.82963500000000001"/>
    <n v="142.9"/>
  </r>
  <r>
    <x v="9"/>
    <x v="52"/>
    <x v="9"/>
    <m/>
    <n v="0.82249000000000005"/>
    <n v="0.83677999999999997"/>
    <n v="0.82963500000000001"/>
    <n v="142.9"/>
  </r>
  <r>
    <x v="9"/>
    <x v="52"/>
    <x v="9"/>
    <m/>
    <n v="0.82249000000000005"/>
    <n v="0.83677999999999997"/>
    <n v="0.82963500000000001"/>
    <n v="142.9"/>
  </r>
  <r>
    <x v="9"/>
    <x v="52"/>
    <x v="9"/>
    <m/>
    <n v="0.82249000000000005"/>
    <n v="0.83677999999999997"/>
    <n v="0.82963500000000001"/>
    <n v="142.9"/>
  </r>
  <r>
    <x v="9"/>
    <x v="52"/>
    <x v="9"/>
    <m/>
    <n v="0.82249000000000005"/>
    <n v="0.83677999999999997"/>
    <n v="0.82963500000000001"/>
    <n v="142.9"/>
  </r>
  <r>
    <x v="9"/>
    <x v="52"/>
    <x v="9"/>
    <m/>
    <n v="0.82249000000000005"/>
    <n v="0.83677999999999997"/>
    <n v="0.82963500000000001"/>
    <n v="142.9"/>
  </r>
  <r>
    <x v="9"/>
    <x v="52"/>
    <x v="9"/>
    <m/>
    <n v="0.82249000000000005"/>
    <n v="0.83677999999999997"/>
    <n v="0.82963500000000001"/>
    <n v="142.9"/>
  </r>
  <r>
    <x v="9"/>
    <x v="52"/>
    <x v="0"/>
    <m/>
    <n v="1.9189400000000001"/>
    <n v="1.9743999999999999"/>
    <n v="1.9466699999999999"/>
    <n v="554.6"/>
  </r>
  <r>
    <x v="9"/>
    <x v="52"/>
    <x v="0"/>
    <m/>
    <n v="1.9189400000000001"/>
    <n v="1.9743999999999999"/>
    <n v="1.9466699999999999"/>
    <n v="554.6"/>
  </r>
  <r>
    <x v="9"/>
    <x v="52"/>
    <x v="0"/>
    <m/>
    <n v="1.9189400000000001"/>
    <n v="1.9743999999999999"/>
    <n v="1.9466699999999999"/>
    <n v="554.6"/>
  </r>
  <r>
    <x v="9"/>
    <x v="52"/>
    <x v="0"/>
    <m/>
    <n v="1.9189400000000001"/>
    <n v="1.9743999999999999"/>
    <n v="1.9466699999999999"/>
    <n v="554.6"/>
  </r>
  <r>
    <x v="9"/>
    <x v="52"/>
    <x v="0"/>
    <m/>
    <n v="1.9189400000000001"/>
    <n v="1.9743999999999999"/>
    <n v="1.9466699999999999"/>
    <n v="554.6"/>
  </r>
  <r>
    <x v="9"/>
    <x v="52"/>
    <x v="0"/>
    <m/>
    <n v="1.9189400000000001"/>
    <n v="1.9743999999999999"/>
    <n v="1.9466699999999999"/>
    <n v="554.6"/>
  </r>
  <r>
    <x v="9"/>
    <x v="52"/>
    <x v="0"/>
    <m/>
    <n v="1.9189400000000001"/>
    <n v="1.9743999999999999"/>
    <n v="1.9466699999999999"/>
    <n v="554.6"/>
  </r>
  <r>
    <x v="9"/>
    <x v="52"/>
    <x v="0"/>
    <m/>
    <n v="1.9189400000000001"/>
    <n v="1.9743999999999999"/>
    <n v="1.9466699999999999"/>
    <n v="554.6"/>
  </r>
  <r>
    <x v="9"/>
    <x v="52"/>
    <x v="0"/>
    <m/>
    <n v="1.9189400000000001"/>
    <n v="1.9743999999999999"/>
    <n v="1.9466699999999999"/>
    <n v="554.6"/>
  </r>
  <r>
    <x v="9"/>
    <x v="52"/>
    <x v="0"/>
    <m/>
    <n v="1.9189400000000001"/>
    <n v="1.9743999999999999"/>
    <n v="1.9466699999999999"/>
    <n v="554.6"/>
  </r>
  <r>
    <x v="9"/>
    <x v="52"/>
    <x v="0"/>
    <m/>
    <n v="1.9189400000000001"/>
    <n v="1.9743999999999999"/>
    <n v="1.9466699999999999"/>
    <n v="554.6"/>
  </r>
  <r>
    <x v="9"/>
    <x v="52"/>
    <x v="0"/>
    <m/>
    <n v="1.9189400000000001"/>
    <n v="1.9743999999999999"/>
    <n v="1.9466699999999999"/>
    <n v="554.6"/>
  </r>
  <r>
    <x v="9"/>
    <x v="52"/>
    <x v="0"/>
    <m/>
    <n v="1.9189400000000001"/>
    <n v="1.9743999999999999"/>
    <n v="1.9466699999999999"/>
    <n v="554.6"/>
  </r>
  <r>
    <x v="9"/>
    <x v="52"/>
    <x v="0"/>
    <m/>
    <n v="1.9189400000000001"/>
    <n v="1.9743999999999999"/>
    <n v="1.9466699999999999"/>
    <n v="554.6"/>
  </r>
  <r>
    <x v="9"/>
    <x v="52"/>
    <x v="0"/>
    <m/>
    <n v="1.9189400000000001"/>
    <n v="1.9743999999999999"/>
    <n v="1.9466699999999999"/>
    <n v="554.6"/>
  </r>
  <r>
    <x v="9"/>
    <x v="52"/>
    <x v="0"/>
    <m/>
    <n v="1.9189400000000001"/>
    <n v="1.9743999999999999"/>
    <n v="1.9466699999999999"/>
    <n v="554.6"/>
  </r>
  <r>
    <x v="9"/>
    <x v="52"/>
    <x v="0"/>
    <m/>
    <n v="1.9189400000000001"/>
    <n v="1.9743999999999999"/>
    <n v="1.9466699999999999"/>
    <n v="554.6"/>
  </r>
  <r>
    <x v="9"/>
    <x v="52"/>
    <x v="0"/>
    <m/>
    <n v="1.9189400000000001"/>
    <n v="1.9743999999999999"/>
    <n v="1.9466699999999999"/>
    <n v="554.6"/>
  </r>
  <r>
    <x v="9"/>
    <x v="52"/>
    <x v="0"/>
    <m/>
    <n v="1.9189400000000001"/>
    <n v="1.9743999999999999"/>
    <n v="1.9466699999999999"/>
    <n v="554.6"/>
  </r>
  <r>
    <x v="9"/>
    <x v="52"/>
    <x v="0"/>
    <m/>
    <n v="1.9189400000000001"/>
    <n v="1.9743999999999999"/>
    <n v="1.9466699999999999"/>
    <n v="554.6"/>
  </r>
  <r>
    <x v="9"/>
    <x v="52"/>
    <x v="0"/>
    <m/>
    <n v="1.9189400000000001"/>
    <n v="1.9743999999999999"/>
    <n v="1.9466699999999999"/>
    <n v="554.6"/>
  </r>
  <r>
    <x v="9"/>
    <x v="52"/>
    <x v="0"/>
    <m/>
    <n v="1.9189400000000001"/>
    <n v="1.9743999999999999"/>
    <n v="1.9466699999999999"/>
    <n v="554.6"/>
  </r>
  <r>
    <x v="9"/>
    <x v="52"/>
    <x v="0"/>
    <m/>
    <n v="1.9189400000000001"/>
    <n v="1.9743999999999999"/>
    <n v="1.9466699999999999"/>
    <n v="554.6"/>
  </r>
  <r>
    <x v="9"/>
    <x v="52"/>
    <x v="0"/>
    <m/>
    <n v="1.9189400000000001"/>
    <n v="1.9743999999999999"/>
    <n v="1.9466699999999999"/>
    <n v="554.6"/>
  </r>
  <r>
    <x v="9"/>
    <x v="52"/>
    <x v="0"/>
    <m/>
    <n v="1.9189400000000001"/>
    <n v="1.9743999999999999"/>
    <n v="1.9466699999999999"/>
    <n v="554.6"/>
  </r>
  <r>
    <x v="9"/>
    <x v="53"/>
    <x v="13"/>
    <m/>
    <n v="0.90283999999999998"/>
    <n v="0.94006000000000001"/>
    <n v="0.92144999999999999"/>
    <n v="372.2"/>
  </r>
  <r>
    <x v="9"/>
    <x v="53"/>
    <x v="13"/>
    <m/>
    <n v="0.90283999999999998"/>
    <n v="0.94006000000000001"/>
    <n v="0.92144999999999999"/>
    <n v="372.2"/>
  </r>
  <r>
    <x v="9"/>
    <x v="53"/>
    <x v="13"/>
    <m/>
    <n v="0.90283999999999998"/>
    <n v="0.94006000000000001"/>
    <n v="0.92144999999999999"/>
    <n v="372.2"/>
  </r>
  <r>
    <x v="9"/>
    <x v="53"/>
    <x v="13"/>
    <m/>
    <n v="0.90283999999999998"/>
    <n v="0.94006000000000001"/>
    <n v="0.92144999999999999"/>
    <n v="372.2"/>
  </r>
  <r>
    <x v="9"/>
    <x v="53"/>
    <x v="13"/>
    <m/>
    <n v="0.90283999999999998"/>
    <n v="0.94006000000000001"/>
    <n v="0.92144999999999999"/>
    <n v="372.2"/>
  </r>
  <r>
    <x v="9"/>
    <x v="53"/>
    <x v="13"/>
    <m/>
    <n v="0.90283999999999998"/>
    <n v="0.94006000000000001"/>
    <n v="0.92144999999999999"/>
    <n v="372.2"/>
  </r>
  <r>
    <x v="9"/>
    <x v="53"/>
    <x v="13"/>
    <m/>
    <n v="0.90283999999999998"/>
    <n v="0.94006000000000001"/>
    <n v="0.92144999999999999"/>
    <n v="372.2"/>
  </r>
  <r>
    <x v="9"/>
    <x v="53"/>
    <x v="13"/>
    <m/>
    <n v="0.90283999999999998"/>
    <n v="0.94006000000000001"/>
    <n v="0.92144999999999999"/>
    <n v="372.2"/>
  </r>
  <r>
    <x v="9"/>
    <x v="53"/>
    <x v="13"/>
    <m/>
    <n v="0.90283999999999998"/>
    <n v="0.94006000000000001"/>
    <n v="0.92144999999999999"/>
    <n v="372.2"/>
  </r>
  <r>
    <x v="9"/>
    <x v="53"/>
    <x v="13"/>
    <m/>
    <n v="0.90283999999999998"/>
    <n v="0.94006000000000001"/>
    <n v="0.92144999999999999"/>
    <n v="372.2"/>
  </r>
  <r>
    <x v="9"/>
    <x v="53"/>
    <x v="13"/>
    <m/>
    <n v="0.90283999999999998"/>
    <n v="0.94006000000000001"/>
    <n v="0.92144999999999999"/>
    <n v="372.2"/>
  </r>
  <r>
    <x v="9"/>
    <x v="53"/>
    <x v="13"/>
    <m/>
    <n v="0.90283999999999998"/>
    <n v="0.94006000000000001"/>
    <n v="0.92144999999999999"/>
    <n v="372.2"/>
  </r>
  <r>
    <x v="9"/>
    <x v="53"/>
    <x v="13"/>
    <m/>
    <n v="0.90283999999999998"/>
    <n v="0.94006000000000001"/>
    <n v="0.92144999999999999"/>
    <n v="372.2"/>
  </r>
  <r>
    <x v="9"/>
    <x v="53"/>
    <x v="13"/>
    <m/>
    <n v="0.90283999999999998"/>
    <n v="0.94006000000000001"/>
    <n v="0.92144999999999999"/>
    <n v="372.2"/>
  </r>
  <r>
    <x v="9"/>
    <x v="53"/>
    <x v="13"/>
    <m/>
    <n v="0.90283999999999998"/>
    <n v="0.94006000000000001"/>
    <n v="0.92144999999999999"/>
    <n v="372.2"/>
  </r>
  <r>
    <x v="9"/>
    <x v="53"/>
    <x v="13"/>
    <m/>
    <n v="0.90283999999999998"/>
    <n v="0.94006000000000001"/>
    <n v="0.92144999999999999"/>
    <n v="372.2"/>
  </r>
  <r>
    <x v="9"/>
    <x v="53"/>
    <x v="13"/>
    <m/>
    <n v="0.90283999999999998"/>
    <n v="0.94006000000000001"/>
    <n v="0.92144999999999999"/>
    <n v="372.2"/>
  </r>
  <r>
    <x v="9"/>
    <x v="53"/>
    <x v="13"/>
    <m/>
    <n v="0.90283999999999998"/>
    <n v="0.94006000000000001"/>
    <n v="0.92144999999999999"/>
    <n v="372.2"/>
  </r>
  <r>
    <x v="9"/>
    <x v="53"/>
    <x v="13"/>
    <m/>
    <n v="0.90283999999999998"/>
    <n v="0.94006000000000001"/>
    <n v="0.92144999999999999"/>
    <n v="372.2"/>
  </r>
  <r>
    <x v="9"/>
    <x v="53"/>
    <x v="13"/>
    <m/>
    <n v="0.90283999999999998"/>
    <n v="0.94006000000000001"/>
    <n v="0.92144999999999999"/>
    <n v="372.2"/>
  </r>
  <r>
    <x v="9"/>
    <x v="53"/>
    <x v="13"/>
    <m/>
    <n v="0.90283999999999998"/>
    <n v="0.94006000000000001"/>
    <n v="0.92144999999999999"/>
    <n v="372.2"/>
  </r>
  <r>
    <x v="9"/>
    <x v="53"/>
    <x v="13"/>
    <m/>
    <n v="0.90283999999999998"/>
    <n v="0.94006000000000001"/>
    <n v="0.92144999999999999"/>
    <n v="372.2"/>
  </r>
  <r>
    <x v="9"/>
    <x v="53"/>
    <x v="13"/>
    <m/>
    <n v="0.90283999999999998"/>
    <n v="0.94006000000000001"/>
    <n v="0.92144999999999999"/>
    <n v="372.2"/>
  </r>
  <r>
    <x v="9"/>
    <x v="53"/>
    <x v="13"/>
    <m/>
    <n v="0.90283999999999998"/>
    <n v="0.94006000000000001"/>
    <n v="0.92144999999999999"/>
    <n v="372.2"/>
  </r>
  <r>
    <x v="9"/>
    <x v="53"/>
    <x v="13"/>
    <m/>
    <n v="0.90283999999999998"/>
    <n v="0.94006000000000001"/>
    <n v="0.92144999999999999"/>
    <n v="372.2"/>
  </r>
  <r>
    <x v="9"/>
    <x v="53"/>
    <x v="13"/>
    <m/>
    <n v="0.90283999999999998"/>
    <n v="0.94006000000000001"/>
    <n v="0.92144999999999999"/>
    <n v="372.2"/>
  </r>
  <r>
    <x v="9"/>
    <x v="53"/>
    <x v="13"/>
    <m/>
    <n v="0.90283999999999998"/>
    <n v="0.94006000000000001"/>
    <n v="0.92144999999999999"/>
    <n v="372.2"/>
  </r>
  <r>
    <x v="9"/>
    <x v="53"/>
    <x v="13"/>
    <m/>
    <n v="0.90283999999999998"/>
    <n v="0.94006000000000001"/>
    <n v="0.92144999999999999"/>
    <n v="372.2"/>
  </r>
  <r>
    <x v="9"/>
    <x v="53"/>
    <x v="9"/>
    <m/>
    <n v="0.82249000000000005"/>
    <n v="0.83677999999999997"/>
    <n v="0.82963500000000001"/>
    <n v="142.9"/>
  </r>
  <r>
    <x v="9"/>
    <x v="53"/>
    <x v="9"/>
    <m/>
    <n v="0.82249000000000005"/>
    <n v="0.83677999999999997"/>
    <n v="0.82963500000000001"/>
    <n v="142.9"/>
  </r>
  <r>
    <x v="9"/>
    <x v="53"/>
    <x v="9"/>
    <m/>
    <n v="0.82249000000000005"/>
    <n v="0.83677999999999997"/>
    <n v="0.82963500000000001"/>
    <n v="142.9"/>
  </r>
  <r>
    <x v="9"/>
    <x v="53"/>
    <x v="9"/>
    <m/>
    <n v="0.82249000000000005"/>
    <n v="0.83677999999999997"/>
    <n v="0.82963500000000001"/>
    <n v="142.9"/>
  </r>
  <r>
    <x v="9"/>
    <x v="53"/>
    <x v="9"/>
    <m/>
    <n v="0.82249000000000005"/>
    <n v="0.83677999999999997"/>
    <n v="0.82963500000000001"/>
    <n v="142.9"/>
  </r>
  <r>
    <x v="9"/>
    <x v="53"/>
    <x v="9"/>
    <m/>
    <n v="0.82249000000000005"/>
    <n v="0.83677999999999997"/>
    <n v="0.82963500000000001"/>
    <n v="142.9"/>
  </r>
  <r>
    <x v="9"/>
    <x v="53"/>
    <x v="9"/>
    <m/>
    <n v="0.82249000000000005"/>
    <n v="0.83677999999999997"/>
    <n v="0.82963500000000001"/>
    <n v="142.9"/>
  </r>
  <r>
    <x v="9"/>
    <x v="53"/>
    <x v="9"/>
    <m/>
    <n v="0.82249000000000005"/>
    <n v="0.83677999999999997"/>
    <n v="0.82963500000000001"/>
    <n v="142.9"/>
  </r>
  <r>
    <x v="9"/>
    <x v="53"/>
    <x v="9"/>
    <m/>
    <n v="0.82249000000000005"/>
    <n v="0.83677999999999997"/>
    <n v="0.82963500000000001"/>
    <n v="142.9"/>
  </r>
  <r>
    <x v="9"/>
    <x v="53"/>
    <x v="9"/>
    <m/>
    <n v="0.82249000000000005"/>
    <n v="0.83677999999999997"/>
    <n v="0.82963500000000001"/>
    <n v="142.9"/>
  </r>
  <r>
    <x v="9"/>
    <x v="53"/>
    <x v="9"/>
    <m/>
    <n v="0.82249000000000005"/>
    <n v="0.83677999999999997"/>
    <n v="0.82963500000000001"/>
    <n v="142.9"/>
  </r>
  <r>
    <x v="9"/>
    <x v="53"/>
    <x v="9"/>
    <m/>
    <n v="0.82249000000000005"/>
    <n v="0.83677999999999997"/>
    <n v="0.82963500000000001"/>
    <n v="142.9"/>
  </r>
  <r>
    <x v="9"/>
    <x v="53"/>
    <x v="0"/>
    <m/>
    <n v="1.9189400000000001"/>
    <n v="1.9743999999999999"/>
    <n v="1.9466699999999999"/>
    <n v="554.6"/>
  </r>
  <r>
    <x v="9"/>
    <x v="53"/>
    <x v="0"/>
    <m/>
    <n v="1.9189400000000001"/>
    <n v="1.9743999999999999"/>
    <n v="1.9466699999999999"/>
    <n v="554.6"/>
  </r>
  <r>
    <x v="9"/>
    <x v="53"/>
    <x v="0"/>
    <m/>
    <n v="1.9189400000000001"/>
    <n v="1.9743999999999999"/>
    <n v="1.9466699999999999"/>
    <n v="554.6"/>
  </r>
  <r>
    <x v="9"/>
    <x v="53"/>
    <x v="0"/>
    <m/>
    <n v="1.9189400000000001"/>
    <n v="1.9743999999999999"/>
    <n v="1.9466699999999999"/>
    <n v="554.6"/>
  </r>
  <r>
    <x v="9"/>
    <x v="53"/>
    <x v="0"/>
    <m/>
    <n v="1.9189400000000001"/>
    <n v="1.9743999999999999"/>
    <n v="1.9466699999999999"/>
    <n v="554.6"/>
  </r>
  <r>
    <x v="9"/>
    <x v="53"/>
    <x v="0"/>
    <m/>
    <n v="1.9189400000000001"/>
    <n v="1.9743999999999999"/>
    <n v="1.9466699999999999"/>
    <n v="554.6"/>
  </r>
  <r>
    <x v="9"/>
    <x v="53"/>
    <x v="0"/>
    <m/>
    <n v="1.9189400000000001"/>
    <n v="1.9743999999999999"/>
    <n v="1.9466699999999999"/>
    <n v="554.6"/>
  </r>
  <r>
    <x v="9"/>
    <x v="53"/>
    <x v="0"/>
    <m/>
    <n v="1.9189400000000001"/>
    <n v="1.9743999999999999"/>
    <n v="1.9466699999999999"/>
    <n v="554.6"/>
  </r>
  <r>
    <x v="9"/>
    <x v="53"/>
    <x v="0"/>
    <m/>
    <n v="1.9189400000000001"/>
    <n v="1.9743999999999999"/>
    <n v="1.9466699999999999"/>
    <n v="554.6"/>
  </r>
  <r>
    <x v="9"/>
    <x v="53"/>
    <x v="0"/>
    <m/>
    <n v="1.9189400000000001"/>
    <n v="1.9743999999999999"/>
    <n v="1.9466699999999999"/>
    <n v="554.6"/>
  </r>
  <r>
    <x v="9"/>
    <x v="53"/>
    <x v="0"/>
    <m/>
    <n v="1.9189400000000001"/>
    <n v="1.9743999999999999"/>
    <n v="1.9466699999999999"/>
    <n v="554.6"/>
  </r>
  <r>
    <x v="9"/>
    <x v="53"/>
    <x v="0"/>
    <m/>
    <n v="1.9189400000000001"/>
    <n v="1.9743999999999999"/>
    <n v="1.9466699999999999"/>
    <n v="554.6"/>
  </r>
  <r>
    <x v="9"/>
    <x v="53"/>
    <x v="0"/>
    <m/>
    <n v="1.9189400000000001"/>
    <n v="1.9743999999999999"/>
    <n v="1.9466699999999999"/>
    <n v="554.6"/>
  </r>
  <r>
    <x v="9"/>
    <x v="53"/>
    <x v="0"/>
    <m/>
    <n v="1.9189400000000001"/>
    <n v="1.9743999999999999"/>
    <n v="1.9466699999999999"/>
    <n v="554.6"/>
  </r>
  <r>
    <x v="9"/>
    <x v="53"/>
    <x v="0"/>
    <m/>
    <n v="1.9189400000000001"/>
    <n v="1.9743999999999999"/>
    <n v="1.9466699999999999"/>
    <n v="554.6"/>
  </r>
  <r>
    <x v="9"/>
    <x v="53"/>
    <x v="0"/>
    <m/>
    <n v="1.9189400000000001"/>
    <n v="1.9743999999999999"/>
    <n v="1.9466699999999999"/>
    <n v="554.6"/>
  </r>
  <r>
    <x v="9"/>
    <x v="53"/>
    <x v="0"/>
    <m/>
    <n v="1.9189400000000001"/>
    <n v="1.9743999999999999"/>
    <n v="1.9466699999999999"/>
    <n v="554.6"/>
  </r>
  <r>
    <x v="9"/>
    <x v="53"/>
    <x v="0"/>
    <m/>
    <n v="1.9189400000000001"/>
    <n v="1.9743999999999999"/>
    <n v="1.9466699999999999"/>
    <n v="554.6"/>
  </r>
  <r>
    <x v="9"/>
    <x v="53"/>
    <x v="0"/>
    <m/>
    <n v="1.9189400000000001"/>
    <n v="1.9743999999999999"/>
    <n v="1.9466699999999999"/>
    <n v="554.6"/>
  </r>
  <r>
    <x v="9"/>
    <x v="53"/>
    <x v="0"/>
    <m/>
    <n v="1.9189400000000001"/>
    <n v="1.9743999999999999"/>
    <n v="1.9466699999999999"/>
    <n v="554.6"/>
  </r>
  <r>
    <x v="9"/>
    <x v="53"/>
    <x v="0"/>
    <m/>
    <n v="1.9189400000000001"/>
    <n v="1.9743999999999999"/>
    <n v="1.9466699999999999"/>
    <n v="554.6"/>
  </r>
  <r>
    <x v="9"/>
    <x v="53"/>
    <x v="0"/>
    <m/>
    <n v="1.9189400000000001"/>
    <n v="1.9743999999999999"/>
    <n v="1.9466699999999999"/>
    <n v="554.6"/>
  </r>
  <r>
    <x v="9"/>
    <x v="53"/>
    <x v="0"/>
    <m/>
    <n v="1.9189400000000001"/>
    <n v="1.9743999999999999"/>
    <n v="1.9466699999999999"/>
    <n v="554.6"/>
  </r>
  <r>
    <x v="9"/>
    <x v="53"/>
    <x v="0"/>
    <m/>
    <n v="1.9189400000000001"/>
    <n v="1.9743999999999999"/>
    <n v="1.9466699999999999"/>
    <n v="554.6"/>
  </r>
  <r>
    <x v="9"/>
    <x v="53"/>
    <x v="0"/>
    <m/>
    <n v="1.9189400000000001"/>
    <n v="1.9743999999999999"/>
    <n v="1.9466699999999999"/>
    <n v="554.6"/>
  </r>
  <r>
    <x v="9"/>
    <x v="53"/>
    <x v="0"/>
    <m/>
    <n v="1.9189400000000001"/>
    <n v="1.9743999999999999"/>
    <n v="1.9466699999999999"/>
    <n v="554.6"/>
  </r>
  <r>
    <x v="9"/>
    <x v="53"/>
    <x v="2"/>
    <m/>
    <n v="101.33199999999999"/>
    <n v="103.343"/>
    <n v="102.33750000000001"/>
    <n v="201.1"/>
  </r>
  <r>
    <x v="9"/>
    <x v="53"/>
    <x v="2"/>
    <m/>
    <n v="101.33199999999999"/>
    <n v="103.343"/>
    <n v="102.33750000000001"/>
    <n v="201.1"/>
  </r>
  <r>
    <x v="9"/>
    <x v="53"/>
    <x v="2"/>
    <m/>
    <n v="101.33199999999999"/>
    <n v="103.343"/>
    <n v="102.33750000000001"/>
    <n v="201.1"/>
  </r>
  <r>
    <x v="9"/>
    <x v="53"/>
    <x v="2"/>
    <m/>
    <n v="101.33199999999999"/>
    <n v="103.343"/>
    <n v="102.33750000000001"/>
    <n v="201.1"/>
  </r>
  <r>
    <x v="9"/>
    <x v="53"/>
    <x v="2"/>
    <m/>
    <n v="101.33199999999999"/>
    <n v="103.343"/>
    <n v="102.33750000000001"/>
    <n v="201.1"/>
  </r>
  <r>
    <x v="9"/>
    <x v="53"/>
    <x v="2"/>
    <m/>
    <n v="101.33199999999999"/>
    <n v="103.343"/>
    <n v="102.33750000000001"/>
    <n v="201.1"/>
  </r>
  <r>
    <x v="9"/>
    <x v="53"/>
    <x v="2"/>
    <m/>
    <n v="101.33199999999999"/>
    <n v="103.343"/>
    <n v="102.33750000000001"/>
    <n v="201.1"/>
  </r>
  <r>
    <x v="9"/>
    <x v="53"/>
    <x v="2"/>
    <m/>
    <n v="101.33199999999999"/>
    <n v="103.343"/>
    <n v="102.33750000000001"/>
    <n v="201.1"/>
  </r>
  <r>
    <x v="9"/>
    <x v="53"/>
    <x v="2"/>
    <m/>
    <n v="101.33199999999999"/>
    <n v="103.343"/>
    <n v="102.33750000000001"/>
    <n v="201.1"/>
  </r>
  <r>
    <x v="9"/>
    <x v="53"/>
    <x v="2"/>
    <m/>
    <n v="101.33199999999999"/>
    <n v="103.343"/>
    <n v="102.33750000000001"/>
    <n v="201.1"/>
  </r>
  <r>
    <x v="9"/>
    <x v="53"/>
    <x v="2"/>
    <m/>
    <n v="101.33199999999999"/>
    <n v="103.343"/>
    <n v="102.33750000000001"/>
    <n v="201.1"/>
  </r>
  <r>
    <x v="9"/>
    <x v="53"/>
    <x v="2"/>
    <m/>
    <n v="101.33199999999999"/>
    <n v="103.343"/>
    <n v="102.33750000000001"/>
    <n v="201.1"/>
  </r>
  <r>
    <x v="9"/>
    <x v="53"/>
    <x v="2"/>
    <m/>
    <n v="101.33199999999999"/>
    <n v="103.343"/>
    <n v="102.33750000000001"/>
    <n v="201.1"/>
  </r>
  <r>
    <x v="9"/>
    <x v="53"/>
    <x v="2"/>
    <m/>
    <n v="101.33199999999999"/>
    <n v="103.343"/>
    <n v="102.33750000000001"/>
    <n v="201.1"/>
  </r>
  <r>
    <x v="9"/>
    <x v="53"/>
    <x v="2"/>
    <m/>
    <n v="101.33199999999999"/>
    <n v="103.343"/>
    <n v="102.33750000000001"/>
    <n v="201.1"/>
  </r>
  <r>
    <x v="9"/>
    <x v="54"/>
    <x v="0"/>
    <m/>
    <n v="1.9189400000000001"/>
    <n v="1.9743999999999999"/>
    <n v="1.9466699999999999"/>
    <n v="554.6"/>
  </r>
  <r>
    <x v="9"/>
    <x v="54"/>
    <x v="2"/>
    <m/>
    <n v="101.33199999999999"/>
    <n v="103.343"/>
    <n v="102.33750000000001"/>
    <n v="201.1"/>
  </r>
  <r>
    <x v="9"/>
    <x v="54"/>
    <x v="2"/>
    <m/>
    <n v="101.33199999999999"/>
    <n v="103.343"/>
    <n v="102.33750000000001"/>
    <n v="201.1"/>
  </r>
  <r>
    <x v="9"/>
    <x v="54"/>
    <x v="2"/>
    <m/>
    <n v="101.33199999999999"/>
    <n v="103.343"/>
    <n v="102.33750000000001"/>
    <n v="201.1"/>
  </r>
  <r>
    <x v="9"/>
    <x v="54"/>
    <x v="2"/>
    <m/>
    <n v="101.33199999999999"/>
    <n v="103.343"/>
    <n v="102.33750000000001"/>
    <n v="201.1"/>
  </r>
  <r>
    <x v="9"/>
    <x v="54"/>
    <x v="2"/>
    <m/>
    <n v="101.33199999999999"/>
    <n v="103.343"/>
    <n v="102.33750000000001"/>
    <n v="201.1"/>
  </r>
  <r>
    <x v="9"/>
    <x v="54"/>
    <x v="2"/>
    <m/>
    <n v="101.33199999999999"/>
    <n v="103.343"/>
    <n v="102.33750000000001"/>
    <n v="201.1"/>
  </r>
  <r>
    <x v="9"/>
    <x v="54"/>
    <x v="2"/>
    <m/>
    <n v="101.33199999999999"/>
    <n v="103.343"/>
    <n v="102.33750000000001"/>
    <n v="201.1"/>
  </r>
  <r>
    <x v="9"/>
    <x v="54"/>
    <x v="2"/>
    <m/>
    <n v="101.33199999999999"/>
    <n v="103.343"/>
    <n v="102.33750000000001"/>
    <n v="201.1"/>
  </r>
  <r>
    <x v="9"/>
    <x v="54"/>
    <x v="2"/>
    <m/>
    <n v="101.33199999999999"/>
    <n v="103.343"/>
    <n v="102.33750000000001"/>
    <n v="201.1"/>
  </r>
  <r>
    <x v="9"/>
    <x v="54"/>
    <x v="2"/>
    <m/>
    <n v="101.33199999999999"/>
    <n v="103.343"/>
    <n v="102.33750000000001"/>
    <n v="201.1"/>
  </r>
  <r>
    <x v="9"/>
    <x v="54"/>
    <x v="2"/>
    <m/>
    <n v="101.33199999999999"/>
    <n v="103.343"/>
    <n v="102.33750000000001"/>
    <n v="201.1"/>
  </r>
  <r>
    <x v="9"/>
    <x v="54"/>
    <x v="2"/>
    <m/>
    <n v="101.33199999999999"/>
    <n v="103.343"/>
    <n v="102.33750000000001"/>
    <n v="201.1"/>
  </r>
  <r>
    <x v="9"/>
    <x v="54"/>
    <x v="2"/>
    <m/>
    <n v="101.33199999999999"/>
    <n v="103.343"/>
    <n v="102.33750000000001"/>
    <n v="201.1"/>
  </r>
  <r>
    <x v="9"/>
    <x v="54"/>
    <x v="2"/>
    <m/>
    <n v="101.33199999999999"/>
    <n v="103.343"/>
    <n v="102.33750000000001"/>
    <n v="201.1"/>
  </r>
  <r>
    <x v="9"/>
    <x v="54"/>
    <x v="2"/>
    <m/>
    <n v="101.33199999999999"/>
    <n v="103.343"/>
    <n v="102.33750000000001"/>
    <n v="201.1"/>
  </r>
  <r>
    <x v="9"/>
    <x v="54"/>
    <x v="13"/>
    <m/>
    <n v="0.90283999999999998"/>
    <n v="0.94006000000000001"/>
    <n v="0.92144999999999999"/>
    <n v="372.2"/>
  </r>
  <r>
    <x v="9"/>
    <x v="54"/>
    <x v="13"/>
    <m/>
    <n v="0.90283999999999998"/>
    <n v="0.94006000000000001"/>
    <n v="0.92144999999999999"/>
    <n v="372.2"/>
  </r>
  <r>
    <x v="9"/>
    <x v="54"/>
    <x v="13"/>
    <m/>
    <n v="0.90283999999999998"/>
    <n v="0.94006000000000001"/>
    <n v="0.92144999999999999"/>
    <n v="372.2"/>
  </r>
  <r>
    <x v="9"/>
    <x v="54"/>
    <x v="13"/>
    <m/>
    <n v="0.90283999999999998"/>
    <n v="0.94006000000000001"/>
    <n v="0.92144999999999999"/>
    <n v="372.2"/>
  </r>
  <r>
    <x v="9"/>
    <x v="54"/>
    <x v="13"/>
    <m/>
    <n v="0.90283999999999998"/>
    <n v="0.94006000000000001"/>
    <n v="0.92144999999999999"/>
    <n v="372.2"/>
  </r>
  <r>
    <x v="9"/>
    <x v="54"/>
    <x v="13"/>
    <m/>
    <n v="0.90283999999999998"/>
    <n v="0.94006000000000001"/>
    <n v="0.92144999999999999"/>
    <n v="372.2"/>
  </r>
  <r>
    <x v="9"/>
    <x v="54"/>
    <x v="13"/>
    <m/>
    <n v="0.90283999999999998"/>
    <n v="0.94006000000000001"/>
    <n v="0.92144999999999999"/>
    <n v="372.2"/>
  </r>
  <r>
    <x v="9"/>
    <x v="54"/>
    <x v="13"/>
    <m/>
    <n v="0.90283999999999998"/>
    <n v="0.94006000000000001"/>
    <n v="0.92144999999999999"/>
    <n v="372.2"/>
  </r>
  <r>
    <x v="9"/>
    <x v="54"/>
    <x v="13"/>
    <m/>
    <n v="0.90283999999999998"/>
    <n v="0.94006000000000001"/>
    <n v="0.92144999999999999"/>
    <n v="372.2"/>
  </r>
  <r>
    <x v="9"/>
    <x v="54"/>
    <x v="13"/>
    <m/>
    <n v="0.90283999999999998"/>
    <n v="0.94006000000000001"/>
    <n v="0.92144999999999999"/>
    <n v="372.2"/>
  </r>
  <r>
    <x v="9"/>
    <x v="54"/>
    <x v="13"/>
    <m/>
    <n v="0.90283999999999998"/>
    <n v="0.94006000000000001"/>
    <n v="0.92144999999999999"/>
    <n v="372.2"/>
  </r>
  <r>
    <x v="9"/>
    <x v="54"/>
    <x v="13"/>
    <m/>
    <n v="0.90283999999999998"/>
    <n v="0.94006000000000001"/>
    <n v="0.92144999999999999"/>
    <n v="372.2"/>
  </r>
  <r>
    <x v="9"/>
    <x v="54"/>
    <x v="13"/>
    <m/>
    <n v="0.90283999999999998"/>
    <n v="0.94006000000000001"/>
    <n v="0.92144999999999999"/>
    <n v="372.2"/>
  </r>
  <r>
    <x v="9"/>
    <x v="54"/>
    <x v="13"/>
    <m/>
    <n v="0.90283999999999998"/>
    <n v="0.94006000000000001"/>
    <n v="0.92144999999999999"/>
    <n v="372.2"/>
  </r>
  <r>
    <x v="9"/>
    <x v="54"/>
    <x v="13"/>
    <m/>
    <n v="0.90283999999999998"/>
    <n v="0.94006000000000001"/>
    <n v="0.92144999999999999"/>
    <n v="372.2"/>
  </r>
  <r>
    <x v="9"/>
    <x v="54"/>
    <x v="13"/>
    <m/>
    <n v="0.90283999999999998"/>
    <n v="0.94006000000000001"/>
    <n v="0.92144999999999999"/>
    <n v="372.2"/>
  </r>
  <r>
    <x v="9"/>
    <x v="54"/>
    <x v="13"/>
    <m/>
    <n v="0.90283999999999998"/>
    <n v="0.94006000000000001"/>
    <n v="0.92144999999999999"/>
    <n v="372.2"/>
  </r>
  <r>
    <x v="9"/>
    <x v="54"/>
    <x v="13"/>
    <m/>
    <n v="0.90283999999999998"/>
    <n v="0.94006000000000001"/>
    <n v="0.92144999999999999"/>
    <n v="372.2"/>
  </r>
  <r>
    <x v="9"/>
    <x v="54"/>
    <x v="13"/>
    <m/>
    <n v="0.90283999999999998"/>
    <n v="0.94006000000000001"/>
    <n v="0.92144999999999999"/>
    <n v="372.2"/>
  </r>
  <r>
    <x v="9"/>
    <x v="54"/>
    <x v="13"/>
    <m/>
    <n v="0.90283999999999998"/>
    <n v="0.94006000000000001"/>
    <n v="0.92144999999999999"/>
    <n v="372.2"/>
  </r>
  <r>
    <x v="9"/>
    <x v="54"/>
    <x v="13"/>
    <m/>
    <n v="0.90283999999999998"/>
    <n v="0.94006000000000001"/>
    <n v="0.92144999999999999"/>
    <n v="372.2"/>
  </r>
  <r>
    <x v="9"/>
    <x v="54"/>
    <x v="13"/>
    <m/>
    <n v="0.90283999999999998"/>
    <n v="0.94006000000000001"/>
    <n v="0.92144999999999999"/>
    <n v="372.2"/>
  </r>
  <r>
    <x v="9"/>
    <x v="54"/>
    <x v="13"/>
    <m/>
    <n v="0.90283999999999998"/>
    <n v="0.94006000000000001"/>
    <n v="0.92144999999999999"/>
    <n v="372.2"/>
  </r>
  <r>
    <x v="9"/>
    <x v="54"/>
    <x v="13"/>
    <m/>
    <n v="0.90283999999999998"/>
    <n v="0.94006000000000001"/>
    <n v="0.92144999999999999"/>
    <n v="372.2"/>
  </r>
  <r>
    <x v="9"/>
    <x v="54"/>
    <x v="13"/>
    <m/>
    <n v="0.90283999999999998"/>
    <n v="0.94006000000000001"/>
    <n v="0.92144999999999999"/>
    <n v="372.2"/>
  </r>
  <r>
    <x v="9"/>
    <x v="54"/>
    <x v="13"/>
    <m/>
    <n v="0.90283999999999998"/>
    <n v="0.94006000000000001"/>
    <n v="0.92144999999999999"/>
    <n v="372.2"/>
  </r>
  <r>
    <x v="9"/>
    <x v="54"/>
    <x v="13"/>
    <m/>
    <n v="0.90283999999999998"/>
    <n v="0.94006000000000001"/>
    <n v="0.92144999999999999"/>
    <n v="372.2"/>
  </r>
  <r>
    <x v="9"/>
    <x v="54"/>
    <x v="9"/>
    <m/>
    <n v="0.82174999999999998"/>
    <n v="0.83677999999999997"/>
    <n v="0.82926500000000003"/>
    <n v="150.30000000000001"/>
  </r>
  <r>
    <x v="9"/>
    <x v="54"/>
    <x v="9"/>
    <m/>
    <n v="0.82174999999999998"/>
    <n v="0.83677999999999997"/>
    <n v="0.82926500000000003"/>
    <n v="150.30000000000001"/>
  </r>
  <r>
    <x v="9"/>
    <x v="54"/>
    <x v="9"/>
    <m/>
    <n v="0.82174999999999998"/>
    <n v="0.83677999999999997"/>
    <n v="0.82926500000000003"/>
    <n v="150.30000000000001"/>
  </r>
  <r>
    <x v="9"/>
    <x v="54"/>
    <x v="9"/>
    <m/>
    <n v="0.82174999999999998"/>
    <n v="0.83677999999999997"/>
    <n v="0.82926500000000003"/>
    <n v="150.30000000000001"/>
  </r>
  <r>
    <x v="9"/>
    <x v="54"/>
    <x v="9"/>
    <m/>
    <n v="0.82174999999999998"/>
    <n v="0.83677999999999997"/>
    <n v="0.82926500000000003"/>
    <n v="150.30000000000001"/>
  </r>
  <r>
    <x v="9"/>
    <x v="54"/>
    <x v="9"/>
    <m/>
    <n v="0.82174999999999998"/>
    <n v="0.83677999999999997"/>
    <n v="0.82926500000000003"/>
    <n v="150.30000000000001"/>
  </r>
  <r>
    <x v="9"/>
    <x v="54"/>
    <x v="9"/>
    <m/>
    <n v="0.82174999999999998"/>
    <n v="0.83677999999999997"/>
    <n v="0.82926500000000003"/>
    <n v="150.30000000000001"/>
  </r>
  <r>
    <x v="9"/>
    <x v="54"/>
    <x v="9"/>
    <m/>
    <n v="0.82174999999999998"/>
    <n v="0.83677999999999997"/>
    <n v="0.82926500000000003"/>
    <n v="150.30000000000001"/>
  </r>
  <r>
    <x v="9"/>
    <x v="54"/>
    <x v="9"/>
    <m/>
    <n v="0.82174999999999998"/>
    <n v="0.83677999999999997"/>
    <n v="0.82926500000000003"/>
    <n v="150.30000000000001"/>
  </r>
  <r>
    <x v="9"/>
    <x v="54"/>
    <x v="9"/>
    <m/>
    <n v="0.82174999999999998"/>
    <n v="0.83677999999999997"/>
    <n v="0.82926500000000003"/>
    <n v="150.30000000000001"/>
  </r>
  <r>
    <x v="9"/>
    <x v="54"/>
    <x v="9"/>
    <m/>
    <n v="0.82174999999999998"/>
    <n v="0.83677999999999997"/>
    <n v="0.82926500000000003"/>
    <n v="150.30000000000001"/>
  </r>
  <r>
    <x v="9"/>
    <x v="54"/>
    <x v="9"/>
    <m/>
    <n v="0.82174999999999998"/>
    <n v="0.83677999999999997"/>
    <n v="0.82926500000000003"/>
    <n v="150.30000000000001"/>
  </r>
  <r>
    <x v="9"/>
    <x v="54"/>
    <x v="0"/>
    <m/>
    <n v="1.9189400000000001"/>
    <n v="1.9743999999999999"/>
    <n v="1.9466699999999999"/>
    <n v="554.6"/>
  </r>
  <r>
    <x v="9"/>
    <x v="54"/>
    <x v="0"/>
    <m/>
    <n v="1.9189400000000001"/>
    <n v="1.9743999999999999"/>
    <n v="1.9466699999999999"/>
    <n v="554.6"/>
  </r>
  <r>
    <x v="9"/>
    <x v="54"/>
    <x v="0"/>
    <m/>
    <n v="1.9189400000000001"/>
    <n v="1.9743999999999999"/>
    <n v="1.9466699999999999"/>
    <n v="554.6"/>
  </r>
  <r>
    <x v="9"/>
    <x v="54"/>
    <x v="0"/>
    <m/>
    <n v="1.9189400000000001"/>
    <n v="1.9743999999999999"/>
    <n v="1.9466699999999999"/>
    <n v="554.6"/>
  </r>
  <r>
    <x v="9"/>
    <x v="54"/>
    <x v="0"/>
    <m/>
    <n v="1.9189400000000001"/>
    <n v="1.9743999999999999"/>
    <n v="1.9466699999999999"/>
    <n v="554.6"/>
  </r>
  <r>
    <x v="9"/>
    <x v="54"/>
    <x v="0"/>
    <m/>
    <n v="1.9189400000000001"/>
    <n v="1.9743999999999999"/>
    <n v="1.9466699999999999"/>
    <n v="554.6"/>
  </r>
  <r>
    <x v="9"/>
    <x v="54"/>
    <x v="0"/>
    <m/>
    <n v="1.9189400000000001"/>
    <n v="1.9743999999999999"/>
    <n v="1.9466699999999999"/>
    <n v="554.6"/>
  </r>
  <r>
    <x v="9"/>
    <x v="54"/>
    <x v="0"/>
    <m/>
    <n v="1.9189400000000001"/>
    <n v="1.9743999999999999"/>
    <n v="1.9466699999999999"/>
    <n v="554.6"/>
  </r>
  <r>
    <x v="9"/>
    <x v="54"/>
    <x v="0"/>
    <m/>
    <n v="1.9189400000000001"/>
    <n v="1.9743999999999999"/>
    <n v="1.9466699999999999"/>
    <n v="554.6"/>
  </r>
  <r>
    <x v="9"/>
    <x v="54"/>
    <x v="0"/>
    <m/>
    <n v="1.9189400000000001"/>
    <n v="1.9743999999999999"/>
    <n v="1.9466699999999999"/>
    <n v="554.6"/>
  </r>
  <r>
    <x v="9"/>
    <x v="54"/>
    <x v="0"/>
    <m/>
    <n v="1.9189400000000001"/>
    <n v="1.9743999999999999"/>
    <n v="1.9466699999999999"/>
    <n v="554.6"/>
  </r>
  <r>
    <x v="9"/>
    <x v="54"/>
    <x v="0"/>
    <m/>
    <n v="1.9189400000000001"/>
    <n v="1.9743999999999999"/>
    <n v="1.9466699999999999"/>
    <n v="554.6"/>
  </r>
  <r>
    <x v="9"/>
    <x v="54"/>
    <x v="0"/>
    <m/>
    <n v="1.9189400000000001"/>
    <n v="1.9743999999999999"/>
    <n v="1.9466699999999999"/>
    <n v="554.6"/>
  </r>
  <r>
    <x v="9"/>
    <x v="54"/>
    <x v="0"/>
    <m/>
    <n v="1.9189400000000001"/>
    <n v="1.9743999999999999"/>
    <n v="1.9466699999999999"/>
    <n v="554.6"/>
  </r>
  <r>
    <x v="9"/>
    <x v="54"/>
    <x v="0"/>
    <m/>
    <n v="1.9189400000000001"/>
    <n v="1.9743999999999999"/>
    <n v="1.9466699999999999"/>
    <n v="554.6"/>
  </r>
  <r>
    <x v="9"/>
    <x v="54"/>
    <x v="0"/>
    <m/>
    <n v="1.9189400000000001"/>
    <n v="1.9743999999999999"/>
    <n v="1.9466699999999999"/>
    <n v="554.6"/>
  </r>
  <r>
    <x v="9"/>
    <x v="54"/>
    <x v="0"/>
    <m/>
    <n v="1.9189400000000001"/>
    <n v="1.9743999999999999"/>
    <n v="1.9466699999999999"/>
    <n v="554.6"/>
  </r>
  <r>
    <x v="9"/>
    <x v="54"/>
    <x v="0"/>
    <m/>
    <n v="1.9189400000000001"/>
    <n v="1.9743999999999999"/>
    <n v="1.9466699999999999"/>
    <n v="554.6"/>
  </r>
  <r>
    <x v="9"/>
    <x v="54"/>
    <x v="0"/>
    <m/>
    <n v="1.9189400000000001"/>
    <n v="1.9743999999999999"/>
    <n v="1.9466699999999999"/>
    <n v="554.6"/>
  </r>
  <r>
    <x v="9"/>
    <x v="54"/>
    <x v="0"/>
    <m/>
    <n v="1.9189400000000001"/>
    <n v="1.9743999999999999"/>
    <n v="1.9466699999999999"/>
    <n v="554.6"/>
  </r>
  <r>
    <x v="9"/>
    <x v="54"/>
    <x v="0"/>
    <m/>
    <n v="1.9189400000000001"/>
    <n v="1.9743999999999999"/>
    <n v="1.9466699999999999"/>
    <n v="554.6"/>
  </r>
  <r>
    <x v="9"/>
    <x v="54"/>
    <x v="0"/>
    <m/>
    <n v="1.9189400000000001"/>
    <n v="1.9743999999999999"/>
    <n v="1.9466699999999999"/>
    <n v="554.6"/>
  </r>
  <r>
    <x v="9"/>
    <x v="54"/>
    <x v="0"/>
    <m/>
    <n v="1.9189400000000001"/>
    <n v="1.9743999999999999"/>
    <n v="1.9466699999999999"/>
    <n v="554.6"/>
  </r>
  <r>
    <x v="9"/>
    <x v="54"/>
    <x v="0"/>
    <m/>
    <n v="1.9189400000000001"/>
    <n v="1.9743999999999999"/>
    <n v="1.9466699999999999"/>
    <n v="554.6"/>
  </r>
  <r>
    <x v="9"/>
    <x v="54"/>
    <x v="0"/>
    <m/>
    <n v="1.9189400000000001"/>
    <n v="1.9743999999999999"/>
    <n v="1.9466699999999999"/>
    <n v="554.6"/>
  </r>
  <r>
    <x v="9"/>
    <x v="55"/>
    <x v="0"/>
    <m/>
    <n v="1.9189400000000001"/>
    <n v="1.9743999999999999"/>
    <n v="1.9466699999999999"/>
    <n v="554.6"/>
  </r>
  <r>
    <x v="9"/>
    <x v="55"/>
    <x v="0"/>
    <m/>
    <n v="1.9189400000000001"/>
    <n v="1.9743999999999999"/>
    <n v="1.9466699999999999"/>
    <n v="554.6"/>
  </r>
  <r>
    <x v="9"/>
    <x v="55"/>
    <x v="0"/>
    <m/>
    <n v="1.9189400000000001"/>
    <n v="1.9743999999999999"/>
    <n v="1.9466699999999999"/>
    <n v="554.6"/>
  </r>
  <r>
    <x v="9"/>
    <x v="55"/>
    <x v="0"/>
    <m/>
    <n v="1.9189400000000001"/>
    <n v="1.9743999999999999"/>
    <n v="1.9466699999999999"/>
    <n v="554.6"/>
  </r>
  <r>
    <x v="9"/>
    <x v="55"/>
    <x v="2"/>
    <m/>
    <n v="101.33199999999999"/>
    <n v="103.343"/>
    <n v="102.33750000000001"/>
    <n v="201.1"/>
  </r>
  <r>
    <x v="9"/>
    <x v="55"/>
    <x v="2"/>
    <m/>
    <n v="101.33199999999999"/>
    <n v="103.343"/>
    <n v="102.33750000000001"/>
    <n v="201.1"/>
  </r>
  <r>
    <x v="9"/>
    <x v="55"/>
    <x v="2"/>
    <m/>
    <n v="101.33199999999999"/>
    <n v="103.343"/>
    <n v="102.33750000000001"/>
    <n v="201.1"/>
  </r>
  <r>
    <x v="9"/>
    <x v="55"/>
    <x v="2"/>
    <m/>
    <n v="101.33199999999999"/>
    <n v="103.343"/>
    <n v="102.33750000000001"/>
    <n v="201.1"/>
  </r>
  <r>
    <x v="9"/>
    <x v="55"/>
    <x v="2"/>
    <m/>
    <n v="101.33199999999999"/>
    <n v="103.343"/>
    <n v="102.33750000000001"/>
    <n v="201.1"/>
  </r>
  <r>
    <x v="9"/>
    <x v="55"/>
    <x v="2"/>
    <m/>
    <n v="101.33199999999999"/>
    <n v="103.343"/>
    <n v="102.33750000000001"/>
    <n v="201.1"/>
  </r>
  <r>
    <x v="9"/>
    <x v="55"/>
    <x v="2"/>
    <m/>
    <n v="101.33199999999999"/>
    <n v="103.343"/>
    <n v="102.33750000000001"/>
    <n v="201.1"/>
  </r>
  <r>
    <x v="9"/>
    <x v="55"/>
    <x v="2"/>
    <m/>
    <n v="101.33199999999999"/>
    <n v="103.343"/>
    <n v="102.33750000000001"/>
    <n v="201.1"/>
  </r>
  <r>
    <x v="9"/>
    <x v="55"/>
    <x v="2"/>
    <m/>
    <n v="101.33199999999999"/>
    <n v="103.343"/>
    <n v="102.33750000000001"/>
    <n v="201.1"/>
  </r>
  <r>
    <x v="9"/>
    <x v="55"/>
    <x v="2"/>
    <m/>
    <n v="101.33199999999999"/>
    <n v="103.343"/>
    <n v="102.33750000000001"/>
    <n v="201.1"/>
  </r>
  <r>
    <x v="9"/>
    <x v="55"/>
    <x v="2"/>
    <m/>
    <n v="101.33199999999999"/>
    <n v="103.343"/>
    <n v="102.33750000000001"/>
    <n v="201.1"/>
  </r>
  <r>
    <x v="9"/>
    <x v="55"/>
    <x v="2"/>
    <m/>
    <n v="101.33199999999999"/>
    <n v="103.343"/>
    <n v="102.33750000000001"/>
    <n v="201.1"/>
  </r>
  <r>
    <x v="9"/>
    <x v="55"/>
    <x v="2"/>
    <m/>
    <n v="101.33199999999999"/>
    <n v="103.343"/>
    <n v="102.33750000000001"/>
    <n v="201.1"/>
  </r>
  <r>
    <x v="9"/>
    <x v="55"/>
    <x v="2"/>
    <m/>
    <n v="101.33199999999999"/>
    <n v="103.343"/>
    <n v="102.33750000000001"/>
    <n v="201.1"/>
  </r>
  <r>
    <x v="9"/>
    <x v="55"/>
    <x v="2"/>
    <m/>
    <n v="101.33199999999999"/>
    <n v="103.343"/>
    <n v="102.33750000000001"/>
    <n v="201.1"/>
  </r>
  <r>
    <x v="9"/>
    <x v="55"/>
    <x v="13"/>
    <m/>
    <n v="0.90283999999999998"/>
    <n v="0.94006000000000001"/>
    <n v="0.92144999999999999"/>
    <n v="372.2"/>
  </r>
  <r>
    <x v="9"/>
    <x v="55"/>
    <x v="13"/>
    <m/>
    <n v="0.90283999999999998"/>
    <n v="0.94006000000000001"/>
    <n v="0.92144999999999999"/>
    <n v="372.2"/>
  </r>
  <r>
    <x v="9"/>
    <x v="55"/>
    <x v="13"/>
    <m/>
    <n v="0.90283999999999998"/>
    <n v="0.94006000000000001"/>
    <n v="0.92144999999999999"/>
    <n v="372.2"/>
  </r>
  <r>
    <x v="9"/>
    <x v="55"/>
    <x v="13"/>
    <m/>
    <n v="0.90283999999999998"/>
    <n v="0.94006000000000001"/>
    <n v="0.92144999999999999"/>
    <n v="372.2"/>
  </r>
  <r>
    <x v="9"/>
    <x v="55"/>
    <x v="13"/>
    <m/>
    <n v="0.90283999999999998"/>
    <n v="0.94006000000000001"/>
    <n v="0.92144999999999999"/>
    <n v="372.2"/>
  </r>
  <r>
    <x v="9"/>
    <x v="55"/>
    <x v="13"/>
    <m/>
    <n v="0.90283999999999998"/>
    <n v="0.94006000000000001"/>
    <n v="0.92144999999999999"/>
    <n v="372.2"/>
  </r>
  <r>
    <x v="9"/>
    <x v="55"/>
    <x v="13"/>
    <m/>
    <n v="0.90283999999999998"/>
    <n v="0.94006000000000001"/>
    <n v="0.92144999999999999"/>
    <n v="372.2"/>
  </r>
  <r>
    <x v="9"/>
    <x v="55"/>
    <x v="13"/>
    <m/>
    <n v="0.90283999999999998"/>
    <n v="0.94006000000000001"/>
    <n v="0.92144999999999999"/>
    <n v="372.2"/>
  </r>
  <r>
    <x v="9"/>
    <x v="55"/>
    <x v="13"/>
    <m/>
    <n v="0.90283999999999998"/>
    <n v="0.94006000000000001"/>
    <n v="0.92144999999999999"/>
    <n v="372.2"/>
  </r>
  <r>
    <x v="9"/>
    <x v="55"/>
    <x v="13"/>
    <m/>
    <n v="0.90283999999999998"/>
    <n v="0.94006000000000001"/>
    <n v="0.92144999999999999"/>
    <n v="372.2"/>
  </r>
  <r>
    <x v="9"/>
    <x v="55"/>
    <x v="13"/>
    <m/>
    <n v="0.90283999999999998"/>
    <n v="0.94006000000000001"/>
    <n v="0.92144999999999999"/>
    <n v="372.2"/>
  </r>
  <r>
    <x v="9"/>
    <x v="55"/>
    <x v="13"/>
    <m/>
    <n v="0.90283999999999998"/>
    <n v="0.94006000000000001"/>
    <n v="0.92144999999999999"/>
    <n v="372.2"/>
  </r>
  <r>
    <x v="9"/>
    <x v="55"/>
    <x v="13"/>
    <m/>
    <n v="0.90283999999999998"/>
    <n v="0.94006000000000001"/>
    <n v="0.92144999999999999"/>
    <n v="372.2"/>
  </r>
  <r>
    <x v="9"/>
    <x v="55"/>
    <x v="13"/>
    <m/>
    <n v="0.90283999999999998"/>
    <n v="0.94006000000000001"/>
    <n v="0.92144999999999999"/>
    <n v="372.2"/>
  </r>
  <r>
    <x v="9"/>
    <x v="55"/>
    <x v="13"/>
    <m/>
    <n v="0.90283999999999998"/>
    <n v="0.94006000000000001"/>
    <n v="0.92144999999999999"/>
    <n v="372.2"/>
  </r>
  <r>
    <x v="9"/>
    <x v="55"/>
    <x v="13"/>
    <m/>
    <n v="0.90283999999999998"/>
    <n v="0.94006000000000001"/>
    <n v="0.92144999999999999"/>
    <n v="372.2"/>
  </r>
  <r>
    <x v="9"/>
    <x v="55"/>
    <x v="13"/>
    <m/>
    <n v="0.90283999999999998"/>
    <n v="0.94006000000000001"/>
    <n v="0.92144999999999999"/>
    <n v="372.2"/>
  </r>
  <r>
    <x v="9"/>
    <x v="55"/>
    <x v="13"/>
    <m/>
    <n v="0.90283999999999998"/>
    <n v="0.94006000000000001"/>
    <n v="0.92144999999999999"/>
    <n v="372.2"/>
  </r>
  <r>
    <x v="9"/>
    <x v="55"/>
    <x v="13"/>
    <m/>
    <n v="0.90283999999999998"/>
    <n v="0.94006000000000001"/>
    <n v="0.92144999999999999"/>
    <n v="372.2"/>
  </r>
  <r>
    <x v="9"/>
    <x v="55"/>
    <x v="13"/>
    <m/>
    <n v="0.90283999999999998"/>
    <n v="0.94006000000000001"/>
    <n v="0.92144999999999999"/>
    <n v="372.2"/>
  </r>
  <r>
    <x v="9"/>
    <x v="55"/>
    <x v="13"/>
    <m/>
    <n v="0.90283999999999998"/>
    <n v="0.94006000000000001"/>
    <n v="0.92144999999999999"/>
    <n v="372.2"/>
  </r>
  <r>
    <x v="9"/>
    <x v="55"/>
    <x v="13"/>
    <m/>
    <n v="0.90283999999999998"/>
    <n v="0.94006000000000001"/>
    <n v="0.92144999999999999"/>
    <n v="372.2"/>
  </r>
  <r>
    <x v="9"/>
    <x v="55"/>
    <x v="13"/>
    <m/>
    <n v="0.90283999999999998"/>
    <n v="0.94006000000000001"/>
    <n v="0.92144999999999999"/>
    <n v="372.2"/>
  </r>
  <r>
    <x v="9"/>
    <x v="55"/>
    <x v="13"/>
    <m/>
    <n v="0.90283999999999998"/>
    <n v="0.94006000000000001"/>
    <n v="0.92144999999999999"/>
    <n v="372.2"/>
  </r>
  <r>
    <x v="9"/>
    <x v="55"/>
    <x v="13"/>
    <m/>
    <n v="0.90283999999999998"/>
    <n v="0.94006000000000001"/>
    <n v="0.92144999999999999"/>
    <n v="372.2"/>
  </r>
  <r>
    <x v="9"/>
    <x v="55"/>
    <x v="13"/>
    <m/>
    <n v="0.90283999999999998"/>
    <n v="0.94006000000000001"/>
    <n v="0.92144999999999999"/>
    <n v="372.2"/>
  </r>
  <r>
    <x v="9"/>
    <x v="55"/>
    <x v="13"/>
    <m/>
    <n v="0.90283999999999998"/>
    <n v="0.94006000000000001"/>
    <n v="0.92144999999999999"/>
    <n v="372.2"/>
  </r>
  <r>
    <x v="9"/>
    <x v="55"/>
    <x v="13"/>
    <m/>
    <n v="0.90283999999999998"/>
    <n v="0.94006000000000001"/>
    <n v="0.92144999999999999"/>
    <n v="372.2"/>
  </r>
  <r>
    <x v="9"/>
    <x v="55"/>
    <x v="9"/>
    <m/>
    <n v="0.81620999999999999"/>
    <n v="0.83677999999999997"/>
    <n v="0.82649499999999998"/>
    <n v="205.7"/>
  </r>
  <r>
    <x v="9"/>
    <x v="55"/>
    <x v="9"/>
    <m/>
    <n v="0.81620999999999999"/>
    <n v="0.83677999999999997"/>
    <n v="0.82649499999999998"/>
    <n v="205.7"/>
  </r>
  <r>
    <x v="9"/>
    <x v="55"/>
    <x v="9"/>
    <m/>
    <n v="0.81620999999999999"/>
    <n v="0.83677999999999997"/>
    <n v="0.82649499999999998"/>
    <n v="205.7"/>
  </r>
  <r>
    <x v="9"/>
    <x v="55"/>
    <x v="9"/>
    <m/>
    <n v="0.81620999999999999"/>
    <n v="0.83677999999999997"/>
    <n v="0.82649499999999998"/>
    <n v="205.7"/>
  </r>
  <r>
    <x v="9"/>
    <x v="55"/>
    <x v="9"/>
    <m/>
    <n v="0.81620999999999999"/>
    <n v="0.83677999999999997"/>
    <n v="0.82649499999999998"/>
    <n v="205.7"/>
  </r>
  <r>
    <x v="9"/>
    <x v="55"/>
    <x v="9"/>
    <m/>
    <n v="0.81620999999999999"/>
    <n v="0.83677999999999997"/>
    <n v="0.82649499999999998"/>
    <n v="205.7"/>
  </r>
  <r>
    <x v="9"/>
    <x v="55"/>
    <x v="9"/>
    <m/>
    <n v="0.81620999999999999"/>
    <n v="0.83677999999999997"/>
    <n v="0.82649499999999998"/>
    <n v="205.7"/>
  </r>
  <r>
    <x v="9"/>
    <x v="55"/>
    <x v="9"/>
    <m/>
    <n v="0.81620999999999999"/>
    <n v="0.83677999999999997"/>
    <n v="0.82649499999999998"/>
    <n v="205.7"/>
  </r>
  <r>
    <x v="9"/>
    <x v="55"/>
    <x v="9"/>
    <m/>
    <n v="0.81620999999999999"/>
    <n v="0.83677999999999997"/>
    <n v="0.82649499999999998"/>
    <n v="205.7"/>
  </r>
  <r>
    <x v="9"/>
    <x v="55"/>
    <x v="9"/>
    <m/>
    <n v="0.81620999999999999"/>
    <n v="0.83677999999999997"/>
    <n v="0.82649499999999998"/>
    <n v="205.7"/>
  </r>
  <r>
    <x v="9"/>
    <x v="55"/>
    <x v="9"/>
    <m/>
    <n v="0.81620999999999999"/>
    <n v="0.83677999999999997"/>
    <n v="0.82649499999999998"/>
    <n v="205.7"/>
  </r>
  <r>
    <x v="9"/>
    <x v="55"/>
    <x v="9"/>
    <m/>
    <n v="0.81620999999999999"/>
    <n v="0.83677999999999997"/>
    <n v="0.82649499999999998"/>
    <n v="205.7"/>
  </r>
  <r>
    <x v="9"/>
    <x v="55"/>
    <x v="9"/>
    <m/>
    <n v="0.81620999999999999"/>
    <n v="0.83677999999999997"/>
    <n v="0.82649499999999998"/>
    <n v="205.7"/>
  </r>
  <r>
    <x v="9"/>
    <x v="55"/>
    <x v="9"/>
    <m/>
    <n v="0.81620999999999999"/>
    <n v="0.83677999999999997"/>
    <n v="0.82649499999999998"/>
    <n v="205.7"/>
  </r>
  <r>
    <x v="9"/>
    <x v="55"/>
    <x v="0"/>
    <m/>
    <n v="1.9189400000000001"/>
    <n v="1.9743999999999999"/>
    <n v="1.9466699999999999"/>
    <n v="554.6"/>
  </r>
  <r>
    <x v="9"/>
    <x v="55"/>
    <x v="0"/>
    <m/>
    <n v="1.9189400000000001"/>
    <n v="1.9743999999999999"/>
    <n v="1.9466699999999999"/>
    <n v="554.6"/>
  </r>
  <r>
    <x v="9"/>
    <x v="55"/>
    <x v="0"/>
    <m/>
    <n v="1.9189400000000001"/>
    <n v="1.9743999999999999"/>
    <n v="1.9466699999999999"/>
    <n v="554.6"/>
  </r>
  <r>
    <x v="9"/>
    <x v="55"/>
    <x v="0"/>
    <m/>
    <n v="1.9189400000000001"/>
    <n v="1.9743999999999999"/>
    <n v="1.9466699999999999"/>
    <n v="554.6"/>
  </r>
  <r>
    <x v="9"/>
    <x v="55"/>
    <x v="0"/>
    <m/>
    <n v="1.9189400000000001"/>
    <n v="1.9743999999999999"/>
    <n v="1.9466699999999999"/>
    <n v="554.6"/>
  </r>
  <r>
    <x v="9"/>
    <x v="55"/>
    <x v="0"/>
    <m/>
    <n v="1.9189400000000001"/>
    <n v="1.9743999999999999"/>
    <n v="1.9466699999999999"/>
    <n v="554.6"/>
  </r>
  <r>
    <x v="9"/>
    <x v="55"/>
    <x v="0"/>
    <m/>
    <n v="1.9189400000000001"/>
    <n v="1.9743999999999999"/>
    <n v="1.9466699999999999"/>
    <n v="554.6"/>
  </r>
  <r>
    <x v="9"/>
    <x v="55"/>
    <x v="0"/>
    <m/>
    <n v="1.9189400000000001"/>
    <n v="1.9743999999999999"/>
    <n v="1.9466699999999999"/>
    <n v="554.6"/>
  </r>
  <r>
    <x v="9"/>
    <x v="55"/>
    <x v="0"/>
    <m/>
    <n v="1.9189400000000001"/>
    <n v="1.9743999999999999"/>
    <n v="1.9466699999999999"/>
    <n v="554.6"/>
  </r>
  <r>
    <x v="9"/>
    <x v="55"/>
    <x v="0"/>
    <m/>
    <n v="1.9189400000000001"/>
    <n v="1.9743999999999999"/>
    <n v="1.9466699999999999"/>
    <n v="554.6"/>
  </r>
  <r>
    <x v="9"/>
    <x v="55"/>
    <x v="0"/>
    <m/>
    <n v="1.9189400000000001"/>
    <n v="1.9743999999999999"/>
    <n v="1.9466699999999999"/>
    <n v="554.6"/>
  </r>
  <r>
    <x v="9"/>
    <x v="55"/>
    <x v="0"/>
    <m/>
    <n v="1.9189400000000001"/>
    <n v="1.9743999999999999"/>
    <n v="1.9466699999999999"/>
    <n v="554.6"/>
  </r>
  <r>
    <x v="9"/>
    <x v="55"/>
    <x v="0"/>
    <m/>
    <n v="1.9189400000000001"/>
    <n v="1.9743999999999999"/>
    <n v="1.9466699999999999"/>
    <n v="554.6"/>
  </r>
  <r>
    <x v="9"/>
    <x v="55"/>
    <x v="0"/>
    <m/>
    <n v="1.9189400000000001"/>
    <n v="1.9743999999999999"/>
    <n v="1.9466699999999999"/>
    <n v="554.6"/>
  </r>
  <r>
    <x v="9"/>
    <x v="55"/>
    <x v="0"/>
    <m/>
    <n v="1.9189400000000001"/>
    <n v="1.9743999999999999"/>
    <n v="1.9466699999999999"/>
    <n v="554.6"/>
  </r>
  <r>
    <x v="9"/>
    <x v="55"/>
    <x v="0"/>
    <m/>
    <n v="1.9189400000000001"/>
    <n v="1.9743999999999999"/>
    <n v="1.9466699999999999"/>
    <n v="554.6"/>
  </r>
  <r>
    <x v="9"/>
    <x v="55"/>
    <x v="0"/>
    <m/>
    <n v="1.9189400000000001"/>
    <n v="1.9743999999999999"/>
    <n v="1.9466699999999999"/>
    <n v="554.6"/>
  </r>
  <r>
    <x v="9"/>
    <x v="55"/>
    <x v="0"/>
    <m/>
    <n v="1.9189400000000001"/>
    <n v="1.9743999999999999"/>
    <n v="1.9466699999999999"/>
    <n v="554.6"/>
  </r>
  <r>
    <x v="9"/>
    <x v="55"/>
    <x v="0"/>
    <m/>
    <n v="1.9189400000000001"/>
    <n v="1.9743999999999999"/>
    <n v="1.9466699999999999"/>
    <n v="554.6"/>
  </r>
  <r>
    <x v="9"/>
    <x v="55"/>
    <x v="0"/>
    <m/>
    <n v="1.9189400000000001"/>
    <n v="1.9743999999999999"/>
    <n v="1.9466699999999999"/>
    <n v="554.6"/>
  </r>
  <r>
    <x v="9"/>
    <x v="55"/>
    <x v="0"/>
    <m/>
    <n v="1.9189400000000001"/>
    <n v="1.9743999999999999"/>
    <n v="1.9466699999999999"/>
    <n v="554.6"/>
  </r>
  <r>
    <x v="9"/>
    <x v="55"/>
    <x v="0"/>
    <m/>
    <n v="1.9189400000000001"/>
    <n v="1.9743999999999999"/>
    <n v="1.9466699999999999"/>
    <n v="554.6"/>
  </r>
  <r>
    <x v="9"/>
    <x v="56"/>
    <x v="0"/>
    <m/>
    <n v="1.9189400000000001"/>
    <n v="1.9743999999999999"/>
    <n v="1.9466699999999999"/>
    <n v="554.6"/>
  </r>
  <r>
    <x v="9"/>
    <x v="56"/>
    <x v="0"/>
    <m/>
    <n v="1.9189400000000001"/>
    <n v="1.9743999999999999"/>
    <n v="1.9466699999999999"/>
    <n v="554.6"/>
  </r>
  <r>
    <x v="9"/>
    <x v="56"/>
    <x v="0"/>
    <m/>
    <n v="1.9189400000000001"/>
    <n v="1.9743999999999999"/>
    <n v="1.9466699999999999"/>
    <n v="554.6"/>
  </r>
  <r>
    <x v="9"/>
    <x v="56"/>
    <x v="2"/>
    <m/>
    <n v="101.33199999999999"/>
    <n v="103.343"/>
    <n v="102.33750000000001"/>
    <n v="201.1"/>
  </r>
  <r>
    <x v="9"/>
    <x v="56"/>
    <x v="2"/>
    <m/>
    <n v="101.33199999999999"/>
    <n v="103.343"/>
    <n v="102.33750000000001"/>
    <n v="201.1"/>
  </r>
  <r>
    <x v="9"/>
    <x v="56"/>
    <x v="2"/>
    <m/>
    <n v="101.33199999999999"/>
    <n v="103.343"/>
    <n v="102.33750000000001"/>
    <n v="201.1"/>
  </r>
  <r>
    <x v="9"/>
    <x v="56"/>
    <x v="2"/>
    <m/>
    <n v="101.33199999999999"/>
    <n v="103.343"/>
    <n v="102.33750000000001"/>
    <n v="201.1"/>
  </r>
  <r>
    <x v="9"/>
    <x v="56"/>
    <x v="2"/>
    <m/>
    <n v="101.33199999999999"/>
    <n v="103.343"/>
    <n v="102.33750000000001"/>
    <n v="201.1"/>
  </r>
  <r>
    <x v="9"/>
    <x v="56"/>
    <x v="2"/>
    <m/>
    <n v="101.33199999999999"/>
    <n v="103.343"/>
    <n v="102.33750000000001"/>
    <n v="201.1"/>
  </r>
  <r>
    <x v="9"/>
    <x v="56"/>
    <x v="2"/>
    <m/>
    <n v="101.33199999999999"/>
    <n v="103.343"/>
    <n v="102.33750000000001"/>
    <n v="201.1"/>
  </r>
  <r>
    <x v="9"/>
    <x v="56"/>
    <x v="2"/>
    <m/>
    <n v="101.33199999999999"/>
    <n v="103.343"/>
    <n v="102.33750000000001"/>
    <n v="201.1"/>
  </r>
  <r>
    <x v="9"/>
    <x v="56"/>
    <x v="2"/>
    <m/>
    <n v="101.33199999999999"/>
    <n v="103.343"/>
    <n v="102.33750000000001"/>
    <n v="201.1"/>
  </r>
  <r>
    <x v="9"/>
    <x v="56"/>
    <x v="2"/>
    <m/>
    <n v="101.33199999999999"/>
    <n v="103.343"/>
    <n v="102.33750000000001"/>
    <n v="201.1"/>
  </r>
  <r>
    <x v="9"/>
    <x v="56"/>
    <x v="2"/>
    <m/>
    <n v="101.33199999999999"/>
    <n v="103.343"/>
    <n v="102.33750000000001"/>
    <n v="201.1"/>
  </r>
  <r>
    <x v="9"/>
    <x v="56"/>
    <x v="2"/>
    <m/>
    <n v="101.33199999999999"/>
    <n v="103.343"/>
    <n v="102.33750000000001"/>
    <n v="201.1"/>
  </r>
  <r>
    <x v="9"/>
    <x v="56"/>
    <x v="2"/>
    <m/>
    <n v="101.33199999999999"/>
    <n v="103.343"/>
    <n v="102.33750000000001"/>
    <n v="201.1"/>
  </r>
  <r>
    <x v="9"/>
    <x v="56"/>
    <x v="2"/>
    <m/>
    <n v="101.33199999999999"/>
    <n v="103.343"/>
    <n v="102.33750000000001"/>
    <n v="201.1"/>
  </r>
  <r>
    <x v="9"/>
    <x v="56"/>
    <x v="13"/>
    <m/>
    <n v="0.90283999999999998"/>
    <n v="0.94006000000000001"/>
    <n v="0.92144999999999999"/>
    <n v="372.2"/>
  </r>
  <r>
    <x v="9"/>
    <x v="56"/>
    <x v="13"/>
    <m/>
    <n v="0.90283999999999998"/>
    <n v="0.94006000000000001"/>
    <n v="0.92144999999999999"/>
    <n v="372.2"/>
  </r>
  <r>
    <x v="9"/>
    <x v="56"/>
    <x v="13"/>
    <m/>
    <n v="0.90283999999999998"/>
    <n v="0.94006000000000001"/>
    <n v="0.92144999999999999"/>
    <n v="372.2"/>
  </r>
  <r>
    <x v="9"/>
    <x v="56"/>
    <x v="13"/>
    <m/>
    <n v="0.90283999999999998"/>
    <n v="0.94006000000000001"/>
    <n v="0.92144999999999999"/>
    <n v="372.2"/>
  </r>
  <r>
    <x v="9"/>
    <x v="56"/>
    <x v="13"/>
    <m/>
    <n v="0.90283999999999998"/>
    <n v="0.94006000000000001"/>
    <n v="0.92144999999999999"/>
    <n v="372.2"/>
  </r>
  <r>
    <x v="9"/>
    <x v="56"/>
    <x v="13"/>
    <m/>
    <n v="0.90283999999999998"/>
    <n v="0.94006000000000001"/>
    <n v="0.92144999999999999"/>
    <n v="372.2"/>
  </r>
  <r>
    <x v="9"/>
    <x v="56"/>
    <x v="13"/>
    <m/>
    <n v="0.90283999999999998"/>
    <n v="0.94006000000000001"/>
    <n v="0.92144999999999999"/>
    <n v="372.2"/>
  </r>
  <r>
    <x v="9"/>
    <x v="56"/>
    <x v="13"/>
    <m/>
    <n v="0.90283999999999998"/>
    <n v="0.94006000000000001"/>
    <n v="0.92144999999999999"/>
    <n v="372.2"/>
  </r>
  <r>
    <x v="9"/>
    <x v="56"/>
    <x v="13"/>
    <m/>
    <n v="0.90283999999999998"/>
    <n v="0.94006000000000001"/>
    <n v="0.92144999999999999"/>
    <n v="372.2"/>
  </r>
  <r>
    <x v="9"/>
    <x v="56"/>
    <x v="13"/>
    <m/>
    <n v="0.90283999999999998"/>
    <n v="0.94006000000000001"/>
    <n v="0.92144999999999999"/>
    <n v="372.2"/>
  </r>
  <r>
    <x v="9"/>
    <x v="56"/>
    <x v="13"/>
    <m/>
    <n v="0.90283999999999998"/>
    <n v="0.94006000000000001"/>
    <n v="0.92144999999999999"/>
    <n v="372.2"/>
  </r>
  <r>
    <x v="9"/>
    <x v="56"/>
    <x v="13"/>
    <m/>
    <n v="0.90283999999999998"/>
    <n v="0.94006000000000001"/>
    <n v="0.92144999999999999"/>
    <n v="372.2"/>
  </r>
  <r>
    <x v="9"/>
    <x v="56"/>
    <x v="13"/>
    <m/>
    <n v="0.90283999999999998"/>
    <n v="0.94006000000000001"/>
    <n v="0.92144999999999999"/>
    <n v="372.2"/>
  </r>
  <r>
    <x v="9"/>
    <x v="56"/>
    <x v="13"/>
    <m/>
    <n v="0.90283999999999998"/>
    <n v="0.94006000000000001"/>
    <n v="0.92144999999999999"/>
    <n v="372.2"/>
  </r>
  <r>
    <x v="9"/>
    <x v="56"/>
    <x v="13"/>
    <m/>
    <n v="0.90283999999999998"/>
    <n v="0.94006000000000001"/>
    <n v="0.92144999999999999"/>
    <n v="372.2"/>
  </r>
  <r>
    <x v="9"/>
    <x v="56"/>
    <x v="13"/>
    <m/>
    <n v="0.90283999999999998"/>
    <n v="0.94006000000000001"/>
    <n v="0.92144999999999999"/>
    <n v="372.2"/>
  </r>
  <r>
    <x v="9"/>
    <x v="56"/>
    <x v="13"/>
    <m/>
    <n v="0.90283999999999998"/>
    <n v="0.94006000000000001"/>
    <n v="0.92144999999999999"/>
    <n v="372.2"/>
  </r>
  <r>
    <x v="9"/>
    <x v="56"/>
    <x v="13"/>
    <m/>
    <n v="0.90283999999999998"/>
    <n v="0.94006000000000001"/>
    <n v="0.92144999999999999"/>
    <n v="372.2"/>
  </r>
  <r>
    <x v="9"/>
    <x v="56"/>
    <x v="13"/>
    <m/>
    <n v="0.90283999999999998"/>
    <n v="0.94006000000000001"/>
    <n v="0.92144999999999999"/>
    <n v="372.2"/>
  </r>
  <r>
    <x v="9"/>
    <x v="56"/>
    <x v="13"/>
    <m/>
    <n v="0.90283999999999998"/>
    <n v="0.94006000000000001"/>
    <n v="0.92144999999999999"/>
    <n v="372.2"/>
  </r>
  <r>
    <x v="9"/>
    <x v="56"/>
    <x v="13"/>
    <m/>
    <n v="0.90283999999999998"/>
    <n v="0.94006000000000001"/>
    <n v="0.92144999999999999"/>
    <n v="372.2"/>
  </r>
  <r>
    <x v="9"/>
    <x v="56"/>
    <x v="13"/>
    <m/>
    <n v="0.90283999999999998"/>
    <n v="0.94006000000000001"/>
    <n v="0.92144999999999999"/>
    <n v="372.2"/>
  </r>
  <r>
    <x v="9"/>
    <x v="56"/>
    <x v="13"/>
    <m/>
    <n v="0.90283999999999998"/>
    <n v="0.94006000000000001"/>
    <n v="0.92144999999999999"/>
    <n v="372.2"/>
  </r>
  <r>
    <x v="9"/>
    <x v="56"/>
    <x v="13"/>
    <m/>
    <n v="0.90283999999999998"/>
    <n v="0.94006000000000001"/>
    <n v="0.92144999999999999"/>
    <n v="372.2"/>
  </r>
  <r>
    <x v="9"/>
    <x v="56"/>
    <x v="13"/>
    <m/>
    <n v="0.90283999999999998"/>
    <n v="0.94006000000000001"/>
    <n v="0.92144999999999999"/>
    <n v="372.2"/>
  </r>
  <r>
    <x v="9"/>
    <x v="56"/>
    <x v="13"/>
    <m/>
    <n v="0.90283999999999998"/>
    <n v="0.94006000000000001"/>
    <n v="0.92144999999999999"/>
    <n v="372.2"/>
  </r>
  <r>
    <x v="9"/>
    <x v="56"/>
    <x v="13"/>
    <m/>
    <n v="0.90283999999999998"/>
    <n v="0.94006000000000001"/>
    <n v="0.92144999999999999"/>
    <n v="372.2"/>
  </r>
  <r>
    <x v="9"/>
    <x v="56"/>
    <x v="9"/>
    <m/>
    <n v="0.81425999999999998"/>
    <n v="0.83677999999999997"/>
    <n v="0.82552000000000003"/>
    <n v="225.2"/>
  </r>
  <r>
    <x v="9"/>
    <x v="56"/>
    <x v="9"/>
    <m/>
    <n v="0.81425999999999998"/>
    <n v="0.83677999999999997"/>
    <n v="0.82552000000000003"/>
    <n v="225.2"/>
  </r>
  <r>
    <x v="9"/>
    <x v="56"/>
    <x v="9"/>
    <m/>
    <n v="0.81425999999999998"/>
    <n v="0.83677999999999997"/>
    <n v="0.82552000000000003"/>
    <n v="225.2"/>
  </r>
  <r>
    <x v="9"/>
    <x v="56"/>
    <x v="9"/>
    <m/>
    <n v="0.81425999999999998"/>
    <n v="0.83677999999999997"/>
    <n v="0.82552000000000003"/>
    <n v="225.2"/>
  </r>
  <r>
    <x v="9"/>
    <x v="56"/>
    <x v="9"/>
    <m/>
    <n v="0.81425999999999998"/>
    <n v="0.83677999999999997"/>
    <n v="0.82552000000000003"/>
    <n v="225.2"/>
  </r>
  <r>
    <x v="9"/>
    <x v="56"/>
    <x v="9"/>
    <m/>
    <n v="0.81425999999999998"/>
    <n v="0.83677999999999997"/>
    <n v="0.82552000000000003"/>
    <n v="225.2"/>
  </r>
  <r>
    <x v="9"/>
    <x v="56"/>
    <x v="9"/>
    <m/>
    <n v="0.81425999999999998"/>
    <n v="0.83677999999999997"/>
    <n v="0.82552000000000003"/>
    <n v="225.2"/>
  </r>
  <r>
    <x v="9"/>
    <x v="56"/>
    <x v="9"/>
    <m/>
    <n v="0.81425999999999998"/>
    <n v="0.83677999999999997"/>
    <n v="0.82552000000000003"/>
    <n v="225.2"/>
  </r>
  <r>
    <x v="9"/>
    <x v="56"/>
    <x v="9"/>
    <m/>
    <n v="0.81425999999999998"/>
    <n v="0.83677999999999997"/>
    <n v="0.82552000000000003"/>
    <n v="225.2"/>
  </r>
  <r>
    <x v="9"/>
    <x v="56"/>
    <x v="9"/>
    <m/>
    <n v="0.81425999999999998"/>
    <n v="0.83677999999999997"/>
    <n v="0.82552000000000003"/>
    <n v="225.2"/>
  </r>
  <r>
    <x v="9"/>
    <x v="56"/>
    <x v="9"/>
    <m/>
    <n v="0.81425999999999998"/>
    <n v="0.83677999999999997"/>
    <n v="0.82552000000000003"/>
    <n v="225.2"/>
  </r>
  <r>
    <x v="9"/>
    <x v="56"/>
    <x v="9"/>
    <m/>
    <n v="0.81425999999999998"/>
    <n v="0.83677999999999997"/>
    <n v="0.82552000000000003"/>
    <n v="225.2"/>
  </r>
  <r>
    <x v="9"/>
    <x v="56"/>
    <x v="9"/>
    <m/>
    <n v="0.81425999999999998"/>
    <n v="0.83677999999999997"/>
    <n v="0.82552000000000003"/>
    <n v="225.2"/>
  </r>
  <r>
    <x v="9"/>
    <x v="56"/>
    <x v="9"/>
    <m/>
    <n v="0.81425999999999998"/>
    <n v="0.83677999999999997"/>
    <n v="0.82552000000000003"/>
    <n v="225.2"/>
  </r>
  <r>
    <x v="9"/>
    <x v="56"/>
    <x v="9"/>
    <m/>
    <n v="0.81425999999999998"/>
    <n v="0.83677999999999997"/>
    <n v="0.82552000000000003"/>
    <n v="225.2"/>
  </r>
  <r>
    <x v="9"/>
    <x v="56"/>
    <x v="0"/>
    <m/>
    <n v="1.9189400000000001"/>
    <n v="1.9743999999999999"/>
    <n v="1.9466699999999999"/>
    <n v="554.6"/>
  </r>
  <r>
    <x v="9"/>
    <x v="56"/>
    <x v="0"/>
    <m/>
    <n v="1.9189400000000001"/>
    <n v="1.9743999999999999"/>
    <n v="1.9466699999999999"/>
    <n v="554.6"/>
  </r>
  <r>
    <x v="9"/>
    <x v="56"/>
    <x v="0"/>
    <m/>
    <n v="1.9189400000000001"/>
    <n v="1.9743999999999999"/>
    <n v="1.9466699999999999"/>
    <n v="554.6"/>
  </r>
  <r>
    <x v="9"/>
    <x v="56"/>
    <x v="0"/>
    <m/>
    <n v="1.9189400000000001"/>
    <n v="1.9743999999999999"/>
    <n v="1.9466699999999999"/>
    <n v="554.6"/>
  </r>
  <r>
    <x v="9"/>
    <x v="56"/>
    <x v="0"/>
    <m/>
    <n v="1.9189400000000001"/>
    <n v="1.9743999999999999"/>
    <n v="1.9466699999999999"/>
    <n v="554.6"/>
  </r>
  <r>
    <x v="9"/>
    <x v="56"/>
    <x v="0"/>
    <m/>
    <n v="1.9189400000000001"/>
    <n v="1.9743999999999999"/>
    <n v="1.9466699999999999"/>
    <n v="554.6"/>
  </r>
  <r>
    <x v="9"/>
    <x v="56"/>
    <x v="0"/>
    <m/>
    <n v="1.9189400000000001"/>
    <n v="1.9743999999999999"/>
    <n v="1.9466699999999999"/>
    <n v="554.6"/>
  </r>
  <r>
    <x v="9"/>
    <x v="56"/>
    <x v="0"/>
    <m/>
    <n v="1.9189400000000001"/>
    <n v="1.9743999999999999"/>
    <n v="1.9466699999999999"/>
    <n v="554.6"/>
  </r>
  <r>
    <x v="9"/>
    <x v="56"/>
    <x v="0"/>
    <m/>
    <n v="1.9189400000000001"/>
    <n v="1.9743999999999999"/>
    <n v="1.9466699999999999"/>
    <n v="554.6"/>
  </r>
  <r>
    <x v="9"/>
    <x v="56"/>
    <x v="0"/>
    <m/>
    <n v="1.9189400000000001"/>
    <n v="1.9743999999999999"/>
    <n v="1.9466699999999999"/>
    <n v="554.6"/>
  </r>
  <r>
    <x v="9"/>
    <x v="56"/>
    <x v="0"/>
    <m/>
    <n v="1.9189400000000001"/>
    <n v="1.9743999999999999"/>
    <n v="1.9466699999999999"/>
    <n v="554.6"/>
  </r>
  <r>
    <x v="9"/>
    <x v="56"/>
    <x v="0"/>
    <m/>
    <n v="1.9189400000000001"/>
    <n v="1.9743999999999999"/>
    <n v="1.9466699999999999"/>
    <n v="554.6"/>
  </r>
  <r>
    <x v="9"/>
    <x v="56"/>
    <x v="0"/>
    <m/>
    <n v="1.9189400000000001"/>
    <n v="1.9743999999999999"/>
    <n v="1.9466699999999999"/>
    <n v="554.6"/>
  </r>
  <r>
    <x v="9"/>
    <x v="56"/>
    <x v="0"/>
    <m/>
    <n v="1.9189400000000001"/>
    <n v="1.9743999999999999"/>
    <n v="1.9466699999999999"/>
    <n v="554.6"/>
  </r>
  <r>
    <x v="9"/>
    <x v="56"/>
    <x v="0"/>
    <m/>
    <n v="1.9189400000000001"/>
    <n v="1.9743999999999999"/>
    <n v="1.9466699999999999"/>
    <n v="554.6"/>
  </r>
  <r>
    <x v="9"/>
    <x v="56"/>
    <x v="0"/>
    <m/>
    <n v="1.9189400000000001"/>
    <n v="1.9743999999999999"/>
    <n v="1.9466699999999999"/>
    <n v="554.6"/>
  </r>
  <r>
    <x v="9"/>
    <x v="56"/>
    <x v="0"/>
    <m/>
    <n v="1.9189400000000001"/>
    <n v="1.9743999999999999"/>
    <n v="1.9466699999999999"/>
    <n v="554.6"/>
  </r>
  <r>
    <x v="9"/>
    <x v="56"/>
    <x v="0"/>
    <m/>
    <n v="1.9189400000000001"/>
    <n v="1.9743999999999999"/>
    <n v="1.9466699999999999"/>
    <n v="554.6"/>
  </r>
  <r>
    <x v="9"/>
    <x v="56"/>
    <x v="0"/>
    <m/>
    <n v="1.9189400000000001"/>
    <n v="1.9743999999999999"/>
    <n v="1.9466699999999999"/>
    <n v="554.6"/>
  </r>
  <r>
    <x v="9"/>
    <x v="56"/>
    <x v="0"/>
    <m/>
    <n v="1.9189400000000001"/>
    <n v="1.9743999999999999"/>
    <n v="1.9466699999999999"/>
    <n v="554.6"/>
  </r>
  <r>
    <x v="9"/>
    <x v="56"/>
    <x v="0"/>
    <m/>
    <n v="1.9189400000000001"/>
    <n v="1.9743999999999999"/>
    <n v="1.9466699999999999"/>
    <n v="554.6"/>
  </r>
  <r>
    <x v="9"/>
    <x v="56"/>
    <x v="0"/>
    <m/>
    <n v="1.9189400000000001"/>
    <n v="1.9743999999999999"/>
    <n v="1.9466699999999999"/>
    <n v="554.6"/>
  </r>
  <r>
    <x v="9"/>
    <x v="57"/>
    <x v="0"/>
    <m/>
    <n v="1.9189400000000001"/>
    <n v="1.9743999999999999"/>
    <n v="1.9466699999999999"/>
    <n v="554.6"/>
  </r>
  <r>
    <x v="9"/>
    <x v="57"/>
    <x v="0"/>
    <m/>
    <n v="1.9189400000000001"/>
    <n v="1.9743999999999999"/>
    <n v="1.9466699999999999"/>
    <n v="554.6"/>
  </r>
  <r>
    <x v="9"/>
    <x v="57"/>
    <x v="0"/>
    <m/>
    <n v="1.9189400000000001"/>
    <n v="1.9743999999999999"/>
    <n v="1.9466699999999999"/>
    <n v="554.6"/>
  </r>
  <r>
    <x v="9"/>
    <x v="57"/>
    <x v="0"/>
    <m/>
    <n v="1.9189400000000001"/>
    <n v="1.9743999999999999"/>
    <n v="1.9466699999999999"/>
    <n v="554.6"/>
  </r>
  <r>
    <x v="9"/>
    <x v="57"/>
    <x v="0"/>
    <m/>
    <n v="1.9189400000000001"/>
    <n v="1.9743999999999999"/>
    <n v="1.9466699999999999"/>
    <n v="554.6"/>
  </r>
  <r>
    <x v="9"/>
    <x v="57"/>
    <x v="2"/>
    <m/>
    <n v="101.33199999999999"/>
    <n v="103.343"/>
    <n v="102.33750000000001"/>
    <n v="201.1"/>
  </r>
  <r>
    <x v="9"/>
    <x v="57"/>
    <x v="2"/>
    <m/>
    <n v="101.33199999999999"/>
    <n v="103.343"/>
    <n v="102.33750000000001"/>
    <n v="201.1"/>
  </r>
  <r>
    <x v="9"/>
    <x v="57"/>
    <x v="2"/>
    <m/>
    <n v="101.33199999999999"/>
    <n v="103.343"/>
    <n v="102.33750000000001"/>
    <n v="201.1"/>
  </r>
  <r>
    <x v="9"/>
    <x v="57"/>
    <x v="2"/>
    <m/>
    <n v="101.33199999999999"/>
    <n v="103.343"/>
    <n v="102.33750000000001"/>
    <n v="201.1"/>
  </r>
  <r>
    <x v="9"/>
    <x v="57"/>
    <x v="2"/>
    <m/>
    <n v="101.33199999999999"/>
    <n v="103.343"/>
    <n v="102.33750000000001"/>
    <n v="201.1"/>
  </r>
  <r>
    <x v="9"/>
    <x v="57"/>
    <x v="2"/>
    <m/>
    <n v="101.33199999999999"/>
    <n v="103.343"/>
    <n v="102.33750000000001"/>
    <n v="201.1"/>
  </r>
  <r>
    <x v="9"/>
    <x v="57"/>
    <x v="2"/>
    <m/>
    <n v="101.33199999999999"/>
    <n v="103.343"/>
    <n v="102.33750000000001"/>
    <n v="201.1"/>
  </r>
  <r>
    <x v="9"/>
    <x v="57"/>
    <x v="2"/>
    <m/>
    <n v="101.33199999999999"/>
    <n v="103.343"/>
    <n v="102.33750000000001"/>
    <n v="201.1"/>
  </r>
  <r>
    <x v="9"/>
    <x v="57"/>
    <x v="2"/>
    <m/>
    <n v="101.33199999999999"/>
    <n v="103.343"/>
    <n v="102.33750000000001"/>
    <n v="201.1"/>
  </r>
  <r>
    <x v="9"/>
    <x v="57"/>
    <x v="2"/>
    <m/>
    <n v="101.33199999999999"/>
    <n v="103.343"/>
    <n v="102.33750000000001"/>
    <n v="201.1"/>
  </r>
  <r>
    <x v="9"/>
    <x v="57"/>
    <x v="2"/>
    <m/>
    <n v="101.33199999999999"/>
    <n v="103.343"/>
    <n v="102.33750000000001"/>
    <n v="201.1"/>
  </r>
  <r>
    <x v="9"/>
    <x v="57"/>
    <x v="2"/>
    <m/>
    <n v="101.33199999999999"/>
    <n v="103.343"/>
    <n v="102.33750000000001"/>
    <n v="201.1"/>
  </r>
  <r>
    <x v="9"/>
    <x v="57"/>
    <x v="2"/>
    <m/>
    <n v="101.33199999999999"/>
    <n v="103.343"/>
    <n v="102.33750000000001"/>
    <n v="201.1"/>
  </r>
  <r>
    <x v="9"/>
    <x v="57"/>
    <x v="2"/>
    <m/>
    <n v="101.33199999999999"/>
    <n v="103.343"/>
    <n v="102.33750000000001"/>
    <n v="201.1"/>
  </r>
  <r>
    <x v="9"/>
    <x v="57"/>
    <x v="2"/>
    <m/>
    <n v="101.33199999999999"/>
    <n v="103.343"/>
    <n v="102.33750000000001"/>
    <n v="201.1"/>
  </r>
  <r>
    <x v="9"/>
    <x v="57"/>
    <x v="2"/>
    <m/>
    <n v="101.33199999999999"/>
    <n v="103.343"/>
    <n v="102.33750000000001"/>
    <n v="201.1"/>
  </r>
  <r>
    <x v="9"/>
    <x v="57"/>
    <x v="2"/>
    <m/>
    <n v="101.33199999999999"/>
    <n v="103.343"/>
    <n v="102.33750000000001"/>
    <n v="201.1"/>
  </r>
  <r>
    <x v="9"/>
    <x v="57"/>
    <x v="13"/>
    <m/>
    <n v="0.90283999999999998"/>
    <n v="0.94006000000000001"/>
    <n v="0.92144999999999999"/>
    <n v="372.2"/>
  </r>
  <r>
    <x v="9"/>
    <x v="57"/>
    <x v="13"/>
    <m/>
    <n v="0.90283999999999998"/>
    <n v="0.94006000000000001"/>
    <n v="0.92144999999999999"/>
    <n v="372.2"/>
  </r>
  <r>
    <x v="9"/>
    <x v="57"/>
    <x v="13"/>
    <m/>
    <n v="0.90283999999999998"/>
    <n v="0.94006000000000001"/>
    <n v="0.92144999999999999"/>
    <n v="372.2"/>
  </r>
  <r>
    <x v="9"/>
    <x v="57"/>
    <x v="13"/>
    <m/>
    <n v="0.90283999999999998"/>
    <n v="0.94006000000000001"/>
    <n v="0.92144999999999999"/>
    <n v="372.2"/>
  </r>
  <r>
    <x v="9"/>
    <x v="57"/>
    <x v="13"/>
    <m/>
    <n v="0.90283999999999998"/>
    <n v="0.94006000000000001"/>
    <n v="0.92144999999999999"/>
    <n v="372.2"/>
  </r>
  <r>
    <x v="9"/>
    <x v="57"/>
    <x v="13"/>
    <m/>
    <n v="0.90283999999999998"/>
    <n v="0.94006000000000001"/>
    <n v="0.92144999999999999"/>
    <n v="372.2"/>
  </r>
  <r>
    <x v="9"/>
    <x v="57"/>
    <x v="13"/>
    <m/>
    <n v="0.90283999999999998"/>
    <n v="0.94006000000000001"/>
    <n v="0.92144999999999999"/>
    <n v="372.2"/>
  </r>
  <r>
    <x v="9"/>
    <x v="57"/>
    <x v="13"/>
    <m/>
    <n v="0.90283999999999998"/>
    <n v="0.94006000000000001"/>
    <n v="0.92144999999999999"/>
    <n v="372.2"/>
  </r>
  <r>
    <x v="9"/>
    <x v="57"/>
    <x v="13"/>
    <m/>
    <n v="0.90283999999999998"/>
    <n v="0.94006000000000001"/>
    <n v="0.92144999999999999"/>
    <n v="372.2"/>
  </r>
  <r>
    <x v="9"/>
    <x v="57"/>
    <x v="13"/>
    <m/>
    <n v="0.90283999999999998"/>
    <n v="0.94006000000000001"/>
    <n v="0.92144999999999999"/>
    <n v="372.2"/>
  </r>
  <r>
    <x v="9"/>
    <x v="57"/>
    <x v="13"/>
    <m/>
    <n v="0.90283999999999998"/>
    <n v="0.94006000000000001"/>
    <n v="0.92144999999999999"/>
    <n v="372.2"/>
  </r>
  <r>
    <x v="9"/>
    <x v="57"/>
    <x v="13"/>
    <m/>
    <n v="0.90283999999999998"/>
    <n v="0.94006000000000001"/>
    <n v="0.92144999999999999"/>
    <n v="372.2"/>
  </r>
  <r>
    <x v="9"/>
    <x v="57"/>
    <x v="13"/>
    <m/>
    <n v="0.90283999999999998"/>
    <n v="0.94006000000000001"/>
    <n v="0.92144999999999999"/>
    <n v="372.2"/>
  </r>
  <r>
    <x v="9"/>
    <x v="57"/>
    <x v="13"/>
    <m/>
    <n v="0.90283999999999998"/>
    <n v="0.94006000000000001"/>
    <n v="0.92144999999999999"/>
    <n v="372.2"/>
  </r>
  <r>
    <x v="9"/>
    <x v="57"/>
    <x v="13"/>
    <m/>
    <n v="0.90283999999999998"/>
    <n v="0.94006000000000001"/>
    <n v="0.92144999999999999"/>
    <n v="372.2"/>
  </r>
  <r>
    <x v="9"/>
    <x v="57"/>
    <x v="13"/>
    <m/>
    <n v="0.90283999999999998"/>
    <n v="0.94006000000000001"/>
    <n v="0.92144999999999999"/>
    <n v="372.2"/>
  </r>
  <r>
    <x v="9"/>
    <x v="57"/>
    <x v="13"/>
    <m/>
    <n v="0.90283999999999998"/>
    <n v="0.94006000000000001"/>
    <n v="0.92144999999999999"/>
    <n v="372.2"/>
  </r>
  <r>
    <x v="9"/>
    <x v="57"/>
    <x v="13"/>
    <m/>
    <n v="0.90283999999999998"/>
    <n v="0.94006000000000001"/>
    <n v="0.92144999999999999"/>
    <n v="372.2"/>
  </r>
  <r>
    <x v="9"/>
    <x v="57"/>
    <x v="13"/>
    <m/>
    <n v="0.90283999999999998"/>
    <n v="0.94006000000000001"/>
    <n v="0.92144999999999999"/>
    <n v="372.2"/>
  </r>
  <r>
    <x v="9"/>
    <x v="57"/>
    <x v="13"/>
    <m/>
    <n v="0.90283999999999998"/>
    <n v="0.94006000000000001"/>
    <n v="0.92144999999999999"/>
    <n v="372.2"/>
  </r>
  <r>
    <x v="9"/>
    <x v="57"/>
    <x v="13"/>
    <m/>
    <n v="0.90283999999999998"/>
    <n v="0.94006000000000001"/>
    <n v="0.92144999999999999"/>
    <n v="372.2"/>
  </r>
  <r>
    <x v="9"/>
    <x v="57"/>
    <x v="13"/>
    <m/>
    <n v="0.90283999999999998"/>
    <n v="0.94006000000000001"/>
    <n v="0.92144999999999999"/>
    <n v="372.2"/>
  </r>
  <r>
    <x v="9"/>
    <x v="57"/>
    <x v="13"/>
    <m/>
    <n v="0.90283999999999998"/>
    <n v="0.94006000000000001"/>
    <n v="0.92144999999999999"/>
    <n v="372.2"/>
  </r>
  <r>
    <x v="9"/>
    <x v="57"/>
    <x v="13"/>
    <m/>
    <n v="0.90283999999999998"/>
    <n v="0.94006000000000001"/>
    <n v="0.92144999999999999"/>
    <n v="372.2"/>
  </r>
  <r>
    <x v="9"/>
    <x v="57"/>
    <x v="13"/>
    <m/>
    <n v="0.90283999999999998"/>
    <n v="0.94006000000000001"/>
    <n v="0.92144999999999999"/>
    <n v="372.2"/>
  </r>
  <r>
    <x v="9"/>
    <x v="57"/>
    <x v="13"/>
    <m/>
    <n v="0.90283999999999998"/>
    <n v="0.94006000000000001"/>
    <n v="0.92144999999999999"/>
    <n v="372.2"/>
  </r>
  <r>
    <x v="9"/>
    <x v="57"/>
    <x v="13"/>
    <m/>
    <n v="0.90283999999999998"/>
    <n v="0.94006000000000001"/>
    <n v="0.92144999999999999"/>
    <n v="372.2"/>
  </r>
  <r>
    <x v="9"/>
    <x v="57"/>
    <x v="13"/>
    <m/>
    <n v="0.90283999999999998"/>
    <n v="0.94006000000000001"/>
    <n v="0.92144999999999999"/>
    <n v="372.2"/>
  </r>
  <r>
    <x v="9"/>
    <x v="57"/>
    <x v="9"/>
    <m/>
    <n v="0.80845"/>
    <n v="0.83677999999999997"/>
    <n v="0.82261499999999999"/>
    <n v="283.3"/>
  </r>
  <r>
    <x v="9"/>
    <x v="57"/>
    <x v="9"/>
    <m/>
    <n v="0.80845"/>
    <n v="0.83677999999999997"/>
    <n v="0.82261499999999999"/>
    <n v="283.3"/>
  </r>
  <r>
    <x v="9"/>
    <x v="57"/>
    <x v="9"/>
    <m/>
    <n v="0.80845"/>
    <n v="0.83677999999999997"/>
    <n v="0.82261499999999999"/>
    <n v="283.3"/>
  </r>
  <r>
    <x v="9"/>
    <x v="57"/>
    <x v="9"/>
    <m/>
    <n v="0.80845"/>
    <n v="0.83677999999999997"/>
    <n v="0.82261499999999999"/>
    <n v="283.3"/>
  </r>
  <r>
    <x v="9"/>
    <x v="57"/>
    <x v="9"/>
    <m/>
    <n v="0.80845"/>
    <n v="0.83677999999999997"/>
    <n v="0.82261499999999999"/>
    <n v="283.3"/>
  </r>
  <r>
    <x v="9"/>
    <x v="57"/>
    <x v="9"/>
    <m/>
    <n v="0.80845"/>
    <n v="0.83677999999999997"/>
    <n v="0.82261499999999999"/>
    <n v="283.3"/>
  </r>
  <r>
    <x v="9"/>
    <x v="57"/>
    <x v="9"/>
    <m/>
    <n v="0.80845"/>
    <n v="0.83677999999999997"/>
    <n v="0.82261499999999999"/>
    <n v="283.3"/>
  </r>
  <r>
    <x v="9"/>
    <x v="57"/>
    <x v="9"/>
    <m/>
    <n v="0.80845"/>
    <n v="0.83677999999999997"/>
    <n v="0.82261499999999999"/>
    <n v="283.3"/>
  </r>
  <r>
    <x v="9"/>
    <x v="57"/>
    <x v="9"/>
    <m/>
    <n v="0.80845"/>
    <n v="0.83677999999999997"/>
    <n v="0.82261499999999999"/>
    <n v="283.3"/>
  </r>
  <r>
    <x v="9"/>
    <x v="57"/>
    <x v="9"/>
    <m/>
    <n v="0.80845"/>
    <n v="0.83677999999999997"/>
    <n v="0.82261499999999999"/>
    <n v="283.3"/>
  </r>
  <r>
    <x v="9"/>
    <x v="57"/>
    <x v="9"/>
    <m/>
    <n v="0.80845"/>
    <n v="0.83677999999999997"/>
    <n v="0.82261499999999999"/>
    <n v="283.3"/>
  </r>
  <r>
    <x v="9"/>
    <x v="57"/>
    <x v="9"/>
    <m/>
    <n v="0.80845"/>
    <n v="0.83677999999999997"/>
    <n v="0.82261499999999999"/>
    <n v="283.3"/>
  </r>
  <r>
    <x v="9"/>
    <x v="57"/>
    <x v="9"/>
    <m/>
    <n v="0.80845"/>
    <n v="0.83677999999999997"/>
    <n v="0.82261499999999999"/>
    <n v="283.3"/>
  </r>
  <r>
    <x v="9"/>
    <x v="57"/>
    <x v="9"/>
    <m/>
    <n v="0.80845"/>
    <n v="0.83677999999999997"/>
    <n v="0.82261499999999999"/>
    <n v="283.3"/>
  </r>
  <r>
    <x v="9"/>
    <x v="57"/>
    <x v="9"/>
    <m/>
    <n v="0.80845"/>
    <n v="0.83677999999999997"/>
    <n v="0.82261499999999999"/>
    <n v="283.3"/>
  </r>
  <r>
    <x v="9"/>
    <x v="57"/>
    <x v="9"/>
    <m/>
    <n v="0.80845"/>
    <n v="0.83677999999999997"/>
    <n v="0.82261499999999999"/>
    <n v="283.3"/>
  </r>
  <r>
    <x v="9"/>
    <x v="57"/>
    <x v="9"/>
    <m/>
    <n v="0.80845"/>
    <n v="0.83677999999999997"/>
    <n v="0.82261499999999999"/>
    <n v="283.3"/>
  </r>
  <r>
    <x v="9"/>
    <x v="57"/>
    <x v="0"/>
    <m/>
    <n v="1.9189400000000001"/>
    <n v="1.9743999999999999"/>
    <n v="1.9466699999999999"/>
    <n v="554.6"/>
  </r>
  <r>
    <x v="9"/>
    <x v="57"/>
    <x v="0"/>
    <m/>
    <n v="1.9189400000000001"/>
    <n v="1.9743999999999999"/>
    <n v="1.9466699999999999"/>
    <n v="554.6"/>
  </r>
  <r>
    <x v="9"/>
    <x v="57"/>
    <x v="0"/>
    <m/>
    <n v="1.9189400000000001"/>
    <n v="1.9743999999999999"/>
    <n v="1.9466699999999999"/>
    <n v="554.6"/>
  </r>
  <r>
    <x v="9"/>
    <x v="57"/>
    <x v="0"/>
    <m/>
    <n v="1.9189400000000001"/>
    <n v="1.9743999999999999"/>
    <n v="1.9466699999999999"/>
    <n v="554.6"/>
  </r>
  <r>
    <x v="9"/>
    <x v="57"/>
    <x v="0"/>
    <m/>
    <n v="1.9189400000000001"/>
    <n v="1.9743999999999999"/>
    <n v="1.9466699999999999"/>
    <n v="554.6"/>
  </r>
  <r>
    <x v="9"/>
    <x v="57"/>
    <x v="0"/>
    <m/>
    <n v="1.9189400000000001"/>
    <n v="1.9743999999999999"/>
    <n v="1.9466699999999999"/>
    <n v="554.6"/>
  </r>
  <r>
    <x v="9"/>
    <x v="57"/>
    <x v="0"/>
    <m/>
    <n v="1.9189400000000001"/>
    <n v="1.9743999999999999"/>
    <n v="1.9466699999999999"/>
    <n v="554.6"/>
  </r>
  <r>
    <x v="9"/>
    <x v="57"/>
    <x v="0"/>
    <m/>
    <n v="1.9189400000000001"/>
    <n v="1.9743999999999999"/>
    <n v="1.9466699999999999"/>
    <n v="554.6"/>
  </r>
  <r>
    <x v="9"/>
    <x v="57"/>
    <x v="0"/>
    <m/>
    <n v="1.9189400000000001"/>
    <n v="1.9743999999999999"/>
    <n v="1.9466699999999999"/>
    <n v="554.6"/>
  </r>
  <r>
    <x v="9"/>
    <x v="57"/>
    <x v="0"/>
    <m/>
    <n v="1.9189400000000001"/>
    <n v="1.9743999999999999"/>
    <n v="1.9466699999999999"/>
    <n v="554.6"/>
  </r>
  <r>
    <x v="9"/>
    <x v="57"/>
    <x v="0"/>
    <m/>
    <n v="1.9189400000000001"/>
    <n v="1.9743999999999999"/>
    <n v="1.9466699999999999"/>
    <n v="554.6"/>
  </r>
  <r>
    <x v="9"/>
    <x v="57"/>
    <x v="0"/>
    <m/>
    <n v="1.9189400000000001"/>
    <n v="1.9743999999999999"/>
    <n v="1.9466699999999999"/>
    <n v="554.6"/>
  </r>
  <r>
    <x v="9"/>
    <x v="57"/>
    <x v="0"/>
    <m/>
    <n v="1.9189400000000001"/>
    <n v="1.9743999999999999"/>
    <n v="1.9466699999999999"/>
    <n v="554.6"/>
  </r>
  <r>
    <x v="9"/>
    <x v="57"/>
    <x v="0"/>
    <m/>
    <n v="1.9189400000000001"/>
    <n v="1.9743999999999999"/>
    <n v="1.9466699999999999"/>
    <n v="554.6"/>
  </r>
  <r>
    <x v="9"/>
    <x v="57"/>
    <x v="0"/>
    <m/>
    <n v="1.9189400000000001"/>
    <n v="1.9743999999999999"/>
    <n v="1.9466699999999999"/>
    <n v="554.6"/>
  </r>
  <r>
    <x v="9"/>
    <x v="57"/>
    <x v="0"/>
    <m/>
    <n v="1.9189400000000001"/>
    <n v="1.9743999999999999"/>
    <n v="1.9466699999999999"/>
    <n v="554.6"/>
  </r>
  <r>
    <x v="9"/>
    <x v="57"/>
    <x v="0"/>
    <m/>
    <n v="1.9189400000000001"/>
    <n v="1.9743999999999999"/>
    <n v="1.9466699999999999"/>
    <n v="554.6"/>
  </r>
  <r>
    <x v="9"/>
    <x v="57"/>
    <x v="0"/>
    <m/>
    <n v="1.9189400000000001"/>
    <n v="1.9743999999999999"/>
    <n v="1.9466699999999999"/>
    <n v="554.6"/>
  </r>
  <r>
    <x v="9"/>
    <x v="57"/>
    <x v="0"/>
    <m/>
    <n v="1.9189400000000001"/>
    <n v="1.9743999999999999"/>
    <n v="1.9466699999999999"/>
    <n v="554.6"/>
  </r>
  <r>
    <x v="9"/>
    <x v="58"/>
    <x v="0"/>
    <m/>
    <n v="1.9189400000000001"/>
    <n v="1.9743999999999999"/>
    <n v="1.9466699999999999"/>
    <n v="554.6"/>
  </r>
  <r>
    <x v="9"/>
    <x v="58"/>
    <x v="0"/>
    <m/>
    <n v="1.9189400000000001"/>
    <n v="1.9743999999999999"/>
    <n v="1.9466699999999999"/>
    <n v="554.6"/>
  </r>
  <r>
    <x v="9"/>
    <x v="58"/>
    <x v="0"/>
    <m/>
    <n v="1.9189400000000001"/>
    <n v="1.9743999999999999"/>
    <n v="1.9466699999999999"/>
    <n v="554.6"/>
  </r>
  <r>
    <x v="9"/>
    <x v="58"/>
    <x v="0"/>
    <m/>
    <n v="1.9189400000000001"/>
    <n v="1.9743999999999999"/>
    <n v="1.9466699999999999"/>
    <n v="554.6"/>
  </r>
  <r>
    <x v="9"/>
    <x v="58"/>
    <x v="0"/>
    <m/>
    <n v="1.9189400000000001"/>
    <n v="1.9743999999999999"/>
    <n v="1.9466699999999999"/>
    <n v="554.6"/>
  </r>
  <r>
    <x v="9"/>
    <x v="58"/>
    <x v="2"/>
    <m/>
    <n v="101.33199999999999"/>
    <n v="103.343"/>
    <n v="102.33750000000001"/>
    <n v="201.1"/>
  </r>
  <r>
    <x v="9"/>
    <x v="58"/>
    <x v="2"/>
    <m/>
    <n v="101.33199999999999"/>
    <n v="103.343"/>
    <n v="102.33750000000001"/>
    <n v="201.1"/>
  </r>
  <r>
    <x v="9"/>
    <x v="58"/>
    <x v="2"/>
    <m/>
    <n v="101.33199999999999"/>
    <n v="103.343"/>
    <n v="102.33750000000001"/>
    <n v="201.1"/>
  </r>
  <r>
    <x v="9"/>
    <x v="58"/>
    <x v="2"/>
    <m/>
    <n v="101.33199999999999"/>
    <n v="103.343"/>
    <n v="102.33750000000001"/>
    <n v="201.1"/>
  </r>
  <r>
    <x v="9"/>
    <x v="58"/>
    <x v="2"/>
    <m/>
    <n v="101.33199999999999"/>
    <n v="103.343"/>
    <n v="102.33750000000001"/>
    <n v="201.1"/>
  </r>
  <r>
    <x v="9"/>
    <x v="58"/>
    <x v="2"/>
    <m/>
    <n v="101.33199999999999"/>
    <n v="103.343"/>
    <n v="102.33750000000001"/>
    <n v="201.1"/>
  </r>
  <r>
    <x v="9"/>
    <x v="58"/>
    <x v="2"/>
    <m/>
    <n v="101.33199999999999"/>
    <n v="103.343"/>
    <n v="102.33750000000001"/>
    <n v="201.1"/>
  </r>
  <r>
    <x v="9"/>
    <x v="58"/>
    <x v="2"/>
    <m/>
    <n v="101.33199999999999"/>
    <n v="103.343"/>
    <n v="102.33750000000001"/>
    <n v="201.1"/>
  </r>
  <r>
    <x v="9"/>
    <x v="58"/>
    <x v="2"/>
    <m/>
    <n v="101.33199999999999"/>
    <n v="103.343"/>
    <n v="102.33750000000001"/>
    <n v="201.1"/>
  </r>
  <r>
    <x v="9"/>
    <x v="58"/>
    <x v="2"/>
    <m/>
    <n v="101.33199999999999"/>
    <n v="103.343"/>
    <n v="102.33750000000001"/>
    <n v="201.1"/>
  </r>
  <r>
    <x v="9"/>
    <x v="58"/>
    <x v="2"/>
    <m/>
    <n v="101.33199999999999"/>
    <n v="103.343"/>
    <n v="102.33750000000001"/>
    <n v="201.1"/>
  </r>
  <r>
    <x v="9"/>
    <x v="58"/>
    <x v="2"/>
    <m/>
    <n v="101.33199999999999"/>
    <n v="103.343"/>
    <n v="102.33750000000001"/>
    <n v="201.1"/>
  </r>
  <r>
    <x v="9"/>
    <x v="58"/>
    <x v="2"/>
    <m/>
    <n v="101.33199999999999"/>
    <n v="103.343"/>
    <n v="102.33750000000001"/>
    <n v="201.1"/>
  </r>
  <r>
    <x v="9"/>
    <x v="58"/>
    <x v="2"/>
    <m/>
    <n v="101.33199999999999"/>
    <n v="103.343"/>
    <n v="102.33750000000001"/>
    <n v="201.1"/>
  </r>
  <r>
    <x v="9"/>
    <x v="58"/>
    <x v="2"/>
    <m/>
    <n v="101.33199999999999"/>
    <n v="103.343"/>
    <n v="102.33750000000001"/>
    <n v="201.1"/>
  </r>
  <r>
    <x v="9"/>
    <x v="58"/>
    <x v="2"/>
    <m/>
    <n v="101.33199999999999"/>
    <n v="103.343"/>
    <n v="102.33750000000001"/>
    <n v="201.1"/>
  </r>
  <r>
    <x v="9"/>
    <x v="58"/>
    <x v="2"/>
    <m/>
    <n v="101.33199999999999"/>
    <n v="103.343"/>
    <n v="102.33750000000001"/>
    <n v="201.1"/>
  </r>
  <r>
    <x v="9"/>
    <x v="58"/>
    <x v="13"/>
    <m/>
    <n v="0.90283999999999998"/>
    <n v="0.94006000000000001"/>
    <n v="0.92144999999999999"/>
    <n v="372.2"/>
  </r>
  <r>
    <x v="9"/>
    <x v="58"/>
    <x v="13"/>
    <m/>
    <n v="0.90283999999999998"/>
    <n v="0.94006000000000001"/>
    <n v="0.92144999999999999"/>
    <n v="372.2"/>
  </r>
  <r>
    <x v="9"/>
    <x v="58"/>
    <x v="13"/>
    <m/>
    <n v="0.90283999999999998"/>
    <n v="0.94006000000000001"/>
    <n v="0.92144999999999999"/>
    <n v="372.2"/>
  </r>
  <r>
    <x v="9"/>
    <x v="58"/>
    <x v="13"/>
    <m/>
    <n v="0.90283999999999998"/>
    <n v="0.94006000000000001"/>
    <n v="0.92144999999999999"/>
    <n v="372.2"/>
  </r>
  <r>
    <x v="9"/>
    <x v="58"/>
    <x v="13"/>
    <m/>
    <n v="0.90283999999999998"/>
    <n v="0.94006000000000001"/>
    <n v="0.92144999999999999"/>
    <n v="372.2"/>
  </r>
  <r>
    <x v="9"/>
    <x v="58"/>
    <x v="13"/>
    <m/>
    <n v="0.90283999999999998"/>
    <n v="0.94006000000000001"/>
    <n v="0.92144999999999999"/>
    <n v="372.2"/>
  </r>
  <r>
    <x v="9"/>
    <x v="58"/>
    <x v="13"/>
    <m/>
    <n v="0.90283999999999998"/>
    <n v="0.94006000000000001"/>
    <n v="0.92144999999999999"/>
    <n v="372.2"/>
  </r>
  <r>
    <x v="9"/>
    <x v="58"/>
    <x v="13"/>
    <m/>
    <n v="0.90283999999999998"/>
    <n v="0.94006000000000001"/>
    <n v="0.92144999999999999"/>
    <n v="372.2"/>
  </r>
  <r>
    <x v="9"/>
    <x v="58"/>
    <x v="13"/>
    <m/>
    <n v="0.90283999999999998"/>
    <n v="0.94006000000000001"/>
    <n v="0.92144999999999999"/>
    <n v="372.2"/>
  </r>
  <r>
    <x v="9"/>
    <x v="58"/>
    <x v="13"/>
    <m/>
    <n v="0.90283999999999998"/>
    <n v="0.94006000000000001"/>
    <n v="0.92144999999999999"/>
    <n v="372.2"/>
  </r>
  <r>
    <x v="9"/>
    <x v="58"/>
    <x v="13"/>
    <m/>
    <n v="0.90283999999999998"/>
    <n v="0.94006000000000001"/>
    <n v="0.92144999999999999"/>
    <n v="372.2"/>
  </r>
  <r>
    <x v="9"/>
    <x v="58"/>
    <x v="13"/>
    <m/>
    <n v="0.90283999999999998"/>
    <n v="0.94006000000000001"/>
    <n v="0.92144999999999999"/>
    <n v="372.2"/>
  </r>
  <r>
    <x v="9"/>
    <x v="58"/>
    <x v="13"/>
    <m/>
    <n v="0.90283999999999998"/>
    <n v="0.94006000000000001"/>
    <n v="0.92144999999999999"/>
    <n v="372.2"/>
  </r>
  <r>
    <x v="9"/>
    <x v="58"/>
    <x v="13"/>
    <m/>
    <n v="0.90283999999999998"/>
    <n v="0.94006000000000001"/>
    <n v="0.92144999999999999"/>
    <n v="372.2"/>
  </r>
  <r>
    <x v="9"/>
    <x v="58"/>
    <x v="13"/>
    <m/>
    <n v="0.90283999999999998"/>
    <n v="0.94006000000000001"/>
    <n v="0.92144999999999999"/>
    <n v="372.2"/>
  </r>
  <r>
    <x v="9"/>
    <x v="58"/>
    <x v="13"/>
    <m/>
    <n v="0.90283999999999998"/>
    <n v="0.94006000000000001"/>
    <n v="0.92144999999999999"/>
    <n v="372.2"/>
  </r>
  <r>
    <x v="9"/>
    <x v="58"/>
    <x v="13"/>
    <m/>
    <n v="0.90283999999999998"/>
    <n v="0.94006000000000001"/>
    <n v="0.92144999999999999"/>
    <n v="372.2"/>
  </r>
  <r>
    <x v="9"/>
    <x v="58"/>
    <x v="13"/>
    <m/>
    <n v="0.90283999999999998"/>
    <n v="0.94006000000000001"/>
    <n v="0.92144999999999999"/>
    <n v="372.2"/>
  </r>
  <r>
    <x v="9"/>
    <x v="58"/>
    <x v="13"/>
    <m/>
    <n v="0.90283999999999998"/>
    <n v="0.94006000000000001"/>
    <n v="0.92144999999999999"/>
    <n v="372.2"/>
  </r>
  <r>
    <x v="9"/>
    <x v="58"/>
    <x v="13"/>
    <m/>
    <n v="0.90283999999999998"/>
    <n v="0.94006000000000001"/>
    <n v="0.92144999999999999"/>
    <n v="372.2"/>
  </r>
  <r>
    <x v="9"/>
    <x v="58"/>
    <x v="13"/>
    <m/>
    <n v="0.90283999999999998"/>
    <n v="0.94006000000000001"/>
    <n v="0.92144999999999999"/>
    <n v="372.2"/>
  </r>
  <r>
    <x v="9"/>
    <x v="58"/>
    <x v="13"/>
    <m/>
    <n v="0.90283999999999998"/>
    <n v="0.94006000000000001"/>
    <n v="0.92144999999999999"/>
    <n v="372.2"/>
  </r>
  <r>
    <x v="9"/>
    <x v="58"/>
    <x v="13"/>
    <m/>
    <n v="0.90283999999999998"/>
    <n v="0.94006000000000001"/>
    <n v="0.92144999999999999"/>
    <n v="372.2"/>
  </r>
  <r>
    <x v="9"/>
    <x v="58"/>
    <x v="13"/>
    <m/>
    <n v="0.90283999999999998"/>
    <n v="0.94006000000000001"/>
    <n v="0.92144999999999999"/>
    <n v="372.2"/>
  </r>
  <r>
    <x v="9"/>
    <x v="58"/>
    <x v="13"/>
    <m/>
    <n v="0.90283999999999998"/>
    <n v="0.94006000000000001"/>
    <n v="0.92144999999999999"/>
    <n v="372.2"/>
  </r>
  <r>
    <x v="9"/>
    <x v="58"/>
    <x v="13"/>
    <m/>
    <n v="0.90283999999999998"/>
    <n v="0.94006000000000001"/>
    <n v="0.92144999999999999"/>
    <n v="372.2"/>
  </r>
  <r>
    <x v="9"/>
    <x v="58"/>
    <x v="13"/>
    <m/>
    <n v="0.90283999999999998"/>
    <n v="0.94006000000000001"/>
    <n v="0.92144999999999999"/>
    <n v="372.2"/>
  </r>
  <r>
    <x v="9"/>
    <x v="58"/>
    <x v="13"/>
    <m/>
    <n v="0.90283999999999998"/>
    <n v="0.94006000000000001"/>
    <n v="0.92144999999999999"/>
    <n v="372.2"/>
  </r>
  <r>
    <x v="9"/>
    <x v="58"/>
    <x v="9"/>
    <m/>
    <n v="0.80845"/>
    <n v="0.83677999999999997"/>
    <n v="0.82261499999999999"/>
    <n v="283.3"/>
  </r>
  <r>
    <x v="9"/>
    <x v="58"/>
    <x v="9"/>
    <m/>
    <n v="0.80845"/>
    <n v="0.83677999999999997"/>
    <n v="0.82261499999999999"/>
    <n v="283.3"/>
  </r>
  <r>
    <x v="9"/>
    <x v="58"/>
    <x v="9"/>
    <m/>
    <n v="0.80845"/>
    <n v="0.83677999999999997"/>
    <n v="0.82261499999999999"/>
    <n v="283.3"/>
  </r>
  <r>
    <x v="9"/>
    <x v="58"/>
    <x v="9"/>
    <m/>
    <n v="0.80845"/>
    <n v="0.83677999999999997"/>
    <n v="0.82261499999999999"/>
    <n v="283.3"/>
  </r>
  <r>
    <x v="9"/>
    <x v="58"/>
    <x v="9"/>
    <m/>
    <n v="0.80845"/>
    <n v="0.83677999999999997"/>
    <n v="0.82261499999999999"/>
    <n v="283.3"/>
  </r>
  <r>
    <x v="9"/>
    <x v="58"/>
    <x v="9"/>
    <m/>
    <n v="0.80845"/>
    <n v="0.83677999999999997"/>
    <n v="0.82261499999999999"/>
    <n v="283.3"/>
  </r>
  <r>
    <x v="9"/>
    <x v="58"/>
    <x v="9"/>
    <m/>
    <n v="0.80845"/>
    <n v="0.83677999999999997"/>
    <n v="0.82261499999999999"/>
    <n v="283.3"/>
  </r>
  <r>
    <x v="9"/>
    <x v="58"/>
    <x v="9"/>
    <m/>
    <n v="0.80845"/>
    <n v="0.83677999999999997"/>
    <n v="0.82261499999999999"/>
    <n v="283.3"/>
  </r>
  <r>
    <x v="9"/>
    <x v="58"/>
    <x v="9"/>
    <m/>
    <n v="0.80845"/>
    <n v="0.83677999999999997"/>
    <n v="0.82261499999999999"/>
    <n v="283.3"/>
  </r>
  <r>
    <x v="9"/>
    <x v="58"/>
    <x v="9"/>
    <m/>
    <n v="0.80845"/>
    <n v="0.83677999999999997"/>
    <n v="0.82261499999999999"/>
    <n v="283.3"/>
  </r>
  <r>
    <x v="9"/>
    <x v="58"/>
    <x v="9"/>
    <m/>
    <n v="0.80845"/>
    <n v="0.83677999999999997"/>
    <n v="0.82261499999999999"/>
    <n v="283.3"/>
  </r>
  <r>
    <x v="9"/>
    <x v="58"/>
    <x v="9"/>
    <m/>
    <n v="0.80845"/>
    <n v="0.83677999999999997"/>
    <n v="0.82261499999999999"/>
    <n v="283.3"/>
  </r>
  <r>
    <x v="9"/>
    <x v="58"/>
    <x v="9"/>
    <m/>
    <n v="0.80845"/>
    <n v="0.83677999999999997"/>
    <n v="0.82261499999999999"/>
    <n v="283.3"/>
  </r>
  <r>
    <x v="9"/>
    <x v="58"/>
    <x v="9"/>
    <m/>
    <n v="0.80845"/>
    <n v="0.83677999999999997"/>
    <n v="0.82261499999999999"/>
    <n v="283.3"/>
  </r>
  <r>
    <x v="9"/>
    <x v="58"/>
    <x v="9"/>
    <m/>
    <n v="0.80845"/>
    <n v="0.83677999999999997"/>
    <n v="0.82261499999999999"/>
    <n v="283.3"/>
  </r>
  <r>
    <x v="9"/>
    <x v="58"/>
    <x v="9"/>
    <m/>
    <n v="0.80845"/>
    <n v="0.83677999999999997"/>
    <n v="0.82261499999999999"/>
    <n v="283.3"/>
  </r>
  <r>
    <x v="9"/>
    <x v="58"/>
    <x v="9"/>
    <m/>
    <n v="0.80845"/>
    <n v="0.83677999999999997"/>
    <n v="0.82261499999999999"/>
    <n v="283.3"/>
  </r>
  <r>
    <x v="9"/>
    <x v="58"/>
    <x v="0"/>
    <m/>
    <n v="1.9189400000000001"/>
    <n v="1.9743999999999999"/>
    <n v="1.9466699999999999"/>
    <n v="554.6"/>
  </r>
  <r>
    <x v="9"/>
    <x v="58"/>
    <x v="0"/>
    <m/>
    <n v="1.9189400000000001"/>
    <n v="1.9743999999999999"/>
    <n v="1.9466699999999999"/>
    <n v="554.6"/>
  </r>
  <r>
    <x v="9"/>
    <x v="58"/>
    <x v="0"/>
    <m/>
    <n v="1.9189400000000001"/>
    <n v="1.9743999999999999"/>
    <n v="1.9466699999999999"/>
    <n v="554.6"/>
  </r>
  <r>
    <x v="9"/>
    <x v="58"/>
    <x v="0"/>
    <m/>
    <n v="1.9189400000000001"/>
    <n v="1.9743999999999999"/>
    <n v="1.9466699999999999"/>
    <n v="554.6"/>
  </r>
  <r>
    <x v="9"/>
    <x v="58"/>
    <x v="0"/>
    <m/>
    <n v="1.9189400000000001"/>
    <n v="1.9743999999999999"/>
    <n v="1.9466699999999999"/>
    <n v="554.6"/>
  </r>
  <r>
    <x v="9"/>
    <x v="58"/>
    <x v="0"/>
    <m/>
    <n v="1.9189400000000001"/>
    <n v="1.9743999999999999"/>
    <n v="1.9466699999999999"/>
    <n v="554.6"/>
  </r>
  <r>
    <x v="9"/>
    <x v="58"/>
    <x v="0"/>
    <m/>
    <n v="1.9189400000000001"/>
    <n v="1.9743999999999999"/>
    <n v="1.9466699999999999"/>
    <n v="554.6"/>
  </r>
  <r>
    <x v="9"/>
    <x v="58"/>
    <x v="0"/>
    <m/>
    <n v="1.9189400000000001"/>
    <n v="1.9743999999999999"/>
    <n v="1.9466699999999999"/>
    <n v="554.6"/>
  </r>
  <r>
    <x v="9"/>
    <x v="58"/>
    <x v="0"/>
    <m/>
    <n v="1.9189400000000001"/>
    <n v="1.9743999999999999"/>
    <n v="1.9466699999999999"/>
    <n v="554.6"/>
  </r>
  <r>
    <x v="9"/>
    <x v="58"/>
    <x v="0"/>
    <m/>
    <n v="1.9189400000000001"/>
    <n v="1.9743999999999999"/>
    <n v="1.9466699999999999"/>
    <n v="554.6"/>
  </r>
  <r>
    <x v="9"/>
    <x v="58"/>
    <x v="0"/>
    <m/>
    <n v="1.9189400000000001"/>
    <n v="1.9743999999999999"/>
    <n v="1.9466699999999999"/>
    <n v="554.6"/>
  </r>
  <r>
    <x v="9"/>
    <x v="58"/>
    <x v="0"/>
    <m/>
    <n v="1.9189400000000001"/>
    <n v="1.9743999999999999"/>
    <n v="1.9466699999999999"/>
    <n v="554.6"/>
  </r>
  <r>
    <x v="9"/>
    <x v="58"/>
    <x v="0"/>
    <m/>
    <n v="1.9189400000000001"/>
    <n v="1.9743999999999999"/>
    <n v="1.9466699999999999"/>
    <n v="554.6"/>
  </r>
  <r>
    <x v="9"/>
    <x v="58"/>
    <x v="0"/>
    <m/>
    <n v="1.9189400000000001"/>
    <n v="1.9743999999999999"/>
    <n v="1.9466699999999999"/>
    <n v="554.6"/>
  </r>
  <r>
    <x v="9"/>
    <x v="58"/>
    <x v="0"/>
    <m/>
    <n v="1.9189400000000001"/>
    <n v="1.9743999999999999"/>
    <n v="1.9466699999999999"/>
    <n v="554.6"/>
  </r>
  <r>
    <x v="9"/>
    <x v="58"/>
    <x v="0"/>
    <m/>
    <n v="1.9189400000000001"/>
    <n v="1.9743999999999999"/>
    <n v="1.9466699999999999"/>
    <n v="554.6"/>
  </r>
  <r>
    <x v="9"/>
    <x v="58"/>
    <x v="0"/>
    <m/>
    <n v="1.9189400000000001"/>
    <n v="1.9743999999999999"/>
    <n v="1.9466699999999999"/>
    <n v="554.6"/>
  </r>
  <r>
    <x v="9"/>
    <x v="58"/>
    <x v="0"/>
    <m/>
    <n v="1.9189400000000001"/>
    <n v="1.9743999999999999"/>
    <n v="1.9466699999999999"/>
    <n v="554.6"/>
  </r>
  <r>
    <x v="9"/>
    <x v="58"/>
    <x v="0"/>
    <m/>
    <n v="1.9189400000000001"/>
    <n v="1.9743999999999999"/>
    <n v="1.9466699999999999"/>
    <n v="554.6"/>
  </r>
  <r>
    <x v="9"/>
    <x v="59"/>
    <x v="0"/>
    <m/>
    <n v="1.91"/>
    <n v="1.998"/>
    <n v="1.954"/>
    <n v="880"/>
  </r>
  <r>
    <x v="9"/>
    <x v="59"/>
    <x v="0"/>
    <m/>
    <n v="1.91"/>
    <n v="1.998"/>
    <n v="1.954"/>
    <n v="880"/>
  </r>
  <r>
    <x v="9"/>
    <x v="59"/>
    <x v="0"/>
    <m/>
    <n v="1.91"/>
    <n v="1.998"/>
    <n v="1.954"/>
    <n v="880"/>
  </r>
  <r>
    <x v="9"/>
    <x v="59"/>
    <x v="0"/>
    <m/>
    <n v="1.91"/>
    <n v="1.998"/>
    <n v="1.954"/>
    <n v="880"/>
  </r>
  <r>
    <x v="9"/>
    <x v="59"/>
    <x v="0"/>
    <m/>
    <n v="1.91"/>
    <n v="1.998"/>
    <n v="1.954"/>
    <n v="880"/>
  </r>
  <r>
    <x v="9"/>
    <x v="59"/>
    <x v="0"/>
    <m/>
    <n v="1.91"/>
    <n v="1.998"/>
    <n v="1.954"/>
    <n v="880"/>
  </r>
  <r>
    <x v="9"/>
    <x v="59"/>
    <x v="0"/>
    <m/>
    <n v="1.91"/>
    <n v="1.998"/>
    <n v="1.954"/>
    <n v="880"/>
  </r>
  <r>
    <x v="9"/>
    <x v="59"/>
    <x v="2"/>
    <m/>
    <n v="101"/>
    <n v="104.005"/>
    <n v="102.5025"/>
    <n v="300.5"/>
  </r>
  <r>
    <x v="9"/>
    <x v="59"/>
    <x v="2"/>
    <m/>
    <n v="101"/>
    <n v="104.005"/>
    <n v="102.5025"/>
    <n v="300.5"/>
  </r>
  <r>
    <x v="9"/>
    <x v="59"/>
    <x v="2"/>
    <m/>
    <n v="101"/>
    <n v="104.005"/>
    <n v="102.5025"/>
    <n v="300.5"/>
  </r>
  <r>
    <x v="9"/>
    <x v="59"/>
    <x v="2"/>
    <m/>
    <n v="101"/>
    <n v="104.005"/>
    <n v="102.5025"/>
    <n v="300.5"/>
  </r>
  <r>
    <x v="9"/>
    <x v="59"/>
    <x v="2"/>
    <m/>
    <n v="101"/>
    <n v="104.005"/>
    <n v="102.5025"/>
    <n v="300.5"/>
  </r>
  <r>
    <x v="9"/>
    <x v="59"/>
    <x v="2"/>
    <m/>
    <n v="101"/>
    <n v="104.005"/>
    <n v="102.5025"/>
    <n v="300.5"/>
  </r>
  <r>
    <x v="9"/>
    <x v="59"/>
    <x v="2"/>
    <m/>
    <n v="101"/>
    <n v="104.005"/>
    <n v="102.5025"/>
    <n v="300.5"/>
  </r>
  <r>
    <x v="9"/>
    <x v="59"/>
    <x v="2"/>
    <m/>
    <n v="101"/>
    <n v="104.005"/>
    <n v="102.5025"/>
    <n v="300.5"/>
  </r>
  <r>
    <x v="9"/>
    <x v="59"/>
    <x v="2"/>
    <m/>
    <n v="101"/>
    <n v="104.005"/>
    <n v="102.5025"/>
    <n v="300.5"/>
  </r>
  <r>
    <x v="9"/>
    <x v="59"/>
    <x v="2"/>
    <m/>
    <n v="101"/>
    <n v="104.005"/>
    <n v="102.5025"/>
    <n v="300.5"/>
  </r>
  <r>
    <x v="9"/>
    <x v="59"/>
    <x v="2"/>
    <m/>
    <n v="101"/>
    <n v="104.005"/>
    <n v="102.5025"/>
    <n v="300.5"/>
  </r>
  <r>
    <x v="9"/>
    <x v="59"/>
    <x v="2"/>
    <m/>
    <n v="101"/>
    <n v="104.005"/>
    <n v="102.5025"/>
    <n v="300.5"/>
  </r>
  <r>
    <x v="9"/>
    <x v="59"/>
    <x v="2"/>
    <m/>
    <n v="101"/>
    <n v="104.005"/>
    <n v="102.5025"/>
    <n v="300.5"/>
  </r>
  <r>
    <x v="9"/>
    <x v="59"/>
    <x v="2"/>
    <m/>
    <n v="101"/>
    <n v="104.005"/>
    <n v="102.5025"/>
    <n v="300.5"/>
  </r>
  <r>
    <x v="9"/>
    <x v="59"/>
    <x v="2"/>
    <m/>
    <n v="101"/>
    <n v="104.005"/>
    <n v="102.5025"/>
    <n v="300.5"/>
  </r>
  <r>
    <x v="9"/>
    <x v="59"/>
    <x v="2"/>
    <m/>
    <n v="101"/>
    <n v="104.005"/>
    <n v="102.5025"/>
    <n v="300.5"/>
  </r>
  <r>
    <x v="9"/>
    <x v="59"/>
    <x v="2"/>
    <m/>
    <n v="101"/>
    <n v="104.005"/>
    <n v="102.5025"/>
    <n v="300.5"/>
  </r>
  <r>
    <x v="9"/>
    <x v="59"/>
    <x v="13"/>
    <m/>
    <n v="0.89127000000000001"/>
    <n v="0.94559000000000004"/>
    <n v="0.91842999999999997"/>
    <n v="543.20000000000005"/>
  </r>
  <r>
    <x v="9"/>
    <x v="59"/>
    <x v="13"/>
    <m/>
    <n v="0.89127000000000001"/>
    <n v="0.94559000000000004"/>
    <n v="0.91842999999999997"/>
    <n v="543.20000000000005"/>
  </r>
  <r>
    <x v="9"/>
    <x v="59"/>
    <x v="13"/>
    <m/>
    <n v="0.89127000000000001"/>
    <n v="0.94559000000000004"/>
    <n v="0.91842999999999997"/>
    <n v="543.20000000000005"/>
  </r>
  <r>
    <x v="9"/>
    <x v="59"/>
    <x v="13"/>
    <m/>
    <n v="0.89127000000000001"/>
    <n v="0.94559000000000004"/>
    <n v="0.91842999999999997"/>
    <n v="543.20000000000005"/>
  </r>
  <r>
    <x v="9"/>
    <x v="59"/>
    <x v="13"/>
    <m/>
    <n v="0.89127000000000001"/>
    <n v="0.94559000000000004"/>
    <n v="0.91842999999999997"/>
    <n v="543.20000000000005"/>
  </r>
  <r>
    <x v="9"/>
    <x v="59"/>
    <x v="13"/>
    <m/>
    <n v="0.89127000000000001"/>
    <n v="0.94559000000000004"/>
    <n v="0.91842999999999997"/>
    <n v="543.20000000000005"/>
  </r>
  <r>
    <x v="9"/>
    <x v="59"/>
    <x v="13"/>
    <m/>
    <n v="0.89127000000000001"/>
    <n v="0.94559000000000004"/>
    <n v="0.91842999999999997"/>
    <n v="543.20000000000005"/>
  </r>
  <r>
    <x v="9"/>
    <x v="59"/>
    <x v="13"/>
    <m/>
    <n v="0.89127000000000001"/>
    <n v="0.94559000000000004"/>
    <n v="0.91842999999999997"/>
    <n v="543.20000000000005"/>
  </r>
  <r>
    <x v="9"/>
    <x v="59"/>
    <x v="13"/>
    <m/>
    <n v="0.89127000000000001"/>
    <n v="0.94559000000000004"/>
    <n v="0.91842999999999997"/>
    <n v="543.20000000000005"/>
  </r>
  <r>
    <x v="9"/>
    <x v="59"/>
    <x v="13"/>
    <m/>
    <n v="0.89127000000000001"/>
    <n v="0.94559000000000004"/>
    <n v="0.91842999999999997"/>
    <n v="543.20000000000005"/>
  </r>
  <r>
    <x v="9"/>
    <x v="59"/>
    <x v="13"/>
    <m/>
    <n v="0.89127000000000001"/>
    <n v="0.94559000000000004"/>
    <n v="0.91842999999999997"/>
    <n v="543.20000000000005"/>
  </r>
  <r>
    <x v="9"/>
    <x v="59"/>
    <x v="13"/>
    <m/>
    <n v="0.89127000000000001"/>
    <n v="0.94559000000000004"/>
    <n v="0.91842999999999997"/>
    <n v="543.20000000000005"/>
  </r>
  <r>
    <x v="9"/>
    <x v="59"/>
    <x v="13"/>
    <m/>
    <n v="0.89127000000000001"/>
    <n v="0.94559000000000004"/>
    <n v="0.91842999999999997"/>
    <n v="543.20000000000005"/>
  </r>
  <r>
    <x v="9"/>
    <x v="59"/>
    <x v="13"/>
    <m/>
    <n v="0.89127000000000001"/>
    <n v="0.94559000000000004"/>
    <n v="0.91842999999999997"/>
    <n v="543.20000000000005"/>
  </r>
  <r>
    <x v="9"/>
    <x v="59"/>
    <x v="13"/>
    <m/>
    <n v="0.89127000000000001"/>
    <n v="0.94559000000000004"/>
    <n v="0.91842999999999997"/>
    <n v="543.20000000000005"/>
  </r>
  <r>
    <x v="9"/>
    <x v="59"/>
    <x v="13"/>
    <m/>
    <n v="0.89127000000000001"/>
    <n v="0.94559000000000004"/>
    <n v="0.91842999999999997"/>
    <n v="543.20000000000005"/>
  </r>
  <r>
    <x v="9"/>
    <x v="59"/>
    <x v="13"/>
    <m/>
    <n v="0.89127000000000001"/>
    <n v="0.94559000000000004"/>
    <n v="0.91842999999999997"/>
    <n v="543.20000000000005"/>
  </r>
  <r>
    <x v="9"/>
    <x v="59"/>
    <x v="13"/>
    <m/>
    <n v="0.89127000000000001"/>
    <n v="0.94559000000000004"/>
    <n v="0.91842999999999997"/>
    <n v="543.20000000000005"/>
  </r>
  <r>
    <x v="9"/>
    <x v="59"/>
    <x v="13"/>
    <m/>
    <n v="0.89127000000000001"/>
    <n v="0.94559000000000004"/>
    <n v="0.91842999999999997"/>
    <n v="543.20000000000005"/>
  </r>
  <r>
    <x v="9"/>
    <x v="59"/>
    <x v="13"/>
    <m/>
    <n v="0.89127000000000001"/>
    <n v="0.94559000000000004"/>
    <n v="0.91842999999999997"/>
    <n v="543.20000000000005"/>
  </r>
  <r>
    <x v="9"/>
    <x v="59"/>
    <x v="13"/>
    <m/>
    <n v="0.89127000000000001"/>
    <n v="0.94559000000000004"/>
    <n v="0.91842999999999997"/>
    <n v="543.20000000000005"/>
  </r>
  <r>
    <x v="9"/>
    <x v="59"/>
    <x v="13"/>
    <m/>
    <n v="0.89127000000000001"/>
    <n v="0.94559000000000004"/>
    <n v="0.91842999999999997"/>
    <n v="543.20000000000005"/>
  </r>
  <r>
    <x v="9"/>
    <x v="59"/>
    <x v="13"/>
    <m/>
    <n v="0.89127000000000001"/>
    <n v="0.94559000000000004"/>
    <n v="0.91842999999999997"/>
    <n v="543.20000000000005"/>
  </r>
  <r>
    <x v="9"/>
    <x v="59"/>
    <x v="13"/>
    <m/>
    <n v="0.89127000000000001"/>
    <n v="0.94559000000000004"/>
    <n v="0.91842999999999997"/>
    <n v="543.20000000000005"/>
  </r>
  <r>
    <x v="9"/>
    <x v="59"/>
    <x v="13"/>
    <m/>
    <n v="0.89127000000000001"/>
    <n v="0.94559000000000004"/>
    <n v="0.91842999999999997"/>
    <n v="543.20000000000005"/>
  </r>
  <r>
    <x v="9"/>
    <x v="59"/>
    <x v="13"/>
    <m/>
    <n v="0.89127000000000001"/>
    <n v="0.94559000000000004"/>
    <n v="0.91842999999999997"/>
    <n v="543.20000000000005"/>
  </r>
  <r>
    <x v="9"/>
    <x v="59"/>
    <x v="13"/>
    <m/>
    <n v="0.89127000000000001"/>
    <n v="0.94559000000000004"/>
    <n v="0.91842999999999997"/>
    <n v="543.20000000000005"/>
  </r>
  <r>
    <x v="9"/>
    <x v="59"/>
    <x v="13"/>
    <m/>
    <n v="0.89127000000000001"/>
    <n v="0.94559000000000004"/>
    <n v="0.91842999999999997"/>
    <n v="543.20000000000005"/>
  </r>
  <r>
    <x v="9"/>
    <x v="59"/>
    <x v="13"/>
    <m/>
    <n v="0.89127000000000001"/>
    <n v="0.94559000000000004"/>
    <n v="0.91842999999999997"/>
    <n v="543.20000000000005"/>
  </r>
  <r>
    <x v="9"/>
    <x v="59"/>
    <x v="9"/>
    <m/>
    <n v="0.80800000000000005"/>
    <n v="0.84"/>
    <n v="0.82399999999999995"/>
    <n v="320"/>
  </r>
  <r>
    <x v="9"/>
    <x v="59"/>
    <x v="9"/>
    <m/>
    <n v="0.80800000000000005"/>
    <n v="0.84"/>
    <n v="0.82399999999999995"/>
    <n v="320"/>
  </r>
  <r>
    <x v="9"/>
    <x v="59"/>
    <x v="9"/>
    <m/>
    <n v="0.80800000000000005"/>
    <n v="0.84"/>
    <n v="0.82399999999999995"/>
    <n v="320"/>
  </r>
  <r>
    <x v="9"/>
    <x v="59"/>
    <x v="9"/>
    <m/>
    <n v="0.80800000000000005"/>
    <n v="0.84"/>
    <n v="0.82399999999999995"/>
    <n v="320"/>
  </r>
  <r>
    <x v="9"/>
    <x v="59"/>
    <x v="9"/>
    <m/>
    <n v="0.80800000000000005"/>
    <n v="0.84"/>
    <n v="0.82399999999999995"/>
    <n v="320"/>
  </r>
  <r>
    <x v="9"/>
    <x v="59"/>
    <x v="9"/>
    <m/>
    <n v="0.80800000000000005"/>
    <n v="0.84"/>
    <n v="0.82399999999999995"/>
    <n v="320"/>
  </r>
  <r>
    <x v="9"/>
    <x v="59"/>
    <x v="9"/>
    <m/>
    <n v="0.80800000000000005"/>
    <n v="0.84"/>
    <n v="0.82399999999999995"/>
    <n v="320"/>
  </r>
  <r>
    <x v="9"/>
    <x v="59"/>
    <x v="9"/>
    <m/>
    <n v="0.80800000000000005"/>
    <n v="0.84"/>
    <n v="0.82399999999999995"/>
    <n v="320"/>
  </r>
  <r>
    <x v="9"/>
    <x v="59"/>
    <x v="9"/>
    <m/>
    <n v="0.80800000000000005"/>
    <n v="0.84"/>
    <n v="0.82399999999999995"/>
    <n v="320"/>
  </r>
  <r>
    <x v="9"/>
    <x v="59"/>
    <x v="9"/>
    <m/>
    <n v="0.80800000000000005"/>
    <n v="0.84"/>
    <n v="0.82399999999999995"/>
    <n v="320"/>
  </r>
  <r>
    <x v="9"/>
    <x v="59"/>
    <x v="9"/>
    <m/>
    <n v="0.80800000000000005"/>
    <n v="0.84"/>
    <n v="0.82399999999999995"/>
    <n v="320"/>
  </r>
  <r>
    <x v="9"/>
    <x v="59"/>
    <x v="9"/>
    <m/>
    <n v="0.80800000000000005"/>
    <n v="0.84"/>
    <n v="0.82399999999999995"/>
    <n v="320"/>
  </r>
  <r>
    <x v="9"/>
    <x v="59"/>
    <x v="9"/>
    <m/>
    <n v="0.80800000000000005"/>
    <n v="0.84"/>
    <n v="0.82399999999999995"/>
    <n v="320"/>
  </r>
  <r>
    <x v="9"/>
    <x v="59"/>
    <x v="9"/>
    <m/>
    <n v="0.80800000000000005"/>
    <n v="0.84"/>
    <n v="0.82399999999999995"/>
    <n v="320"/>
  </r>
  <r>
    <x v="9"/>
    <x v="59"/>
    <x v="9"/>
    <m/>
    <n v="0.80800000000000005"/>
    <n v="0.84"/>
    <n v="0.82399999999999995"/>
    <n v="320"/>
  </r>
  <r>
    <x v="9"/>
    <x v="59"/>
    <x v="9"/>
    <m/>
    <n v="0.80800000000000005"/>
    <n v="0.84"/>
    <n v="0.82399999999999995"/>
    <n v="320"/>
  </r>
  <r>
    <x v="9"/>
    <x v="59"/>
    <x v="9"/>
    <m/>
    <n v="0.80800000000000005"/>
    <n v="0.84"/>
    <n v="0.82399999999999995"/>
    <n v="320"/>
  </r>
  <r>
    <x v="9"/>
    <x v="59"/>
    <x v="9"/>
    <m/>
    <n v="0.80800000000000005"/>
    <n v="0.84"/>
    <n v="0.82399999999999995"/>
    <n v="320"/>
  </r>
  <r>
    <x v="9"/>
    <x v="59"/>
    <x v="0"/>
    <m/>
    <n v="1.91"/>
    <n v="1.998"/>
    <n v="1.954"/>
    <n v="880"/>
  </r>
  <r>
    <x v="9"/>
    <x v="59"/>
    <x v="0"/>
    <m/>
    <n v="1.91"/>
    <n v="1.998"/>
    <n v="1.954"/>
    <n v="880"/>
  </r>
  <r>
    <x v="9"/>
    <x v="59"/>
    <x v="0"/>
    <m/>
    <n v="1.91"/>
    <n v="1.998"/>
    <n v="1.954"/>
    <n v="880"/>
  </r>
  <r>
    <x v="9"/>
    <x v="59"/>
    <x v="0"/>
    <m/>
    <n v="1.91"/>
    <n v="1.998"/>
    <n v="1.954"/>
    <n v="880"/>
  </r>
  <r>
    <x v="9"/>
    <x v="59"/>
    <x v="0"/>
    <m/>
    <n v="1.91"/>
    <n v="1.998"/>
    <n v="1.954"/>
    <n v="880"/>
  </r>
  <r>
    <x v="9"/>
    <x v="59"/>
    <x v="0"/>
    <m/>
    <n v="1.91"/>
    <n v="1.998"/>
    <n v="1.954"/>
    <n v="880"/>
  </r>
  <r>
    <x v="9"/>
    <x v="59"/>
    <x v="0"/>
    <m/>
    <n v="1.91"/>
    <n v="1.998"/>
    <n v="1.954"/>
    <n v="880"/>
  </r>
  <r>
    <x v="9"/>
    <x v="59"/>
    <x v="0"/>
    <m/>
    <n v="1.91"/>
    <n v="1.998"/>
    <n v="1.954"/>
    <n v="880"/>
  </r>
  <r>
    <x v="9"/>
    <x v="59"/>
    <x v="0"/>
    <m/>
    <n v="1.91"/>
    <n v="1.998"/>
    <n v="1.954"/>
    <n v="880"/>
  </r>
  <r>
    <x v="9"/>
    <x v="59"/>
    <x v="0"/>
    <m/>
    <n v="1.91"/>
    <n v="1.998"/>
    <n v="1.954"/>
    <n v="880"/>
  </r>
  <r>
    <x v="9"/>
    <x v="59"/>
    <x v="0"/>
    <m/>
    <n v="1.91"/>
    <n v="1.998"/>
    <n v="1.954"/>
    <n v="880"/>
  </r>
  <r>
    <x v="9"/>
    <x v="59"/>
    <x v="0"/>
    <m/>
    <n v="1.91"/>
    <n v="1.998"/>
    <n v="1.954"/>
    <n v="880"/>
  </r>
  <r>
    <x v="9"/>
    <x v="59"/>
    <x v="0"/>
    <m/>
    <n v="1.91"/>
    <n v="1.998"/>
    <n v="1.954"/>
    <n v="880"/>
  </r>
  <r>
    <x v="9"/>
    <x v="59"/>
    <x v="0"/>
    <m/>
    <n v="1.91"/>
    <n v="1.998"/>
    <n v="1.954"/>
    <n v="880"/>
  </r>
  <r>
    <x v="9"/>
    <x v="59"/>
    <x v="0"/>
    <m/>
    <n v="1.91"/>
    <n v="1.998"/>
    <n v="1.954"/>
    <n v="880"/>
  </r>
  <r>
    <x v="9"/>
    <x v="59"/>
    <x v="0"/>
    <m/>
    <n v="1.91"/>
    <n v="1.998"/>
    <n v="1.954"/>
    <n v="880"/>
  </r>
  <r>
    <x v="9"/>
    <x v="59"/>
    <x v="0"/>
    <m/>
    <n v="1.91"/>
    <n v="1.998"/>
    <n v="1.954"/>
    <n v="880"/>
  </r>
  <r>
    <x v="9"/>
    <x v="25"/>
    <x v="13"/>
    <m/>
    <n v="0.89127000000000001"/>
    <n v="0.94559000000000004"/>
    <n v="0.91842999999999997"/>
    <n v="543.20000000000005"/>
  </r>
  <r>
    <x v="9"/>
    <x v="25"/>
    <x v="13"/>
    <m/>
    <n v="0.89127000000000001"/>
    <n v="0.94559000000000004"/>
    <n v="0.91842999999999997"/>
    <n v="543.20000000000005"/>
  </r>
  <r>
    <x v="9"/>
    <x v="25"/>
    <x v="13"/>
    <m/>
    <n v="0.89127000000000001"/>
    <n v="0.94559000000000004"/>
    <n v="0.91842999999999997"/>
    <n v="543.20000000000005"/>
  </r>
  <r>
    <x v="9"/>
    <x v="25"/>
    <x v="13"/>
    <m/>
    <n v="0.89127000000000001"/>
    <n v="0.94559000000000004"/>
    <n v="0.91842999999999997"/>
    <n v="543.20000000000005"/>
  </r>
  <r>
    <x v="9"/>
    <x v="25"/>
    <x v="13"/>
    <m/>
    <n v="0.89127000000000001"/>
    <n v="0.94559000000000004"/>
    <n v="0.91842999999999997"/>
    <n v="543.20000000000005"/>
  </r>
  <r>
    <x v="9"/>
    <x v="25"/>
    <x v="13"/>
    <m/>
    <n v="0.89127000000000001"/>
    <n v="0.94559000000000004"/>
    <n v="0.91842999999999997"/>
    <n v="543.20000000000005"/>
  </r>
  <r>
    <x v="9"/>
    <x v="25"/>
    <x v="13"/>
    <m/>
    <n v="0.89127000000000001"/>
    <n v="0.94559000000000004"/>
    <n v="0.91842999999999997"/>
    <n v="543.20000000000005"/>
  </r>
  <r>
    <x v="9"/>
    <x v="25"/>
    <x v="13"/>
    <m/>
    <n v="0.89127000000000001"/>
    <n v="0.94559000000000004"/>
    <n v="0.91842999999999997"/>
    <n v="543.20000000000005"/>
  </r>
  <r>
    <x v="9"/>
    <x v="25"/>
    <x v="13"/>
    <m/>
    <n v="0.89127000000000001"/>
    <n v="0.94559000000000004"/>
    <n v="0.91842999999999997"/>
    <n v="543.20000000000005"/>
  </r>
  <r>
    <x v="9"/>
    <x v="25"/>
    <x v="13"/>
    <m/>
    <n v="0.89127000000000001"/>
    <n v="0.94559000000000004"/>
    <n v="0.91842999999999997"/>
    <n v="543.20000000000005"/>
  </r>
  <r>
    <x v="9"/>
    <x v="25"/>
    <x v="13"/>
    <m/>
    <n v="0.89127000000000001"/>
    <n v="0.94559000000000004"/>
    <n v="0.91842999999999997"/>
    <n v="543.20000000000005"/>
  </r>
  <r>
    <x v="9"/>
    <x v="25"/>
    <x v="13"/>
    <m/>
    <n v="0.89127000000000001"/>
    <n v="0.94559000000000004"/>
    <n v="0.91842999999999997"/>
    <n v="543.20000000000005"/>
  </r>
  <r>
    <x v="9"/>
    <x v="25"/>
    <x v="13"/>
    <m/>
    <n v="0.89127000000000001"/>
    <n v="0.94559000000000004"/>
    <n v="0.91842999999999997"/>
    <n v="543.20000000000005"/>
  </r>
  <r>
    <x v="9"/>
    <x v="25"/>
    <x v="13"/>
    <m/>
    <n v="0.89127000000000001"/>
    <n v="0.94559000000000004"/>
    <n v="0.91842999999999997"/>
    <n v="543.20000000000005"/>
  </r>
  <r>
    <x v="9"/>
    <x v="25"/>
    <x v="13"/>
    <m/>
    <n v="0.89127000000000001"/>
    <n v="0.94559000000000004"/>
    <n v="0.91842999999999997"/>
    <n v="543.20000000000005"/>
  </r>
  <r>
    <x v="9"/>
    <x v="25"/>
    <x v="13"/>
    <m/>
    <n v="0.89127000000000001"/>
    <n v="0.94559000000000004"/>
    <n v="0.91842999999999997"/>
    <n v="543.20000000000005"/>
  </r>
  <r>
    <x v="9"/>
    <x v="25"/>
    <x v="13"/>
    <m/>
    <n v="0.89127000000000001"/>
    <n v="0.94559000000000004"/>
    <n v="0.91842999999999997"/>
    <n v="543.20000000000005"/>
  </r>
  <r>
    <x v="9"/>
    <x v="25"/>
    <x v="13"/>
    <m/>
    <n v="0.89127000000000001"/>
    <n v="0.94559000000000004"/>
    <n v="0.91842999999999997"/>
    <n v="543.20000000000005"/>
  </r>
  <r>
    <x v="9"/>
    <x v="25"/>
    <x v="13"/>
    <m/>
    <n v="0.89127000000000001"/>
    <n v="0.94559000000000004"/>
    <n v="0.91842999999999997"/>
    <n v="543.20000000000005"/>
  </r>
  <r>
    <x v="9"/>
    <x v="25"/>
    <x v="13"/>
    <m/>
    <n v="0.89127000000000001"/>
    <n v="0.94559000000000004"/>
    <n v="0.91842999999999997"/>
    <n v="543.20000000000005"/>
  </r>
  <r>
    <x v="9"/>
    <x v="25"/>
    <x v="13"/>
    <m/>
    <n v="0.89127000000000001"/>
    <n v="0.94559000000000004"/>
    <n v="0.91842999999999997"/>
    <n v="543.20000000000005"/>
  </r>
  <r>
    <x v="9"/>
    <x v="25"/>
    <x v="13"/>
    <m/>
    <n v="0.89127000000000001"/>
    <n v="0.94559000000000004"/>
    <n v="0.91842999999999997"/>
    <n v="543.20000000000005"/>
  </r>
  <r>
    <x v="9"/>
    <x v="25"/>
    <x v="13"/>
    <m/>
    <n v="0.89127000000000001"/>
    <n v="0.94559000000000004"/>
    <n v="0.91842999999999997"/>
    <n v="543.20000000000005"/>
  </r>
  <r>
    <x v="9"/>
    <x v="25"/>
    <x v="13"/>
    <m/>
    <n v="0.89127000000000001"/>
    <n v="0.94559000000000004"/>
    <n v="0.91842999999999997"/>
    <n v="543.20000000000005"/>
  </r>
  <r>
    <x v="9"/>
    <x v="25"/>
    <x v="13"/>
    <m/>
    <n v="0.89127000000000001"/>
    <n v="0.94559000000000004"/>
    <n v="0.91842999999999997"/>
    <n v="543.20000000000005"/>
  </r>
  <r>
    <x v="9"/>
    <x v="25"/>
    <x v="13"/>
    <m/>
    <n v="0.89127000000000001"/>
    <n v="0.94559000000000004"/>
    <n v="0.91842999999999997"/>
    <n v="543.20000000000005"/>
  </r>
  <r>
    <x v="9"/>
    <x v="25"/>
    <x v="13"/>
    <m/>
    <n v="0.89127000000000001"/>
    <n v="0.94559000000000004"/>
    <n v="0.91842999999999997"/>
    <n v="543.20000000000005"/>
  </r>
  <r>
    <x v="9"/>
    <x v="25"/>
    <x v="13"/>
    <m/>
    <n v="0.89127000000000001"/>
    <n v="0.94559000000000004"/>
    <n v="0.91842999999999997"/>
    <n v="543.20000000000005"/>
  </r>
  <r>
    <x v="9"/>
    <x v="25"/>
    <x v="13"/>
    <m/>
    <n v="0.89127000000000001"/>
    <n v="0.94559000000000004"/>
    <n v="0.91842999999999997"/>
    <n v="543.20000000000005"/>
  </r>
  <r>
    <x v="9"/>
    <x v="25"/>
    <x v="9"/>
    <m/>
    <n v="0.79800000000000004"/>
    <n v="0.84"/>
    <n v="0.81899999999999995"/>
    <n v="420"/>
  </r>
  <r>
    <x v="9"/>
    <x v="25"/>
    <x v="9"/>
    <m/>
    <n v="0.79800000000000004"/>
    <n v="0.84"/>
    <n v="0.81899999999999995"/>
    <n v="420"/>
  </r>
  <r>
    <x v="9"/>
    <x v="25"/>
    <x v="9"/>
    <m/>
    <n v="0.79800000000000004"/>
    <n v="0.84"/>
    <n v="0.81899999999999995"/>
    <n v="420"/>
  </r>
  <r>
    <x v="9"/>
    <x v="25"/>
    <x v="9"/>
    <m/>
    <n v="0.79800000000000004"/>
    <n v="0.84"/>
    <n v="0.81899999999999995"/>
    <n v="420"/>
  </r>
  <r>
    <x v="9"/>
    <x v="25"/>
    <x v="9"/>
    <m/>
    <n v="0.79800000000000004"/>
    <n v="0.84"/>
    <n v="0.81899999999999995"/>
    <n v="420"/>
  </r>
  <r>
    <x v="9"/>
    <x v="25"/>
    <x v="9"/>
    <m/>
    <n v="0.79800000000000004"/>
    <n v="0.84"/>
    <n v="0.81899999999999995"/>
    <n v="420"/>
  </r>
  <r>
    <x v="9"/>
    <x v="25"/>
    <x v="9"/>
    <m/>
    <n v="0.79800000000000004"/>
    <n v="0.84"/>
    <n v="0.81899999999999995"/>
    <n v="420"/>
  </r>
  <r>
    <x v="9"/>
    <x v="25"/>
    <x v="9"/>
    <m/>
    <n v="0.79800000000000004"/>
    <n v="0.84"/>
    <n v="0.81899999999999995"/>
    <n v="420"/>
  </r>
  <r>
    <x v="9"/>
    <x v="25"/>
    <x v="9"/>
    <m/>
    <n v="0.79800000000000004"/>
    <n v="0.84"/>
    <n v="0.81899999999999995"/>
    <n v="420"/>
  </r>
  <r>
    <x v="9"/>
    <x v="25"/>
    <x v="9"/>
    <m/>
    <n v="0.79800000000000004"/>
    <n v="0.84"/>
    <n v="0.81899999999999995"/>
    <n v="420"/>
  </r>
  <r>
    <x v="9"/>
    <x v="25"/>
    <x v="9"/>
    <m/>
    <n v="0.79800000000000004"/>
    <n v="0.84"/>
    <n v="0.81899999999999995"/>
    <n v="420"/>
  </r>
  <r>
    <x v="9"/>
    <x v="25"/>
    <x v="9"/>
    <m/>
    <n v="0.79800000000000004"/>
    <n v="0.84"/>
    <n v="0.81899999999999995"/>
    <n v="420"/>
  </r>
  <r>
    <x v="9"/>
    <x v="25"/>
    <x v="9"/>
    <m/>
    <n v="0.79800000000000004"/>
    <n v="0.84"/>
    <n v="0.81899999999999995"/>
    <n v="420"/>
  </r>
  <r>
    <x v="9"/>
    <x v="25"/>
    <x v="9"/>
    <m/>
    <n v="0.79800000000000004"/>
    <n v="0.84"/>
    <n v="0.81899999999999995"/>
    <n v="420"/>
  </r>
  <r>
    <x v="9"/>
    <x v="25"/>
    <x v="9"/>
    <m/>
    <n v="0.79800000000000004"/>
    <n v="0.84"/>
    <n v="0.81899999999999995"/>
    <n v="420"/>
  </r>
  <r>
    <x v="9"/>
    <x v="25"/>
    <x v="9"/>
    <m/>
    <n v="0.79800000000000004"/>
    <n v="0.84"/>
    <n v="0.81899999999999995"/>
    <n v="420"/>
  </r>
  <r>
    <x v="9"/>
    <x v="25"/>
    <x v="9"/>
    <m/>
    <n v="0.79800000000000004"/>
    <n v="0.84"/>
    <n v="0.81899999999999995"/>
    <n v="420"/>
  </r>
  <r>
    <x v="9"/>
    <x v="25"/>
    <x v="9"/>
    <m/>
    <n v="0.79800000000000004"/>
    <n v="0.84"/>
    <n v="0.81899999999999995"/>
    <n v="420"/>
  </r>
  <r>
    <x v="9"/>
    <x v="25"/>
    <x v="9"/>
    <m/>
    <n v="0.79800000000000004"/>
    <n v="0.84"/>
    <n v="0.81899999999999995"/>
    <n v="420"/>
  </r>
  <r>
    <x v="9"/>
    <x v="25"/>
    <x v="9"/>
    <m/>
    <n v="0.79800000000000004"/>
    <n v="0.84"/>
    <n v="0.81899999999999995"/>
    <n v="420"/>
  </r>
  <r>
    <x v="9"/>
    <x v="25"/>
    <x v="9"/>
    <m/>
    <n v="0.79800000000000004"/>
    <n v="0.84"/>
    <n v="0.81899999999999995"/>
    <n v="420"/>
  </r>
  <r>
    <x v="9"/>
    <x v="25"/>
    <x v="9"/>
    <m/>
    <n v="0.79800000000000004"/>
    <n v="0.84"/>
    <n v="0.81899999999999995"/>
    <n v="420"/>
  </r>
  <r>
    <x v="9"/>
    <x v="25"/>
    <x v="9"/>
    <m/>
    <n v="0.79800000000000004"/>
    <n v="0.84"/>
    <n v="0.81899999999999995"/>
    <n v="420"/>
  </r>
  <r>
    <x v="9"/>
    <x v="25"/>
    <x v="0"/>
    <m/>
    <n v="1.91"/>
    <n v="1.998"/>
    <n v="1.954"/>
    <n v="880"/>
  </r>
  <r>
    <x v="9"/>
    <x v="25"/>
    <x v="0"/>
    <m/>
    <n v="1.91"/>
    <n v="1.998"/>
    <n v="1.954"/>
    <n v="880"/>
  </r>
  <r>
    <x v="9"/>
    <x v="25"/>
    <x v="0"/>
    <m/>
    <n v="1.91"/>
    <n v="1.998"/>
    <n v="1.954"/>
    <n v="880"/>
  </r>
  <r>
    <x v="9"/>
    <x v="25"/>
    <x v="0"/>
    <m/>
    <n v="1.91"/>
    <n v="1.998"/>
    <n v="1.954"/>
    <n v="880"/>
  </r>
  <r>
    <x v="9"/>
    <x v="25"/>
    <x v="0"/>
    <m/>
    <n v="1.91"/>
    <n v="1.998"/>
    <n v="1.954"/>
    <n v="880"/>
  </r>
  <r>
    <x v="9"/>
    <x v="25"/>
    <x v="0"/>
    <m/>
    <n v="1.91"/>
    <n v="1.998"/>
    <n v="1.954"/>
    <n v="880"/>
  </r>
  <r>
    <x v="9"/>
    <x v="25"/>
    <x v="0"/>
    <m/>
    <n v="1.91"/>
    <n v="1.998"/>
    <n v="1.954"/>
    <n v="880"/>
  </r>
  <r>
    <x v="9"/>
    <x v="25"/>
    <x v="0"/>
    <m/>
    <n v="1.91"/>
    <n v="1.998"/>
    <n v="1.954"/>
    <n v="880"/>
  </r>
  <r>
    <x v="9"/>
    <x v="25"/>
    <x v="0"/>
    <m/>
    <n v="1.91"/>
    <n v="1.998"/>
    <n v="1.954"/>
    <n v="880"/>
  </r>
  <r>
    <x v="9"/>
    <x v="25"/>
    <x v="0"/>
    <m/>
    <n v="1.91"/>
    <n v="1.998"/>
    <n v="1.954"/>
    <n v="880"/>
  </r>
  <r>
    <x v="9"/>
    <x v="25"/>
    <x v="0"/>
    <m/>
    <n v="1.91"/>
    <n v="1.998"/>
    <n v="1.954"/>
    <n v="880"/>
  </r>
  <r>
    <x v="9"/>
    <x v="25"/>
    <x v="0"/>
    <m/>
    <n v="1.91"/>
    <n v="1.998"/>
    <n v="1.954"/>
    <n v="880"/>
  </r>
  <r>
    <x v="9"/>
    <x v="25"/>
    <x v="0"/>
    <m/>
    <n v="1.91"/>
    <n v="1.998"/>
    <n v="1.954"/>
    <n v="880"/>
  </r>
  <r>
    <x v="9"/>
    <x v="25"/>
    <x v="0"/>
    <m/>
    <n v="1.91"/>
    <n v="1.998"/>
    <n v="1.954"/>
    <n v="880"/>
  </r>
  <r>
    <x v="9"/>
    <x v="25"/>
    <x v="0"/>
    <m/>
    <n v="1.91"/>
    <n v="1.998"/>
    <n v="1.954"/>
    <n v="880"/>
  </r>
  <r>
    <x v="9"/>
    <x v="25"/>
    <x v="0"/>
    <m/>
    <n v="1.91"/>
    <n v="1.998"/>
    <n v="1.954"/>
    <n v="880"/>
  </r>
  <r>
    <x v="9"/>
    <x v="25"/>
    <x v="0"/>
    <m/>
    <n v="1.91"/>
    <n v="1.998"/>
    <n v="1.954"/>
    <n v="880"/>
  </r>
  <r>
    <x v="9"/>
    <x v="25"/>
    <x v="0"/>
    <m/>
    <n v="1.91"/>
    <n v="1.998"/>
    <n v="1.954"/>
    <n v="880"/>
  </r>
  <r>
    <x v="9"/>
    <x v="25"/>
    <x v="0"/>
    <m/>
    <n v="1.91"/>
    <n v="1.998"/>
    <n v="1.954"/>
    <n v="880"/>
  </r>
  <r>
    <x v="9"/>
    <x v="25"/>
    <x v="0"/>
    <m/>
    <n v="1.91"/>
    <n v="1.998"/>
    <n v="1.954"/>
    <n v="880"/>
  </r>
  <r>
    <x v="9"/>
    <x v="25"/>
    <x v="0"/>
    <m/>
    <n v="1.91"/>
    <n v="1.998"/>
    <n v="1.954"/>
    <n v="880"/>
  </r>
  <r>
    <x v="9"/>
    <x v="25"/>
    <x v="0"/>
    <m/>
    <n v="1.91"/>
    <n v="1.998"/>
    <n v="1.954"/>
    <n v="880"/>
  </r>
  <r>
    <x v="9"/>
    <x v="25"/>
    <x v="0"/>
    <m/>
    <n v="1.91"/>
    <n v="1.998"/>
    <n v="1.954"/>
    <n v="880"/>
  </r>
  <r>
    <x v="9"/>
    <x v="25"/>
    <x v="0"/>
    <m/>
    <n v="1.91"/>
    <n v="1.998"/>
    <n v="1.954"/>
    <n v="880"/>
  </r>
  <r>
    <x v="9"/>
    <x v="25"/>
    <x v="0"/>
    <m/>
    <n v="1.91"/>
    <n v="1.998"/>
    <n v="1.954"/>
    <n v="880"/>
  </r>
  <r>
    <x v="9"/>
    <x v="25"/>
    <x v="0"/>
    <m/>
    <n v="1.91"/>
    <n v="1.998"/>
    <n v="1.954"/>
    <n v="880"/>
  </r>
  <r>
    <x v="9"/>
    <x v="25"/>
    <x v="2"/>
    <m/>
    <n v="101"/>
    <n v="104.005"/>
    <n v="102.5025"/>
    <n v="300.5"/>
  </r>
  <r>
    <x v="9"/>
    <x v="25"/>
    <x v="2"/>
    <m/>
    <n v="101"/>
    <n v="104.005"/>
    <n v="102.5025"/>
    <n v="300.5"/>
  </r>
  <r>
    <x v="9"/>
    <x v="25"/>
    <x v="2"/>
    <m/>
    <n v="101"/>
    <n v="104.005"/>
    <n v="102.5025"/>
    <n v="300.5"/>
  </r>
  <r>
    <x v="9"/>
    <x v="25"/>
    <x v="2"/>
    <m/>
    <n v="101"/>
    <n v="104.005"/>
    <n v="102.5025"/>
    <n v="300.5"/>
  </r>
  <r>
    <x v="9"/>
    <x v="25"/>
    <x v="2"/>
    <m/>
    <n v="101"/>
    <n v="104.005"/>
    <n v="102.5025"/>
    <n v="300.5"/>
  </r>
  <r>
    <x v="9"/>
    <x v="25"/>
    <x v="2"/>
    <m/>
    <n v="101"/>
    <n v="104.005"/>
    <n v="102.5025"/>
    <n v="300.5"/>
  </r>
  <r>
    <x v="9"/>
    <x v="25"/>
    <x v="2"/>
    <m/>
    <n v="101"/>
    <n v="104.005"/>
    <n v="102.5025"/>
    <n v="300.5"/>
  </r>
  <r>
    <x v="9"/>
    <x v="25"/>
    <x v="2"/>
    <m/>
    <n v="101"/>
    <n v="104.005"/>
    <n v="102.5025"/>
    <n v="300.5"/>
  </r>
  <r>
    <x v="9"/>
    <x v="25"/>
    <x v="2"/>
    <m/>
    <n v="101"/>
    <n v="104.005"/>
    <n v="102.5025"/>
    <n v="300.5"/>
  </r>
  <r>
    <x v="9"/>
    <x v="25"/>
    <x v="2"/>
    <m/>
    <n v="101"/>
    <n v="104.005"/>
    <n v="102.5025"/>
    <n v="300.5"/>
  </r>
  <r>
    <x v="9"/>
    <x v="25"/>
    <x v="2"/>
    <m/>
    <n v="101"/>
    <n v="104.005"/>
    <n v="102.5025"/>
    <n v="300.5"/>
  </r>
  <r>
    <x v="9"/>
    <x v="25"/>
    <x v="2"/>
    <m/>
    <n v="101"/>
    <n v="104.005"/>
    <n v="102.5025"/>
    <n v="300.5"/>
  </r>
  <r>
    <x v="9"/>
    <x v="25"/>
    <x v="2"/>
    <m/>
    <n v="101"/>
    <n v="104.005"/>
    <n v="102.5025"/>
    <n v="300.5"/>
  </r>
  <r>
    <x v="9"/>
    <x v="25"/>
    <x v="2"/>
    <m/>
    <n v="101"/>
    <n v="104.005"/>
    <n v="102.5025"/>
    <n v="300.5"/>
  </r>
  <r>
    <x v="9"/>
    <x v="25"/>
    <x v="2"/>
    <m/>
    <n v="101"/>
    <n v="104.005"/>
    <n v="102.5025"/>
    <n v="300.5"/>
  </r>
  <r>
    <x v="9"/>
    <x v="25"/>
    <x v="2"/>
    <m/>
    <n v="101"/>
    <n v="104.005"/>
    <n v="102.5025"/>
    <n v="300.5"/>
  </r>
  <r>
    <x v="9"/>
    <x v="25"/>
    <x v="2"/>
    <m/>
    <n v="101"/>
    <n v="104.005"/>
    <n v="102.5025"/>
    <n v="300.5"/>
  </r>
  <r>
    <x v="9"/>
    <x v="60"/>
    <x v="0"/>
    <n v="1.9552499999999999"/>
    <n v="1.91"/>
    <n v="1.998"/>
    <n v="1.954"/>
    <n v="880"/>
  </r>
  <r>
    <x v="9"/>
    <x v="60"/>
    <x v="0"/>
    <n v="1.9552499999999999"/>
    <n v="1.91"/>
    <n v="1.998"/>
    <n v="1.954"/>
    <n v="880"/>
  </r>
  <r>
    <x v="9"/>
    <x v="60"/>
    <x v="0"/>
    <n v="1.9552499999999999"/>
    <n v="1.91"/>
    <n v="1.998"/>
    <n v="1.954"/>
    <n v="880"/>
  </r>
  <r>
    <x v="9"/>
    <x v="60"/>
    <x v="0"/>
    <n v="1.9552499999999999"/>
    <n v="1.91"/>
    <n v="1.998"/>
    <n v="1.954"/>
    <n v="880"/>
  </r>
  <r>
    <x v="9"/>
    <x v="60"/>
    <x v="0"/>
    <n v="1.9552499999999999"/>
    <n v="1.91"/>
    <n v="1.998"/>
    <n v="1.954"/>
    <n v="880"/>
  </r>
  <r>
    <x v="9"/>
    <x v="60"/>
    <x v="0"/>
    <n v="1.9552499999999999"/>
    <n v="1.91"/>
    <n v="1.998"/>
    <n v="1.954"/>
    <n v="880"/>
  </r>
  <r>
    <x v="9"/>
    <x v="60"/>
    <x v="0"/>
    <n v="1.9552499999999999"/>
    <n v="1.91"/>
    <n v="1.998"/>
    <n v="1.954"/>
    <n v="880"/>
  </r>
  <r>
    <x v="9"/>
    <x v="60"/>
    <x v="0"/>
    <n v="1.9552499999999999"/>
    <n v="1.91"/>
    <n v="1.998"/>
    <n v="1.954"/>
    <n v="880"/>
  </r>
  <r>
    <x v="9"/>
    <x v="60"/>
    <x v="0"/>
    <n v="1.9552499999999999"/>
    <n v="1.91"/>
    <n v="1.998"/>
    <n v="1.954"/>
    <n v="880"/>
  </r>
  <r>
    <x v="9"/>
    <x v="60"/>
    <x v="0"/>
    <n v="1.9552499999999999"/>
    <n v="1.91"/>
    <n v="1.998"/>
    <n v="1.954"/>
    <n v="880"/>
  </r>
  <r>
    <x v="9"/>
    <x v="60"/>
    <x v="0"/>
    <n v="1.9552499999999999"/>
    <n v="1.91"/>
    <n v="1.998"/>
    <n v="1.954"/>
    <n v="880"/>
  </r>
  <r>
    <x v="9"/>
    <x v="60"/>
    <x v="0"/>
    <n v="1.9552499999999999"/>
    <n v="1.91"/>
    <n v="1.998"/>
    <n v="1.954"/>
    <n v="880"/>
  </r>
  <r>
    <x v="9"/>
    <x v="60"/>
    <x v="0"/>
    <n v="1.9552499999999999"/>
    <n v="1.91"/>
    <n v="1.998"/>
    <n v="1.954"/>
    <n v="880"/>
  </r>
  <r>
    <x v="9"/>
    <x v="60"/>
    <x v="0"/>
    <n v="1.9552499999999999"/>
    <n v="1.91"/>
    <n v="1.998"/>
    <n v="1.954"/>
    <n v="880"/>
  </r>
  <r>
    <x v="9"/>
    <x v="60"/>
    <x v="0"/>
    <n v="1.9552499999999999"/>
    <n v="1.91"/>
    <n v="1.998"/>
    <n v="1.954"/>
    <n v="880"/>
  </r>
  <r>
    <x v="9"/>
    <x v="60"/>
    <x v="0"/>
    <n v="1.9552499999999999"/>
    <n v="1.91"/>
    <n v="1.998"/>
    <n v="1.954"/>
    <n v="880"/>
  </r>
  <r>
    <x v="9"/>
    <x v="60"/>
    <x v="2"/>
    <n v="102.06399999999999"/>
    <n v="101"/>
    <n v="104.005"/>
    <n v="102.5025"/>
    <n v="300.5"/>
  </r>
  <r>
    <x v="9"/>
    <x v="60"/>
    <x v="2"/>
    <n v="102.06399999999999"/>
    <n v="101"/>
    <n v="104.005"/>
    <n v="102.5025"/>
    <n v="300.5"/>
  </r>
  <r>
    <x v="9"/>
    <x v="60"/>
    <x v="2"/>
    <n v="102.06399999999999"/>
    <n v="101"/>
    <n v="104.005"/>
    <n v="102.5025"/>
    <n v="300.5"/>
  </r>
  <r>
    <x v="9"/>
    <x v="60"/>
    <x v="2"/>
    <n v="102.06399999999999"/>
    <n v="101"/>
    <n v="104.005"/>
    <n v="102.5025"/>
    <n v="300.5"/>
  </r>
  <r>
    <x v="9"/>
    <x v="60"/>
    <x v="2"/>
    <n v="102.06399999999999"/>
    <n v="101"/>
    <n v="104.005"/>
    <n v="102.5025"/>
    <n v="300.5"/>
  </r>
  <r>
    <x v="9"/>
    <x v="60"/>
    <x v="2"/>
    <n v="102.06399999999999"/>
    <n v="101"/>
    <n v="104.005"/>
    <n v="102.5025"/>
    <n v="300.5"/>
  </r>
  <r>
    <x v="9"/>
    <x v="60"/>
    <x v="2"/>
    <n v="102.06399999999999"/>
    <n v="101"/>
    <n v="104.005"/>
    <n v="102.5025"/>
    <n v="300.5"/>
  </r>
  <r>
    <x v="9"/>
    <x v="60"/>
    <x v="2"/>
    <n v="102.06399999999999"/>
    <n v="101"/>
    <n v="104.005"/>
    <n v="102.5025"/>
    <n v="300.5"/>
  </r>
  <r>
    <x v="9"/>
    <x v="60"/>
    <x v="2"/>
    <n v="102.06399999999999"/>
    <n v="101"/>
    <n v="104.005"/>
    <n v="102.5025"/>
    <n v="300.5"/>
  </r>
  <r>
    <x v="9"/>
    <x v="60"/>
    <x v="2"/>
    <n v="102.06399999999999"/>
    <n v="101"/>
    <n v="104.005"/>
    <n v="102.5025"/>
    <n v="300.5"/>
  </r>
  <r>
    <x v="9"/>
    <x v="60"/>
    <x v="2"/>
    <n v="102.06399999999999"/>
    <n v="101"/>
    <n v="104.005"/>
    <n v="102.5025"/>
    <n v="300.5"/>
  </r>
  <r>
    <x v="9"/>
    <x v="60"/>
    <x v="2"/>
    <n v="102.06399999999999"/>
    <n v="101"/>
    <n v="104.005"/>
    <n v="102.5025"/>
    <n v="300.5"/>
  </r>
  <r>
    <x v="9"/>
    <x v="60"/>
    <x v="2"/>
    <n v="102.06399999999999"/>
    <n v="101"/>
    <n v="104.005"/>
    <n v="102.5025"/>
    <n v="300.5"/>
  </r>
  <r>
    <x v="9"/>
    <x v="60"/>
    <x v="2"/>
    <n v="102.06399999999999"/>
    <n v="101"/>
    <n v="104.005"/>
    <n v="102.5025"/>
    <n v="300.5"/>
  </r>
  <r>
    <x v="9"/>
    <x v="60"/>
    <x v="2"/>
    <n v="102.06399999999999"/>
    <n v="101"/>
    <n v="104.005"/>
    <n v="102.5025"/>
    <n v="300.5"/>
  </r>
  <r>
    <x v="9"/>
    <x v="60"/>
    <x v="2"/>
    <n v="102.06399999999999"/>
    <n v="101"/>
    <n v="104.005"/>
    <n v="102.5025"/>
    <n v="300.5"/>
  </r>
  <r>
    <x v="9"/>
    <x v="60"/>
    <x v="2"/>
    <n v="102.06399999999999"/>
    <n v="101"/>
    <n v="104.005"/>
    <n v="102.5025"/>
    <n v="3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13"/>
    <n v="0.93837000000000004"/>
    <n v="0.89127000000000001"/>
    <n v="0.94559000000000004"/>
    <n v="0.91842999999999997"/>
    <n v="543.20000000000005"/>
  </r>
  <r>
    <x v="9"/>
    <x v="60"/>
    <x v="9"/>
    <n v="0.79912000000000005"/>
    <n v="0.79600000000000004"/>
    <n v="0.84"/>
    <n v="0.81799999999999995"/>
    <n v="440"/>
  </r>
  <r>
    <x v="9"/>
    <x v="60"/>
    <x v="9"/>
    <n v="0.79912000000000005"/>
    <n v="0.79600000000000004"/>
    <n v="0.84"/>
    <n v="0.81799999999999995"/>
    <n v="440"/>
  </r>
  <r>
    <x v="9"/>
    <x v="60"/>
    <x v="9"/>
    <n v="0.79912000000000005"/>
    <n v="0.79600000000000004"/>
    <n v="0.84"/>
    <n v="0.81799999999999995"/>
    <n v="440"/>
  </r>
  <r>
    <x v="9"/>
    <x v="60"/>
    <x v="9"/>
    <n v="0.79912000000000005"/>
    <n v="0.79600000000000004"/>
    <n v="0.84"/>
    <n v="0.81799999999999995"/>
    <n v="440"/>
  </r>
  <r>
    <x v="9"/>
    <x v="60"/>
    <x v="9"/>
    <n v="0.79912000000000005"/>
    <n v="0.79600000000000004"/>
    <n v="0.84"/>
    <n v="0.81799999999999995"/>
    <n v="440"/>
  </r>
  <r>
    <x v="9"/>
    <x v="60"/>
    <x v="9"/>
    <n v="0.79912000000000005"/>
    <n v="0.79600000000000004"/>
    <n v="0.84"/>
    <n v="0.81799999999999995"/>
    <n v="440"/>
  </r>
  <r>
    <x v="9"/>
    <x v="60"/>
    <x v="9"/>
    <n v="0.79912000000000005"/>
    <n v="0.79600000000000004"/>
    <n v="0.84"/>
    <n v="0.81799999999999995"/>
    <n v="440"/>
  </r>
  <r>
    <x v="9"/>
    <x v="60"/>
    <x v="9"/>
    <n v="0.79912000000000005"/>
    <n v="0.79600000000000004"/>
    <n v="0.84"/>
    <n v="0.81799999999999995"/>
    <n v="440"/>
  </r>
  <r>
    <x v="9"/>
    <x v="60"/>
    <x v="9"/>
    <n v="0.79912000000000005"/>
    <n v="0.79600000000000004"/>
    <n v="0.84"/>
    <n v="0.81799999999999995"/>
    <n v="440"/>
  </r>
  <r>
    <x v="9"/>
    <x v="60"/>
    <x v="9"/>
    <n v="0.79912000000000005"/>
    <n v="0.79600000000000004"/>
    <n v="0.84"/>
    <n v="0.81799999999999995"/>
    <n v="440"/>
  </r>
  <r>
    <x v="9"/>
    <x v="60"/>
    <x v="9"/>
    <n v="0.79912000000000005"/>
    <n v="0.79600000000000004"/>
    <n v="0.84"/>
    <n v="0.81799999999999995"/>
    <n v="440"/>
  </r>
  <r>
    <x v="9"/>
    <x v="60"/>
    <x v="9"/>
    <n v="0.79912000000000005"/>
    <n v="0.79600000000000004"/>
    <n v="0.84"/>
    <n v="0.81799999999999995"/>
    <n v="440"/>
  </r>
  <r>
    <x v="9"/>
    <x v="60"/>
    <x v="9"/>
    <n v="0.79912000000000005"/>
    <n v="0.79600000000000004"/>
    <n v="0.84"/>
    <n v="0.81799999999999995"/>
    <n v="440"/>
  </r>
  <r>
    <x v="9"/>
    <x v="60"/>
    <x v="9"/>
    <n v="0.79912000000000005"/>
    <n v="0.79600000000000004"/>
    <n v="0.84"/>
    <n v="0.81799999999999995"/>
    <n v="440"/>
  </r>
  <r>
    <x v="9"/>
    <x v="60"/>
    <x v="9"/>
    <n v="0.79912000000000005"/>
    <n v="0.79600000000000004"/>
    <n v="0.84"/>
    <n v="0.81799999999999995"/>
    <n v="440"/>
  </r>
  <r>
    <x v="9"/>
    <x v="60"/>
    <x v="9"/>
    <n v="0.79912000000000005"/>
    <n v="0.79600000000000004"/>
    <n v="0.84"/>
    <n v="0.81799999999999995"/>
    <n v="440"/>
  </r>
  <r>
    <x v="9"/>
    <x v="60"/>
    <x v="9"/>
    <n v="0.79912000000000005"/>
    <n v="0.79600000000000004"/>
    <n v="0.84"/>
    <n v="0.81799999999999995"/>
    <n v="440"/>
  </r>
  <r>
    <x v="9"/>
    <x v="60"/>
    <x v="9"/>
    <n v="0.79912000000000005"/>
    <n v="0.79600000000000004"/>
    <n v="0.84"/>
    <n v="0.81799999999999995"/>
    <n v="440"/>
  </r>
  <r>
    <x v="9"/>
    <x v="60"/>
    <x v="9"/>
    <n v="0.79912000000000005"/>
    <n v="0.79600000000000004"/>
    <n v="0.84"/>
    <n v="0.81799999999999995"/>
    <n v="440"/>
  </r>
  <r>
    <x v="9"/>
    <x v="60"/>
    <x v="9"/>
    <n v="0.79912000000000005"/>
    <n v="0.79600000000000004"/>
    <n v="0.84"/>
    <n v="0.81799999999999995"/>
    <n v="440"/>
  </r>
  <r>
    <x v="9"/>
    <x v="60"/>
    <x v="9"/>
    <n v="0.79912000000000005"/>
    <n v="0.79600000000000004"/>
    <n v="0.84"/>
    <n v="0.81799999999999995"/>
    <n v="440"/>
  </r>
  <r>
    <x v="9"/>
    <x v="60"/>
    <x v="9"/>
    <n v="0.79912000000000005"/>
    <n v="0.79600000000000004"/>
    <n v="0.84"/>
    <n v="0.81799999999999995"/>
    <n v="440"/>
  </r>
  <r>
    <x v="9"/>
    <x v="60"/>
    <x v="9"/>
    <n v="0.79912000000000005"/>
    <n v="0.79600000000000004"/>
    <n v="0.84"/>
    <n v="0.81799999999999995"/>
    <n v="440"/>
  </r>
  <r>
    <x v="9"/>
    <x v="60"/>
    <x v="9"/>
    <n v="0.79912000000000005"/>
    <n v="0.79600000000000004"/>
    <n v="0.84"/>
    <n v="0.81799999999999995"/>
    <n v="440"/>
  </r>
  <r>
    <x v="9"/>
    <x v="60"/>
    <x v="0"/>
    <n v="1.9552499999999999"/>
    <n v="1.91"/>
    <n v="1.998"/>
    <n v="1.954"/>
    <n v="880"/>
  </r>
  <r>
    <x v="9"/>
    <x v="60"/>
    <x v="0"/>
    <n v="1.9552499999999999"/>
    <n v="1.91"/>
    <n v="1.998"/>
    <n v="1.954"/>
    <n v="880"/>
  </r>
  <r>
    <x v="9"/>
    <x v="60"/>
    <x v="0"/>
    <n v="1.9552499999999999"/>
    <n v="1.91"/>
    <n v="1.998"/>
    <n v="1.954"/>
    <n v="880"/>
  </r>
  <r>
    <x v="9"/>
    <x v="60"/>
    <x v="0"/>
    <n v="1.9552499999999999"/>
    <n v="1.91"/>
    <n v="1.998"/>
    <n v="1.954"/>
    <n v="880"/>
  </r>
  <r>
    <x v="9"/>
    <x v="60"/>
    <x v="0"/>
    <n v="1.9552499999999999"/>
    <n v="1.91"/>
    <n v="1.998"/>
    <n v="1.954"/>
    <n v="880"/>
  </r>
  <r>
    <x v="9"/>
    <x v="60"/>
    <x v="0"/>
    <n v="1.9552499999999999"/>
    <n v="1.91"/>
    <n v="1.998"/>
    <n v="1.954"/>
    <n v="880"/>
  </r>
  <r>
    <x v="9"/>
    <x v="60"/>
    <x v="0"/>
    <n v="1.9552499999999999"/>
    <n v="1.91"/>
    <n v="1.998"/>
    <n v="1.954"/>
    <n v="880"/>
  </r>
  <r>
    <x v="9"/>
    <x v="60"/>
    <x v="0"/>
    <n v="1.9552499999999999"/>
    <n v="1.91"/>
    <n v="1.998"/>
    <n v="1.954"/>
    <n v="880"/>
  </r>
  <r>
    <x v="9"/>
    <x v="60"/>
    <x v="0"/>
    <n v="1.9552499999999999"/>
    <n v="1.91"/>
    <n v="1.998"/>
    <n v="1.954"/>
    <n v="880"/>
  </r>
  <r>
    <x v="9"/>
    <x v="60"/>
    <x v="0"/>
    <n v="1.9552499999999999"/>
    <n v="1.91"/>
    <n v="1.998"/>
    <n v="1.954"/>
    <n v="880"/>
  </r>
  <r>
    <x v="9"/>
    <x v="60"/>
    <x v="0"/>
    <n v="1.9552499999999999"/>
    <n v="1.91"/>
    <n v="1.998"/>
    <n v="1.954"/>
    <n v="880"/>
  </r>
  <r>
    <x v="9"/>
    <x v="26"/>
    <x v="0"/>
    <n v="1.93953"/>
    <n v="1.91"/>
    <n v="1.998"/>
    <n v="1.954"/>
    <n v="880"/>
  </r>
  <r>
    <x v="9"/>
    <x v="26"/>
    <x v="0"/>
    <n v="1.93953"/>
    <n v="1.91"/>
    <n v="1.998"/>
    <n v="1.954"/>
    <n v="880"/>
  </r>
  <r>
    <x v="9"/>
    <x v="26"/>
    <x v="0"/>
    <n v="1.93953"/>
    <n v="1.91"/>
    <n v="1.998"/>
    <n v="1.954"/>
    <n v="880"/>
  </r>
  <r>
    <x v="9"/>
    <x v="26"/>
    <x v="0"/>
    <n v="1.93953"/>
    <n v="1.91"/>
    <n v="1.998"/>
    <n v="1.954"/>
    <n v="880"/>
  </r>
  <r>
    <x v="9"/>
    <x v="26"/>
    <x v="0"/>
    <n v="1.93953"/>
    <n v="1.91"/>
    <n v="1.998"/>
    <n v="1.954"/>
    <n v="880"/>
  </r>
  <r>
    <x v="9"/>
    <x v="26"/>
    <x v="0"/>
    <n v="1.93953"/>
    <n v="1.91"/>
    <n v="1.998"/>
    <n v="1.954"/>
    <n v="880"/>
  </r>
  <r>
    <x v="9"/>
    <x v="26"/>
    <x v="0"/>
    <n v="1.93953"/>
    <n v="1.91"/>
    <n v="1.998"/>
    <n v="1.954"/>
    <n v="880"/>
  </r>
  <r>
    <x v="9"/>
    <x v="26"/>
    <x v="0"/>
    <n v="1.93953"/>
    <n v="1.91"/>
    <n v="1.998"/>
    <n v="1.954"/>
    <n v="880"/>
  </r>
  <r>
    <x v="9"/>
    <x v="26"/>
    <x v="0"/>
    <n v="1.93953"/>
    <n v="1.91"/>
    <n v="1.998"/>
    <n v="1.954"/>
    <n v="880"/>
  </r>
  <r>
    <x v="9"/>
    <x v="26"/>
    <x v="0"/>
    <n v="1.93953"/>
    <n v="1.91"/>
    <n v="1.998"/>
    <n v="1.954"/>
    <n v="880"/>
  </r>
  <r>
    <x v="9"/>
    <x v="26"/>
    <x v="0"/>
    <n v="1.93953"/>
    <n v="1.91"/>
    <n v="1.998"/>
    <n v="1.954"/>
    <n v="880"/>
  </r>
  <r>
    <x v="9"/>
    <x v="26"/>
    <x v="0"/>
    <n v="1.93953"/>
    <n v="1.91"/>
    <n v="1.998"/>
    <n v="1.954"/>
    <n v="880"/>
  </r>
  <r>
    <x v="9"/>
    <x v="26"/>
    <x v="0"/>
    <n v="1.93953"/>
    <n v="1.91"/>
    <n v="1.998"/>
    <n v="1.954"/>
    <n v="880"/>
  </r>
  <r>
    <x v="9"/>
    <x v="26"/>
    <x v="0"/>
    <n v="1.93953"/>
    <n v="1.91"/>
    <n v="1.998"/>
    <n v="1.954"/>
    <n v="880"/>
  </r>
  <r>
    <x v="9"/>
    <x v="26"/>
    <x v="0"/>
    <n v="1.93953"/>
    <n v="1.91"/>
    <n v="1.998"/>
    <n v="1.954"/>
    <n v="880"/>
  </r>
  <r>
    <x v="9"/>
    <x v="26"/>
    <x v="2"/>
    <n v="101.334"/>
    <n v="101"/>
    <n v="104.005"/>
    <n v="102.5025"/>
    <n v="300.5"/>
  </r>
  <r>
    <x v="9"/>
    <x v="26"/>
    <x v="2"/>
    <n v="101.334"/>
    <n v="101"/>
    <n v="104.005"/>
    <n v="102.5025"/>
    <n v="300.5"/>
  </r>
  <r>
    <x v="9"/>
    <x v="26"/>
    <x v="2"/>
    <n v="101.334"/>
    <n v="101"/>
    <n v="104.005"/>
    <n v="102.5025"/>
    <n v="300.5"/>
  </r>
  <r>
    <x v="9"/>
    <x v="26"/>
    <x v="2"/>
    <n v="101.334"/>
    <n v="101"/>
    <n v="104.005"/>
    <n v="102.5025"/>
    <n v="300.5"/>
  </r>
  <r>
    <x v="9"/>
    <x v="26"/>
    <x v="2"/>
    <n v="101.334"/>
    <n v="101"/>
    <n v="104.005"/>
    <n v="102.5025"/>
    <n v="300.5"/>
  </r>
  <r>
    <x v="9"/>
    <x v="26"/>
    <x v="2"/>
    <n v="101.334"/>
    <n v="101"/>
    <n v="104.005"/>
    <n v="102.5025"/>
    <n v="300.5"/>
  </r>
  <r>
    <x v="9"/>
    <x v="26"/>
    <x v="2"/>
    <n v="101.334"/>
    <n v="101"/>
    <n v="104.005"/>
    <n v="102.5025"/>
    <n v="300.5"/>
  </r>
  <r>
    <x v="9"/>
    <x v="26"/>
    <x v="2"/>
    <n v="101.334"/>
    <n v="101"/>
    <n v="104.005"/>
    <n v="102.5025"/>
    <n v="300.5"/>
  </r>
  <r>
    <x v="9"/>
    <x v="26"/>
    <x v="2"/>
    <n v="101.334"/>
    <n v="101"/>
    <n v="104.005"/>
    <n v="102.5025"/>
    <n v="300.5"/>
  </r>
  <r>
    <x v="9"/>
    <x v="26"/>
    <x v="2"/>
    <n v="101.334"/>
    <n v="101"/>
    <n v="104.005"/>
    <n v="102.5025"/>
    <n v="300.5"/>
  </r>
  <r>
    <x v="9"/>
    <x v="26"/>
    <x v="2"/>
    <n v="101.334"/>
    <n v="101"/>
    <n v="104.005"/>
    <n v="102.5025"/>
    <n v="300.5"/>
  </r>
  <r>
    <x v="9"/>
    <x v="26"/>
    <x v="2"/>
    <n v="101.334"/>
    <n v="101"/>
    <n v="104.005"/>
    <n v="102.5025"/>
    <n v="300.5"/>
  </r>
  <r>
    <x v="9"/>
    <x v="26"/>
    <x v="2"/>
    <n v="101.334"/>
    <n v="101"/>
    <n v="104.005"/>
    <n v="102.5025"/>
    <n v="300.5"/>
  </r>
  <r>
    <x v="9"/>
    <x v="26"/>
    <x v="2"/>
    <n v="101.334"/>
    <n v="101"/>
    <n v="104.005"/>
    <n v="102.5025"/>
    <n v="300.5"/>
  </r>
  <r>
    <x v="9"/>
    <x v="26"/>
    <x v="2"/>
    <n v="101.334"/>
    <n v="101"/>
    <n v="104.005"/>
    <n v="102.5025"/>
    <n v="300.5"/>
  </r>
  <r>
    <x v="9"/>
    <x v="26"/>
    <x v="2"/>
    <n v="101.334"/>
    <n v="101"/>
    <n v="104.005"/>
    <n v="102.5025"/>
    <n v="300.5"/>
  </r>
  <r>
    <x v="9"/>
    <x v="26"/>
    <x v="2"/>
    <n v="101.334"/>
    <n v="101"/>
    <n v="104.005"/>
    <n v="102.5025"/>
    <n v="3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13"/>
    <n v="0.94245999999999996"/>
    <n v="0.89127000000000001"/>
    <n v="0.94559000000000004"/>
    <n v="0.91842999999999997"/>
    <n v="543.20000000000005"/>
  </r>
  <r>
    <x v="9"/>
    <x v="26"/>
    <x v="9"/>
    <n v="0.79998000000000002"/>
    <n v="0.79600000000000004"/>
    <n v="0.84"/>
    <n v="0.81799999999999995"/>
    <n v="440"/>
  </r>
  <r>
    <x v="9"/>
    <x v="26"/>
    <x v="9"/>
    <n v="0.79998000000000002"/>
    <n v="0.79600000000000004"/>
    <n v="0.84"/>
    <n v="0.81799999999999995"/>
    <n v="440"/>
  </r>
  <r>
    <x v="9"/>
    <x v="26"/>
    <x v="9"/>
    <n v="0.79998000000000002"/>
    <n v="0.79600000000000004"/>
    <n v="0.84"/>
    <n v="0.81799999999999995"/>
    <n v="440"/>
  </r>
  <r>
    <x v="9"/>
    <x v="26"/>
    <x v="9"/>
    <n v="0.79998000000000002"/>
    <n v="0.79600000000000004"/>
    <n v="0.84"/>
    <n v="0.81799999999999995"/>
    <n v="440"/>
  </r>
  <r>
    <x v="9"/>
    <x v="26"/>
    <x v="9"/>
    <n v="0.79998000000000002"/>
    <n v="0.79600000000000004"/>
    <n v="0.84"/>
    <n v="0.81799999999999995"/>
    <n v="440"/>
  </r>
  <r>
    <x v="9"/>
    <x v="26"/>
    <x v="9"/>
    <n v="0.79998000000000002"/>
    <n v="0.79600000000000004"/>
    <n v="0.84"/>
    <n v="0.81799999999999995"/>
    <n v="440"/>
  </r>
  <r>
    <x v="9"/>
    <x v="26"/>
    <x v="9"/>
    <n v="0.79998000000000002"/>
    <n v="0.79600000000000004"/>
    <n v="0.84"/>
    <n v="0.81799999999999995"/>
    <n v="440"/>
  </r>
  <r>
    <x v="9"/>
    <x v="26"/>
    <x v="9"/>
    <n v="0.79998000000000002"/>
    <n v="0.79600000000000004"/>
    <n v="0.84"/>
    <n v="0.81799999999999995"/>
    <n v="440"/>
  </r>
  <r>
    <x v="9"/>
    <x v="26"/>
    <x v="9"/>
    <n v="0.79998000000000002"/>
    <n v="0.79600000000000004"/>
    <n v="0.84"/>
    <n v="0.81799999999999995"/>
    <n v="440"/>
  </r>
  <r>
    <x v="9"/>
    <x v="26"/>
    <x v="9"/>
    <n v="0.79998000000000002"/>
    <n v="0.79600000000000004"/>
    <n v="0.84"/>
    <n v="0.81799999999999995"/>
    <n v="440"/>
  </r>
  <r>
    <x v="9"/>
    <x v="26"/>
    <x v="9"/>
    <n v="0.79998000000000002"/>
    <n v="0.79600000000000004"/>
    <n v="0.84"/>
    <n v="0.81799999999999995"/>
    <n v="440"/>
  </r>
  <r>
    <x v="9"/>
    <x v="26"/>
    <x v="9"/>
    <n v="0.79998000000000002"/>
    <n v="0.79600000000000004"/>
    <n v="0.84"/>
    <n v="0.81799999999999995"/>
    <n v="440"/>
  </r>
  <r>
    <x v="9"/>
    <x v="26"/>
    <x v="9"/>
    <n v="0.79998000000000002"/>
    <n v="0.79600000000000004"/>
    <n v="0.84"/>
    <n v="0.81799999999999995"/>
    <n v="440"/>
  </r>
  <r>
    <x v="9"/>
    <x v="26"/>
    <x v="9"/>
    <n v="0.79998000000000002"/>
    <n v="0.79600000000000004"/>
    <n v="0.84"/>
    <n v="0.81799999999999995"/>
    <n v="440"/>
  </r>
  <r>
    <x v="9"/>
    <x v="26"/>
    <x v="9"/>
    <n v="0.79998000000000002"/>
    <n v="0.79600000000000004"/>
    <n v="0.84"/>
    <n v="0.81799999999999995"/>
    <n v="440"/>
  </r>
  <r>
    <x v="9"/>
    <x v="26"/>
    <x v="9"/>
    <n v="0.79998000000000002"/>
    <n v="0.79600000000000004"/>
    <n v="0.84"/>
    <n v="0.81799999999999995"/>
    <n v="440"/>
  </r>
  <r>
    <x v="9"/>
    <x v="26"/>
    <x v="9"/>
    <n v="0.79998000000000002"/>
    <n v="0.79600000000000004"/>
    <n v="0.84"/>
    <n v="0.81799999999999995"/>
    <n v="440"/>
  </r>
  <r>
    <x v="9"/>
    <x v="26"/>
    <x v="9"/>
    <n v="0.79998000000000002"/>
    <n v="0.79600000000000004"/>
    <n v="0.84"/>
    <n v="0.81799999999999995"/>
    <n v="440"/>
  </r>
  <r>
    <x v="9"/>
    <x v="26"/>
    <x v="9"/>
    <n v="0.79998000000000002"/>
    <n v="0.79600000000000004"/>
    <n v="0.84"/>
    <n v="0.81799999999999995"/>
    <n v="440"/>
  </r>
  <r>
    <x v="9"/>
    <x v="26"/>
    <x v="9"/>
    <n v="0.79998000000000002"/>
    <n v="0.79600000000000004"/>
    <n v="0.84"/>
    <n v="0.81799999999999995"/>
    <n v="440"/>
  </r>
  <r>
    <x v="9"/>
    <x v="26"/>
    <x v="9"/>
    <n v="0.79998000000000002"/>
    <n v="0.79600000000000004"/>
    <n v="0.84"/>
    <n v="0.81799999999999995"/>
    <n v="440"/>
  </r>
  <r>
    <x v="9"/>
    <x v="26"/>
    <x v="9"/>
    <n v="0.79998000000000002"/>
    <n v="0.79600000000000004"/>
    <n v="0.84"/>
    <n v="0.81799999999999995"/>
    <n v="440"/>
  </r>
  <r>
    <x v="9"/>
    <x v="26"/>
    <x v="9"/>
    <n v="0.79998000000000002"/>
    <n v="0.79600000000000004"/>
    <n v="0.84"/>
    <n v="0.81799999999999995"/>
    <n v="440"/>
  </r>
  <r>
    <x v="9"/>
    <x v="26"/>
    <x v="9"/>
    <n v="0.79998000000000002"/>
    <n v="0.79600000000000004"/>
    <n v="0.84"/>
    <n v="0.81799999999999995"/>
    <n v="440"/>
  </r>
  <r>
    <x v="9"/>
    <x v="26"/>
    <x v="0"/>
    <n v="1.93953"/>
    <n v="1.91"/>
    <n v="1.998"/>
    <n v="1.954"/>
    <n v="880"/>
  </r>
  <r>
    <x v="9"/>
    <x v="26"/>
    <x v="0"/>
    <n v="1.93953"/>
    <n v="1.91"/>
    <n v="1.998"/>
    <n v="1.954"/>
    <n v="880"/>
  </r>
  <r>
    <x v="9"/>
    <x v="26"/>
    <x v="0"/>
    <n v="1.93953"/>
    <n v="1.91"/>
    <n v="1.998"/>
    <n v="1.954"/>
    <n v="880"/>
  </r>
  <r>
    <x v="9"/>
    <x v="26"/>
    <x v="0"/>
    <n v="1.93953"/>
    <n v="1.91"/>
    <n v="1.998"/>
    <n v="1.954"/>
    <n v="880"/>
  </r>
  <r>
    <x v="9"/>
    <x v="26"/>
    <x v="0"/>
    <n v="1.93953"/>
    <n v="1.91"/>
    <n v="1.998"/>
    <n v="1.954"/>
    <n v="880"/>
  </r>
  <r>
    <x v="9"/>
    <x v="26"/>
    <x v="0"/>
    <n v="1.93953"/>
    <n v="1.91"/>
    <n v="1.998"/>
    <n v="1.954"/>
    <n v="880"/>
  </r>
  <r>
    <x v="9"/>
    <x v="26"/>
    <x v="0"/>
    <n v="1.93953"/>
    <n v="1.91"/>
    <n v="1.998"/>
    <n v="1.954"/>
    <n v="880"/>
  </r>
  <r>
    <x v="9"/>
    <x v="26"/>
    <x v="0"/>
    <n v="1.93953"/>
    <n v="1.91"/>
    <n v="1.998"/>
    <n v="1.954"/>
    <n v="880"/>
  </r>
  <r>
    <x v="9"/>
    <x v="26"/>
    <x v="0"/>
    <n v="1.93953"/>
    <n v="1.91"/>
    <n v="1.998"/>
    <n v="1.954"/>
    <n v="880"/>
  </r>
  <r>
    <x v="9"/>
    <x v="26"/>
    <x v="0"/>
    <n v="1.93953"/>
    <n v="1.91"/>
    <n v="1.998"/>
    <n v="1.954"/>
    <n v="880"/>
  </r>
  <r>
    <x v="9"/>
    <x v="26"/>
    <x v="0"/>
    <n v="1.93953"/>
    <n v="1.91"/>
    <n v="1.998"/>
    <n v="1.954"/>
    <n v="880"/>
  </r>
  <r>
    <x v="9"/>
    <x v="0"/>
    <x v="0"/>
    <n v="1.96217"/>
    <n v="1.91"/>
    <n v="1.998"/>
    <n v="1.954"/>
    <n v="880"/>
  </r>
  <r>
    <x v="9"/>
    <x v="0"/>
    <x v="0"/>
    <n v="1.96217"/>
    <n v="1.91"/>
    <n v="1.998"/>
    <n v="1.954"/>
    <n v="880"/>
  </r>
  <r>
    <x v="9"/>
    <x v="0"/>
    <x v="0"/>
    <n v="1.96217"/>
    <n v="1.91"/>
    <n v="1.998"/>
    <n v="1.954"/>
    <n v="880"/>
  </r>
  <r>
    <x v="9"/>
    <x v="0"/>
    <x v="0"/>
    <n v="1.96217"/>
    <n v="1.91"/>
    <n v="1.998"/>
    <n v="1.954"/>
    <n v="880"/>
  </r>
  <r>
    <x v="9"/>
    <x v="0"/>
    <x v="0"/>
    <n v="1.96217"/>
    <n v="1.91"/>
    <n v="1.998"/>
    <n v="1.954"/>
    <n v="880"/>
  </r>
  <r>
    <x v="9"/>
    <x v="0"/>
    <x v="0"/>
    <n v="1.96217"/>
    <n v="1.91"/>
    <n v="1.998"/>
    <n v="1.954"/>
    <n v="880"/>
  </r>
  <r>
    <x v="9"/>
    <x v="0"/>
    <x v="0"/>
    <n v="1.96217"/>
    <n v="1.91"/>
    <n v="1.998"/>
    <n v="1.954"/>
    <n v="880"/>
  </r>
  <r>
    <x v="9"/>
    <x v="0"/>
    <x v="0"/>
    <n v="1.96217"/>
    <n v="1.91"/>
    <n v="1.998"/>
    <n v="1.954"/>
    <n v="880"/>
  </r>
  <r>
    <x v="9"/>
    <x v="0"/>
    <x v="0"/>
    <n v="1.96217"/>
    <n v="1.91"/>
    <n v="1.998"/>
    <n v="1.954"/>
    <n v="880"/>
  </r>
  <r>
    <x v="9"/>
    <x v="0"/>
    <x v="0"/>
    <n v="1.96217"/>
    <n v="1.91"/>
    <n v="1.998"/>
    <n v="1.954"/>
    <n v="880"/>
  </r>
  <r>
    <x v="9"/>
    <x v="0"/>
    <x v="0"/>
    <n v="1.96217"/>
    <n v="1.91"/>
    <n v="1.998"/>
    <n v="1.954"/>
    <n v="880"/>
  </r>
  <r>
    <x v="9"/>
    <x v="0"/>
    <x v="0"/>
    <n v="1.96217"/>
    <n v="1.91"/>
    <n v="1.998"/>
    <n v="1.954"/>
    <n v="880"/>
  </r>
  <r>
    <x v="9"/>
    <x v="0"/>
    <x v="0"/>
    <n v="1.96217"/>
    <n v="1.91"/>
    <n v="1.998"/>
    <n v="1.954"/>
    <n v="880"/>
  </r>
  <r>
    <x v="9"/>
    <x v="0"/>
    <x v="0"/>
    <n v="1.96217"/>
    <n v="1.91"/>
    <n v="1.998"/>
    <n v="1.954"/>
    <n v="880"/>
  </r>
  <r>
    <x v="9"/>
    <x v="0"/>
    <x v="0"/>
    <n v="1.96217"/>
    <n v="1.91"/>
    <n v="1.998"/>
    <n v="1.954"/>
    <n v="880"/>
  </r>
  <r>
    <x v="9"/>
    <x v="0"/>
    <x v="0"/>
    <n v="1.96217"/>
    <n v="1.91"/>
    <n v="1.998"/>
    <n v="1.954"/>
    <n v="880"/>
  </r>
  <r>
    <x v="9"/>
    <x v="0"/>
    <x v="0"/>
    <n v="1.96217"/>
    <n v="1.91"/>
    <n v="1.998"/>
    <n v="1.954"/>
    <n v="880"/>
  </r>
  <r>
    <x v="9"/>
    <x v="0"/>
    <x v="0"/>
    <n v="1.96217"/>
    <n v="1.91"/>
    <n v="1.998"/>
    <n v="1.954"/>
    <n v="880"/>
  </r>
  <r>
    <x v="9"/>
    <x v="0"/>
    <x v="0"/>
    <n v="1.96217"/>
    <n v="1.91"/>
    <n v="1.998"/>
    <n v="1.954"/>
    <n v="880"/>
  </r>
  <r>
    <x v="9"/>
    <x v="0"/>
    <x v="0"/>
    <n v="1.96217"/>
    <n v="1.91"/>
    <n v="1.998"/>
    <n v="1.954"/>
    <n v="880"/>
  </r>
  <r>
    <x v="9"/>
    <x v="0"/>
    <x v="2"/>
    <n v="102.029"/>
    <n v="101"/>
    <n v="104.005"/>
    <n v="102.5025"/>
    <n v="300.5"/>
  </r>
  <r>
    <x v="9"/>
    <x v="0"/>
    <x v="2"/>
    <n v="102.029"/>
    <n v="101"/>
    <n v="104.005"/>
    <n v="102.5025"/>
    <n v="300.5"/>
  </r>
  <r>
    <x v="9"/>
    <x v="0"/>
    <x v="2"/>
    <n v="102.029"/>
    <n v="101"/>
    <n v="104.005"/>
    <n v="102.5025"/>
    <n v="300.5"/>
  </r>
  <r>
    <x v="9"/>
    <x v="0"/>
    <x v="2"/>
    <n v="102.029"/>
    <n v="101"/>
    <n v="104.005"/>
    <n v="102.5025"/>
    <n v="300.5"/>
  </r>
  <r>
    <x v="9"/>
    <x v="0"/>
    <x v="2"/>
    <n v="102.029"/>
    <n v="101"/>
    <n v="104.005"/>
    <n v="102.5025"/>
    <n v="300.5"/>
  </r>
  <r>
    <x v="9"/>
    <x v="0"/>
    <x v="2"/>
    <n v="102.029"/>
    <n v="101"/>
    <n v="104.005"/>
    <n v="102.5025"/>
    <n v="300.5"/>
  </r>
  <r>
    <x v="9"/>
    <x v="0"/>
    <x v="2"/>
    <n v="102.029"/>
    <n v="101"/>
    <n v="104.005"/>
    <n v="102.5025"/>
    <n v="300.5"/>
  </r>
  <r>
    <x v="9"/>
    <x v="0"/>
    <x v="2"/>
    <n v="102.029"/>
    <n v="101"/>
    <n v="104.005"/>
    <n v="102.5025"/>
    <n v="300.5"/>
  </r>
  <r>
    <x v="9"/>
    <x v="0"/>
    <x v="2"/>
    <n v="102.029"/>
    <n v="101"/>
    <n v="104.005"/>
    <n v="102.5025"/>
    <n v="300.5"/>
  </r>
  <r>
    <x v="9"/>
    <x v="0"/>
    <x v="2"/>
    <n v="102.029"/>
    <n v="101"/>
    <n v="104.005"/>
    <n v="102.5025"/>
    <n v="300.5"/>
  </r>
  <r>
    <x v="9"/>
    <x v="0"/>
    <x v="2"/>
    <n v="102.029"/>
    <n v="101"/>
    <n v="104.005"/>
    <n v="102.5025"/>
    <n v="300.5"/>
  </r>
  <r>
    <x v="9"/>
    <x v="0"/>
    <x v="2"/>
    <n v="102.029"/>
    <n v="101"/>
    <n v="104.005"/>
    <n v="102.5025"/>
    <n v="300.5"/>
  </r>
  <r>
    <x v="9"/>
    <x v="0"/>
    <x v="2"/>
    <n v="102.029"/>
    <n v="101"/>
    <n v="104.005"/>
    <n v="102.5025"/>
    <n v="300.5"/>
  </r>
  <r>
    <x v="9"/>
    <x v="0"/>
    <x v="2"/>
    <n v="102.029"/>
    <n v="101"/>
    <n v="104.005"/>
    <n v="102.5025"/>
    <n v="300.5"/>
  </r>
  <r>
    <x v="9"/>
    <x v="0"/>
    <x v="2"/>
    <n v="102.029"/>
    <n v="101"/>
    <n v="104.005"/>
    <n v="102.5025"/>
    <n v="300.5"/>
  </r>
  <r>
    <x v="9"/>
    <x v="0"/>
    <x v="2"/>
    <n v="102.029"/>
    <n v="101"/>
    <n v="104.005"/>
    <n v="102.5025"/>
    <n v="300.5"/>
  </r>
  <r>
    <x v="9"/>
    <x v="0"/>
    <x v="2"/>
    <n v="102.029"/>
    <n v="101"/>
    <n v="104.005"/>
    <n v="102.5025"/>
    <n v="300.5"/>
  </r>
  <r>
    <x v="9"/>
    <x v="0"/>
    <x v="2"/>
    <n v="102.029"/>
    <n v="101"/>
    <n v="104.005"/>
    <n v="102.5025"/>
    <n v="300.5"/>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13"/>
    <n v="0.93584000000000001"/>
    <n v="0.89127000000000001"/>
    <n v="0.94952999999999999"/>
    <n v="0.9204"/>
    <n v="582.6"/>
  </r>
  <r>
    <x v="9"/>
    <x v="0"/>
    <x v="9"/>
    <n v="0.79191999999999996"/>
    <n v="0.79198000000000002"/>
    <n v="0.84"/>
    <n v="0.81598999999999999"/>
    <n v="480.2"/>
  </r>
  <r>
    <x v="9"/>
    <x v="0"/>
    <x v="9"/>
    <n v="0.79191999999999996"/>
    <n v="0.79198000000000002"/>
    <n v="0.84"/>
    <n v="0.81598999999999999"/>
    <n v="480.2"/>
  </r>
  <r>
    <x v="9"/>
    <x v="0"/>
    <x v="9"/>
    <n v="0.79191999999999996"/>
    <n v="0.79198000000000002"/>
    <n v="0.84"/>
    <n v="0.81598999999999999"/>
    <n v="480.2"/>
  </r>
  <r>
    <x v="9"/>
    <x v="0"/>
    <x v="9"/>
    <n v="0.79191999999999996"/>
    <n v="0.79198000000000002"/>
    <n v="0.84"/>
    <n v="0.81598999999999999"/>
    <n v="480.2"/>
  </r>
  <r>
    <x v="9"/>
    <x v="0"/>
    <x v="9"/>
    <n v="0.79191999999999996"/>
    <n v="0.79198000000000002"/>
    <n v="0.84"/>
    <n v="0.81598999999999999"/>
    <n v="480.2"/>
  </r>
  <r>
    <x v="9"/>
    <x v="0"/>
    <x v="9"/>
    <n v="0.79191999999999996"/>
    <n v="0.79198000000000002"/>
    <n v="0.84"/>
    <n v="0.81598999999999999"/>
    <n v="480.2"/>
  </r>
  <r>
    <x v="9"/>
    <x v="0"/>
    <x v="9"/>
    <n v="0.79191999999999996"/>
    <n v="0.79198000000000002"/>
    <n v="0.84"/>
    <n v="0.81598999999999999"/>
    <n v="480.2"/>
  </r>
  <r>
    <x v="9"/>
    <x v="0"/>
    <x v="9"/>
    <n v="0.79191999999999996"/>
    <n v="0.79198000000000002"/>
    <n v="0.84"/>
    <n v="0.81598999999999999"/>
    <n v="480.2"/>
  </r>
  <r>
    <x v="9"/>
    <x v="0"/>
    <x v="9"/>
    <n v="0.79191999999999996"/>
    <n v="0.79198000000000002"/>
    <n v="0.84"/>
    <n v="0.81598999999999999"/>
    <n v="480.2"/>
  </r>
  <r>
    <x v="9"/>
    <x v="0"/>
    <x v="9"/>
    <n v="0.79191999999999996"/>
    <n v="0.79198000000000002"/>
    <n v="0.84"/>
    <n v="0.81598999999999999"/>
    <n v="480.2"/>
  </r>
  <r>
    <x v="9"/>
    <x v="0"/>
    <x v="9"/>
    <n v="0.79191999999999996"/>
    <n v="0.79198000000000002"/>
    <n v="0.84"/>
    <n v="0.81598999999999999"/>
    <n v="480.2"/>
  </r>
  <r>
    <x v="9"/>
    <x v="0"/>
    <x v="9"/>
    <n v="0.79191999999999996"/>
    <n v="0.79198000000000002"/>
    <n v="0.84"/>
    <n v="0.81598999999999999"/>
    <n v="480.2"/>
  </r>
  <r>
    <x v="9"/>
    <x v="0"/>
    <x v="9"/>
    <n v="0.79191999999999996"/>
    <n v="0.79198000000000002"/>
    <n v="0.84"/>
    <n v="0.81598999999999999"/>
    <n v="480.2"/>
  </r>
  <r>
    <x v="9"/>
    <x v="0"/>
    <x v="9"/>
    <n v="0.79191999999999996"/>
    <n v="0.79198000000000002"/>
    <n v="0.84"/>
    <n v="0.81598999999999999"/>
    <n v="480.2"/>
  </r>
  <r>
    <x v="9"/>
    <x v="0"/>
    <x v="9"/>
    <n v="0.79191999999999996"/>
    <n v="0.79198000000000002"/>
    <n v="0.84"/>
    <n v="0.81598999999999999"/>
    <n v="480.2"/>
  </r>
  <r>
    <x v="9"/>
    <x v="0"/>
    <x v="9"/>
    <n v="0.79191999999999996"/>
    <n v="0.79198000000000002"/>
    <n v="0.84"/>
    <n v="0.81598999999999999"/>
    <n v="480.2"/>
  </r>
  <r>
    <x v="9"/>
    <x v="0"/>
    <x v="9"/>
    <n v="0.79191999999999996"/>
    <n v="0.79198000000000002"/>
    <n v="0.84"/>
    <n v="0.81598999999999999"/>
    <n v="480.2"/>
  </r>
  <r>
    <x v="9"/>
    <x v="0"/>
    <x v="9"/>
    <n v="0.79191999999999996"/>
    <n v="0.79198000000000002"/>
    <n v="0.84"/>
    <n v="0.81598999999999999"/>
    <n v="480.2"/>
  </r>
  <r>
    <x v="9"/>
    <x v="0"/>
    <x v="9"/>
    <n v="0.79191999999999996"/>
    <n v="0.79198000000000002"/>
    <n v="0.84"/>
    <n v="0.81598999999999999"/>
    <n v="480.2"/>
  </r>
  <r>
    <x v="9"/>
    <x v="0"/>
    <x v="9"/>
    <n v="0.79191999999999996"/>
    <n v="0.79198000000000002"/>
    <n v="0.84"/>
    <n v="0.81598999999999999"/>
    <n v="480.2"/>
  </r>
  <r>
    <x v="9"/>
    <x v="0"/>
    <x v="9"/>
    <n v="0.79191999999999996"/>
    <n v="0.79198000000000002"/>
    <n v="0.84"/>
    <n v="0.81598999999999999"/>
    <n v="480.2"/>
  </r>
  <r>
    <x v="9"/>
    <x v="0"/>
    <x v="9"/>
    <n v="0.79191999999999996"/>
    <n v="0.79198000000000002"/>
    <n v="0.84"/>
    <n v="0.81598999999999999"/>
    <n v="480.2"/>
  </r>
  <r>
    <x v="9"/>
    <x v="0"/>
    <x v="9"/>
    <n v="0.79191999999999996"/>
    <n v="0.79198000000000002"/>
    <n v="0.84"/>
    <n v="0.81598999999999999"/>
    <n v="480.2"/>
  </r>
  <r>
    <x v="9"/>
    <x v="0"/>
    <x v="9"/>
    <n v="0.79191999999999996"/>
    <n v="0.79198000000000002"/>
    <n v="0.84"/>
    <n v="0.81598999999999999"/>
    <n v="480.2"/>
  </r>
  <r>
    <x v="9"/>
    <x v="0"/>
    <x v="9"/>
    <n v="0.79191999999999996"/>
    <n v="0.79198000000000002"/>
    <n v="0.84"/>
    <n v="0.81598999999999999"/>
    <n v="480.2"/>
  </r>
  <r>
    <x v="9"/>
    <x v="0"/>
    <x v="9"/>
    <n v="0.79191999999999996"/>
    <n v="0.79198000000000002"/>
    <n v="0.84"/>
    <n v="0.81598999999999999"/>
    <n v="480.2"/>
  </r>
  <r>
    <x v="9"/>
    <x v="0"/>
    <x v="0"/>
    <n v="1.96217"/>
    <n v="1.91"/>
    <n v="1.998"/>
    <n v="1.954"/>
    <n v="880"/>
  </r>
  <r>
    <x v="9"/>
    <x v="0"/>
    <x v="0"/>
    <n v="1.96217"/>
    <n v="1.91"/>
    <n v="1.998"/>
    <n v="1.954"/>
    <n v="880"/>
  </r>
  <r>
    <x v="9"/>
    <x v="0"/>
    <x v="0"/>
    <n v="1.96217"/>
    <n v="1.91"/>
    <n v="1.998"/>
    <n v="1.954"/>
    <n v="880"/>
  </r>
  <r>
    <x v="9"/>
    <x v="0"/>
    <x v="0"/>
    <n v="1.96217"/>
    <n v="1.91"/>
    <n v="1.998"/>
    <n v="1.954"/>
    <n v="880"/>
  </r>
  <r>
    <x v="9"/>
    <x v="0"/>
    <x v="0"/>
    <n v="1.96217"/>
    <n v="1.91"/>
    <n v="1.998"/>
    <n v="1.954"/>
    <n v="880"/>
  </r>
  <r>
    <x v="9"/>
    <x v="0"/>
    <x v="0"/>
    <n v="1.96217"/>
    <n v="1.91"/>
    <n v="1.998"/>
    <n v="1.954"/>
    <n v="880"/>
  </r>
  <r>
    <x v="9"/>
    <x v="1"/>
    <x v="0"/>
    <n v="1.94255"/>
    <n v="1.91"/>
    <n v="1.998"/>
    <n v="1.954"/>
    <n v="880"/>
  </r>
  <r>
    <x v="9"/>
    <x v="1"/>
    <x v="0"/>
    <n v="1.94255"/>
    <n v="1.91"/>
    <n v="1.998"/>
    <n v="1.954"/>
    <n v="880"/>
  </r>
  <r>
    <x v="9"/>
    <x v="1"/>
    <x v="0"/>
    <n v="1.94255"/>
    <n v="1.91"/>
    <n v="1.998"/>
    <n v="1.954"/>
    <n v="880"/>
  </r>
  <r>
    <x v="9"/>
    <x v="1"/>
    <x v="0"/>
    <n v="1.94255"/>
    <n v="1.91"/>
    <n v="1.998"/>
    <n v="1.954"/>
    <n v="880"/>
  </r>
  <r>
    <x v="9"/>
    <x v="1"/>
    <x v="0"/>
    <n v="1.94255"/>
    <n v="1.91"/>
    <n v="1.998"/>
    <n v="1.954"/>
    <n v="880"/>
  </r>
  <r>
    <x v="9"/>
    <x v="1"/>
    <x v="0"/>
    <n v="1.94255"/>
    <n v="1.91"/>
    <n v="1.998"/>
    <n v="1.954"/>
    <n v="880"/>
  </r>
  <r>
    <x v="9"/>
    <x v="1"/>
    <x v="0"/>
    <n v="1.94255"/>
    <n v="1.91"/>
    <n v="1.998"/>
    <n v="1.954"/>
    <n v="880"/>
  </r>
  <r>
    <x v="9"/>
    <x v="1"/>
    <x v="0"/>
    <n v="1.94255"/>
    <n v="1.91"/>
    <n v="1.998"/>
    <n v="1.954"/>
    <n v="880"/>
  </r>
  <r>
    <x v="9"/>
    <x v="1"/>
    <x v="0"/>
    <n v="1.94255"/>
    <n v="1.91"/>
    <n v="1.998"/>
    <n v="1.954"/>
    <n v="880"/>
  </r>
  <r>
    <x v="9"/>
    <x v="1"/>
    <x v="0"/>
    <n v="1.94255"/>
    <n v="1.91"/>
    <n v="1.998"/>
    <n v="1.954"/>
    <n v="880"/>
  </r>
  <r>
    <x v="9"/>
    <x v="1"/>
    <x v="0"/>
    <n v="1.94255"/>
    <n v="1.91"/>
    <n v="1.998"/>
    <n v="1.954"/>
    <n v="880"/>
  </r>
  <r>
    <x v="9"/>
    <x v="1"/>
    <x v="0"/>
    <n v="1.94255"/>
    <n v="1.91"/>
    <n v="1.998"/>
    <n v="1.954"/>
    <n v="880"/>
  </r>
  <r>
    <x v="9"/>
    <x v="1"/>
    <x v="0"/>
    <n v="1.94255"/>
    <n v="1.91"/>
    <n v="1.998"/>
    <n v="1.954"/>
    <n v="880"/>
  </r>
  <r>
    <x v="9"/>
    <x v="1"/>
    <x v="0"/>
    <n v="1.94255"/>
    <n v="1.91"/>
    <n v="1.998"/>
    <n v="1.954"/>
    <n v="880"/>
  </r>
  <r>
    <x v="9"/>
    <x v="1"/>
    <x v="0"/>
    <n v="1.94255"/>
    <n v="1.91"/>
    <n v="1.998"/>
    <n v="1.954"/>
    <n v="880"/>
  </r>
  <r>
    <x v="9"/>
    <x v="1"/>
    <x v="0"/>
    <n v="1.94255"/>
    <n v="1.91"/>
    <n v="1.998"/>
    <n v="1.954"/>
    <n v="880"/>
  </r>
  <r>
    <x v="9"/>
    <x v="1"/>
    <x v="0"/>
    <n v="1.94255"/>
    <n v="1.91"/>
    <n v="1.998"/>
    <n v="1.954"/>
    <n v="880"/>
  </r>
  <r>
    <x v="9"/>
    <x v="1"/>
    <x v="0"/>
    <n v="1.94255"/>
    <n v="1.91"/>
    <n v="1.998"/>
    <n v="1.954"/>
    <n v="880"/>
  </r>
  <r>
    <x v="9"/>
    <x v="1"/>
    <x v="0"/>
    <n v="1.94255"/>
    <n v="1.91"/>
    <n v="1.998"/>
    <n v="1.954"/>
    <n v="880"/>
  </r>
  <r>
    <x v="9"/>
    <x v="1"/>
    <x v="2"/>
    <n v="101.325"/>
    <n v="101"/>
    <n v="104.005"/>
    <n v="102.5025"/>
    <n v="300.5"/>
  </r>
  <r>
    <x v="9"/>
    <x v="1"/>
    <x v="2"/>
    <n v="101.325"/>
    <n v="101"/>
    <n v="104.005"/>
    <n v="102.5025"/>
    <n v="300.5"/>
  </r>
  <r>
    <x v="9"/>
    <x v="1"/>
    <x v="2"/>
    <n v="101.325"/>
    <n v="101"/>
    <n v="104.005"/>
    <n v="102.5025"/>
    <n v="300.5"/>
  </r>
  <r>
    <x v="9"/>
    <x v="1"/>
    <x v="2"/>
    <n v="101.325"/>
    <n v="101"/>
    <n v="104.005"/>
    <n v="102.5025"/>
    <n v="300.5"/>
  </r>
  <r>
    <x v="9"/>
    <x v="1"/>
    <x v="2"/>
    <n v="101.325"/>
    <n v="101"/>
    <n v="104.005"/>
    <n v="102.5025"/>
    <n v="300.5"/>
  </r>
  <r>
    <x v="9"/>
    <x v="1"/>
    <x v="2"/>
    <n v="101.325"/>
    <n v="101"/>
    <n v="104.005"/>
    <n v="102.5025"/>
    <n v="300.5"/>
  </r>
  <r>
    <x v="9"/>
    <x v="1"/>
    <x v="2"/>
    <n v="101.325"/>
    <n v="101"/>
    <n v="104.005"/>
    <n v="102.5025"/>
    <n v="300.5"/>
  </r>
  <r>
    <x v="9"/>
    <x v="1"/>
    <x v="2"/>
    <n v="101.325"/>
    <n v="101"/>
    <n v="104.005"/>
    <n v="102.5025"/>
    <n v="300.5"/>
  </r>
  <r>
    <x v="9"/>
    <x v="1"/>
    <x v="2"/>
    <n v="101.325"/>
    <n v="101"/>
    <n v="104.005"/>
    <n v="102.5025"/>
    <n v="300.5"/>
  </r>
  <r>
    <x v="9"/>
    <x v="1"/>
    <x v="2"/>
    <n v="101.325"/>
    <n v="101"/>
    <n v="104.005"/>
    <n v="102.5025"/>
    <n v="300.5"/>
  </r>
  <r>
    <x v="9"/>
    <x v="1"/>
    <x v="2"/>
    <n v="101.325"/>
    <n v="101"/>
    <n v="104.005"/>
    <n v="102.5025"/>
    <n v="300.5"/>
  </r>
  <r>
    <x v="9"/>
    <x v="1"/>
    <x v="2"/>
    <n v="101.325"/>
    <n v="101"/>
    <n v="104.005"/>
    <n v="102.5025"/>
    <n v="300.5"/>
  </r>
  <r>
    <x v="9"/>
    <x v="1"/>
    <x v="2"/>
    <n v="101.325"/>
    <n v="101"/>
    <n v="104.005"/>
    <n v="102.5025"/>
    <n v="300.5"/>
  </r>
  <r>
    <x v="9"/>
    <x v="1"/>
    <x v="2"/>
    <n v="101.325"/>
    <n v="101"/>
    <n v="104.005"/>
    <n v="102.5025"/>
    <n v="300.5"/>
  </r>
  <r>
    <x v="9"/>
    <x v="1"/>
    <x v="2"/>
    <n v="101.325"/>
    <n v="101"/>
    <n v="104.005"/>
    <n v="102.5025"/>
    <n v="300.5"/>
  </r>
  <r>
    <x v="9"/>
    <x v="1"/>
    <x v="2"/>
    <n v="101.325"/>
    <n v="101"/>
    <n v="104.005"/>
    <n v="102.5025"/>
    <n v="300.5"/>
  </r>
  <r>
    <x v="9"/>
    <x v="1"/>
    <x v="2"/>
    <n v="101.325"/>
    <n v="101"/>
    <n v="104.005"/>
    <n v="102.5025"/>
    <n v="300.5"/>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13"/>
    <n v="0.93844000000000005"/>
    <n v="0.89127000000000001"/>
    <n v="0.94952999999999999"/>
    <n v="0.9204"/>
    <n v="582.6"/>
  </r>
  <r>
    <x v="9"/>
    <x v="1"/>
    <x v="9"/>
    <n v="0.79410000000000003"/>
    <n v="0.79198000000000002"/>
    <n v="0.84"/>
    <n v="0.81598999999999999"/>
    <n v="480.2"/>
  </r>
  <r>
    <x v="9"/>
    <x v="1"/>
    <x v="9"/>
    <n v="0.79410000000000003"/>
    <n v="0.79198000000000002"/>
    <n v="0.84"/>
    <n v="0.81598999999999999"/>
    <n v="480.2"/>
  </r>
  <r>
    <x v="9"/>
    <x v="1"/>
    <x v="9"/>
    <n v="0.79410000000000003"/>
    <n v="0.79198000000000002"/>
    <n v="0.84"/>
    <n v="0.81598999999999999"/>
    <n v="480.2"/>
  </r>
  <r>
    <x v="9"/>
    <x v="1"/>
    <x v="9"/>
    <n v="0.79410000000000003"/>
    <n v="0.79198000000000002"/>
    <n v="0.84"/>
    <n v="0.81598999999999999"/>
    <n v="480.2"/>
  </r>
  <r>
    <x v="9"/>
    <x v="1"/>
    <x v="9"/>
    <n v="0.79410000000000003"/>
    <n v="0.79198000000000002"/>
    <n v="0.84"/>
    <n v="0.81598999999999999"/>
    <n v="480.2"/>
  </r>
  <r>
    <x v="9"/>
    <x v="1"/>
    <x v="9"/>
    <n v="0.79410000000000003"/>
    <n v="0.79198000000000002"/>
    <n v="0.84"/>
    <n v="0.81598999999999999"/>
    <n v="480.2"/>
  </r>
  <r>
    <x v="9"/>
    <x v="1"/>
    <x v="9"/>
    <n v="0.79410000000000003"/>
    <n v="0.79198000000000002"/>
    <n v="0.84"/>
    <n v="0.81598999999999999"/>
    <n v="480.2"/>
  </r>
  <r>
    <x v="9"/>
    <x v="1"/>
    <x v="9"/>
    <n v="0.79410000000000003"/>
    <n v="0.79198000000000002"/>
    <n v="0.84"/>
    <n v="0.81598999999999999"/>
    <n v="480.2"/>
  </r>
  <r>
    <x v="9"/>
    <x v="1"/>
    <x v="9"/>
    <n v="0.79410000000000003"/>
    <n v="0.79198000000000002"/>
    <n v="0.84"/>
    <n v="0.81598999999999999"/>
    <n v="480.2"/>
  </r>
  <r>
    <x v="9"/>
    <x v="1"/>
    <x v="9"/>
    <n v="0.79410000000000003"/>
    <n v="0.79198000000000002"/>
    <n v="0.84"/>
    <n v="0.81598999999999999"/>
    <n v="480.2"/>
  </r>
  <r>
    <x v="9"/>
    <x v="1"/>
    <x v="9"/>
    <n v="0.79410000000000003"/>
    <n v="0.79198000000000002"/>
    <n v="0.84"/>
    <n v="0.81598999999999999"/>
    <n v="480.2"/>
  </r>
  <r>
    <x v="9"/>
    <x v="1"/>
    <x v="9"/>
    <n v="0.79410000000000003"/>
    <n v="0.79198000000000002"/>
    <n v="0.84"/>
    <n v="0.81598999999999999"/>
    <n v="480.2"/>
  </r>
  <r>
    <x v="9"/>
    <x v="1"/>
    <x v="9"/>
    <n v="0.79410000000000003"/>
    <n v="0.79198000000000002"/>
    <n v="0.84"/>
    <n v="0.81598999999999999"/>
    <n v="480.2"/>
  </r>
  <r>
    <x v="9"/>
    <x v="1"/>
    <x v="9"/>
    <n v="0.79410000000000003"/>
    <n v="0.79198000000000002"/>
    <n v="0.84"/>
    <n v="0.81598999999999999"/>
    <n v="480.2"/>
  </r>
  <r>
    <x v="9"/>
    <x v="1"/>
    <x v="9"/>
    <n v="0.79410000000000003"/>
    <n v="0.79198000000000002"/>
    <n v="0.84"/>
    <n v="0.81598999999999999"/>
    <n v="480.2"/>
  </r>
  <r>
    <x v="9"/>
    <x v="1"/>
    <x v="9"/>
    <n v="0.79410000000000003"/>
    <n v="0.79198000000000002"/>
    <n v="0.84"/>
    <n v="0.81598999999999999"/>
    <n v="480.2"/>
  </r>
  <r>
    <x v="9"/>
    <x v="1"/>
    <x v="9"/>
    <n v="0.79410000000000003"/>
    <n v="0.79198000000000002"/>
    <n v="0.84"/>
    <n v="0.81598999999999999"/>
    <n v="480.2"/>
  </r>
  <r>
    <x v="9"/>
    <x v="1"/>
    <x v="9"/>
    <n v="0.79410000000000003"/>
    <n v="0.79198000000000002"/>
    <n v="0.84"/>
    <n v="0.81598999999999999"/>
    <n v="480.2"/>
  </r>
  <r>
    <x v="9"/>
    <x v="1"/>
    <x v="9"/>
    <n v="0.79410000000000003"/>
    <n v="0.79198000000000002"/>
    <n v="0.84"/>
    <n v="0.81598999999999999"/>
    <n v="480.2"/>
  </r>
  <r>
    <x v="9"/>
    <x v="1"/>
    <x v="9"/>
    <n v="0.79410000000000003"/>
    <n v="0.79198000000000002"/>
    <n v="0.84"/>
    <n v="0.81598999999999999"/>
    <n v="480.2"/>
  </r>
  <r>
    <x v="9"/>
    <x v="1"/>
    <x v="9"/>
    <n v="0.79410000000000003"/>
    <n v="0.79198000000000002"/>
    <n v="0.84"/>
    <n v="0.81598999999999999"/>
    <n v="480.2"/>
  </r>
  <r>
    <x v="9"/>
    <x v="1"/>
    <x v="9"/>
    <n v="0.79410000000000003"/>
    <n v="0.79198000000000002"/>
    <n v="0.84"/>
    <n v="0.81598999999999999"/>
    <n v="480.2"/>
  </r>
  <r>
    <x v="9"/>
    <x v="1"/>
    <x v="9"/>
    <n v="0.79410000000000003"/>
    <n v="0.79198000000000002"/>
    <n v="0.84"/>
    <n v="0.81598999999999999"/>
    <n v="480.2"/>
  </r>
  <r>
    <x v="9"/>
    <x v="1"/>
    <x v="9"/>
    <n v="0.79410000000000003"/>
    <n v="0.79198000000000002"/>
    <n v="0.84"/>
    <n v="0.81598999999999999"/>
    <n v="480.2"/>
  </r>
  <r>
    <x v="9"/>
    <x v="1"/>
    <x v="9"/>
    <n v="0.79410000000000003"/>
    <n v="0.79198000000000002"/>
    <n v="0.84"/>
    <n v="0.81598999999999999"/>
    <n v="480.2"/>
  </r>
  <r>
    <x v="9"/>
    <x v="1"/>
    <x v="9"/>
    <n v="0.79410000000000003"/>
    <n v="0.79198000000000002"/>
    <n v="0.84"/>
    <n v="0.81598999999999999"/>
    <n v="480.2"/>
  </r>
  <r>
    <x v="9"/>
    <x v="1"/>
    <x v="0"/>
    <n v="1.94255"/>
    <n v="1.91"/>
    <n v="1.998"/>
    <n v="1.954"/>
    <n v="880"/>
  </r>
  <r>
    <x v="9"/>
    <x v="1"/>
    <x v="0"/>
    <n v="1.94255"/>
    <n v="1.91"/>
    <n v="1.998"/>
    <n v="1.954"/>
    <n v="880"/>
  </r>
  <r>
    <x v="9"/>
    <x v="1"/>
    <x v="0"/>
    <n v="1.94255"/>
    <n v="1.91"/>
    <n v="1.998"/>
    <n v="1.954"/>
    <n v="880"/>
  </r>
  <r>
    <x v="9"/>
    <x v="1"/>
    <x v="0"/>
    <n v="1.94255"/>
    <n v="1.91"/>
    <n v="1.998"/>
    <n v="1.954"/>
    <n v="880"/>
  </r>
  <r>
    <x v="9"/>
    <x v="1"/>
    <x v="0"/>
    <n v="1.94255"/>
    <n v="1.91"/>
    <n v="1.998"/>
    <n v="1.954"/>
    <n v="880"/>
  </r>
  <r>
    <x v="9"/>
    <x v="1"/>
    <x v="0"/>
    <n v="1.94255"/>
    <n v="1.91"/>
    <n v="1.998"/>
    <n v="1.954"/>
    <n v="880"/>
  </r>
  <r>
    <x v="9"/>
    <x v="1"/>
    <x v="0"/>
    <n v="1.94255"/>
    <n v="1.91"/>
    <n v="1.998"/>
    <n v="1.954"/>
    <n v="880"/>
  </r>
  <r>
    <x v="9"/>
    <x v="2"/>
    <x v="0"/>
    <n v="1.96492"/>
    <n v="1.91"/>
    <n v="1.998"/>
    <n v="1.954"/>
    <n v="880"/>
  </r>
  <r>
    <x v="9"/>
    <x v="2"/>
    <x v="0"/>
    <n v="1.96492"/>
    <n v="1.91"/>
    <n v="1.998"/>
    <n v="1.954"/>
    <n v="880"/>
  </r>
  <r>
    <x v="9"/>
    <x v="2"/>
    <x v="0"/>
    <n v="1.96492"/>
    <n v="1.91"/>
    <n v="1.998"/>
    <n v="1.954"/>
    <n v="880"/>
  </r>
  <r>
    <x v="9"/>
    <x v="2"/>
    <x v="0"/>
    <n v="1.96492"/>
    <n v="1.91"/>
    <n v="1.998"/>
    <n v="1.954"/>
    <n v="880"/>
  </r>
  <r>
    <x v="9"/>
    <x v="2"/>
    <x v="0"/>
    <n v="1.96492"/>
    <n v="1.91"/>
    <n v="1.998"/>
    <n v="1.954"/>
    <n v="880"/>
  </r>
  <r>
    <x v="9"/>
    <x v="2"/>
    <x v="0"/>
    <n v="1.96492"/>
    <n v="1.91"/>
    <n v="1.998"/>
    <n v="1.954"/>
    <n v="880"/>
  </r>
  <r>
    <x v="9"/>
    <x v="2"/>
    <x v="0"/>
    <n v="1.96492"/>
    <n v="1.91"/>
    <n v="1.998"/>
    <n v="1.954"/>
    <n v="880"/>
  </r>
  <r>
    <x v="9"/>
    <x v="2"/>
    <x v="0"/>
    <n v="1.96492"/>
    <n v="1.91"/>
    <n v="1.998"/>
    <n v="1.954"/>
    <n v="880"/>
  </r>
  <r>
    <x v="9"/>
    <x v="2"/>
    <x v="0"/>
    <n v="1.96492"/>
    <n v="1.91"/>
    <n v="1.998"/>
    <n v="1.954"/>
    <n v="880"/>
  </r>
  <r>
    <x v="9"/>
    <x v="2"/>
    <x v="0"/>
    <n v="1.96492"/>
    <n v="1.91"/>
    <n v="1.998"/>
    <n v="1.954"/>
    <n v="880"/>
  </r>
  <r>
    <x v="9"/>
    <x v="2"/>
    <x v="0"/>
    <n v="1.96492"/>
    <n v="1.91"/>
    <n v="1.998"/>
    <n v="1.954"/>
    <n v="880"/>
  </r>
  <r>
    <x v="9"/>
    <x v="2"/>
    <x v="0"/>
    <n v="1.96492"/>
    <n v="1.91"/>
    <n v="1.998"/>
    <n v="1.954"/>
    <n v="880"/>
  </r>
  <r>
    <x v="9"/>
    <x v="2"/>
    <x v="0"/>
    <n v="1.96492"/>
    <n v="1.91"/>
    <n v="1.998"/>
    <n v="1.954"/>
    <n v="880"/>
  </r>
  <r>
    <x v="9"/>
    <x v="2"/>
    <x v="0"/>
    <n v="1.96492"/>
    <n v="1.91"/>
    <n v="1.998"/>
    <n v="1.954"/>
    <n v="880"/>
  </r>
  <r>
    <x v="9"/>
    <x v="2"/>
    <x v="0"/>
    <n v="1.96492"/>
    <n v="1.91"/>
    <n v="1.998"/>
    <n v="1.954"/>
    <n v="880"/>
  </r>
  <r>
    <x v="9"/>
    <x v="2"/>
    <x v="0"/>
    <n v="1.96492"/>
    <n v="1.91"/>
    <n v="1.998"/>
    <n v="1.954"/>
    <n v="880"/>
  </r>
  <r>
    <x v="9"/>
    <x v="2"/>
    <x v="0"/>
    <n v="1.96492"/>
    <n v="1.91"/>
    <n v="1.998"/>
    <n v="1.954"/>
    <n v="880"/>
  </r>
  <r>
    <x v="9"/>
    <x v="2"/>
    <x v="0"/>
    <n v="1.96492"/>
    <n v="1.91"/>
    <n v="1.998"/>
    <n v="1.954"/>
    <n v="880"/>
  </r>
  <r>
    <x v="9"/>
    <x v="2"/>
    <x v="0"/>
    <n v="1.96492"/>
    <n v="1.91"/>
    <n v="1.998"/>
    <n v="1.954"/>
    <n v="880"/>
  </r>
  <r>
    <x v="9"/>
    <x v="2"/>
    <x v="0"/>
    <n v="1.96492"/>
    <n v="1.91"/>
    <n v="1.998"/>
    <n v="1.954"/>
    <n v="880"/>
  </r>
  <r>
    <x v="9"/>
    <x v="2"/>
    <x v="0"/>
    <n v="1.96492"/>
    <n v="1.91"/>
    <n v="1.998"/>
    <n v="1.954"/>
    <n v="880"/>
  </r>
  <r>
    <x v="9"/>
    <x v="2"/>
    <x v="2"/>
    <n v="101.315"/>
    <n v="101"/>
    <n v="104.005"/>
    <n v="102.5025"/>
    <n v="300.5"/>
  </r>
  <r>
    <x v="9"/>
    <x v="2"/>
    <x v="2"/>
    <n v="101.315"/>
    <n v="101"/>
    <n v="104.005"/>
    <n v="102.5025"/>
    <n v="300.5"/>
  </r>
  <r>
    <x v="9"/>
    <x v="2"/>
    <x v="2"/>
    <n v="101.315"/>
    <n v="101"/>
    <n v="104.005"/>
    <n v="102.5025"/>
    <n v="300.5"/>
  </r>
  <r>
    <x v="9"/>
    <x v="2"/>
    <x v="2"/>
    <n v="101.315"/>
    <n v="101"/>
    <n v="104.005"/>
    <n v="102.5025"/>
    <n v="300.5"/>
  </r>
  <r>
    <x v="9"/>
    <x v="2"/>
    <x v="2"/>
    <n v="101.315"/>
    <n v="101"/>
    <n v="104.005"/>
    <n v="102.5025"/>
    <n v="300.5"/>
  </r>
  <r>
    <x v="9"/>
    <x v="2"/>
    <x v="2"/>
    <n v="101.315"/>
    <n v="101"/>
    <n v="104.005"/>
    <n v="102.5025"/>
    <n v="300.5"/>
  </r>
  <r>
    <x v="9"/>
    <x v="2"/>
    <x v="2"/>
    <n v="101.315"/>
    <n v="101"/>
    <n v="104.005"/>
    <n v="102.5025"/>
    <n v="300.5"/>
  </r>
  <r>
    <x v="9"/>
    <x v="2"/>
    <x v="2"/>
    <n v="101.315"/>
    <n v="101"/>
    <n v="104.005"/>
    <n v="102.5025"/>
    <n v="300.5"/>
  </r>
  <r>
    <x v="9"/>
    <x v="2"/>
    <x v="2"/>
    <n v="101.315"/>
    <n v="101"/>
    <n v="104.005"/>
    <n v="102.5025"/>
    <n v="300.5"/>
  </r>
  <r>
    <x v="9"/>
    <x v="2"/>
    <x v="2"/>
    <n v="101.315"/>
    <n v="101"/>
    <n v="104.005"/>
    <n v="102.5025"/>
    <n v="300.5"/>
  </r>
  <r>
    <x v="9"/>
    <x v="2"/>
    <x v="2"/>
    <n v="101.315"/>
    <n v="101"/>
    <n v="104.005"/>
    <n v="102.5025"/>
    <n v="300.5"/>
  </r>
  <r>
    <x v="9"/>
    <x v="2"/>
    <x v="2"/>
    <n v="101.315"/>
    <n v="101"/>
    <n v="104.005"/>
    <n v="102.5025"/>
    <n v="300.5"/>
  </r>
  <r>
    <x v="9"/>
    <x v="2"/>
    <x v="2"/>
    <n v="101.315"/>
    <n v="101"/>
    <n v="104.005"/>
    <n v="102.5025"/>
    <n v="300.5"/>
  </r>
  <r>
    <x v="9"/>
    <x v="2"/>
    <x v="2"/>
    <n v="101.315"/>
    <n v="101"/>
    <n v="104.005"/>
    <n v="102.5025"/>
    <n v="300.5"/>
  </r>
  <r>
    <x v="9"/>
    <x v="2"/>
    <x v="2"/>
    <n v="101.315"/>
    <n v="101"/>
    <n v="104.005"/>
    <n v="102.5025"/>
    <n v="300.5"/>
  </r>
  <r>
    <x v="9"/>
    <x v="2"/>
    <x v="2"/>
    <n v="101.315"/>
    <n v="101"/>
    <n v="104.005"/>
    <n v="102.5025"/>
    <n v="300.5"/>
  </r>
  <r>
    <x v="9"/>
    <x v="2"/>
    <x v="2"/>
    <n v="101.315"/>
    <n v="101"/>
    <n v="104.005"/>
    <n v="102.5025"/>
    <n v="300.5"/>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13"/>
    <n v="0.93820999999999999"/>
    <n v="0.89127000000000001"/>
    <n v="0.94952999999999999"/>
    <n v="0.9204"/>
    <n v="582.6"/>
  </r>
  <r>
    <x v="9"/>
    <x v="2"/>
    <x v="9"/>
    <n v="0.79137000000000002"/>
    <n v="0.78998000000000002"/>
    <n v="0.84"/>
    <n v="0.81498999999999999"/>
    <n v="500.2"/>
  </r>
  <r>
    <x v="9"/>
    <x v="2"/>
    <x v="9"/>
    <n v="0.79137000000000002"/>
    <n v="0.78998000000000002"/>
    <n v="0.84"/>
    <n v="0.81498999999999999"/>
    <n v="500.2"/>
  </r>
  <r>
    <x v="9"/>
    <x v="2"/>
    <x v="9"/>
    <n v="0.79137000000000002"/>
    <n v="0.78998000000000002"/>
    <n v="0.84"/>
    <n v="0.81498999999999999"/>
    <n v="500.2"/>
  </r>
  <r>
    <x v="9"/>
    <x v="2"/>
    <x v="9"/>
    <n v="0.79137000000000002"/>
    <n v="0.78998000000000002"/>
    <n v="0.84"/>
    <n v="0.81498999999999999"/>
    <n v="500.2"/>
  </r>
  <r>
    <x v="9"/>
    <x v="2"/>
    <x v="9"/>
    <n v="0.79137000000000002"/>
    <n v="0.78998000000000002"/>
    <n v="0.84"/>
    <n v="0.81498999999999999"/>
    <n v="500.2"/>
  </r>
  <r>
    <x v="9"/>
    <x v="2"/>
    <x v="9"/>
    <n v="0.79137000000000002"/>
    <n v="0.78998000000000002"/>
    <n v="0.84"/>
    <n v="0.81498999999999999"/>
    <n v="500.2"/>
  </r>
  <r>
    <x v="9"/>
    <x v="2"/>
    <x v="9"/>
    <n v="0.79137000000000002"/>
    <n v="0.78998000000000002"/>
    <n v="0.84"/>
    <n v="0.81498999999999999"/>
    <n v="500.2"/>
  </r>
  <r>
    <x v="9"/>
    <x v="2"/>
    <x v="9"/>
    <n v="0.79137000000000002"/>
    <n v="0.78998000000000002"/>
    <n v="0.84"/>
    <n v="0.81498999999999999"/>
    <n v="500.2"/>
  </r>
  <r>
    <x v="9"/>
    <x v="2"/>
    <x v="9"/>
    <n v="0.79137000000000002"/>
    <n v="0.78998000000000002"/>
    <n v="0.84"/>
    <n v="0.81498999999999999"/>
    <n v="500.2"/>
  </r>
  <r>
    <x v="9"/>
    <x v="2"/>
    <x v="9"/>
    <n v="0.79137000000000002"/>
    <n v="0.78998000000000002"/>
    <n v="0.84"/>
    <n v="0.81498999999999999"/>
    <n v="500.2"/>
  </r>
  <r>
    <x v="9"/>
    <x v="2"/>
    <x v="9"/>
    <n v="0.79137000000000002"/>
    <n v="0.78998000000000002"/>
    <n v="0.84"/>
    <n v="0.81498999999999999"/>
    <n v="500.2"/>
  </r>
  <r>
    <x v="9"/>
    <x v="2"/>
    <x v="9"/>
    <n v="0.79137000000000002"/>
    <n v="0.78998000000000002"/>
    <n v="0.84"/>
    <n v="0.81498999999999999"/>
    <n v="500.2"/>
  </r>
  <r>
    <x v="9"/>
    <x v="2"/>
    <x v="9"/>
    <n v="0.79137000000000002"/>
    <n v="0.78998000000000002"/>
    <n v="0.84"/>
    <n v="0.81498999999999999"/>
    <n v="500.2"/>
  </r>
  <r>
    <x v="9"/>
    <x v="2"/>
    <x v="9"/>
    <n v="0.79137000000000002"/>
    <n v="0.78998000000000002"/>
    <n v="0.84"/>
    <n v="0.81498999999999999"/>
    <n v="500.2"/>
  </r>
  <r>
    <x v="9"/>
    <x v="2"/>
    <x v="9"/>
    <n v="0.79137000000000002"/>
    <n v="0.78998000000000002"/>
    <n v="0.84"/>
    <n v="0.81498999999999999"/>
    <n v="500.2"/>
  </r>
  <r>
    <x v="9"/>
    <x v="2"/>
    <x v="9"/>
    <n v="0.79137000000000002"/>
    <n v="0.78998000000000002"/>
    <n v="0.84"/>
    <n v="0.81498999999999999"/>
    <n v="500.2"/>
  </r>
  <r>
    <x v="9"/>
    <x v="2"/>
    <x v="9"/>
    <n v="0.79137000000000002"/>
    <n v="0.78998000000000002"/>
    <n v="0.84"/>
    <n v="0.81498999999999999"/>
    <n v="500.2"/>
  </r>
  <r>
    <x v="9"/>
    <x v="2"/>
    <x v="9"/>
    <n v="0.79137000000000002"/>
    <n v="0.78998000000000002"/>
    <n v="0.84"/>
    <n v="0.81498999999999999"/>
    <n v="500.2"/>
  </r>
  <r>
    <x v="9"/>
    <x v="2"/>
    <x v="9"/>
    <n v="0.79137000000000002"/>
    <n v="0.78998000000000002"/>
    <n v="0.84"/>
    <n v="0.81498999999999999"/>
    <n v="500.2"/>
  </r>
  <r>
    <x v="9"/>
    <x v="2"/>
    <x v="9"/>
    <n v="0.79137000000000002"/>
    <n v="0.78998000000000002"/>
    <n v="0.84"/>
    <n v="0.81498999999999999"/>
    <n v="500.2"/>
  </r>
  <r>
    <x v="9"/>
    <x v="2"/>
    <x v="9"/>
    <n v="0.79137000000000002"/>
    <n v="0.78998000000000002"/>
    <n v="0.84"/>
    <n v="0.81498999999999999"/>
    <n v="500.2"/>
  </r>
  <r>
    <x v="9"/>
    <x v="2"/>
    <x v="9"/>
    <n v="0.79137000000000002"/>
    <n v="0.78998000000000002"/>
    <n v="0.84"/>
    <n v="0.81498999999999999"/>
    <n v="500.2"/>
  </r>
  <r>
    <x v="9"/>
    <x v="2"/>
    <x v="9"/>
    <n v="0.79137000000000002"/>
    <n v="0.78998000000000002"/>
    <n v="0.84"/>
    <n v="0.81498999999999999"/>
    <n v="500.2"/>
  </r>
  <r>
    <x v="9"/>
    <x v="2"/>
    <x v="9"/>
    <n v="0.79137000000000002"/>
    <n v="0.78998000000000002"/>
    <n v="0.84"/>
    <n v="0.81498999999999999"/>
    <n v="500.2"/>
  </r>
  <r>
    <x v="9"/>
    <x v="2"/>
    <x v="9"/>
    <n v="0.79137000000000002"/>
    <n v="0.78998000000000002"/>
    <n v="0.84"/>
    <n v="0.81498999999999999"/>
    <n v="500.2"/>
  </r>
  <r>
    <x v="9"/>
    <x v="2"/>
    <x v="9"/>
    <n v="0.79137000000000002"/>
    <n v="0.78998000000000002"/>
    <n v="0.84"/>
    <n v="0.81498999999999999"/>
    <n v="500.2"/>
  </r>
  <r>
    <x v="9"/>
    <x v="2"/>
    <x v="9"/>
    <n v="0.79137000000000002"/>
    <n v="0.78998000000000002"/>
    <n v="0.84"/>
    <n v="0.81498999999999999"/>
    <n v="500.2"/>
  </r>
  <r>
    <x v="9"/>
    <x v="2"/>
    <x v="0"/>
    <n v="1.96492"/>
    <n v="1.91"/>
    <n v="1.998"/>
    <n v="1.954"/>
    <n v="880"/>
  </r>
  <r>
    <x v="9"/>
    <x v="2"/>
    <x v="0"/>
    <n v="1.96492"/>
    <n v="1.91"/>
    <n v="1.998"/>
    <n v="1.954"/>
    <n v="880"/>
  </r>
  <r>
    <x v="9"/>
    <x v="2"/>
    <x v="0"/>
    <n v="1.96492"/>
    <n v="1.91"/>
    <n v="1.998"/>
    <n v="1.954"/>
    <n v="880"/>
  </r>
  <r>
    <x v="9"/>
    <x v="2"/>
    <x v="0"/>
    <n v="1.96492"/>
    <n v="1.91"/>
    <n v="1.998"/>
    <n v="1.954"/>
    <n v="880"/>
  </r>
  <r>
    <x v="9"/>
    <x v="2"/>
    <x v="0"/>
    <n v="1.96492"/>
    <n v="1.91"/>
    <n v="1.998"/>
    <n v="1.954"/>
    <n v="880"/>
  </r>
  <r>
    <x v="9"/>
    <x v="2"/>
    <x v="0"/>
    <n v="1.96492"/>
    <n v="1.91"/>
    <n v="1.998"/>
    <n v="1.954"/>
    <n v="880"/>
  </r>
  <r>
    <x v="9"/>
    <x v="3"/>
    <x v="0"/>
    <n v="1.9835499999999999"/>
    <n v="1.91"/>
    <n v="1.998"/>
    <n v="1.954"/>
    <n v="880"/>
  </r>
  <r>
    <x v="9"/>
    <x v="3"/>
    <x v="0"/>
    <n v="1.9835499999999999"/>
    <n v="1.91"/>
    <n v="1.998"/>
    <n v="1.954"/>
    <n v="880"/>
  </r>
  <r>
    <x v="9"/>
    <x v="3"/>
    <x v="0"/>
    <n v="1.9835499999999999"/>
    <n v="1.91"/>
    <n v="1.998"/>
    <n v="1.954"/>
    <n v="880"/>
  </r>
  <r>
    <x v="9"/>
    <x v="3"/>
    <x v="0"/>
    <n v="1.9835499999999999"/>
    <n v="1.91"/>
    <n v="1.998"/>
    <n v="1.954"/>
    <n v="880"/>
  </r>
  <r>
    <x v="9"/>
    <x v="3"/>
    <x v="0"/>
    <n v="1.9835499999999999"/>
    <n v="1.91"/>
    <n v="1.998"/>
    <n v="1.954"/>
    <n v="880"/>
  </r>
  <r>
    <x v="9"/>
    <x v="3"/>
    <x v="0"/>
    <n v="1.9835499999999999"/>
    <n v="1.91"/>
    <n v="1.998"/>
    <n v="1.954"/>
    <n v="880"/>
  </r>
  <r>
    <x v="9"/>
    <x v="3"/>
    <x v="0"/>
    <n v="1.9835499999999999"/>
    <n v="1.91"/>
    <n v="1.998"/>
    <n v="1.954"/>
    <n v="880"/>
  </r>
  <r>
    <x v="9"/>
    <x v="3"/>
    <x v="0"/>
    <n v="1.9835499999999999"/>
    <n v="1.91"/>
    <n v="1.998"/>
    <n v="1.954"/>
    <n v="880"/>
  </r>
  <r>
    <x v="9"/>
    <x v="3"/>
    <x v="0"/>
    <n v="1.9835499999999999"/>
    <n v="1.91"/>
    <n v="1.998"/>
    <n v="1.954"/>
    <n v="880"/>
  </r>
  <r>
    <x v="9"/>
    <x v="3"/>
    <x v="0"/>
    <n v="1.9835499999999999"/>
    <n v="1.91"/>
    <n v="1.998"/>
    <n v="1.954"/>
    <n v="880"/>
  </r>
  <r>
    <x v="9"/>
    <x v="3"/>
    <x v="0"/>
    <n v="1.9835499999999999"/>
    <n v="1.91"/>
    <n v="1.998"/>
    <n v="1.954"/>
    <n v="880"/>
  </r>
  <r>
    <x v="9"/>
    <x v="3"/>
    <x v="0"/>
    <n v="1.9835499999999999"/>
    <n v="1.91"/>
    <n v="1.998"/>
    <n v="1.954"/>
    <n v="880"/>
  </r>
  <r>
    <x v="9"/>
    <x v="3"/>
    <x v="0"/>
    <n v="1.9835499999999999"/>
    <n v="1.91"/>
    <n v="1.998"/>
    <n v="1.954"/>
    <n v="880"/>
  </r>
  <r>
    <x v="9"/>
    <x v="3"/>
    <x v="0"/>
    <n v="1.9835499999999999"/>
    <n v="1.91"/>
    <n v="1.998"/>
    <n v="1.954"/>
    <n v="880"/>
  </r>
  <r>
    <x v="9"/>
    <x v="3"/>
    <x v="0"/>
    <n v="1.9835499999999999"/>
    <n v="1.91"/>
    <n v="1.998"/>
    <n v="1.954"/>
    <n v="880"/>
  </r>
  <r>
    <x v="9"/>
    <x v="3"/>
    <x v="0"/>
    <n v="1.9835499999999999"/>
    <n v="1.91"/>
    <n v="1.998"/>
    <n v="1.954"/>
    <n v="880"/>
  </r>
  <r>
    <x v="9"/>
    <x v="3"/>
    <x v="0"/>
    <n v="1.9835499999999999"/>
    <n v="1.91"/>
    <n v="1.998"/>
    <n v="1.954"/>
    <n v="880"/>
  </r>
  <r>
    <x v="9"/>
    <x v="3"/>
    <x v="0"/>
    <n v="1.9835499999999999"/>
    <n v="1.91"/>
    <n v="1.998"/>
    <n v="1.954"/>
    <n v="880"/>
  </r>
  <r>
    <x v="9"/>
    <x v="3"/>
    <x v="0"/>
    <n v="1.9835499999999999"/>
    <n v="1.91"/>
    <n v="1.998"/>
    <n v="1.954"/>
    <n v="880"/>
  </r>
  <r>
    <x v="9"/>
    <x v="3"/>
    <x v="0"/>
    <n v="1.9835499999999999"/>
    <n v="1.91"/>
    <n v="1.998"/>
    <n v="1.954"/>
    <n v="880"/>
  </r>
  <r>
    <x v="9"/>
    <x v="3"/>
    <x v="0"/>
    <n v="1.9835499999999999"/>
    <n v="1.91"/>
    <n v="1.998"/>
    <n v="1.954"/>
    <n v="880"/>
  </r>
  <r>
    <x v="9"/>
    <x v="3"/>
    <x v="0"/>
    <n v="1.9835499999999999"/>
    <n v="1.91"/>
    <n v="1.998"/>
    <n v="1.954"/>
    <n v="880"/>
  </r>
  <r>
    <x v="9"/>
    <x v="3"/>
    <x v="2"/>
    <n v="101.804"/>
    <n v="101"/>
    <n v="104.005"/>
    <n v="102.5025"/>
    <n v="300.5"/>
  </r>
  <r>
    <x v="9"/>
    <x v="3"/>
    <x v="2"/>
    <n v="101.804"/>
    <n v="101"/>
    <n v="104.005"/>
    <n v="102.5025"/>
    <n v="300.5"/>
  </r>
  <r>
    <x v="9"/>
    <x v="3"/>
    <x v="2"/>
    <n v="101.804"/>
    <n v="101"/>
    <n v="104.005"/>
    <n v="102.5025"/>
    <n v="300.5"/>
  </r>
  <r>
    <x v="9"/>
    <x v="3"/>
    <x v="2"/>
    <n v="101.804"/>
    <n v="101"/>
    <n v="104.005"/>
    <n v="102.5025"/>
    <n v="300.5"/>
  </r>
  <r>
    <x v="9"/>
    <x v="3"/>
    <x v="2"/>
    <n v="101.804"/>
    <n v="101"/>
    <n v="104.005"/>
    <n v="102.5025"/>
    <n v="300.5"/>
  </r>
  <r>
    <x v="9"/>
    <x v="3"/>
    <x v="2"/>
    <n v="101.804"/>
    <n v="101"/>
    <n v="104.005"/>
    <n v="102.5025"/>
    <n v="300.5"/>
  </r>
  <r>
    <x v="9"/>
    <x v="3"/>
    <x v="2"/>
    <n v="101.804"/>
    <n v="101"/>
    <n v="104.005"/>
    <n v="102.5025"/>
    <n v="300.5"/>
  </r>
  <r>
    <x v="9"/>
    <x v="3"/>
    <x v="2"/>
    <n v="101.804"/>
    <n v="101"/>
    <n v="104.005"/>
    <n v="102.5025"/>
    <n v="300.5"/>
  </r>
  <r>
    <x v="9"/>
    <x v="3"/>
    <x v="2"/>
    <n v="101.804"/>
    <n v="101"/>
    <n v="104.005"/>
    <n v="102.5025"/>
    <n v="300.5"/>
  </r>
  <r>
    <x v="9"/>
    <x v="3"/>
    <x v="2"/>
    <n v="101.804"/>
    <n v="101"/>
    <n v="104.005"/>
    <n v="102.5025"/>
    <n v="300.5"/>
  </r>
  <r>
    <x v="9"/>
    <x v="3"/>
    <x v="2"/>
    <n v="101.804"/>
    <n v="101"/>
    <n v="104.005"/>
    <n v="102.5025"/>
    <n v="300.5"/>
  </r>
  <r>
    <x v="9"/>
    <x v="3"/>
    <x v="2"/>
    <n v="101.804"/>
    <n v="101"/>
    <n v="104.005"/>
    <n v="102.5025"/>
    <n v="300.5"/>
  </r>
  <r>
    <x v="9"/>
    <x v="3"/>
    <x v="2"/>
    <n v="101.804"/>
    <n v="101"/>
    <n v="104.005"/>
    <n v="102.5025"/>
    <n v="300.5"/>
  </r>
  <r>
    <x v="9"/>
    <x v="3"/>
    <x v="2"/>
    <n v="101.804"/>
    <n v="101"/>
    <n v="104.005"/>
    <n v="102.5025"/>
    <n v="300.5"/>
  </r>
  <r>
    <x v="9"/>
    <x v="3"/>
    <x v="2"/>
    <n v="101.804"/>
    <n v="101"/>
    <n v="104.005"/>
    <n v="102.5025"/>
    <n v="300.5"/>
  </r>
  <r>
    <x v="9"/>
    <x v="3"/>
    <x v="2"/>
    <n v="101.804"/>
    <n v="101"/>
    <n v="104.005"/>
    <n v="102.5025"/>
    <n v="300.5"/>
  </r>
  <r>
    <x v="9"/>
    <x v="3"/>
    <x v="2"/>
    <n v="101.804"/>
    <n v="101"/>
    <n v="104.005"/>
    <n v="102.5025"/>
    <n v="300.5"/>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13"/>
    <n v="0.93933"/>
    <n v="0.89127000000000001"/>
    <n v="0.94952999999999999"/>
    <n v="0.9204"/>
    <n v="582.6"/>
  </r>
  <r>
    <x v="9"/>
    <x v="3"/>
    <x v="9"/>
    <n v="0.79071999999999998"/>
    <n v="0.78796999999999995"/>
    <n v="0.84"/>
    <n v="0.81398499999999996"/>
    <n v="520.29999999999995"/>
  </r>
  <r>
    <x v="9"/>
    <x v="3"/>
    <x v="9"/>
    <n v="0.79071999999999998"/>
    <n v="0.78796999999999995"/>
    <n v="0.84"/>
    <n v="0.81398499999999996"/>
    <n v="520.29999999999995"/>
  </r>
  <r>
    <x v="9"/>
    <x v="3"/>
    <x v="9"/>
    <n v="0.79071999999999998"/>
    <n v="0.78796999999999995"/>
    <n v="0.84"/>
    <n v="0.81398499999999996"/>
    <n v="520.29999999999995"/>
  </r>
  <r>
    <x v="9"/>
    <x v="3"/>
    <x v="9"/>
    <n v="0.79071999999999998"/>
    <n v="0.78796999999999995"/>
    <n v="0.84"/>
    <n v="0.81398499999999996"/>
    <n v="520.29999999999995"/>
  </r>
  <r>
    <x v="9"/>
    <x v="3"/>
    <x v="9"/>
    <n v="0.79071999999999998"/>
    <n v="0.78796999999999995"/>
    <n v="0.84"/>
    <n v="0.81398499999999996"/>
    <n v="520.29999999999995"/>
  </r>
  <r>
    <x v="9"/>
    <x v="3"/>
    <x v="9"/>
    <n v="0.79071999999999998"/>
    <n v="0.78796999999999995"/>
    <n v="0.84"/>
    <n v="0.81398499999999996"/>
    <n v="520.29999999999995"/>
  </r>
  <r>
    <x v="9"/>
    <x v="3"/>
    <x v="9"/>
    <n v="0.79071999999999998"/>
    <n v="0.78796999999999995"/>
    <n v="0.84"/>
    <n v="0.81398499999999996"/>
    <n v="520.29999999999995"/>
  </r>
  <r>
    <x v="9"/>
    <x v="3"/>
    <x v="9"/>
    <n v="0.79071999999999998"/>
    <n v="0.78796999999999995"/>
    <n v="0.84"/>
    <n v="0.81398499999999996"/>
    <n v="520.29999999999995"/>
  </r>
  <r>
    <x v="9"/>
    <x v="3"/>
    <x v="9"/>
    <n v="0.79071999999999998"/>
    <n v="0.78796999999999995"/>
    <n v="0.84"/>
    <n v="0.81398499999999996"/>
    <n v="520.29999999999995"/>
  </r>
  <r>
    <x v="9"/>
    <x v="3"/>
    <x v="9"/>
    <n v="0.79071999999999998"/>
    <n v="0.78796999999999995"/>
    <n v="0.84"/>
    <n v="0.81398499999999996"/>
    <n v="520.29999999999995"/>
  </r>
  <r>
    <x v="9"/>
    <x v="3"/>
    <x v="9"/>
    <n v="0.79071999999999998"/>
    <n v="0.78796999999999995"/>
    <n v="0.84"/>
    <n v="0.81398499999999996"/>
    <n v="520.29999999999995"/>
  </r>
  <r>
    <x v="9"/>
    <x v="3"/>
    <x v="9"/>
    <n v="0.79071999999999998"/>
    <n v="0.78796999999999995"/>
    <n v="0.84"/>
    <n v="0.81398499999999996"/>
    <n v="520.29999999999995"/>
  </r>
  <r>
    <x v="9"/>
    <x v="3"/>
    <x v="9"/>
    <n v="0.79071999999999998"/>
    <n v="0.78796999999999995"/>
    <n v="0.84"/>
    <n v="0.81398499999999996"/>
    <n v="520.29999999999995"/>
  </r>
  <r>
    <x v="9"/>
    <x v="3"/>
    <x v="9"/>
    <n v="0.79071999999999998"/>
    <n v="0.78796999999999995"/>
    <n v="0.84"/>
    <n v="0.81398499999999996"/>
    <n v="520.29999999999995"/>
  </r>
  <r>
    <x v="9"/>
    <x v="3"/>
    <x v="9"/>
    <n v="0.79071999999999998"/>
    <n v="0.78796999999999995"/>
    <n v="0.84"/>
    <n v="0.81398499999999996"/>
    <n v="520.29999999999995"/>
  </r>
  <r>
    <x v="9"/>
    <x v="3"/>
    <x v="9"/>
    <n v="0.79071999999999998"/>
    <n v="0.78796999999999995"/>
    <n v="0.84"/>
    <n v="0.81398499999999996"/>
    <n v="520.29999999999995"/>
  </r>
  <r>
    <x v="9"/>
    <x v="3"/>
    <x v="9"/>
    <n v="0.79071999999999998"/>
    <n v="0.78796999999999995"/>
    <n v="0.84"/>
    <n v="0.81398499999999996"/>
    <n v="520.29999999999995"/>
  </r>
  <r>
    <x v="9"/>
    <x v="3"/>
    <x v="9"/>
    <n v="0.79071999999999998"/>
    <n v="0.78796999999999995"/>
    <n v="0.84"/>
    <n v="0.81398499999999996"/>
    <n v="520.29999999999995"/>
  </r>
  <r>
    <x v="9"/>
    <x v="3"/>
    <x v="9"/>
    <n v="0.79071999999999998"/>
    <n v="0.78796999999999995"/>
    <n v="0.84"/>
    <n v="0.81398499999999996"/>
    <n v="520.29999999999995"/>
  </r>
  <r>
    <x v="9"/>
    <x v="3"/>
    <x v="9"/>
    <n v="0.79071999999999998"/>
    <n v="0.78796999999999995"/>
    <n v="0.84"/>
    <n v="0.81398499999999996"/>
    <n v="520.29999999999995"/>
  </r>
  <r>
    <x v="9"/>
    <x v="3"/>
    <x v="9"/>
    <n v="0.79071999999999998"/>
    <n v="0.78796999999999995"/>
    <n v="0.84"/>
    <n v="0.81398499999999996"/>
    <n v="520.29999999999995"/>
  </r>
  <r>
    <x v="9"/>
    <x v="3"/>
    <x v="9"/>
    <n v="0.79071999999999998"/>
    <n v="0.78796999999999995"/>
    <n v="0.84"/>
    <n v="0.81398499999999996"/>
    <n v="520.29999999999995"/>
  </r>
  <r>
    <x v="9"/>
    <x v="3"/>
    <x v="9"/>
    <n v="0.79071999999999998"/>
    <n v="0.78796999999999995"/>
    <n v="0.84"/>
    <n v="0.81398499999999996"/>
    <n v="520.29999999999995"/>
  </r>
  <r>
    <x v="9"/>
    <x v="3"/>
    <x v="9"/>
    <n v="0.79071999999999998"/>
    <n v="0.78796999999999995"/>
    <n v="0.84"/>
    <n v="0.81398499999999996"/>
    <n v="520.29999999999995"/>
  </r>
  <r>
    <x v="9"/>
    <x v="3"/>
    <x v="9"/>
    <n v="0.79071999999999998"/>
    <n v="0.78796999999999995"/>
    <n v="0.84"/>
    <n v="0.81398499999999996"/>
    <n v="520.29999999999995"/>
  </r>
  <r>
    <x v="9"/>
    <x v="3"/>
    <x v="9"/>
    <n v="0.79071999999999998"/>
    <n v="0.78796999999999995"/>
    <n v="0.84"/>
    <n v="0.81398499999999996"/>
    <n v="520.29999999999995"/>
  </r>
  <r>
    <x v="9"/>
    <x v="3"/>
    <x v="9"/>
    <n v="0.79071999999999998"/>
    <n v="0.78796999999999995"/>
    <n v="0.84"/>
    <n v="0.81398499999999996"/>
    <n v="520.29999999999995"/>
  </r>
  <r>
    <x v="9"/>
    <x v="3"/>
    <x v="9"/>
    <n v="0.79071999999999998"/>
    <n v="0.78796999999999995"/>
    <n v="0.84"/>
    <n v="0.81398499999999996"/>
    <n v="520.29999999999995"/>
  </r>
  <r>
    <x v="9"/>
    <x v="3"/>
    <x v="0"/>
    <n v="1.9835499999999999"/>
    <n v="1.91"/>
    <n v="1.998"/>
    <n v="1.954"/>
    <n v="880"/>
  </r>
  <r>
    <x v="9"/>
    <x v="3"/>
    <x v="0"/>
    <n v="1.9835499999999999"/>
    <n v="1.91"/>
    <n v="1.998"/>
    <n v="1.954"/>
    <n v="880"/>
  </r>
  <r>
    <x v="9"/>
    <x v="3"/>
    <x v="0"/>
    <n v="1.9835499999999999"/>
    <n v="1.91"/>
    <n v="1.998"/>
    <n v="1.954"/>
    <n v="880"/>
  </r>
  <r>
    <x v="9"/>
    <x v="3"/>
    <x v="0"/>
    <n v="1.9835499999999999"/>
    <n v="1.91"/>
    <n v="1.998"/>
    <n v="1.954"/>
    <n v="880"/>
  </r>
  <r>
    <x v="9"/>
    <x v="3"/>
    <x v="0"/>
    <n v="1.9835499999999999"/>
    <n v="1.91"/>
    <n v="1.998"/>
    <n v="1.954"/>
    <n v="880"/>
  </r>
  <r>
    <x v="9"/>
    <x v="4"/>
    <x v="0"/>
    <n v="1.97536"/>
    <n v="1.91"/>
    <n v="1.998"/>
    <n v="1.954"/>
    <n v="880"/>
  </r>
  <r>
    <x v="9"/>
    <x v="4"/>
    <x v="0"/>
    <n v="1.97536"/>
    <n v="1.91"/>
    <n v="1.998"/>
    <n v="1.954"/>
    <n v="880"/>
  </r>
  <r>
    <x v="9"/>
    <x v="4"/>
    <x v="0"/>
    <n v="1.97536"/>
    <n v="1.91"/>
    <n v="1.998"/>
    <n v="1.954"/>
    <n v="880"/>
  </r>
  <r>
    <x v="9"/>
    <x v="4"/>
    <x v="0"/>
    <n v="1.97536"/>
    <n v="1.91"/>
    <n v="1.998"/>
    <n v="1.954"/>
    <n v="880"/>
  </r>
  <r>
    <x v="9"/>
    <x v="4"/>
    <x v="0"/>
    <n v="1.97536"/>
    <n v="1.91"/>
    <n v="1.998"/>
    <n v="1.954"/>
    <n v="880"/>
  </r>
  <r>
    <x v="9"/>
    <x v="4"/>
    <x v="0"/>
    <n v="1.97536"/>
    <n v="1.91"/>
    <n v="1.998"/>
    <n v="1.954"/>
    <n v="880"/>
  </r>
  <r>
    <x v="9"/>
    <x v="4"/>
    <x v="0"/>
    <n v="1.97536"/>
    <n v="1.91"/>
    <n v="1.998"/>
    <n v="1.954"/>
    <n v="880"/>
  </r>
  <r>
    <x v="9"/>
    <x v="4"/>
    <x v="0"/>
    <n v="1.97536"/>
    <n v="1.91"/>
    <n v="1.998"/>
    <n v="1.954"/>
    <n v="880"/>
  </r>
  <r>
    <x v="9"/>
    <x v="4"/>
    <x v="0"/>
    <n v="1.97536"/>
    <n v="1.91"/>
    <n v="1.998"/>
    <n v="1.954"/>
    <n v="880"/>
  </r>
  <r>
    <x v="9"/>
    <x v="4"/>
    <x v="0"/>
    <n v="1.97536"/>
    <n v="1.91"/>
    <n v="1.998"/>
    <n v="1.954"/>
    <n v="880"/>
  </r>
  <r>
    <x v="9"/>
    <x v="4"/>
    <x v="0"/>
    <n v="1.97536"/>
    <n v="1.91"/>
    <n v="1.998"/>
    <n v="1.954"/>
    <n v="880"/>
  </r>
  <r>
    <x v="9"/>
    <x v="4"/>
    <x v="0"/>
    <n v="1.97536"/>
    <n v="1.91"/>
    <n v="1.998"/>
    <n v="1.954"/>
    <n v="880"/>
  </r>
  <r>
    <x v="9"/>
    <x v="4"/>
    <x v="0"/>
    <n v="1.97536"/>
    <n v="1.91"/>
    <n v="1.998"/>
    <n v="1.954"/>
    <n v="880"/>
  </r>
  <r>
    <x v="9"/>
    <x v="4"/>
    <x v="0"/>
    <n v="1.97536"/>
    <n v="1.91"/>
    <n v="1.998"/>
    <n v="1.954"/>
    <n v="880"/>
  </r>
  <r>
    <x v="9"/>
    <x v="4"/>
    <x v="0"/>
    <n v="1.97536"/>
    <n v="1.91"/>
    <n v="1.998"/>
    <n v="1.954"/>
    <n v="880"/>
  </r>
  <r>
    <x v="9"/>
    <x v="4"/>
    <x v="0"/>
    <n v="1.97536"/>
    <n v="1.91"/>
    <n v="1.998"/>
    <n v="1.954"/>
    <n v="880"/>
  </r>
  <r>
    <x v="9"/>
    <x v="4"/>
    <x v="0"/>
    <n v="1.97536"/>
    <n v="1.91"/>
    <n v="1.998"/>
    <n v="1.954"/>
    <n v="880"/>
  </r>
  <r>
    <x v="9"/>
    <x v="4"/>
    <x v="0"/>
    <n v="1.97536"/>
    <n v="1.91"/>
    <n v="1.998"/>
    <n v="1.954"/>
    <n v="880"/>
  </r>
  <r>
    <x v="9"/>
    <x v="4"/>
    <x v="0"/>
    <n v="1.97536"/>
    <n v="1.91"/>
    <n v="1.998"/>
    <n v="1.954"/>
    <n v="880"/>
  </r>
  <r>
    <x v="9"/>
    <x v="4"/>
    <x v="0"/>
    <n v="1.97536"/>
    <n v="1.91"/>
    <n v="1.998"/>
    <n v="1.954"/>
    <n v="880"/>
  </r>
  <r>
    <x v="9"/>
    <x v="4"/>
    <x v="0"/>
    <n v="1.97536"/>
    <n v="1.91"/>
    <n v="1.998"/>
    <n v="1.954"/>
    <n v="880"/>
  </r>
  <r>
    <x v="9"/>
    <x v="4"/>
    <x v="0"/>
    <n v="1.97536"/>
    <n v="1.91"/>
    <n v="1.998"/>
    <n v="1.954"/>
    <n v="880"/>
  </r>
  <r>
    <x v="9"/>
    <x v="4"/>
    <x v="0"/>
    <n v="1.97536"/>
    <n v="1.91"/>
    <n v="1.998"/>
    <n v="1.954"/>
    <n v="880"/>
  </r>
  <r>
    <x v="9"/>
    <x v="4"/>
    <x v="0"/>
    <n v="1.97536"/>
    <n v="1.91"/>
    <n v="1.998"/>
    <n v="1.954"/>
    <n v="880"/>
  </r>
  <r>
    <x v="9"/>
    <x v="4"/>
    <x v="2"/>
    <n v="102.596"/>
    <n v="101"/>
    <n v="104.005"/>
    <n v="102.5025"/>
    <n v="300.5"/>
  </r>
  <r>
    <x v="9"/>
    <x v="4"/>
    <x v="2"/>
    <n v="102.596"/>
    <n v="101"/>
    <n v="104.005"/>
    <n v="102.5025"/>
    <n v="300.5"/>
  </r>
  <r>
    <x v="9"/>
    <x v="4"/>
    <x v="2"/>
    <n v="102.596"/>
    <n v="101"/>
    <n v="104.005"/>
    <n v="102.5025"/>
    <n v="300.5"/>
  </r>
  <r>
    <x v="9"/>
    <x v="4"/>
    <x v="2"/>
    <n v="102.596"/>
    <n v="101"/>
    <n v="104.005"/>
    <n v="102.5025"/>
    <n v="300.5"/>
  </r>
  <r>
    <x v="9"/>
    <x v="4"/>
    <x v="2"/>
    <n v="102.596"/>
    <n v="101"/>
    <n v="104.005"/>
    <n v="102.5025"/>
    <n v="300.5"/>
  </r>
  <r>
    <x v="9"/>
    <x v="4"/>
    <x v="2"/>
    <n v="102.596"/>
    <n v="101"/>
    <n v="104.005"/>
    <n v="102.5025"/>
    <n v="300.5"/>
  </r>
  <r>
    <x v="9"/>
    <x v="4"/>
    <x v="2"/>
    <n v="102.596"/>
    <n v="101"/>
    <n v="104.005"/>
    <n v="102.5025"/>
    <n v="300.5"/>
  </r>
  <r>
    <x v="9"/>
    <x v="4"/>
    <x v="2"/>
    <n v="102.596"/>
    <n v="101"/>
    <n v="104.005"/>
    <n v="102.5025"/>
    <n v="300.5"/>
  </r>
  <r>
    <x v="9"/>
    <x v="4"/>
    <x v="2"/>
    <n v="102.596"/>
    <n v="101"/>
    <n v="104.005"/>
    <n v="102.5025"/>
    <n v="300.5"/>
  </r>
  <r>
    <x v="9"/>
    <x v="4"/>
    <x v="2"/>
    <n v="102.596"/>
    <n v="101"/>
    <n v="104.005"/>
    <n v="102.5025"/>
    <n v="300.5"/>
  </r>
  <r>
    <x v="9"/>
    <x v="4"/>
    <x v="2"/>
    <n v="102.596"/>
    <n v="101"/>
    <n v="104.005"/>
    <n v="102.5025"/>
    <n v="300.5"/>
  </r>
  <r>
    <x v="9"/>
    <x v="4"/>
    <x v="2"/>
    <n v="102.596"/>
    <n v="101"/>
    <n v="104.005"/>
    <n v="102.5025"/>
    <n v="300.5"/>
  </r>
  <r>
    <x v="9"/>
    <x v="4"/>
    <x v="2"/>
    <n v="102.596"/>
    <n v="101"/>
    <n v="104.005"/>
    <n v="102.5025"/>
    <n v="300.5"/>
  </r>
  <r>
    <x v="9"/>
    <x v="4"/>
    <x v="2"/>
    <n v="102.596"/>
    <n v="101"/>
    <n v="104.005"/>
    <n v="102.5025"/>
    <n v="300.5"/>
  </r>
  <r>
    <x v="9"/>
    <x v="4"/>
    <x v="2"/>
    <n v="102.596"/>
    <n v="101"/>
    <n v="104.005"/>
    <n v="102.5025"/>
    <n v="300.5"/>
  </r>
  <r>
    <x v="9"/>
    <x v="4"/>
    <x v="2"/>
    <n v="102.596"/>
    <n v="101"/>
    <n v="104.005"/>
    <n v="102.5025"/>
    <n v="300.5"/>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13"/>
    <n v="0.93084999999999996"/>
    <n v="0.89127000000000001"/>
    <n v="0.94952999999999999"/>
    <n v="0.9204"/>
    <n v="582.6"/>
  </r>
  <r>
    <x v="9"/>
    <x v="4"/>
    <x v="9"/>
    <n v="0.79829000000000006"/>
    <n v="0.78796999999999995"/>
    <n v="0.84"/>
    <n v="0.81398499999999996"/>
    <n v="520.29999999999995"/>
  </r>
  <r>
    <x v="9"/>
    <x v="4"/>
    <x v="9"/>
    <n v="0.79829000000000006"/>
    <n v="0.78796999999999995"/>
    <n v="0.84"/>
    <n v="0.81398499999999996"/>
    <n v="520.29999999999995"/>
  </r>
  <r>
    <x v="9"/>
    <x v="4"/>
    <x v="9"/>
    <n v="0.79829000000000006"/>
    <n v="0.78796999999999995"/>
    <n v="0.84"/>
    <n v="0.81398499999999996"/>
    <n v="520.29999999999995"/>
  </r>
  <r>
    <x v="9"/>
    <x v="4"/>
    <x v="9"/>
    <n v="0.79829000000000006"/>
    <n v="0.78796999999999995"/>
    <n v="0.84"/>
    <n v="0.81398499999999996"/>
    <n v="520.29999999999995"/>
  </r>
  <r>
    <x v="9"/>
    <x v="4"/>
    <x v="9"/>
    <n v="0.79829000000000006"/>
    <n v="0.78796999999999995"/>
    <n v="0.84"/>
    <n v="0.81398499999999996"/>
    <n v="520.29999999999995"/>
  </r>
  <r>
    <x v="9"/>
    <x v="4"/>
    <x v="9"/>
    <n v="0.79829000000000006"/>
    <n v="0.78796999999999995"/>
    <n v="0.84"/>
    <n v="0.81398499999999996"/>
    <n v="520.29999999999995"/>
  </r>
  <r>
    <x v="9"/>
    <x v="4"/>
    <x v="9"/>
    <n v="0.79829000000000006"/>
    <n v="0.78796999999999995"/>
    <n v="0.84"/>
    <n v="0.81398499999999996"/>
    <n v="520.29999999999995"/>
  </r>
  <r>
    <x v="9"/>
    <x v="4"/>
    <x v="9"/>
    <n v="0.79829000000000006"/>
    <n v="0.78796999999999995"/>
    <n v="0.84"/>
    <n v="0.81398499999999996"/>
    <n v="520.29999999999995"/>
  </r>
  <r>
    <x v="9"/>
    <x v="4"/>
    <x v="9"/>
    <n v="0.79829000000000006"/>
    <n v="0.78796999999999995"/>
    <n v="0.84"/>
    <n v="0.81398499999999996"/>
    <n v="520.29999999999995"/>
  </r>
  <r>
    <x v="9"/>
    <x v="4"/>
    <x v="9"/>
    <n v="0.79829000000000006"/>
    <n v="0.78796999999999995"/>
    <n v="0.84"/>
    <n v="0.81398499999999996"/>
    <n v="520.29999999999995"/>
  </r>
  <r>
    <x v="9"/>
    <x v="4"/>
    <x v="9"/>
    <n v="0.79829000000000006"/>
    <n v="0.78796999999999995"/>
    <n v="0.84"/>
    <n v="0.81398499999999996"/>
    <n v="520.29999999999995"/>
  </r>
  <r>
    <x v="9"/>
    <x v="4"/>
    <x v="9"/>
    <n v="0.79829000000000006"/>
    <n v="0.78796999999999995"/>
    <n v="0.84"/>
    <n v="0.81398499999999996"/>
    <n v="520.29999999999995"/>
  </r>
  <r>
    <x v="9"/>
    <x v="4"/>
    <x v="9"/>
    <n v="0.79829000000000006"/>
    <n v="0.78796999999999995"/>
    <n v="0.84"/>
    <n v="0.81398499999999996"/>
    <n v="520.29999999999995"/>
  </r>
  <r>
    <x v="9"/>
    <x v="4"/>
    <x v="9"/>
    <n v="0.79829000000000006"/>
    <n v="0.78796999999999995"/>
    <n v="0.84"/>
    <n v="0.81398499999999996"/>
    <n v="520.29999999999995"/>
  </r>
  <r>
    <x v="9"/>
    <x v="4"/>
    <x v="9"/>
    <n v="0.79829000000000006"/>
    <n v="0.78796999999999995"/>
    <n v="0.84"/>
    <n v="0.81398499999999996"/>
    <n v="520.29999999999995"/>
  </r>
  <r>
    <x v="9"/>
    <x v="4"/>
    <x v="9"/>
    <n v="0.79829000000000006"/>
    <n v="0.78796999999999995"/>
    <n v="0.84"/>
    <n v="0.81398499999999996"/>
    <n v="520.29999999999995"/>
  </r>
  <r>
    <x v="9"/>
    <x v="4"/>
    <x v="9"/>
    <n v="0.79829000000000006"/>
    <n v="0.78796999999999995"/>
    <n v="0.84"/>
    <n v="0.81398499999999996"/>
    <n v="520.29999999999995"/>
  </r>
  <r>
    <x v="9"/>
    <x v="4"/>
    <x v="9"/>
    <n v="0.79829000000000006"/>
    <n v="0.78796999999999995"/>
    <n v="0.84"/>
    <n v="0.81398499999999996"/>
    <n v="520.29999999999995"/>
  </r>
  <r>
    <x v="9"/>
    <x v="4"/>
    <x v="9"/>
    <n v="0.79829000000000006"/>
    <n v="0.78796999999999995"/>
    <n v="0.84"/>
    <n v="0.81398499999999996"/>
    <n v="520.29999999999995"/>
  </r>
  <r>
    <x v="9"/>
    <x v="4"/>
    <x v="9"/>
    <n v="0.79829000000000006"/>
    <n v="0.78796999999999995"/>
    <n v="0.84"/>
    <n v="0.81398499999999996"/>
    <n v="520.29999999999995"/>
  </r>
  <r>
    <x v="9"/>
    <x v="4"/>
    <x v="9"/>
    <n v="0.79829000000000006"/>
    <n v="0.78796999999999995"/>
    <n v="0.84"/>
    <n v="0.81398499999999996"/>
    <n v="520.29999999999995"/>
  </r>
  <r>
    <x v="9"/>
    <x v="4"/>
    <x v="9"/>
    <n v="0.79829000000000006"/>
    <n v="0.78796999999999995"/>
    <n v="0.84"/>
    <n v="0.81398499999999996"/>
    <n v="520.29999999999995"/>
  </r>
  <r>
    <x v="9"/>
    <x v="4"/>
    <x v="9"/>
    <n v="0.79829000000000006"/>
    <n v="0.78796999999999995"/>
    <n v="0.84"/>
    <n v="0.81398499999999996"/>
    <n v="520.29999999999995"/>
  </r>
  <r>
    <x v="9"/>
    <x v="4"/>
    <x v="9"/>
    <n v="0.79829000000000006"/>
    <n v="0.78796999999999995"/>
    <n v="0.84"/>
    <n v="0.81398499999999996"/>
    <n v="520.29999999999995"/>
  </r>
  <r>
    <x v="9"/>
    <x v="4"/>
    <x v="9"/>
    <n v="0.79829000000000006"/>
    <n v="0.78796999999999995"/>
    <n v="0.84"/>
    <n v="0.81398499999999996"/>
    <n v="520.29999999999995"/>
  </r>
  <r>
    <x v="9"/>
    <x v="4"/>
    <x v="9"/>
    <n v="0.79829000000000006"/>
    <n v="0.78796999999999995"/>
    <n v="0.84"/>
    <n v="0.81398499999999996"/>
    <n v="520.29999999999995"/>
  </r>
  <r>
    <x v="9"/>
    <x v="4"/>
    <x v="9"/>
    <n v="0.79829000000000006"/>
    <n v="0.78796999999999995"/>
    <n v="0.84"/>
    <n v="0.81398499999999996"/>
    <n v="520.29999999999995"/>
  </r>
  <r>
    <x v="9"/>
    <x v="4"/>
    <x v="9"/>
    <n v="0.79829000000000006"/>
    <n v="0.78796999999999995"/>
    <n v="0.84"/>
    <n v="0.81398499999999996"/>
    <n v="520.29999999999995"/>
  </r>
  <r>
    <x v="9"/>
    <x v="4"/>
    <x v="0"/>
    <n v="1.97536"/>
    <n v="1.91"/>
    <n v="1.998"/>
    <n v="1.954"/>
    <n v="880"/>
  </r>
  <r>
    <x v="9"/>
    <x v="4"/>
    <x v="0"/>
    <n v="1.97536"/>
    <n v="1.91"/>
    <n v="1.998"/>
    <n v="1.954"/>
    <n v="880"/>
  </r>
  <r>
    <x v="9"/>
    <x v="4"/>
    <x v="0"/>
    <n v="1.97536"/>
    <n v="1.91"/>
    <n v="1.998"/>
    <n v="1.954"/>
    <n v="880"/>
  </r>
  <r>
    <x v="9"/>
    <x v="4"/>
    <x v="0"/>
    <n v="1.97536"/>
    <n v="1.91"/>
    <n v="1.998"/>
    <n v="1.954"/>
    <n v="880"/>
  </r>
  <r>
    <x v="9"/>
    <x v="5"/>
    <x v="0"/>
    <n v="1.98126"/>
    <n v="1.91"/>
    <n v="2.0024099999999998"/>
    <n v="1.956205"/>
    <n v="924.1"/>
  </r>
  <r>
    <x v="9"/>
    <x v="5"/>
    <x v="0"/>
    <n v="1.98126"/>
    <n v="1.91"/>
    <n v="2.0024099999999998"/>
    <n v="1.956205"/>
    <n v="924.1"/>
  </r>
  <r>
    <x v="9"/>
    <x v="5"/>
    <x v="0"/>
    <n v="1.98126"/>
    <n v="1.91"/>
    <n v="2.0024099999999998"/>
    <n v="1.956205"/>
    <n v="924.1"/>
  </r>
  <r>
    <x v="9"/>
    <x v="5"/>
    <x v="0"/>
    <n v="1.98126"/>
    <n v="1.91"/>
    <n v="2.0024099999999998"/>
    <n v="1.956205"/>
    <n v="924.1"/>
  </r>
  <r>
    <x v="9"/>
    <x v="5"/>
    <x v="0"/>
    <n v="1.98126"/>
    <n v="1.91"/>
    <n v="2.0024099999999998"/>
    <n v="1.956205"/>
    <n v="924.1"/>
  </r>
  <r>
    <x v="9"/>
    <x v="5"/>
    <x v="0"/>
    <n v="1.98126"/>
    <n v="1.91"/>
    <n v="2.0024099999999998"/>
    <n v="1.956205"/>
    <n v="924.1"/>
  </r>
  <r>
    <x v="9"/>
    <x v="5"/>
    <x v="0"/>
    <n v="1.98126"/>
    <n v="1.91"/>
    <n v="2.0024099999999998"/>
    <n v="1.956205"/>
    <n v="924.1"/>
  </r>
  <r>
    <x v="9"/>
    <x v="5"/>
    <x v="0"/>
    <n v="1.98126"/>
    <n v="1.91"/>
    <n v="2.0024099999999998"/>
    <n v="1.956205"/>
    <n v="924.1"/>
  </r>
  <r>
    <x v="9"/>
    <x v="5"/>
    <x v="0"/>
    <n v="1.98126"/>
    <n v="1.91"/>
    <n v="2.0024099999999998"/>
    <n v="1.956205"/>
    <n v="924.1"/>
  </r>
  <r>
    <x v="9"/>
    <x v="5"/>
    <x v="0"/>
    <n v="1.98126"/>
    <n v="1.91"/>
    <n v="2.0024099999999998"/>
    <n v="1.956205"/>
    <n v="924.1"/>
  </r>
  <r>
    <x v="9"/>
    <x v="5"/>
    <x v="0"/>
    <n v="1.98126"/>
    <n v="1.91"/>
    <n v="2.0024099999999998"/>
    <n v="1.956205"/>
    <n v="924.1"/>
  </r>
  <r>
    <x v="9"/>
    <x v="5"/>
    <x v="0"/>
    <n v="1.98126"/>
    <n v="1.91"/>
    <n v="2.0024099999999998"/>
    <n v="1.956205"/>
    <n v="924.1"/>
  </r>
  <r>
    <x v="9"/>
    <x v="5"/>
    <x v="0"/>
    <n v="1.98126"/>
    <n v="1.91"/>
    <n v="2.0024099999999998"/>
    <n v="1.956205"/>
    <n v="924.1"/>
  </r>
  <r>
    <x v="9"/>
    <x v="5"/>
    <x v="0"/>
    <n v="1.98126"/>
    <n v="1.91"/>
    <n v="2.0024099999999998"/>
    <n v="1.956205"/>
    <n v="924.1"/>
  </r>
  <r>
    <x v="9"/>
    <x v="5"/>
    <x v="0"/>
    <n v="1.98126"/>
    <n v="1.91"/>
    <n v="2.0024099999999998"/>
    <n v="1.956205"/>
    <n v="924.1"/>
  </r>
  <r>
    <x v="9"/>
    <x v="5"/>
    <x v="0"/>
    <n v="1.98126"/>
    <n v="1.91"/>
    <n v="2.0024099999999998"/>
    <n v="1.956205"/>
    <n v="924.1"/>
  </r>
  <r>
    <x v="9"/>
    <x v="5"/>
    <x v="0"/>
    <n v="1.98126"/>
    <n v="1.91"/>
    <n v="2.0024099999999998"/>
    <n v="1.956205"/>
    <n v="924.1"/>
  </r>
  <r>
    <x v="9"/>
    <x v="5"/>
    <x v="0"/>
    <n v="1.98126"/>
    <n v="1.91"/>
    <n v="2.0024099999999998"/>
    <n v="1.956205"/>
    <n v="924.1"/>
  </r>
  <r>
    <x v="9"/>
    <x v="5"/>
    <x v="0"/>
    <n v="1.98126"/>
    <n v="1.91"/>
    <n v="2.0024099999999998"/>
    <n v="1.956205"/>
    <n v="924.1"/>
  </r>
  <r>
    <x v="9"/>
    <x v="5"/>
    <x v="0"/>
    <n v="1.98126"/>
    <n v="1.91"/>
    <n v="2.0024099999999998"/>
    <n v="1.956205"/>
    <n v="924.1"/>
  </r>
  <r>
    <x v="9"/>
    <x v="5"/>
    <x v="0"/>
    <n v="1.98126"/>
    <n v="1.91"/>
    <n v="2.0024099999999998"/>
    <n v="1.956205"/>
    <n v="924.1"/>
  </r>
  <r>
    <x v="9"/>
    <x v="5"/>
    <x v="0"/>
    <n v="1.98126"/>
    <n v="1.91"/>
    <n v="2.0024099999999998"/>
    <n v="1.956205"/>
    <n v="924.1"/>
  </r>
  <r>
    <x v="9"/>
    <x v="5"/>
    <x v="0"/>
    <n v="1.98126"/>
    <n v="1.91"/>
    <n v="2.0024099999999998"/>
    <n v="1.956205"/>
    <n v="924.1"/>
  </r>
  <r>
    <x v="9"/>
    <x v="5"/>
    <x v="0"/>
    <n v="1.98126"/>
    <n v="1.91"/>
    <n v="2.0024099999999998"/>
    <n v="1.956205"/>
    <n v="924.1"/>
  </r>
  <r>
    <x v="9"/>
    <x v="5"/>
    <x v="2"/>
    <n v="102.017"/>
    <n v="101"/>
    <n v="104.005"/>
    <n v="102.5025"/>
    <n v="300.5"/>
  </r>
  <r>
    <x v="9"/>
    <x v="5"/>
    <x v="2"/>
    <n v="102.017"/>
    <n v="101"/>
    <n v="104.005"/>
    <n v="102.5025"/>
    <n v="300.5"/>
  </r>
  <r>
    <x v="9"/>
    <x v="5"/>
    <x v="2"/>
    <n v="102.017"/>
    <n v="101"/>
    <n v="104.005"/>
    <n v="102.5025"/>
    <n v="300.5"/>
  </r>
  <r>
    <x v="9"/>
    <x v="5"/>
    <x v="2"/>
    <n v="102.017"/>
    <n v="101"/>
    <n v="104.005"/>
    <n v="102.5025"/>
    <n v="300.5"/>
  </r>
  <r>
    <x v="9"/>
    <x v="5"/>
    <x v="2"/>
    <n v="102.017"/>
    <n v="101"/>
    <n v="104.005"/>
    <n v="102.5025"/>
    <n v="300.5"/>
  </r>
  <r>
    <x v="9"/>
    <x v="5"/>
    <x v="2"/>
    <n v="102.017"/>
    <n v="101"/>
    <n v="104.005"/>
    <n v="102.5025"/>
    <n v="300.5"/>
  </r>
  <r>
    <x v="9"/>
    <x v="5"/>
    <x v="2"/>
    <n v="102.017"/>
    <n v="101"/>
    <n v="104.005"/>
    <n v="102.5025"/>
    <n v="300.5"/>
  </r>
  <r>
    <x v="9"/>
    <x v="5"/>
    <x v="2"/>
    <n v="102.017"/>
    <n v="101"/>
    <n v="104.005"/>
    <n v="102.5025"/>
    <n v="300.5"/>
  </r>
  <r>
    <x v="9"/>
    <x v="5"/>
    <x v="2"/>
    <n v="102.017"/>
    <n v="101"/>
    <n v="104.005"/>
    <n v="102.5025"/>
    <n v="300.5"/>
  </r>
  <r>
    <x v="9"/>
    <x v="5"/>
    <x v="2"/>
    <n v="102.017"/>
    <n v="101"/>
    <n v="104.005"/>
    <n v="102.5025"/>
    <n v="300.5"/>
  </r>
  <r>
    <x v="9"/>
    <x v="5"/>
    <x v="2"/>
    <n v="102.017"/>
    <n v="101"/>
    <n v="104.005"/>
    <n v="102.5025"/>
    <n v="300.5"/>
  </r>
  <r>
    <x v="9"/>
    <x v="5"/>
    <x v="2"/>
    <n v="102.017"/>
    <n v="101"/>
    <n v="104.005"/>
    <n v="102.5025"/>
    <n v="300.5"/>
  </r>
  <r>
    <x v="9"/>
    <x v="5"/>
    <x v="2"/>
    <n v="102.017"/>
    <n v="101"/>
    <n v="104.005"/>
    <n v="102.5025"/>
    <n v="300.5"/>
  </r>
  <r>
    <x v="9"/>
    <x v="5"/>
    <x v="2"/>
    <n v="102.017"/>
    <n v="101"/>
    <n v="104.005"/>
    <n v="102.5025"/>
    <n v="300.5"/>
  </r>
  <r>
    <x v="9"/>
    <x v="5"/>
    <x v="2"/>
    <n v="102.017"/>
    <n v="101"/>
    <n v="104.005"/>
    <n v="102.5025"/>
    <n v="300.5"/>
  </r>
  <r>
    <x v="9"/>
    <x v="5"/>
    <x v="2"/>
    <n v="102.017"/>
    <n v="101"/>
    <n v="104.005"/>
    <n v="102.5025"/>
    <n v="300.5"/>
  </r>
  <r>
    <x v="9"/>
    <x v="5"/>
    <x v="2"/>
    <n v="102.017"/>
    <n v="101"/>
    <n v="104.005"/>
    <n v="102.5025"/>
    <n v="300.5"/>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13"/>
    <n v="0.92740999999999996"/>
    <n v="0.89127000000000001"/>
    <n v="0.94952999999999999"/>
    <n v="0.9204"/>
    <n v="582.6"/>
  </r>
  <r>
    <x v="9"/>
    <x v="5"/>
    <x v="9"/>
    <n v="0.79932999999999998"/>
    <n v="0.78796999999999995"/>
    <n v="0.84"/>
    <n v="0.81398499999999996"/>
    <n v="520.29999999999995"/>
  </r>
  <r>
    <x v="9"/>
    <x v="5"/>
    <x v="9"/>
    <n v="0.79932999999999998"/>
    <n v="0.78796999999999995"/>
    <n v="0.84"/>
    <n v="0.81398499999999996"/>
    <n v="520.29999999999995"/>
  </r>
  <r>
    <x v="9"/>
    <x v="5"/>
    <x v="9"/>
    <n v="0.79932999999999998"/>
    <n v="0.78796999999999995"/>
    <n v="0.84"/>
    <n v="0.81398499999999996"/>
    <n v="520.29999999999995"/>
  </r>
  <r>
    <x v="9"/>
    <x v="5"/>
    <x v="9"/>
    <n v="0.79932999999999998"/>
    <n v="0.78796999999999995"/>
    <n v="0.84"/>
    <n v="0.81398499999999996"/>
    <n v="520.29999999999995"/>
  </r>
  <r>
    <x v="9"/>
    <x v="5"/>
    <x v="9"/>
    <n v="0.79932999999999998"/>
    <n v="0.78796999999999995"/>
    <n v="0.84"/>
    <n v="0.81398499999999996"/>
    <n v="520.29999999999995"/>
  </r>
  <r>
    <x v="9"/>
    <x v="5"/>
    <x v="9"/>
    <n v="0.79932999999999998"/>
    <n v="0.78796999999999995"/>
    <n v="0.84"/>
    <n v="0.81398499999999996"/>
    <n v="520.29999999999995"/>
  </r>
  <r>
    <x v="9"/>
    <x v="5"/>
    <x v="9"/>
    <n v="0.79932999999999998"/>
    <n v="0.78796999999999995"/>
    <n v="0.84"/>
    <n v="0.81398499999999996"/>
    <n v="520.29999999999995"/>
  </r>
  <r>
    <x v="9"/>
    <x v="5"/>
    <x v="9"/>
    <n v="0.79932999999999998"/>
    <n v="0.78796999999999995"/>
    <n v="0.84"/>
    <n v="0.81398499999999996"/>
    <n v="520.29999999999995"/>
  </r>
  <r>
    <x v="9"/>
    <x v="5"/>
    <x v="9"/>
    <n v="0.79932999999999998"/>
    <n v="0.78796999999999995"/>
    <n v="0.84"/>
    <n v="0.81398499999999996"/>
    <n v="520.29999999999995"/>
  </r>
  <r>
    <x v="9"/>
    <x v="5"/>
    <x v="9"/>
    <n v="0.79932999999999998"/>
    <n v="0.78796999999999995"/>
    <n v="0.84"/>
    <n v="0.81398499999999996"/>
    <n v="520.29999999999995"/>
  </r>
  <r>
    <x v="9"/>
    <x v="5"/>
    <x v="9"/>
    <n v="0.79932999999999998"/>
    <n v="0.78796999999999995"/>
    <n v="0.84"/>
    <n v="0.81398499999999996"/>
    <n v="520.29999999999995"/>
  </r>
  <r>
    <x v="9"/>
    <x v="5"/>
    <x v="9"/>
    <n v="0.79932999999999998"/>
    <n v="0.78796999999999995"/>
    <n v="0.84"/>
    <n v="0.81398499999999996"/>
    <n v="520.29999999999995"/>
  </r>
  <r>
    <x v="9"/>
    <x v="5"/>
    <x v="9"/>
    <n v="0.79932999999999998"/>
    <n v="0.78796999999999995"/>
    <n v="0.84"/>
    <n v="0.81398499999999996"/>
    <n v="520.29999999999995"/>
  </r>
  <r>
    <x v="9"/>
    <x v="5"/>
    <x v="9"/>
    <n v="0.79932999999999998"/>
    <n v="0.78796999999999995"/>
    <n v="0.84"/>
    <n v="0.81398499999999996"/>
    <n v="520.29999999999995"/>
  </r>
  <r>
    <x v="9"/>
    <x v="5"/>
    <x v="9"/>
    <n v="0.79932999999999998"/>
    <n v="0.78796999999999995"/>
    <n v="0.84"/>
    <n v="0.81398499999999996"/>
    <n v="520.29999999999995"/>
  </r>
  <r>
    <x v="9"/>
    <x v="5"/>
    <x v="9"/>
    <n v="0.79932999999999998"/>
    <n v="0.78796999999999995"/>
    <n v="0.84"/>
    <n v="0.81398499999999996"/>
    <n v="520.29999999999995"/>
  </r>
  <r>
    <x v="9"/>
    <x v="5"/>
    <x v="9"/>
    <n v="0.79932999999999998"/>
    <n v="0.78796999999999995"/>
    <n v="0.84"/>
    <n v="0.81398499999999996"/>
    <n v="520.29999999999995"/>
  </r>
  <r>
    <x v="9"/>
    <x v="5"/>
    <x v="9"/>
    <n v="0.79932999999999998"/>
    <n v="0.78796999999999995"/>
    <n v="0.84"/>
    <n v="0.81398499999999996"/>
    <n v="520.29999999999995"/>
  </r>
  <r>
    <x v="9"/>
    <x v="5"/>
    <x v="9"/>
    <n v="0.79932999999999998"/>
    <n v="0.78796999999999995"/>
    <n v="0.84"/>
    <n v="0.81398499999999996"/>
    <n v="520.29999999999995"/>
  </r>
  <r>
    <x v="9"/>
    <x v="5"/>
    <x v="9"/>
    <n v="0.79932999999999998"/>
    <n v="0.78796999999999995"/>
    <n v="0.84"/>
    <n v="0.81398499999999996"/>
    <n v="520.29999999999995"/>
  </r>
  <r>
    <x v="9"/>
    <x v="5"/>
    <x v="9"/>
    <n v="0.79932999999999998"/>
    <n v="0.78796999999999995"/>
    <n v="0.84"/>
    <n v="0.81398499999999996"/>
    <n v="520.29999999999995"/>
  </r>
  <r>
    <x v="9"/>
    <x v="5"/>
    <x v="9"/>
    <n v="0.79932999999999998"/>
    <n v="0.78796999999999995"/>
    <n v="0.84"/>
    <n v="0.81398499999999996"/>
    <n v="520.29999999999995"/>
  </r>
  <r>
    <x v="9"/>
    <x v="5"/>
    <x v="9"/>
    <n v="0.79932999999999998"/>
    <n v="0.78796999999999995"/>
    <n v="0.84"/>
    <n v="0.81398499999999996"/>
    <n v="520.29999999999995"/>
  </r>
  <r>
    <x v="9"/>
    <x v="5"/>
    <x v="9"/>
    <n v="0.79932999999999998"/>
    <n v="0.78796999999999995"/>
    <n v="0.84"/>
    <n v="0.81398499999999996"/>
    <n v="520.29999999999995"/>
  </r>
  <r>
    <x v="9"/>
    <x v="5"/>
    <x v="9"/>
    <n v="0.79932999999999998"/>
    <n v="0.78796999999999995"/>
    <n v="0.84"/>
    <n v="0.81398499999999996"/>
    <n v="520.29999999999995"/>
  </r>
  <r>
    <x v="9"/>
    <x v="5"/>
    <x v="9"/>
    <n v="0.79932999999999998"/>
    <n v="0.78796999999999995"/>
    <n v="0.84"/>
    <n v="0.81398499999999996"/>
    <n v="520.29999999999995"/>
  </r>
  <r>
    <x v="9"/>
    <x v="5"/>
    <x v="9"/>
    <n v="0.79932999999999998"/>
    <n v="0.78796999999999995"/>
    <n v="0.84"/>
    <n v="0.81398499999999996"/>
    <n v="520.29999999999995"/>
  </r>
  <r>
    <x v="9"/>
    <x v="5"/>
    <x v="9"/>
    <n v="0.79932999999999998"/>
    <n v="0.78796999999999995"/>
    <n v="0.84"/>
    <n v="0.81398499999999996"/>
    <n v="520.29999999999995"/>
  </r>
  <r>
    <x v="9"/>
    <x v="5"/>
    <x v="0"/>
    <n v="1.98126"/>
    <n v="1.91"/>
    <n v="2.0024099999999998"/>
    <n v="1.956205"/>
    <n v="924.1"/>
  </r>
  <r>
    <x v="9"/>
    <x v="5"/>
    <x v="0"/>
    <n v="1.98126"/>
    <n v="1.91"/>
    <n v="2.0024099999999998"/>
    <n v="1.956205"/>
    <n v="924.1"/>
  </r>
  <r>
    <x v="9"/>
    <x v="5"/>
    <x v="0"/>
    <n v="1.98126"/>
    <n v="1.91"/>
    <n v="2.0024099999999998"/>
    <n v="1.956205"/>
    <n v="924.1"/>
  </r>
  <r>
    <x v="9"/>
    <x v="5"/>
    <x v="0"/>
    <n v="1.98126"/>
    <n v="1.91"/>
    <n v="2.0024099999999998"/>
    <n v="1.956205"/>
    <n v="924.1"/>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13"/>
    <n v="0.93106"/>
    <n v="0.89127000000000001"/>
    <n v="0.94952999999999999"/>
    <n v="0.9204"/>
    <n v="582.6"/>
  </r>
  <r>
    <x v="9"/>
    <x v="6"/>
    <x v="9"/>
    <n v="0.80311999999999995"/>
    <n v="0.78796999999999995"/>
    <n v="0.84"/>
    <n v="0.81398499999999996"/>
    <n v="520.29999999999995"/>
  </r>
  <r>
    <x v="9"/>
    <x v="6"/>
    <x v="9"/>
    <n v="0.80311999999999995"/>
    <n v="0.78796999999999995"/>
    <n v="0.84"/>
    <n v="0.81398499999999996"/>
    <n v="520.29999999999995"/>
  </r>
  <r>
    <x v="9"/>
    <x v="6"/>
    <x v="9"/>
    <n v="0.80311999999999995"/>
    <n v="0.78796999999999995"/>
    <n v="0.84"/>
    <n v="0.81398499999999996"/>
    <n v="520.29999999999995"/>
  </r>
  <r>
    <x v="9"/>
    <x v="6"/>
    <x v="9"/>
    <n v="0.80311999999999995"/>
    <n v="0.78796999999999995"/>
    <n v="0.84"/>
    <n v="0.81398499999999996"/>
    <n v="520.29999999999995"/>
  </r>
  <r>
    <x v="9"/>
    <x v="6"/>
    <x v="9"/>
    <n v="0.80311999999999995"/>
    <n v="0.78796999999999995"/>
    <n v="0.84"/>
    <n v="0.81398499999999996"/>
    <n v="520.29999999999995"/>
  </r>
  <r>
    <x v="9"/>
    <x v="6"/>
    <x v="9"/>
    <n v="0.80311999999999995"/>
    <n v="0.78796999999999995"/>
    <n v="0.84"/>
    <n v="0.81398499999999996"/>
    <n v="520.29999999999995"/>
  </r>
  <r>
    <x v="9"/>
    <x v="6"/>
    <x v="9"/>
    <n v="0.80311999999999995"/>
    <n v="0.78796999999999995"/>
    <n v="0.84"/>
    <n v="0.81398499999999996"/>
    <n v="520.29999999999995"/>
  </r>
  <r>
    <x v="9"/>
    <x v="6"/>
    <x v="9"/>
    <n v="0.80311999999999995"/>
    <n v="0.78796999999999995"/>
    <n v="0.84"/>
    <n v="0.81398499999999996"/>
    <n v="520.29999999999995"/>
  </r>
  <r>
    <x v="9"/>
    <x v="7"/>
    <x v="0"/>
    <n v="1.97037"/>
    <n v="1.91"/>
    <n v="2.0024099999999998"/>
    <n v="1.956205"/>
    <n v="924.1"/>
  </r>
  <r>
    <x v="9"/>
    <x v="7"/>
    <x v="0"/>
    <n v="1.97037"/>
    <n v="1.91"/>
    <n v="2.0024099999999998"/>
    <n v="1.956205"/>
    <n v="924.1"/>
  </r>
  <r>
    <x v="9"/>
    <x v="7"/>
    <x v="0"/>
    <n v="1.97037"/>
    <n v="1.91"/>
    <n v="2.0024099999999998"/>
    <n v="1.956205"/>
    <n v="924.1"/>
  </r>
  <r>
    <x v="9"/>
    <x v="7"/>
    <x v="0"/>
    <n v="1.97037"/>
    <n v="1.91"/>
    <n v="2.0024099999999998"/>
    <n v="1.956205"/>
    <n v="924.1"/>
  </r>
  <r>
    <x v="9"/>
    <x v="7"/>
    <x v="0"/>
    <n v="1.97037"/>
    <n v="1.91"/>
    <n v="2.0024099999999998"/>
    <n v="1.956205"/>
    <n v="924.1"/>
  </r>
  <r>
    <x v="9"/>
    <x v="7"/>
    <x v="0"/>
    <n v="1.97037"/>
    <n v="1.91"/>
    <n v="2.0024099999999998"/>
    <n v="1.956205"/>
    <n v="924.1"/>
  </r>
  <r>
    <x v="9"/>
    <x v="7"/>
    <x v="0"/>
    <n v="1.97037"/>
    <n v="1.91"/>
    <n v="2.0024099999999998"/>
    <n v="1.956205"/>
    <n v="924.1"/>
  </r>
  <r>
    <x v="9"/>
    <x v="7"/>
    <x v="0"/>
    <n v="1.97037"/>
    <n v="1.91"/>
    <n v="2.0024099999999998"/>
    <n v="1.956205"/>
    <n v="924.1"/>
  </r>
  <r>
    <x v="9"/>
    <x v="7"/>
    <x v="0"/>
    <n v="1.97037"/>
    <n v="1.91"/>
    <n v="2.0024099999999998"/>
    <n v="1.956205"/>
    <n v="924.1"/>
  </r>
  <r>
    <x v="9"/>
    <x v="7"/>
    <x v="0"/>
    <n v="1.97037"/>
    <n v="1.91"/>
    <n v="2.0024099999999998"/>
    <n v="1.956205"/>
    <n v="924.1"/>
  </r>
  <r>
    <x v="9"/>
    <x v="7"/>
    <x v="0"/>
    <n v="1.97037"/>
    <n v="1.91"/>
    <n v="2.0024099999999998"/>
    <n v="1.956205"/>
    <n v="924.1"/>
  </r>
  <r>
    <x v="9"/>
    <x v="7"/>
    <x v="0"/>
    <n v="1.97037"/>
    <n v="1.91"/>
    <n v="2.0024099999999998"/>
    <n v="1.956205"/>
    <n v="924.1"/>
  </r>
  <r>
    <x v="9"/>
    <x v="7"/>
    <x v="0"/>
    <n v="1.97037"/>
    <n v="1.91"/>
    <n v="2.0024099999999998"/>
    <n v="1.956205"/>
    <n v="924.1"/>
  </r>
  <r>
    <x v="9"/>
    <x v="7"/>
    <x v="0"/>
    <n v="1.97037"/>
    <n v="1.91"/>
    <n v="2.0024099999999998"/>
    <n v="1.956205"/>
    <n v="924.1"/>
  </r>
  <r>
    <x v="9"/>
    <x v="7"/>
    <x v="0"/>
    <n v="1.97037"/>
    <n v="1.91"/>
    <n v="2.0024099999999998"/>
    <n v="1.956205"/>
    <n v="924.1"/>
  </r>
  <r>
    <x v="9"/>
    <x v="7"/>
    <x v="0"/>
    <n v="1.97037"/>
    <n v="1.91"/>
    <n v="2.0024099999999998"/>
    <n v="1.956205"/>
    <n v="924.1"/>
  </r>
  <r>
    <x v="9"/>
    <x v="7"/>
    <x v="0"/>
    <n v="1.97037"/>
    <n v="1.91"/>
    <n v="2.0024099999999998"/>
    <n v="1.956205"/>
    <n v="924.1"/>
  </r>
  <r>
    <x v="9"/>
    <x v="7"/>
    <x v="0"/>
    <n v="1.97037"/>
    <n v="1.91"/>
    <n v="2.0024099999999998"/>
    <n v="1.956205"/>
    <n v="924.1"/>
  </r>
  <r>
    <x v="9"/>
    <x v="7"/>
    <x v="0"/>
    <n v="1.97037"/>
    <n v="1.91"/>
    <n v="2.0024099999999998"/>
    <n v="1.956205"/>
    <n v="924.1"/>
  </r>
  <r>
    <x v="9"/>
    <x v="7"/>
    <x v="0"/>
    <n v="1.97037"/>
    <n v="1.91"/>
    <n v="2.0024099999999998"/>
    <n v="1.956205"/>
    <n v="924.1"/>
  </r>
  <r>
    <x v="9"/>
    <x v="7"/>
    <x v="0"/>
    <n v="1.97037"/>
    <n v="1.91"/>
    <n v="2.0024099999999998"/>
    <n v="1.956205"/>
    <n v="924.1"/>
  </r>
  <r>
    <x v="9"/>
    <x v="7"/>
    <x v="0"/>
    <n v="1.97037"/>
    <n v="1.91"/>
    <n v="2.0024099999999998"/>
    <n v="1.956205"/>
    <n v="924.1"/>
  </r>
  <r>
    <x v="9"/>
    <x v="7"/>
    <x v="0"/>
    <n v="1.97037"/>
    <n v="1.91"/>
    <n v="2.0024099999999998"/>
    <n v="1.956205"/>
    <n v="924.1"/>
  </r>
  <r>
    <x v="9"/>
    <x v="7"/>
    <x v="0"/>
    <n v="1.97037"/>
    <n v="1.91"/>
    <n v="2.0024099999999998"/>
    <n v="1.956205"/>
    <n v="924.1"/>
  </r>
  <r>
    <x v="9"/>
    <x v="7"/>
    <x v="0"/>
    <n v="1.97037"/>
    <n v="1.91"/>
    <n v="2.0024099999999998"/>
    <n v="1.956205"/>
    <n v="924.1"/>
  </r>
  <r>
    <x v="9"/>
    <x v="7"/>
    <x v="2"/>
    <n v="103.934"/>
    <n v="101"/>
    <n v="104.20399999999999"/>
    <n v="102.602"/>
    <n v="320.39999999999998"/>
  </r>
  <r>
    <x v="9"/>
    <x v="7"/>
    <x v="2"/>
    <n v="103.934"/>
    <n v="101"/>
    <n v="104.20399999999999"/>
    <n v="102.602"/>
    <n v="320.39999999999998"/>
  </r>
  <r>
    <x v="9"/>
    <x v="7"/>
    <x v="2"/>
    <n v="103.934"/>
    <n v="101"/>
    <n v="104.20399999999999"/>
    <n v="102.602"/>
    <n v="320.39999999999998"/>
  </r>
  <r>
    <x v="9"/>
    <x v="7"/>
    <x v="2"/>
    <n v="103.934"/>
    <n v="101"/>
    <n v="104.20399999999999"/>
    <n v="102.602"/>
    <n v="320.39999999999998"/>
  </r>
  <r>
    <x v="9"/>
    <x v="7"/>
    <x v="2"/>
    <n v="103.934"/>
    <n v="101"/>
    <n v="104.20399999999999"/>
    <n v="102.602"/>
    <n v="320.39999999999998"/>
  </r>
  <r>
    <x v="9"/>
    <x v="7"/>
    <x v="2"/>
    <n v="103.934"/>
    <n v="101"/>
    <n v="104.20399999999999"/>
    <n v="102.602"/>
    <n v="320.39999999999998"/>
  </r>
  <r>
    <x v="9"/>
    <x v="7"/>
    <x v="2"/>
    <n v="103.934"/>
    <n v="101"/>
    <n v="104.20399999999999"/>
    <n v="102.602"/>
    <n v="320.39999999999998"/>
  </r>
  <r>
    <x v="9"/>
    <x v="7"/>
    <x v="2"/>
    <n v="103.934"/>
    <n v="101"/>
    <n v="104.20399999999999"/>
    <n v="102.602"/>
    <n v="320.39999999999998"/>
  </r>
  <r>
    <x v="9"/>
    <x v="7"/>
    <x v="2"/>
    <n v="103.934"/>
    <n v="101"/>
    <n v="104.20399999999999"/>
    <n v="102.602"/>
    <n v="320.39999999999998"/>
  </r>
  <r>
    <x v="9"/>
    <x v="7"/>
    <x v="2"/>
    <n v="103.934"/>
    <n v="101"/>
    <n v="104.20399999999999"/>
    <n v="102.602"/>
    <n v="320.39999999999998"/>
  </r>
  <r>
    <x v="9"/>
    <x v="7"/>
    <x v="2"/>
    <n v="103.934"/>
    <n v="101"/>
    <n v="104.20399999999999"/>
    <n v="102.602"/>
    <n v="320.39999999999998"/>
  </r>
  <r>
    <x v="9"/>
    <x v="7"/>
    <x v="2"/>
    <n v="103.934"/>
    <n v="101"/>
    <n v="104.20399999999999"/>
    <n v="102.602"/>
    <n v="320.39999999999998"/>
  </r>
  <r>
    <x v="9"/>
    <x v="7"/>
    <x v="2"/>
    <n v="103.934"/>
    <n v="101"/>
    <n v="104.20399999999999"/>
    <n v="102.602"/>
    <n v="320.39999999999998"/>
  </r>
  <r>
    <x v="9"/>
    <x v="7"/>
    <x v="2"/>
    <n v="103.934"/>
    <n v="101"/>
    <n v="104.20399999999999"/>
    <n v="102.602"/>
    <n v="320.39999999999998"/>
  </r>
  <r>
    <x v="9"/>
    <x v="7"/>
    <x v="2"/>
    <n v="103.934"/>
    <n v="101"/>
    <n v="104.20399999999999"/>
    <n v="102.602"/>
    <n v="320.39999999999998"/>
  </r>
  <r>
    <x v="9"/>
    <x v="7"/>
    <x v="2"/>
    <n v="103.934"/>
    <n v="101"/>
    <n v="104.20399999999999"/>
    <n v="102.602"/>
    <n v="320.39999999999998"/>
  </r>
  <r>
    <x v="9"/>
    <x v="7"/>
    <x v="2"/>
    <n v="103.934"/>
    <n v="101"/>
    <n v="104.20399999999999"/>
    <n v="102.602"/>
    <n v="320.39999999999998"/>
  </r>
  <r>
    <x v="9"/>
    <x v="7"/>
    <x v="2"/>
    <n v="103.934"/>
    <n v="101"/>
    <n v="104.20399999999999"/>
    <n v="102.602"/>
    <n v="320.39999999999998"/>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13"/>
    <n v="0.93147999999999997"/>
    <n v="0.89127000000000001"/>
    <n v="0.94952999999999999"/>
    <n v="0.9204"/>
    <n v="582.6"/>
  </r>
  <r>
    <x v="9"/>
    <x v="7"/>
    <x v="9"/>
    <n v="0.79869000000000001"/>
    <n v="0.78796999999999995"/>
    <n v="0.84"/>
    <n v="0.81398499999999996"/>
    <n v="520.29999999999995"/>
  </r>
  <r>
    <x v="9"/>
    <x v="7"/>
    <x v="9"/>
    <n v="0.79869000000000001"/>
    <n v="0.78796999999999995"/>
    <n v="0.84"/>
    <n v="0.81398499999999996"/>
    <n v="520.29999999999995"/>
  </r>
  <r>
    <x v="9"/>
    <x v="7"/>
    <x v="9"/>
    <n v="0.79869000000000001"/>
    <n v="0.78796999999999995"/>
    <n v="0.84"/>
    <n v="0.81398499999999996"/>
    <n v="520.29999999999995"/>
  </r>
  <r>
    <x v="9"/>
    <x v="7"/>
    <x v="9"/>
    <n v="0.79869000000000001"/>
    <n v="0.78796999999999995"/>
    <n v="0.84"/>
    <n v="0.81398499999999996"/>
    <n v="520.29999999999995"/>
  </r>
  <r>
    <x v="9"/>
    <x v="7"/>
    <x v="9"/>
    <n v="0.79869000000000001"/>
    <n v="0.78796999999999995"/>
    <n v="0.84"/>
    <n v="0.81398499999999996"/>
    <n v="520.29999999999995"/>
  </r>
  <r>
    <x v="9"/>
    <x v="7"/>
    <x v="9"/>
    <n v="0.79869000000000001"/>
    <n v="0.78796999999999995"/>
    <n v="0.84"/>
    <n v="0.81398499999999996"/>
    <n v="520.29999999999995"/>
  </r>
  <r>
    <x v="9"/>
    <x v="7"/>
    <x v="9"/>
    <n v="0.79869000000000001"/>
    <n v="0.78796999999999995"/>
    <n v="0.84"/>
    <n v="0.81398499999999996"/>
    <n v="520.29999999999995"/>
  </r>
  <r>
    <x v="9"/>
    <x v="7"/>
    <x v="9"/>
    <n v="0.79869000000000001"/>
    <n v="0.78796999999999995"/>
    <n v="0.84"/>
    <n v="0.81398499999999996"/>
    <n v="520.29999999999995"/>
  </r>
  <r>
    <x v="9"/>
    <x v="7"/>
    <x v="9"/>
    <n v="0.79869000000000001"/>
    <n v="0.78796999999999995"/>
    <n v="0.84"/>
    <n v="0.81398499999999996"/>
    <n v="520.29999999999995"/>
  </r>
  <r>
    <x v="9"/>
    <x v="7"/>
    <x v="9"/>
    <n v="0.79869000000000001"/>
    <n v="0.78796999999999995"/>
    <n v="0.84"/>
    <n v="0.81398499999999996"/>
    <n v="520.29999999999995"/>
  </r>
  <r>
    <x v="9"/>
    <x v="7"/>
    <x v="9"/>
    <n v="0.79869000000000001"/>
    <n v="0.78796999999999995"/>
    <n v="0.84"/>
    <n v="0.81398499999999996"/>
    <n v="520.29999999999995"/>
  </r>
  <r>
    <x v="9"/>
    <x v="7"/>
    <x v="9"/>
    <n v="0.79869000000000001"/>
    <n v="0.78796999999999995"/>
    <n v="0.84"/>
    <n v="0.81398499999999996"/>
    <n v="520.29999999999995"/>
  </r>
  <r>
    <x v="9"/>
    <x v="7"/>
    <x v="9"/>
    <n v="0.79869000000000001"/>
    <n v="0.78796999999999995"/>
    <n v="0.84"/>
    <n v="0.81398499999999996"/>
    <n v="520.29999999999995"/>
  </r>
  <r>
    <x v="9"/>
    <x v="7"/>
    <x v="9"/>
    <n v="0.79869000000000001"/>
    <n v="0.78796999999999995"/>
    <n v="0.84"/>
    <n v="0.81398499999999996"/>
    <n v="520.29999999999995"/>
  </r>
  <r>
    <x v="9"/>
    <x v="7"/>
    <x v="9"/>
    <n v="0.79869000000000001"/>
    <n v="0.78796999999999995"/>
    <n v="0.84"/>
    <n v="0.81398499999999996"/>
    <n v="520.29999999999995"/>
  </r>
  <r>
    <x v="9"/>
    <x v="7"/>
    <x v="9"/>
    <n v="0.79869000000000001"/>
    <n v="0.78796999999999995"/>
    <n v="0.84"/>
    <n v="0.81398499999999996"/>
    <n v="520.29999999999995"/>
  </r>
  <r>
    <x v="9"/>
    <x v="7"/>
    <x v="9"/>
    <n v="0.79869000000000001"/>
    <n v="0.78796999999999995"/>
    <n v="0.84"/>
    <n v="0.81398499999999996"/>
    <n v="520.29999999999995"/>
  </r>
  <r>
    <x v="9"/>
    <x v="7"/>
    <x v="9"/>
    <n v="0.79869000000000001"/>
    <n v="0.78796999999999995"/>
    <n v="0.84"/>
    <n v="0.81398499999999996"/>
    <n v="520.29999999999995"/>
  </r>
  <r>
    <x v="9"/>
    <x v="7"/>
    <x v="9"/>
    <n v="0.79869000000000001"/>
    <n v="0.78796999999999995"/>
    <n v="0.84"/>
    <n v="0.81398499999999996"/>
    <n v="520.29999999999995"/>
  </r>
  <r>
    <x v="9"/>
    <x v="7"/>
    <x v="9"/>
    <n v="0.79869000000000001"/>
    <n v="0.78796999999999995"/>
    <n v="0.84"/>
    <n v="0.81398499999999996"/>
    <n v="520.29999999999995"/>
  </r>
  <r>
    <x v="9"/>
    <x v="7"/>
    <x v="9"/>
    <n v="0.79869000000000001"/>
    <n v="0.78796999999999995"/>
    <n v="0.84"/>
    <n v="0.81398499999999996"/>
    <n v="520.29999999999995"/>
  </r>
  <r>
    <x v="9"/>
    <x v="7"/>
    <x v="9"/>
    <n v="0.79869000000000001"/>
    <n v="0.78796999999999995"/>
    <n v="0.84"/>
    <n v="0.81398499999999996"/>
    <n v="520.29999999999995"/>
  </r>
  <r>
    <x v="9"/>
    <x v="7"/>
    <x v="9"/>
    <n v="0.79869000000000001"/>
    <n v="0.78796999999999995"/>
    <n v="0.84"/>
    <n v="0.81398499999999996"/>
    <n v="520.29999999999995"/>
  </r>
  <r>
    <x v="9"/>
    <x v="7"/>
    <x v="9"/>
    <n v="0.79869000000000001"/>
    <n v="0.78796999999999995"/>
    <n v="0.84"/>
    <n v="0.81398499999999996"/>
    <n v="520.29999999999995"/>
  </r>
  <r>
    <x v="9"/>
    <x v="7"/>
    <x v="9"/>
    <n v="0.79869000000000001"/>
    <n v="0.78796999999999995"/>
    <n v="0.84"/>
    <n v="0.81398499999999996"/>
    <n v="520.29999999999995"/>
  </r>
  <r>
    <x v="9"/>
    <x v="7"/>
    <x v="9"/>
    <n v="0.79869000000000001"/>
    <n v="0.78796999999999995"/>
    <n v="0.84"/>
    <n v="0.81398499999999996"/>
    <n v="520.29999999999995"/>
  </r>
  <r>
    <x v="9"/>
    <x v="7"/>
    <x v="9"/>
    <n v="0.79869000000000001"/>
    <n v="0.78796999999999995"/>
    <n v="0.84"/>
    <n v="0.81398499999999996"/>
    <n v="520.29999999999995"/>
  </r>
  <r>
    <x v="9"/>
    <x v="7"/>
    <x v="9"/>
    <n v="0.79869000000000001"/>
    <n v="0.78796999999999995"/>
    <n v="0.84"/>
    <n v="0.81398499999999996"/>
    <n v="520.29999999999995"/>
  </r>
  <r>
    <x v="9"/>
    <x v="7"/>
    <x v="0"/>
    <n v="1.97037"/>
    <n v="1.91"/>
    <n v="2.0024099999999998"/>
    <n v="1.956205"/>
    <n v="924.1"/>
  </r>
  <r>
    <x v="9"/>
    <x v="7"/>
    <x v="0"/>
    <n v="1.97037"/>
    <n v="1.91"/>
    <n v="2.0024099999999998"/>
    <n v="1.956205"/>
    <n v="924.1"/>
  </r>
  <r>
    <x v="9"/>
    <x v="7"/>
    <x v="0"/>
    <n v="1.97037"/>
    <n v="1.91"/>
    <n v="2.0024099999999998"/>
    <n v="1.956205"/>
    <n v="924.1"/>
  </r>
  <r>
    <x v="9"/>
    <x v="7"/>
    <x v="0"/>
    <n v="1.97037"/>
    <n v="1.91"/>
    <n v="2.0024099999999998"/>
    <n v="1.956205"/>
    <n v="924.1"/>
  </r>
  <r>
    <x v="9"/>
    <x v="8"/>
    <x v="0"/>
    <n v="1.98454"/>
    <n v="1.91"/>
    <n v="2.0024099999999998"/>
    <n v="1.956205"/>
    <n v="924.1"/>
  </r>
  <r>
    <x v="9"/>
    <x v="8"/>
    <x v="0"/>
    <n v="1.98454"/>
    <n v="1.91"/>
    <n v="2.0024099999999998"/>
    <n v="1.956205"/>
    <n v="924.1"/>
  </r>
  <r>
    <x v="9"/>
    <x v="8"/>
    <x v="0"/>
    <n v="1.98454"/>
    <n v="1.91"/>
    <n v="2.0024099999999998"/>
    <n v="1.956205"/>
    <n v="924.1"/>
  </r>
  <r>
    <x v="9"/>
    <x v="8"/>
    <x v="0"/>
    <n v="1.98454"/>
    <n v="1.91"/>
    <n v="2.0024099999999998"/>
    <n v="1.956205"/>
    <n v="924.1"/>
  </r>
  <r>
    <x v="9"/>
    <x v="8"/>
    <x v="0"/>
    <n v="1.98454"/>
    <n v="1.91"/>
    <n v="2.0024099999999998"/>
    <n v="1.956205"/>
    <n v="924.1"/>
  </r>
  <r>
    <x v="9"/>
    <x v="8"/>
    <x v="0"/>
    <n v="1.98454"/>
    <n v="1.91"/>
    <n v="2.0024099999999998"/>
    <n v="1.956205"/>
    <n v="924.1"/>
  </r>
  <r>
    <x v="9"/>
    <x v="8"/>
    <x v="0"/>
    <n v="1.98454"/>
    <n v="1.91"/>
    <n v="2.0024099999999998"/>
    <n v="1.956205"/>
    <n v="924.1"/>
  </r>
  <r>
    <x v="9"/>
    <x v="8"/>
    <x v="0"/>
    <n v="1.98454"/>
    <n v="1.91"/>
    <n v="2.0024099999999998"/>
    <n v="1.956205"/>
    <n v="924.1"/>
  </r>
  <r>
    <x v="9"/>
    <x v="8"/>
    <x v="0"/>
    <n v="1.98454"/>
    <n v="1.91"/>
    <n v="2.0024099999999998"/>
    <n v="1.956205"/>
    <n v="924.1"/>
  </r>
  <r>
    <x v="9"/>
    <x v="8"/>
    <x v="0"/>
    <n v="1.98454"/>
    <n v="1.91"/>
    <n v="2.0024099999999998"/>
    <n v="1.956205"/>
    <n v="924.1"/>
  </r>
  <r>
    <x v="9"/>
    <x v="8"/>
    <x v="0"/>
    <n v="1.98454"/>
    <n v="1.91"/>
    <n v="2.0024099999999998"/>
    <n v="1.956205"/>
    <n v="924.1"/>
  </r>
  <r>
    <x v="9"/>
    <x v="8"/>
    <x v="0"/>
    <n v="1.98454"/>
    <n v="1.91"/>
    <n v="2.0024099999999998"/>
    <n v="1.956205"/>
    <n v="924.1"/>
  </r>
  <r>
    <x v="9"/>
    <x v="8"/>
    <x v="0"/>
    <n v="1.98454"/>
    <n v="1.91"/>
    <n v="2.0024099999999998"/>
    <n v="1.956205"/>
    <n v="924.1"/>
  </r>
  <r>
    <x v="9"/>
    <x v="8"/>
    <x v="0"/>
    <n v="1.98454"/>
    <n v="1.91"/>
    <n v="2.0024099999999998"/>
    <n v="1.956205"/>
    <n v="924.1"/>
  </r>
  <r>
    <x v="9"/>
    <x v="8"/>
    <x v="0"/>
    <n v="1.98454"/>
    <n v="1.91"/>
    <n v="2.0024099999999998"/>
    <n v="1.956205"/>
    <n v="924.1"/>
  </r>
  <r>
    <x v="9"/>
    <x v="8"/>
    <x v="0"/>
    <n v="1.98454"/>
    <n v="1.91"/>
    <n v="2.0024099999999998"/>
    <n v="1.956205"/>
    <n v="924.1"/>
  </r>
  <r>
    <x v="9"/>
    <x v="8"/>
    <x v="0"/>
    <n v="1.98454"/>
    <n v="1.91"/>
    <n v="2.0024099999999998"/>
    <n v="1.956205"/>
    <n v="924.1"/>
  </r>
  <r>
    <x v="9"/>
    <x v="8"/>
    <x v="0"/>
    <n v="1.98454"/>
    <n v="1.91"/>
    <n v="2.0024099999999998"/>
    <n v="1.956205"/>
    <n v="924.1"/>
  </r>
  <r>
    <x v="9"/>
    <x v="8"/>
    <x v="0"/>
    <n v="1.98454"/>
    <n v="1.91"/>
    <n v="2.0024099999999998"/>
    <n v="1.956205"/>
    <n v="924.1"/>
  </r>
  <r>
    <x v="9"/>
    <x v="8"/>
    <x v="0"/>
    <n v="1.98454"/>
    <n v="1.91"/>
    <n v="2.0024099999999998"/>
    <n v="1.956205"/>
    <n v="924.1"/>
  </r>
  <r>
    <x v="9"/>
    <x v="8"/>
    <x v="0"/>
    <n v="1.98454"/>
    <n v="1.91"/>
    <n v="2.0024099999999998"/>
    <n v="1.956205"/>
    <n v="924.1"/>
  </r>
  <r>
    <x v="9"/>
    <x v="8"/>
    <x v="0"/>
    <n v="1.98454"/>
    <n v="1.91"/>
    <n v="2.0024099999999998"/>
    <n v="1.956205"/>
    <n v="924.1"/>
  </r>
  <r>
    <x v="9"/>
    <x v="8"/>
    <x v="0"/>
    <n v="1.98454"/>
    <n v="1.91"/>
    <n v="2.0024099999999998"/>
    <n v="1.956205"/>
    <n v="924.1"/>
  </r>
  <r>
    <x v="9"/>
    <x v="8"/>
    <x v="0"/>
    <n v="1.98454"/>
    <n v="1.91"/>
    <n v="2.0024099999999998"/>
    <n v="1.956205"/>
    <n v="924.1"/>
  </r>
  <r>
    <x v="9"/>
    <x v="8"/>
    <x v="0"/>
    <n v="1.98454"/>
    <n v="1.91"/>
    <n v="2.0024099999999998"/>
    <n v="1.956205"/>
    <n v="924.1"/>
  </r>
  <r>
    <x v="9"/>
    <x v="8"/>
    <x v="0"/>
    <n v="1.98454"/>
    <n v="1.91"/>
    <n v="2.0024099999999998"/>
    <n v="1.956205"/>
    <n v="924.1"/>
  </r>
  <r>
    <x v="9"/>
    <x v="8"/>
    <x v="2"/>
    <n v="104.054"/>
    <n v="101"/>
    <n v="104.20399999999999"/>
    <n v="102.602"/>
    <n v="320.39999999999998"/>
  </r>
  <r>
    <x v="9"/>
    <x v="8"/>
    <x v="2"/>
    <n v="104.054"/>
    <n v="101"/>
    <n v="104.20399999999999"/>
    <n v="102.602"/>
    <n v="320.39999999999998"/>
  </r>
  <r>
    <x v="9"/>
    <x v="8"/>
    <x v="2"/>
    <n v="104.054"/>
    <n v="101"/>
    <n v="104.20399999999999"/>
    <n v="102.602"/>
    <n v="320.39999999999998"/>
  </r>
  <r>
    <x v="9"/>
    <x v="8"/>
    <x v="2"/>
    <n v="104.054"/>
    <n v="101"/>
    <n v="104.20399999999999"/>
    <n v="102.602"/>
    <n v="320.39999999999998"/>
  </r>
  <r>
    <x v="9"/>
    <x v="8"/>
    <x v="2"/>
    <n v="104.054"/>
    <n v="101"/>
    <n v="104.20399999999999"/>
    <n v="102.602"/>
    <n v="320.39999999999998"/>
  </r>
  <r>
    <x v="9"/>
    <x v="8"/>
    <x v="2"/>
    <n v="104.054"/>
    <n v="101"/>
    <n v="104.20399999999999"/>
    <n v="102.602"/>
    <n v="320.39999999999998"/>
  </r>
  <r>
    <x v="9"/>
    <x v="8"/>
    <x v="2"/>
    <n v="104.054"/>
    <n v="101"/>
    <n v="104.20399999999999"/>
    <n v="102.602"/>
    <n v="320.39999999999998"/>
  </r>
  <r>
    <x v="9"/>
    <x v="8"/>
    <x v="2"/>
    <n v="104.054"/>
    <n v="101"/>
    <n v="104.20399999999999"/>
    <n v="102.602"/>
    <n v="320.39999999999998"/>
  </r>
  <r>
    <x v="9"/>
    <x v="8"/>
    <x v="2"/>
    <n v="104.054"/>
    <n v="101"/>
    <n v="104.20399999999999"/>
    <n v="102.602"/>
    <n v="320.39999999999998"/>
  </r>
  <r>
    <x v="9"/>
    <x v="8"/>
    <x v="2"/>
    <n v="104.054"/>
    <n v="101"/>
    <n v="104.20399999999999"/>
    <n v="102.602"/>
    <n v="320.39999999999998"/>
  </r>
  <r>
    <x v="9"/>
    <x v="8"/>
    <x v="2"/>
    <n v="104.054"/>
    <n v="101"/>
    <n v="104.20399999999999"/>
    <n v="102.602"/>
    <n v="320.39999999999998"/>
  </r>
  <r>
    <x v="9"/>
    <x v="8"/>
    <x v="2"/>
    <n v="104.054"/>
    <n v="101"/>
    <n v="104.20399999999999"/>
    <n v="102.602"/>
    <n v="320.39999999999998"/>
  </r>
  <r>
    <x v="9"/>
    <x v="8"/>
    <x v="2"/>
    <n v="104.054"/>
    <n v="101"/>
    <n v="104.20399999999999"/>
    <n v="102.602"/>
    <n v="320.39999999999998"/>
  </r>
  <r>
    <x v="9"/>
    <x v="8"/>
    <x v="2"/>
    <n v="104.054"/>
    <n v="101"/>
    <n v="104.20399999999999"/>
    <n v="102.602"/>
    <n v="320.39999999999998"/>
  </r>
  <r>
    <x v="9"/>
    <x v="8"/>
    <x v="2"/>
    <n v="104.054"/>
    <n v="101"/>
    <n v="104.20399999999999"/>
    <n v="102.602"/>
    <n v="320.39999999999998"/>
  </r>
  <r>
    <x v="9"/>
    <x v="8"/>
    <x v="2"/>
    <n v="104.054"/>
    <n v="101"/>
    <n v="104.20399999999999"/>
    <n v="102.602"/>
    <n v="320.39999999999998"/>
  </r>
  <r>
    <x v="9"/>
    <x v="8"/>
    <x v="2"/>
    <n v="104.054"/>
    <n v="101"/>
    <n v="104.20399999999999"/>
    <n v="102.602"/>
    <n v="320.39999999999998"/>
  </r>
  <r>
    <x v="9"/>
    <x v="8"/>
    <x v="2"/>
    <n v="104.054"/>
    <n v="101"/>
    <n v="104.20399999999999"/>
    <n v="102.602"/>
    <n v="320.39999999999998"/>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13"/>
    <n v="0.93215000000000003"/>
    <n v="0.89127000000000001"/>
    <n v="0.94952999999999999"/>
    <n v="0.9204"/>
    <n v="582.6"/>
  </r>
  <r>
    <x v="9"/>
    <x v="8"/>
    <x v="9"/>
    <n v="0.79059999999999997"/>
    <n v="0.78796999999999995"/>
    <n v="0.84"/>
    <n v="0.81398499999999996"/>
    <n v="520.29999999999995"/>
  </r>
  <r>
    <x v="9"/>
    <x v="8"/>
    <x v="9"/>
    <n v="0.79059999999999997"/>
    <n v="0.78796999999999995"/>
    <n v="0.84"/>
    <n v="0.81398499999999996"/>
    <n v="520.29999999999995"/>
  </r>
  <r>
    <x v="9"/>
    <x v="8"/>
    <x v="9"/>
    <n v="0.79059999999999997"/>
    <n v="0.78796999999999995"/>
    <n v="0.84"/>
    <n v="0.81398499999999996"/>
    <n v="520.29999999999995"/>
  </r>
  <r>
    <x v="9"/>
    <x v="8"/>
    <x v="9"/>
    <n v="0.79059999999999997"/>
    <n v="0.78796999999999995"/>
    <n v="0.84"/>
    <n v="0.81398499999999996"/>
    <n v="520.29999999999995"/>
  </r>
  <r>
    <x v="9"/>
    <x v="8"/>
    <x v="9"/>
    <n v="0.79059999999999997"/>
    <n v="0.78796999999999995"/>
    <n v="0.84"/>
    <n v="0.81398499999999996"/>
    <n v="520.29999999999995"/>
  </r>
  <r>
    <x v="9"/>
    <x v="8"/>
    <x v="9"/>
    <n v="0.79059999999999997"/>
    <n v="0.78796999999999995"/>
    <n v="0.84"/>
    <n v="0.81398499999999996"/>
    <n v="520.29999999999995"/>
  </r>
  <r>
    <x v="9"/>
    <x v="8"/>
    <x v="9"/>
    <n v="0.79059999999999997"/>
    <n v="0.78796999999999995"/>
    <n v="0.84"/>
    <n v="0.81398499999999996"/>
    <n v="520.29999999999995"/>
  </r>
  <r>
    <x v="9"/>
    <x v="8"/>
    <x v="9"/>
    <n v="0.79059999999999997"/>
    <n v="0.78796999999999995"/>
    <n v="0.84"/>
    <n v="0.81398499999999996"/>
    <n v="520.29999999999995"/>
  </r>
  <r>
    <x v="9"/>
    <x v="8"/>
    <x v="9"/>
    <n v="0.79059999999999997"/>
    <n v="0.78796999999999995"/>
    <n v="0.84"/>
    <n v="0.81398499999999996"/>
    <n v="520.29999999999995"/>
  </r>
  <r>
    <x v="9"/>
    <x v="8"/>
    <x v="9"/>
    <n v="0.79059999999999997"/>
    <n v="0.78796999999999995"/>
    <n v="0.84"/>
    <n v="0.81398499999999996"/>
    <n v="520.29999999999995"/>
  </r>
  <r>
    <x v="9"/>
    <x v="8"/>
    <x v="9"/>
    <n v="0.79059999999999997"/>
    <n v="0.78796999999999995"/>
    <n v="0.84"/>
    <n v="0.81398499999999996"/>
    <n v="520.29999999999995"/>
  </r>
  <r>
    <x v="9"/>
    <x v="8"/>
    <x v="9"/>
    <n v="0.79059999999999997"/>
    <n v="0.78796999999999995"/>
    <n v="0.84"/>
    <n v="0.81398499999999996"/>
    <n v="520.29999999999995"/>
  </r>
  <r>
    <x v="9"/>
    <x v="8"/>
    <x v="9"/>
    <n v="0.79059999999999997"/>
    <n v="0.78796999999999995"/>
    <n v="0.84"/>
    <n v="0.81398499999999996"/>
    <n v="520.29999999999995"/>
  </r>
  <r>
    <x v="9"/>
    <x v="8"/>
    <x v="9"/>
    <n v="0.79059999999999997"/>
    <n v="0.78796999999999995"/>
    <n v="0.84"/>
    <n v="0.81398499999999996"/>
    <n v="520.29999999999995"/>
  </r>
  <r>
    <x v="9"/>
    <x v="8"/>
    <x v="9"/>
    <n v="0.79059999999999997"/>
    <n v="0.78796999999999995"/>
    <n v="0.84"/>
    <n v="0.81398499999999996"/>
    <n v="520.29999999999995"/>
  </r>
  <r>
    <x v="9"/>
    <x v="8"/>
    <x v="9"/>
    <n v="0.79059999999999997"/>
    <n v="0.78796999999999995"/>
    <n v="0.84"/>
    <n v="0.81398499999999996"/>
    <n v="520.29999999999995"/>
  </r>
  <r>
    <x v="9"/>
    <x v="8"/>
    <x v="9"/>
    <n v="0.79059999999999997"/>
    <n v="0.78796999999999995"/>
    <n v="0.84"/>
    <n v="0.81398499999999996"/>
    <n v="520.29999999999995"/>
  </r>
  <r>
    <x v="9"/>
    <x v="8"/>
    <x v="9"/>
    <n v="0.79059999999999997"/>
    <n v="0.78796999999999995"/>
    <n v="0.84"/>
    <n v="0.81398499999999996"/>
    <n v="520.29999999999995"/>
  </r>
  <r>
    <x v="9"/>
    <x v="8"/>
    <x v="9"/>
    <n v="0.79059999999999997"/>
    <n v="0.78796999999999995"/>
    <n v="0.84"/>
    <n v="0.81398499999999996"/>
    <n v="520.29999999999995"/>
  </r>
  <r>
    <x v="9"/>
    <x v="8"/>
    <x v="9"/>
    <n v="0.79059999999999997"/>
    <n v="0.78796999999999995"/>
    <n v="0.84"/>
    <n v="0.81398499999999996"/>
    <n v="520.29999999999995"/>
  </r>
  <r>
    <x v="9"/>
    <x v="8"/>
    <x v="9"/>
    <n v="0.79059999999999997"/>
    <n v="0.78796999999999995"/>
    <n v="0.84"/>
    <n v="0.81398499999999996"/>
    <n v="520.29999999999995"/>
  </r>
  <r>
    <x v="9"/>
    <x v="8"/>
    <x v="9"/>
    <n v="0.79059999999999997"/>
    <n v="0.78796999999999995"/>
    <n v="0.84"/>
    <n v="0.81398499999999996"/>
    <n v="520.29999999999995"/>
  </r>
  <r>
    <x v="9"/>
    <x v="8"/>
    <x v="9"/>
    <n v="0.79059999999999997"/>
    <n v="0.78796999999999995"/>
    <n v="0.84"/>
    <n v="0.81398499999999996"/>
    <n v="520.29999999999995"/>
  </r>
  <r>
    <x v="9"/>
    <x v="8"/>
    <x v="9"/>
    <n v="0.79059999999999997"/>
    <n v="0.78796999999999995"/>
    <n v="0.84"/>
    <n v="0.81398499999999996"/>
    <n v="520.29999999999995"/>
  </r>
  <r>
    <x v="9"/>
    <x v="8"/>
    <x v="9"/>
    <n v="0.79059999999999997"/>
    <n v="0.78796999999999995"/>
    <n v="0.84"/>
    <n v="0.81398499999999996"/>
    <n v="520.29999999999995"/>
  </r>
  <r>
    <x v="9"/>
    <x v="8"/>
    <x v="9"/>
    <n v="0.79059999999999997"/>
    <n v="0.78796999999999995"/>
    <n v="0.84"/>
    <n v="0.81398499999999996"/>
    <n v="520.29999999999995"/>
  </r>
  <r>
    <x v="9"/>
    <x v="8"/>
    <x v="9"/>
    <n v="0.79059999999999997"/>
    <n v="0.78796999999999995"/>
    <n v="0.84"/>
    <n v="0.81398499999999996"/>
    <n v="520.29999999999995"/>
  </r>
  <r>
    <x v="9"/>
    <x v="8"/>
    <x v="9"/>
    <n v="0.79059999999999997"/>
    <n v="0.78796999999999995"/>
    <n v="0.84"/>
    <n v="0.81398499999999996"/>
    <n v="520.29999999999995"/>
  </r>
  <r>
    <x v="9"/>
    <x v="8"/>
    <x v="9"/>
    <n v="0.79059999999999997"/>
    <n v="0.78796999999999995"/>
    <n v="0.84"/>
    <n v="0.81398499999999996"/>
    <n v="520.29999999999995"/>
  </r>
  <r>
    <x v="9"/>
    <x v="8"/>
    <x v="0"/>
    <n v="1.98454"/>
    <n v="1.91"/>
    <n v="2.0024099999999998"/>
    <n v="1.956205"/>
    <n v="924.1"/>
  </r>
  <r>
    <x v="9"/>
    <x v="8"/>
    <x v="0"/>
    <n v="1.98454"/>
    <n v="1.91"/>
    <n v="2.0024099999999998"/>
    <n v="1.956205"/>
    <n v="924.1"/>
  </r>
  <r>
    <x v="9"/>
    <x v="8"/>
    <x v="0"/>
    <n v="1.98454"/>
    <n v="1.91"/>
    <n v="2.0024099999999998"/>
    <n v="1.956205"/>
    <n v="924.1"/>
  </r>
  <r>
    <x v="9"/>
    <x v="9"/>
    <x v="0"/>
    <n v="1.9586699999999999"/>
    <n v="1.91"/>
    <n v="2.0024099999999998"/>
    <n v="1.956205"/>
    <n v="924.1"/>
  </r>
  <r>
    <x v="9"/>
    <x v="9"/>
    <x v="0"/>
    <n v="1.9586699999999999"/>
    <n v="1.91"/>
    <n v="2.0024099999999998"/>
    <n v="1.956205"/>
    <n v="924.1"/>
  </r>
  <r>
    <x v="9"/>
    <x v="9"/>
    <x v="0"/>
    <n v="1.9586699999999999"/>
    <n v="1.91"/>
    <n v="2.0024099999999998"/>
    <n v="1.956205"/>
    <n v="924.1"/>
  </r>
  <r>
    <x v="9"/>
    <x v="9"/>
    <x v="0"/>
    <n v="1.9586699999999999"/>
    <n v="1.91"/>
    <n v="2.0024099999999998"/>
    <n v="1.956205"/>
    <n v="924.1"/>
  </r>
  <r>
    <x v="9"/>
    <x v="9"/>
    <x v="0"/>
    <n v="1.9586699999999999"/>
    <n v="1.91"/>
    <n v="2.0024099999999998"/>
    <n v="1.956205"/>
    <n v="924.1"/>
  </r>
  <r>
    <x v="9"/>
    <x v="9"/>
    <x v="0"/>
    <n v="1.9586699999999999"/>
    <n v="1.91"/>
    <n v="2.0024099999999998"/>
    <n v="1.956205"/>
    <n v="924.1"/>
  </r>
  <r>
    <x v="9"/>
    <x v="9"/>
    <x v="0"/>
    <n v="1.9586699999999999"/>
    <n v="1.91"/>
    <n v="2.0024099999999998"/>
    <n v="1.956205"/>
    <n v="924.1"/>
  </r>
  <r>
    <x v="9"/>
    <x v="9"/>
    <x v="0"/>
    <n v="1.9586699999999999"/>
    <n v="1.91"/>
    <n v="2.0024099999999998"/>
    <n v="1.956205"/>
    <n v="924.1"/>
  </r>
  <r>
    <x v="9"/>
    <x v="9"/>
    <x v="0"/>
    <n v="1.9586699999999999"/>
    <n v="1.91"/>
    <n v="2.0024099999999998"/>
    <n v="1.956205"/>
    <n v="924.1"/>
  </r>
  <r>
    <x v="9"/>
    <x v="9"/>
    <x v="0"/>
    <n v="1.9586699999999999"/>
    <n v="1.91"/>
    <n v="2.0024099999999998"/>
    <n v="1.956205"/>
    <n v="924.1"/>
  </r>
  <r>
    <x v="9"/>
    <x v="9"/>
    <x v="0"/>
    <n v="1.9586699999999999"/>
    <n v="1.91"/>
    <n v="2.0024099999999998"/>
    <n v="1.956205"/>
    <n v="924.1"/>
  </r>
  <r>
    <x v="9"/>
    <x v="9"/>
    <x v="0"/>
    <n v="1.9586699999999999"/>
    <n v="1.91"/>
    <n v="2.0024099999999998"/>
    <n v="1.956205"/>
    <n v="924.1"/>
  </r>
  <r>
    <x v="9"/>
    <x v="9"/>
    <x v="0"/>
    <n v="1.9586699999999999"/>
    <n v="1.91"/>
    <n v="2.0024099999999998"/>
    <n v="1.956205"/>
    <n v="924.1"/>
  </r>
  <r>
    <x v="9"/>
    <x v="9"/>
    <x v="0"/>
    <n v="1.9586699999999999"/>
    <n v="1.91"/>
    <n v="2.0024099999999998"/>
    <n v="1.956205"/>
    <n v="924.1"/>
  </r>
  <r>
    <x v="9"/>
    <x v="9"/>
    <x v="0"/>
    <n v="1.9586699999999999"/>
    <n v="1.91"/>
    <n v="2.0024099999999998"/>
    <n v="1.956205"/>
    <n v="924.1"/>
  </r>
  <r>
    <x v="9"/>
    <x v="9"/>
    <x v="0"/>
    <n v="1.9586699999999999"/>
    <n v="1.91"/>
    <n v="2.0024099999999998"/>
    <n v="1.956205"/>
    <n v="924.1"/>
  </r>
  <r>
    <x v="9"/>
    <x v="9"/>
    <x v="0"/>
    <n v="1.9586699999999999"/>
    <n v="1.91"/>
    <n v="2.0024099999999998"/>
    <n v="1.956205"/>
    <n v="924.1"/>
  </r>
  <r>
    <x v="9"/>
    <x v="9"/>
    <x v="0"/>
    <n v="1.9586699999999999"/>
    <n v="1.91"/>
    <n v="2.0024099999999998"/>
    <n v="1.956205"/>
    <n v="924.1"/>
  </r>
  <r>
    <x v="9"/>
    <x v="9"/>
    <x v="0"/>
    <n v="1.9586699999999999"/>
    <n v="1.91"/>
    <n v="2.0024099999999998"/>
    <n v="1.956205"/>
    <n v="924.1"/>
  </r>
  <r>
    <x v="9"/>
    <x v="9"/>
    <x v="0"/>
    <n v="1.9586699999999999"/>
    <n v="1.91"/>
    <n v="2.0024099999999998"/>
    <n v="1.956205"/>
    <n v="924.1"/>
  </r>
  <r>
    <x v="9"/>
    <x v="9"/>
    <x v="0"/>
    <n v="1.9586699999999999"/>
    <n v="1.91"/>
    <n v="2.0024099999999998"/>
    <n v="1.956205"/>
    <n v="924.1"/>
  </r>
  <r>
    <x v="9"/>
    <x v="9"/>
    <x v="0"/>
    <n v="1.9586699999999999"/>
    <n v="1.91"/>
    <n v="2.0024099999999998"/>
    <n v="1.956205"/>
    <n v="924.1"/>
  </r>
  <r>
    <x v="9"/>
    <x v="9"/>
    <x v="0"/>
    <n v="1.9586699999999999"/>
    <n v="1.91"/>
    <n v="2.0024099999999998"/>
    <n v="1.956205"/>
    <n v="924.1"/>
  </r>
  <r>
    <x v="9"/>
    <x v="9"/>
    <x v="0"/>
    <n v="1.9586699999999999"/>
    <n v="1.91"/>
    <n v="2.0024099999999998"/>
    <n v="1.956205"/>
    <n v="924.1"/>
  </r>
  <r>
    <x v="9"/>
    <x v="9"/>
    <x v="0"/>
    <n v="1.9586699999999999"/>
    <n v="1.91"/>
    <n v="2.0024099999999998"/>
    <n v="1.956205"/>
    <n v="924.1"/>
  </r>
  <r>
    <x v="9"/>
    <x v="9"/>
    <x v="0"/>
    <n v="1.9586699999999999"/>
    <n v="1.91"/>
    <n v="2.0024099999999998"/>
    <n v="1.956205"/>
    <n v="924.1"/>
  </r>
  <r>
    <x v="9"/>
    <x v="9"/>
    <x v="2"/>
    <n v="105.066"/>
    <n v="101"/>
    <n v="105.60299999999999"/>
    <n v="103.3015"/>
    <n v="460.3"/>
  </r>
  <r>
    <x v="9"/>
    <x v="9"/>
    <x v="2"/>
    <n v="105.066"/>
    <n v="101"/>
    <n v="105.60299999999999"/>
    <n v="103.3015"/>
    <n v="460.3"/>
  </r>
  <r>
    <x v="9"/>
    <x v="9"/>
    <x v="2"/>
    <n v="105.066"/>
    <n v="101"/>
    <n v="105.60299999999999"/>
    <n v="103.3015"/>
    <n v="460.3"/>
  </r>
  <r>
    <x v="9"/>
    <x v="9"/>
    <x v="2"/>
    <n v="105.066"/>
    <n v="101"/>
    <n v="105.60299999999999"/>
    <n v="103.3015"/>
    <n v="460.3"/>
  </r>
  <r>
    <x v="9"/>
    <x v="9"/>
    <x v="2"/>
    <n v="105.066"/>
    <n v="101"/>
    <n v="105.60299999999999"/>
    <n v="103.3015"/>
    <n v="460.3"/>
  </r>
  <r>
    <x v="9"/>
    <x v="9"/>
    <x v="2"/>
    <n v="105.066"/>
    <n v="101"/>
    <n v="105.60299999999999"/>
    <n v="103.3015"/>
    <n v="460.3"/>
  </r>
  <r>
    <x v="9"/>
    <x v="9"/>
    <x v="2"/>
    <n v="105.066"/>
    <n v="101"/>
    <n v="105.60299999999999"/>
    <n v="103.3015"/>
    <n v="460.3"/>
  </r>
  <r>
    <x v="9"/>
    <x v="9"/>
    <x v="2"/>
    <n v="105.066"/>
    <n v="101"/>
    <n v="105.60299999999999"/>
    <n v="103.3015"/>
    <n v="460.3"/>
  </r>
  <r>
    <x v="9"/>
    <x v="9"/>
    <x v="2"/>
    <n v="105.066"/>
    <n v="101"/>
    <n v="105.60299999999999"/>
    <n v="103.3015"/>
    <n v="460.3"/>
  </r>
  <r>
    <x v="9"/>
    <x v="9"/>
    <x v="2"/>
    <n v="105.066"/>
    <n v="101"/>
    <n v="105.60299999999999"/>
    <n v="103.3015"/>
    <n v="460.3"/>
  </r>
  <r>
    <x v="9"/>
    <x v="9"/>
    <x v="2"/>
    <n v="105.066"/>
    <n v="101"/>
    <n v="105.60299999999999"/>
    <n v="103.3015"/>
    <n v="460.3"/>
  </r>
  <r>
    <x v="9"/>
    <x v="9"/>
    <x v="2"/>
    <n v="105.066"/>
    <n v="101"/>
    <n v="105.60299999999999"/>
    <n v="103.3015"/>
    <n v="460.3"/>
  </r>
  <r>
    <x v="9"/>
    <x v="9"/>
    <x v="2"/>
    <n v="105.066"/>
    <n v="101"/>
    <n v="105.60299999999999"/>
    <n v="103.3015"/>
    <n v="460.3"/>
  </r>
  <r>
    <x v="9"/>
    <x v="9"/>
    <x v="2"/>
    <n v="105.066"/>
    <n v="101"/>
    <n v="105.60299999999999"/>
    <n v="103.3015"/>
    <n v="460.3"/>
  </r>
  <r>
    <x v="9"/>
    <x v="9"/>
    <x v="2"/>
    <n v="105.066"/>
    <n v="101"/>
    <n v="105.60299999999999"/>
    <n v="103.3015"/>
    <n v="460.3"/>
  </r>
  <r>
    <x v="9"/>
    <x v="9"/>
    <x v="2"/>
    <n v="105.066"/>
    <n v="101"/>
    <n v="105.60299999999999"/>
    <n v="103.3015"/>
    <n v="460.3"/>
  </r>
  <r>
    <x v="9"/>
    <x v="9"/>
    <x v="2"/>
    <n v="105.066"/>
    <n v="101"/>
    <n v="105.60299999999999"/>
    <n v="103.3015"/>
    <n v="460.3"/>
  </r>
  <r>
    <x v="9"/>
    <x v="9"/>
    <x v="2"/>
    <n v="105.066"/>
    <n v="101"/>
    <n v="105.60299999999999"/>
    <n v="103.3015"/>
    <n v="460.3"/>
  </r>
  <r>
    <x v="9"/>
    <x v="9"/>
    <x v="2"/>
    <n v="105.066"/>
    <n v="101"/>
    <n v="105.60299999999999"/>
    <n v="103.3015"/>
    <n v="460.3"/>
  </r>
  <r>
    <x v="9"/>
    <x v="9"/>
    <x v="2"/>
    <n v="105.066"/>
    <n v="101"/>
    <n v="105.60299999999999"/>
    <n v="103.3015"/>
    <n v="460.3"/>
  </r>
  <r>
    <x v="9"/>
    <x v="9"/>
    <x v="2"/>
    <n v="105.066"/>
    <n v="101"/>
    <n v="105.60299999999999"/>
    <n v="103.3015"/>
    <n v="460.3"/>
  </r>
  <r>
    <x v="9"/>
    <x v="9"/>
    <x v="2"/>
    <n v="105.066"/>
    <n v="101"/>
    <n v="105.60299999999999"/>
    <n v="103.3015"/>
    <n v="460.3"/>
  </r>
  <r>
    <x v="9"/>
    <x v="9"/>
    <x v="2"/>
    <n v="105.066"/>
    <n v="101"/>
    <n v="105.60299999999999"/>
    <n v="103.3015"/>
    <n v="460.3"/>
  </r>
  <r>
    <x v="9"/>
    <x v="9"/>
    <x v="2"/>
    <n v="105.066"/>
    <n v="101"/>
    <n v="105.60299999999999"/>
    <n v="103.3015"/>
    <n v="460.3"/>
  </r>
  <r>
    <x v="9"/>
    <x v="9"/>
    <x v="2"/>
    <n v="105.066"/>
    <n v="101"/>
    <n v="105.60299999999999"/>
    <n v="103.3015"/>
    <n v="460.3"/>
  </r>
  <r>
    <x v="9"/>
    <x v="9"/>
    <x v="2"/>
    <n v="105.066"/>
    <n v="101"/>
    <n v="105.60299999999999"/>
    <n v="103.3015"/>
    <n v="460.3"/>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13"/>
    <n v="0.93738999999999995"/>
    <n v="0.89127000000000001"/>
    <n v="0.94952999999999999"/>
    <n v="0.9204"/>
    <n v="582.6"/>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9"/>
    <n v="0.79308999999999996"/>
    <n v="0.78796999999999995"/>
    <n v="0.84"/>
    <n v="0.81398499999999996"/>
    <n v="520.29999999999995"/>
  </r>
  <r>
    <x v="9"/>
    <x v="9"/>
    <x v="0"/>
    <n v="1.9586699999999999"/>
    <n v="1.91"/>
    <n v="2.0024099999999998"/>
    <n v="1.956205"/>
    <n v="924.1"/>
  </r>
  <r>
    <x v="9"/>
    <x v="9"/>
    <x v="0"/>
    <n v="1.9586699999999999"/>
    <n v="1.91"/>
    <n v="2.0024099999999998"/>
    <n v="1.956205"/>
    <n v="924.1"/>
  </r>
  <r>
    <x v="9"/>
    <x v="10"/>
    <x v="0"/>
    <n v="1.9958499999999999"/>
    <n v="1.91"/>
    <n v="2.0024099999999998"/>
    <n v="1.956205"/>
    <n v="924.1"/>
  </r>
  <r>
    <x v="9"/>
    <x v="10"/>
    <x v="0"/>
    <n v="1.9958499999999999"/>
    <n v="1.91"/>
    <n v="2.0024099999999998"/>
    <n v="1.956205"/>
    <n v="924.1"/>
  </r>
  <r>
    <x v="9"/>
    <x v="10"/>
    <x v="0"/>
    <n v="1.9958499999999999"/>
    <n v="1.91"/>
    <n v="2.0024099999999998"/>
    <n v="1.956205"/>
    <n v="924.1"/>
  </r>
  <r>
    <x v="9"/>
    <x v="10"/>
    <x v="0"/>
    <n v="1.9958499999999999"/>
    <n v="1.91"/>
    <n v="2.0024099999999998"/>
    <n v="1.956205"/>
    <n v="924.1"/>
  </r>
  <r>
    <x v="9"/>
    <x v="10"/>
    <x v="0"/>
    <n v="1.9958499999999999"/>
    <n v="1.91"/>
    <n v="2.0024099999999998"/>
    <n v="1.956205"/>
    <n v="924.1"/>
  </r>
  <r>
    <x v="9"/>
    <x v="10"/>
    <x v="0"/>
    <n v="1.9958499999999999"/>
    <n v="1.91"/>
    <n v="2.0024099999999998"/>
    <n v="1.956205"/>
    <n v="924.1"/>
  </r>
  <r>
    <x v="9"/>
    <x v="10"/>
    <x v="0"/>
    <n v="1.9958499999999999"/>
    <n v="1.91"/>
    <n v="2.0024099999999998"/>
    <n v="1.956205"/>
    <n v="924.1"/>
  </r>
  <r>
    <x v="9"/>
    <x v="10"/>
    <x v="0"/>
    <n v="1.9958499999999999"/>
    <n v="1.91"/>
    <n v="2.0024099999999998"/>
    <n v="1.956205"/>
    <n v="924.1"/>
  </r>
  <r>
    <x v="9"/>
    <x v="10"/>
    <x v="0"/>
    <n v="1.9958499999999999"/>
    <n v="1.91"/>
    <n v="2.0024099999999998"/>
    <n v="1.956205"/>
    <n v="924.1"/>
  </r>
  <r>
    <x v="9"/>
    <x v="10"/>
    <x v="0"/>
    <n v="1.9958499999999999"/>
    <n v="1.91"/>
    <n v="2.0024099999999998"/>
    <n v="1.956205"/>
    <n v="924.1"/>
  </r>
  <r>
    <x v="9"/>
    <x v="10"/>
    <x v="0"/>
    <n v="1.9958499999999999"/>
    <n v="1.91"/>
    <n v="2.0024099999999998"/>
    <n v="1.956205"/>
    <n v="924.1"/>
  </r>
  <r>
    <x v="9"/>
    <x v="10"/>
    <x v="0"/>
    <n v="1.9958499999999999"/>
    <n v="1.91"/>
    <n v="2.0024099999999998"/>
    <n v="1.956205"/>
    <n v="924.1"/>
  </r>
  <r>
    <x v="9"/>
    <x v="10"/>
    <x v="0"/>
    <n v="1.9958499999999999"/>
    <n v="1.91"/>
    <n v="2.0024099999999998"/>
    <n v="1.956205"/>
    <n v="924.1"/>
  </r>
  <r>
    <x v="9"/>
    <x v="10"/>
    <x v="0"/>
    <n v="1.9958499999999999"/>
    <n v="1.91"/>
    <n v="2.0024099999999998"/>
    <n v="1.956205"/>
    <n v="924.1"/>
  </r>
  <r>
    <x v="9"/>
    <x v="10"/>
    <x v="0"/>
    <n v="1.9958499999999999"/>
    <n v="1.91"/>
    <n v="2.0024099999999998"/>
    <n v="1.956205"/>
    <n v="924.1"/>
  </r>
  <r>
    <x v="9"/>
    <x v="10"/>
    <x v="0"/>
    <n v="1.9958499999999999"/>
    <n v="1.91"/>
    <n v="2.0024099999999998"/>
    <n v="1.956205"/>
    <n v="924.1"/>
  </r>
  <r>
    <x v="9"/>
    <x v="10"/>
    <x v="0"/>
    <n v="1.9958499999999999"/>
    <n v="1.91"/>
    <n v="2.0024099999999998"/>
    <n v="1.956205"/>
    <n v="924.1"/>
  </r>
  <r>
    <x v="9"/>
    <x v="10"/>
    <x v="0"/>
    <n v="1.9958499999999999"/>
    <n v="1.91"/>
    <n v="2.0024099999999998"/>
    <n v="1.956205"/>
    <n v="924.1"/>
  </r>
  <r>
    <x v="9"/>
    <x v="10"/>
    <x v="0"/>
    <n v="1.9958499999999999"/>
    <n v="1.91"/>
    <n v="2.0024099999999998"/>
    <n v="1.956205"/>
    <n v="924.1"/>
  </r>
  <r>
    <x v="9"/>
    <x v="10"/>
    <x v="0"/>
    <n v="1.9958499999999999"/>
    <n v="1.91"/>
    <n v="2.0024099999999998"/>
    <n v="1.956205"/>
    <n v="924.1"/>
  </r>
  <r>
    <x v="9"/>
    <x v="10"/>
    <x v="0"/>
    <n v="1.9958499999999999"/>
    <n v="1.91"/>
    <n v="2.0024099999999998"/>
    <n v="1.956205"/>
    <n v="924.1"/>
  </r>
  <r>
    <x v="9"/>
    <x v="10"/>
    <x v="0"/>
    <n v="1.9958499999999999"/>
    <n v="1.91"/>
    <n v="2.0024099999999998"/>
    <n v="1.956205"/>
    <n v="924.1"/>
  </r>
  <r>
    <x v="9"/>
    <x v="10"/>
    <x v="0"/>
    <n v="1.9958499999999999"/>
    <n v="1.91"/>
    <n v="2.0024099999999998"/>
    <n v="1.956205"/>
    <n v="924.1"/>
  </r>
  <r>
    <x v="9"/>
    <x v="10"/>
    <x v="0"/>
    <n v="1.9958499999999999"/>
    <n v="1.91"/>
    <n v="2.0024099999999998"/>
    <n v="1.956205"/>
    <n v="924.1"/>
  </r>
  <r>
    <x v="9"/>
    <x v="10"/>
    <x v="0"/>
    <n v="1.9958499999999999"/>
    <n v="1.91"/>
    <n v="2.0024099999999998"/>
    <n v="1.956205"/>
    <n v="924.1"/>
  </r>
  <r>
    <x v="9"/>
    <x v="10"/>
    <x v="0"/>
    <n v="1.9958499999999999"/>
    <n v="1.91"/>
    <n v="2.0024099999999998"/>
    <n v="1.956205"/>
    <n v="924.1"/>
  </r>
  <r>
    <x v="9"/>
    <x v="10"/>
    <x v="0"/>
    <n v="1.9958499999999999"/>
    <n v="1.91"/>
    <n v="2.0024099999999998"/>
    <n v="1.956205"/>
    <n v="924.1"/>
  </r>
  <r>
    <x v="9"/>
    <x v="10"/>
    <x v="0"/>
    <n v="1.9958499999999999"/>
    <n v="1.91"/>
    <n v="2.0024099999999998"/>
    <n v="1.956205"/>
    <n v="924.1"/>
  </r>
  <r>
    <x v="9"/>
    <x v="10"/>
    <x v="0"/>
    <n v="1.9958499999999999"/>
    <n v="1.91"/>
    <n v="2.0024099999999998"/>
    <n v="1.956205"/>
    <n v="924.1"/>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2"/>
    <n v="107.29600000000001"/>
    <n v="101"/>
    <n v="107.4"/>
    <n v="104.2"/>
    <n v="640"/>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13"/>
    <n v="0.90361999999999998"/>
    <n v="0.89127000000000001"/>
    <n v="0.94952999999999999"/>
    <n v="0.9204"/>
    <n v="582.6"/>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9"/>
    <n v="0.79615999999999998"/>
    <n v="0.78796999999999995"/>
    <n v="0.84"/>
    <n v="0.81398499999999996"/>
    <n v="520.29999999999995"/>
  </r>
  <r>
    <x v="9"/>
    <x v="10"/>
    <x v="0"/>
    <n v="1.9958499999999999"/>
    <n v="1.91"/>
    <n v="2.0024099999999998"/>
    <n v="1.956205"/>
    <n v="924.1"/>
  </r>
  <r>
    <x v="9"/>
    <x v="10"/>
    <x v="0"/>
    <n v="1.9958499999999999"/>
    <n v="1.91"/>
    <n v="2.0024099999999998"/>
    <n v="1.956205"/>
    <n v="924.1"/>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13"/>
    <n v="0.89236000000000004"/>
    <n v="0.89127000000000001"/>
    <n v="0.94952999999999999"/>
    <n v="0.9204"/>
    <n v="582.6"/>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9"/>
    <n v="0.78735999999999995"/>
    <n v="0.78596999999999995"/>
    <n v="0.84"/>
    <n v="0.81298499999999996"/>
    <n v="540.29999999999995"/>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0"/>
    <n v="2.00278"/>
    <n v="1.91"/>
    <n v="2.0139999999999998"/>
    <n v="1.962"/>
    <n v="1040"/>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1"/>
    <x v="2"/>
    <n v="109.005"/>
    <n v="101"/>
    <n v="109.002"/>
    <n v="105.001"/>
    <n v="800.2"/>
  </r>
  <r>
    <x v="9"/>
    <x v="12"/>
    <x v="2"/>
    <n v="109.28"/>
    <n v="101"/>
    <n v="109.002"/>
    <n v="105.001"/>
    <n v="800.2"/>
  </r>
  <r>
    <x v="9"/>
    <x v="12"/>
    <x v="2"/>
    <n v="109.28"/>
    <n v="101"/>
    <n v="109.002"/>
    <n v="105.001"/>
    <n v="800.2"/>
  </r>
  <r>
    <x v="9"/>
    <x v="12"/>
    <x v="2"/>
    <n v="109.28"/>
    <n v="101"/>
    <n v="109.002"/>
    <n v="105.001"/>
    <n v="80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2"/>
    <n v="109.28"/>
    <n v="101"/>
    <n v="109.002"/>
    <n v="105.001"/>
    <n v="800.2"/>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13"/>
    <n v="0.87634000000000001"/>
    <n v="0.89127000000000001"/>
    <n v="0.94952999999999999"/>
    <n v="0.9204"/>
    <n v="582.6"/>
  </r>
  <r>
    <x v="9"/>
    <x v="12"/>
    <x v="9"/>
    <n v="0.78019000000000005"/>
    <n v="0.78596999999999995"/>
    <n v="0.84"/>
    <n v="0.81298499999999996"/>
    <n v="540.29999999999995"/>
  </r>
  <r>
    <x v="9"/>
    <x v="12"/>
    <x v="9"/>
    <n v="0.78019000000000005"/>
    <n v="0.78596999999999995"/>
    <n v="0.84"/>
    <n v="0.81298499999999996"/>
    <n v="540.29999999999995"/>
  </r>
  <r>
    <x v="9"/>
    <x v="12"/>
    <x v="9"/>
    <n v="0.78019000000000005"/>
    <n v="0.78596999999999995"/>
    <n v="0.84"/>
    <n v="0.81298499999999996"/>
    <n v="540.29999999999995"/>
  </r>
  <r>
    <x v="9"/>
    <x v="12"/>
    <x v="9"/>
    <n v="0.78019000000000005"/>
    <n v="0.78596999999999995"/>
    <n v="0.84"/>
    <n v="0.81298499999999996"/>
    <n v="540.29999999999995"/>
  </r>
  <r>
    <x v="9"/>
    <x v="12"/>
    <x v="9"/>
    <n v="0.78019000000000005"/>
    <n v="0.78596999999999995"/>
    <n v="0.84"/>
    <n v="0.81298499999999996"/>
    <n v="540.29999999999995"/>
  </r>
  <r>
    <x v="9"/>
    <x v="12"/>
    <x v="9"/>
    <n v="0.78019000000000005"/>
    <n v="0.78596999999999995"/>
    <n v="0.84"/>
    <n v="0.81298499999999996"/>
    <n v="540.29999999999995"/>
  </r>
  <r>
    <x v="9"/>
    <x v="12"/>
    <x v="9"/>
    <n v="0.78019000000000005"/>
    <n v="0.78596999999999995"/>
    <n v="0.84"/>
    <n v="0.81298499999999996"/>
    <n v="540.29999999999995"/>
  </r>
  <r>
    <x v="9"/>
    <x v="12"/>
    <x v="9"/>
    <n v="0.78019000000000005"/>
    <n v="0.78596999999999995"/>
    <n v="0.84"/>
    <n v="0.81298499999999996"/>
    <n v="540.29999999999995"/>
  </r>
  <r>
    <x v="9"/>
    <x v="12"/>
    <x v="9"/>
    <n v="0.78019000000000005"/>
    <n v="0.78596999999999995"/>
    <n v="0.84"/>
    <n v="0.81298499999999996"/>
    <n v="540.29999999999995"/>
  </r>
  <r>
    <x v="9"/>
    <x v="12"/>
    <x v="9"/>
    <n v="0.78019000000000005"/>
    <n v="0.78596999999999995"/>
    <n v="0.84"/>
    <n v="0.81298499999999996"/>
    <n v="540.29999999999995"/>
  </r>
  <r>
    <x v="9"/>
    <x v="12"/>
    <x v="9"/>
    <n v="0.78019000000000005"/>
    <n v="0.78596999999999995"/>
    <n v="0.84"/>
    <n v="0.81298499999999996"/>
    <n v="540.29999999999995"/>
  </r>
  <r>
    <x v="9"/>
    <x v="12"/>
    <x v="9"/>
    <n v="0.78019000000000005"/>
    <n v="0.78596999999999995"/>
    <n v="0.84"/>
    <n v="0.81298499999999996"/>
    <n v="540.29999999999995"/>
  </r>
  <r>
    <x v="9"/>
    <x v="12"/>
    <x v="9"/>
    <n v="0.78019000000000005"/>
    <n v="0.78596999999999995"/>
    <n v="0.84"/>
    <n v="0.81298499999999996"/>
    <n v="540.29999999999995"/>
  </r>
  <r>
    <x v="9"/>
    <x v="12"/>
    <x v="9"/>
    <n v="0.78019000000000005"/>
    <n v="0.78596999999999995"/>
    <n v="0.84"/>
    <n v="0.81298499999999996"/>
    <n v="540.29999999999995"/>
  </r>
  <r>
    <x v="9"/>
    <x v="12"/>
    <x v="9"/>
    <n v="0.78019000000000005"/>
    <n v="0.78596999999999995"/>
    <n v="0.84"/>
    <n v="0.81298499999999996"/>
    <n v="540.29999999999995"/>
  </r>
  <r>
    <x v="9"/>
    <x v="12"/>
    <x v="9"/>
    <n v="0.78019000000000005"/>
    <n v="0.78596999999999995"/>
    <n v="0.84"/>
    <n v="0.81298499999999996"/>
    <n v="540.29999999999995"/>
  </r>
  <r>
    <x v="9"/>
    <x v="12"/>
    <x v="9"/>
    <n v="0.78019000000000005"/>
    <n v="0.78596999999999995"/>
    <n v="0.84"/>
    <n v="0.81298499999999996"/>
    <n v="540.29999999999995"/>
  </r>
  <r>
    <x v="9"/>
    <x v="12"/>
    <x v="9"/>
    <n v="0.78019000000000005"/>
    <n v="0.78596999999999995"/>
    <n v="0.84"/>
    <n v="0.81298499999999996"/>
    <n v="540.29999999999995"/>
  </r>
  <r>
    <x v="9"/>
    <x v="12"/>
    <x v="9"/>
    <n v="0.78019000000000005"/>
    <n v="0.78596999999999995"/>
    <n v="0.84"/>
    <n v="0.81298499999999996"/>
    <n v="540.29999999999995"/>
  </r>
  <r>
    <x v="9"/>
    <x v="12"/>
    <x v="9"/>
    <n v="0.78019000000000005"/>
    <n v="0.78596999999999995"/>
    <n v="0.84"/>
    <n v="0.81298499999999996"/>
    <n v="540.29999999999995"/>
  </r>
  <r>
    <x v="9"/>
    <x v="12"/>
    <x v="9"/>
    <n v="0.78019000000000005"/>
    <n v="0.78596999999999995"/>
    <n v="0.84"/>
    <n v="0.81298499999999996"/>
    <n v="540.29999999999995"/>
  </r>
  <r>
    <x v="9"/>
    <x v="12"/>
    <x v="9"/>
    <n v="0.78019000000000005"/>
    <n v="0.78596999999999995"/>
    <n v="0.84"/>
    <n v="0.81298499999999996"/>
    <n v="540.29999999999995"/>
  </r>
  <r>
    <x v="9"/>
    <x v="12"/>
    <x v="9"/>
    <n v="0.78019000000000005"/>
    <n v="0.78596999999999995"/>
    <n v="0.84"/>
    <n v="0.81298499999999996"/>
    <n v="540.29999999999995"/>
  </r>
  <r>
    <x v="9"/>
    <x v="12"/>
    <x v="9"/>
    <n v="0.78019000000000005"/>
    <n v="0.78596999999999995"/>
    <n v="0.84"/>
    <n v="0.81298499999999996"/>
    <n v="540.29999999999995"/>
  </r>
  <r>
    <x v="9"/>
    <x v="12"/>
    <x v="9"/>
    <n v="0.78019000000000005"/>
    <n v="0.78596999999999995"/>
    <n v="0.84"/>
    <n v="0.81298499999999996"/>
    <n v="540.29999999999995"/>
  </r>
  <r>
    <x v="9"/>
    <x v="12"/>
    <x v="9"/>
    <n v="0.78019000000000005"/>
    <n v="0.78596999999999995"/>
    <n v="0.84"/>
    <n v="0.81298499999999996"/>
    <n v="540.29999999999995"/>
  </r>
  <r>
    <x v="9"/>
    <x v="12"/>
    <x v="9"/>
    <n v="0.78019000000000005"/>
    <n v="0.78596999999999995"/>
    <n v="0.84"/>
    <n v="0.81298499999999996"/>
    <n v="540.29999999999995"/>
  </r>
  <r>
    <x v="9"/>
    <x v="12"/>
    <x v="9"/>
    <n v="0.78019000000000005"/>
    <n v="0.78596999999999995"/>
    <n v="0.84"/>
    <n v="0.81298499999999996"/>
    <n v="540.29999999999995"/>
  </r>
  <r>
    <x v="9"/>
    <x v="12"/>
    <x v="9"/>
    <n v="0.78019000000000005"/>
    <n v="0.78596999999999995"/>
    <n v="0.84"/>
    <n v="0.81298499999999996"/>
    <n v="540.29999999999995"/>
  </r>
  <r>
    <x v="9"/>
    <x v="12"/>
    <x v="0"/>
    <n v="2.0630500000000001"/>
    <n v="1.91"/>
    <n v="2.0180199999999999"/>
    <n v="1.96401"/>
    <n v="1080.2"/>
  </r>
  <r>
    <x v="9"/>
    <x v="12"/>
    <x v="0"/>
    <n v="2.0630500000000001"/>
    <n v="1.91"/>
    <n v="2.0180199999999999"/>
    <n v="1.96401"/>
    <n v="1080.2"/>
  </r>
  <r>
    <x v="9"/>
    <x v="12"/>
    <x v="0"/>
    <n v="2.0630500000000001"/>
    <n v="1.91"/>
    <n v="2.0180199999999999"/>
    <n v="1.96401"/>
    <n v="1080.2"/>
  </r>
  <r>
    <x v="9"/>
    <x v="12"/>
    <x v="0"/>
    <n v="2.0630500000000001"/>
    <n v="1.91"/>
    <n v="2.0180199999999999"/>
    <n v="1.96401"/>
    <n v="1080.2"/>
  </r>
  <r>
    <x v="9"/>
    <x v="13"/>
    <x v="2"/>
    <n v="109.748"/>
    <n v="101"/>
    <n v="109.002"/>
    <n v="105.001"/>
    <n v="800.2"/>
  </r>
  <r>
    <x v="9"/>
    <x v="13"/>
    <x v="2"/>
    <n v="109.748"/>
    <n v="101"/>
    <n v="109.002"/>
    <n v="105.001"/>
    <n v="80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2"/>
    <n v="109.748"/>
    <n v="101"/>
    <n v="109.002"/>
    <n v="105.001"/>
    <n v="800.2"/>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13"/>
    <n v="0.86729999999999996"/>
    <n v="0.89127000000000001"/>
    <n v="0.94952999999999999"/>
    <n v="0.9204"/>
    <n v="582.6"/>
  </r>
  <r>
    <x v="9"/>
    <x v="13"/>
    <x v="9"/>
    <n v="0.78342000000000001"/>
    <n v="0.78596999999999995"/>
    <n v="0.84"/>
    <n v="0.81298499999999996"/>
    <n v="540.29999999999995"/>
  </r>
  <r>
    <x v="9"/>
    <x v="13"/>
    <x v="9"/>
    <n v="0.78342000000000001"/>
    <n v="0.78596999999999995"/>
    <n v="0.84"/>
    <n v="0.81298499999999996"/>
    <n v="540.29999999999995"/>
  </r>
  <r>
    <x v="9"/>
    <x v="13"/>
    <x v="9"/>
    <n v="0.78342000000000001"/>
    <n v="0.78596999999999995"/>
    <n v="0.84"/>
    <n v="0.81298499999999996"/>
    <n v="540.29999999999995"/>
  </r>
  <r>
    <x v="9"/>
    <x v="13"/>
    <x v="9"/>
    <n v="0.78342000000000001"/>
    <n v="0.78596999999999995"/>
    <n v="0.84"/>
    <n v="0.81298499999999996"/>
    <n v="540.29999999999995"/>
  </r>
  <r>
    <x v="9"/>
    <x v="13"/>
    <x v="9"/>
    <n v="0.78342000000000001"/>
    <n v="0.78596999999999995"/>
    <n v="0.84"/>
    <n v="0.81298499999999996"/>
    <n v="540.29999999999995"/>
  </r>
  <r>
    <x v="9"/>
    <x v="13"/>
    <x v="9"/>
    <n v="0.78342000000000001"/>
    <n v="0.78596999999999995"/>
    <n v="0.84"/>
    <n v="0.81298499999999996"/>
    <n v="540.29999999999995"/>
  </r>
  <r>
    <x v="9"/>
    <x v="13"/>
    <x v="9"/>
    <n v="0.78342000000000001"/>
    <n v="0.78596999999999995"/>
    <n v="0.84"/>
    <n v="0.81298499999999996"/>
    <n v="540.29999999999995"/>
  </r>
  <r>
    <x v="9"/>
    <x v="13"/>
    <x v="9"/>
    <n v="0.78342000000000001"/>
    <n v="0.78596999999999995"/>
    <n v="0.84"/>
    <n v="0.81298499999999996"/>
    <n v="540.29999999999995"/>
  </r>
  <r>
    <x v="9"/>
    <x v="13"/>
    <x v="9"/>
    <n v="0.78342000000000001"/>
    <n v="0.78596999999999995"/>
    <n v="0.84"/>
    <n v="0.81298499999999996"/>
    <n v="540.29999999999995"/>
  </r>
  <r>
    <x v="9"/>
    <x v="13"/>
    <x v="9"/>
    <n v="0.78342000000000001"/>
    <n v="0.78596999999999995"/>
    <n v="0.84"/>
    <n v="0.81298499999999996"/>
    <n v="540.29999999999995"/>
  </r>
  <r>
    <x v="9"/>
    <x v="13"/>
    <x v="9"/>
    <n v="0.78342000000000001"/>
    <n v="0.78596999999999995"/>
    <n v="0.84"/>
    <n v="0.81298499999999996"/>
    <n v="540.29999999999995"/>
  </r>
  <r>
    <x v="9"/>
    <x v="13"/>
    <x v="9"/>
    <n v="0.78342000000000001"/>
    <n v="0.78596999999999995"/>
    <n v="0.84"/>
    <n v="0.81298499999999996"/>
    <n v="540.29999999999995"/>
  </r>
  <r>
    <x v="9"/>
    <x v="13"/>
    <x v="9"/>
    <n v="0.78342000000000001"/>
    <n v="0.78596999999999995"/>
    <n v="0.84"/>
    <n v="0.81298499999999996"/>
    <n v="540.29999999999995"/>
  </r>
  <r>
    <x v="9"/>
    <x v="13"/>
    <x v="9"/>
    <n v="0.78342000000000001"/>
    <n v="0.78596999999999995"/>
    <n v="0.84"/>
    <n v="0.81298499999999996"/>
    <n v="540.29999999999995"/>
  </r>
  <r>
    <x v="9"/>
    <x v="13"/>
    <x v="9"/>
    <n v="0.78342000000000001"/>
    <n v="0.78596999999999995"/>
    <n v="0.84"/>
    <n v="0.81298499999999996"/>
    <n v="540.29999999999995"/>
  </r>
  <r>
    <x v="9"/>
    <x v="13"/>
    <x v="9"/>
    <n v="0.78342000000000001"/>
    <n v="0.78596999999999995"/>
    <n v="0.84"/>
    <n v="0.81298499999999996"/>
    <n v="540.29999999999995"/>
  </r>
  <r>
    <x v="9"/>
    <x v="13"/>
    <x v="9"/>
    <n v="0.78342000000000001"/>
    <n v="0.78596999999999995"/>
    <n v="0.84"/>
    <n v="0.81298499999999996"/>
    <n v="540.29999999999995"/>
  </r>
  <r>
    <x v="9"/>
    <x v="13"/>
    <x v="9"/>
    <n v="0.78342000000000001"/>
    <n v="0.78596999999999995"/>
    <n v="0.84"/>
    <n v="0.81298499999999996"/>
    <n v="540.29999999999995"/>
  </r>
  <r>
    <x v="9"/>
    <x v="13"/>
    <x v="9"/>
    <n v="0.78342000000000001"/>
    <n v="0.78596999999999995"/>
    <n v="0.84"/>
    <n v="0.81298499999999996"/>
    <n v="540.29999999999995"/>
  </r>
  <r>
    <x v="9"/>
    <x v="13"/>
    <x v="9"/>
    <n v="0.78342000000000001"/>
    <n v="0.78596999999999995"/>
    <n v="0.84"/>
    <n v="0.81298499999999996"/>
    <n v="540.29999999999995"/>
  </r>
  <r>
    <x v="9"/>
    <x v="13"/>
    <x v="9"/>
    <n v="0.78342000000000001"/>
    <n v="0.78596999999999995"/>
    <n v="0.84"/>
    <n v="0.81298499999999996"/>
    <n v="540.29999999999995"/>
  </r>
  <r>
    <x v="9"/>
    <x v="13"/>
    <x v="9"/>
    <n v="0.78342000000000001"/>
    <n v="0.78596999999999995"/>
    <n v="0.84"/>
    <n v="0.81298499999999996"/>
    <n v="540.29999999999995"/>
  </r>
  <r>
    <x v="9"/>
    <x v="13"/>
    <x v="9"/>
    <n v="0.78342000000000001"/>
    <n v="0.78596999999999995"/>
    <n v="0.84"/>
    <n v="0.81298499999999996"/>
    <n v="540.29999999999995"/>
  </r>
  <r>
    <x v="9"/>
    <x v="13"/>
    <x v="9"/>
    <n v="0.78342000000000001"/>
    <n v="0.78596999999999995"/>
    <n v="0.84"/>
    <n v="0.81298499999999996"/>
    <n v="540.29999999999995"/>
  </r>
  <r>
    <x v="9"/>
    <x v="13"/>
    <x v="9"/>
    <n v="0.78342000000000001"/>
    <n v="0.78596999999999995"/>
    <n v="0.84"/>
    <n v="0.81298499999999996"/>
    <n v="540.29999999999995"/>
  </r>
  <r>
    <x v="9"/>
    <x v="13"/>
    <x v="9"/>
    <n v="0.78342000000000001"/>
    <n v="0.78596999999999995"/>
    <n v="0.84"/>
    <n v="0.81298499999999996"/>
    <n v="540.29999999999995"/>
  </r>
  <r>
    <x v="9"/>
    <x v="13"/>
    <x v="9"/>
    <n v="0.78342000000000001"/>
    <n v="0.78596999999999995"/>
    <n v="0.84"/>
    <n v="0.81298499999999996"/>
    <n v="540.29999999999995"/>
  </r>
  <r>
    <x v="9"/>
    <x v="13"/>
    <x v="9"/>
    <n v="0.78342000000000001"/>
    <n v="0.78596999999999995"/>
    <n v="0.84"/>
    <n v="0.81298499999999996"/>
    <n v="540.29999999999995"/>
  </r>
  <r>
    <x v="9"/>
    <x v="13"/>
    <x v="9"/>
    <n v="0.78342000000000001"/>
    <n v="0.78596999999999995"/>
    <n v="0.84"/>
    <n v="0.81298499999999996"/>
    <n v="540.29999999999995"/>
  </r>
  <r>
    <x v="9"/>
    <x v="13"/>
    <x v="0"/>
    <n v="2.0533700000000001"/>
    <n v="1.91"/>
    <n v="2.0180199999999999"/>
    <n v="1.96401"/>
    <n v="1080.2"/>
  </r>
  <r>
    <x v="9"/>
    <x v="13"/>
    <x v="0"/>
    <n v="2.0533700000000001"/>
    <n v="1.91"/>
    <n v="2.0180199999999999"/>
    <n v="1.96401"/>
    <n v="1080.2"/>
  </r>
  <r>
    <x v="9"/>
    <x v="13"/>
    <x v="0"/>
    <n v="2.0533700000000001"/>
    <n v="1.91"/>
    <n v="2.0180199999999999"/>
    <n v="1.96401"/>
    <n v="1080.2"/>
  </r>
  <r>
    <x v="9"/>
    <x v="13"/>
    <x v="0"/>
    <n v="2.0533700000000001"/>
    <n v="1.91"/>
    <n v="2.0180199999999999"/>
    <n v="1.96401"/>
    <n v="1080.2"/>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2"/>
    <n v="107.637"/>
    <n v="101"/>
    <n v="109.002"/>
    <n v="105.001"/>
    <n v="800.2"/>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13"/>
    <n v="0.86819999999999997"/>
    <n v="0.88749999999999996"/>
    <n v="0.94952999999999999"/>
    <n v="0.91851499999999997"/>
    <n v="620.29999999999995"/>
  </r>
  <r>
    <x v="9"/>
    <x v="14"/>
    <x v="9"/>
    <n v="0.78527999999999998"/>
    <n v="0.78596999999999995"/>
    <n v="0.84"/>
    <n v="0.81298499999999996"/>
    <n v="540.29999999999995"/>
  </r>
  <r>
    <x v="9"/>
    <x v="14"/>
    <x v="9"/>
    <n v="0.78527999999999998"/>
    <n v="0.78596999999999995"/>
    <n v="0.84"/>
    <n v="0.81298499999999996"/>
    <n v="540.29999999999995"/>
  </r>
  <r>
    <x v="9"/>
    <x v="14"/>
    <x v="9"/>
    <n v="0.78527999999999998"/>
    <n v="0.78596999999999995"/>
    <n v="0.84"/>
    <n v="0.81298499999999996"/>
    <n v="540.29999999999995"/>
  </r>
  <r>
    <x v="9"/>
    <x v="14"/>
    <x v="9"/>
    <n v="0.78527999999999998"/>
    <n v="0.78596999999999995"/>
    <n v="0.84"/>
    <n v="0.81298499999999996"/>
    <n v="540.29999999999995"/>
  </r>
  <r>
    <x v="9"/>
    <x v="14"/>
    <x v="9"/>
    <n v="0.78527999999999998"/>
    <n v="0.78596999999999995"/>
    <n v="0.84"/>
    <n v="0.81298499999999996"/>
    <n v="540.29999999999995"/>
  </r>
  <r>
    <x v="9"/>
    <x v="14"/>
    <x v="9"/>
    <n v="0.78527999999999998"/>
    <n v="0.78596999999999995"/>
    <n v="0.84"/>
    <n v="0.81298499999999996"/>
    <n v="540.29999999999995"/>
  </r>
  <r>
    <x v="9"/>
    <x v="14"/>
    <x v="9"/>
    <n v="0.78527999999999998"/>
    <n v="0.78596999999999995"/>
    <n v="0.84"/>
    <n v="0.81298499999999996"/>
    <n v="540.29999999999995"/>
  </r>
  <r>
    <x v="9"/>
    <x v="14"/>
    <x v="9"/>
    <n v="0.78527999999999998"/>
    <n v="0.78596999999999995"/>
    <n v="0.84"/>
    <n v="0.81298499999999996"/>
    <n v="540.29999999999995"/>
  </r>
  <r>
    <x v="9"/>
    <x v="14"/>
    <x v="9"/>
    <n v="0.78527999999999998"/>
    <n v="0.78596999999999995"/>
    <n v="0.84"/>
    <n v="0.81298499999999996"/>
    <n v="540.29999999999995"/>
  </r>
  <r>
    <x v="9"/>
    <x v="14"/>
    <x v="9"/>
    <n v="0.78527999999999998"/>
    <n v="0.78596999999999995"/>
    <n v="0.84"/>
    <n v="0.81298499999999996"/>
    <n v="540.29999999999995"/>
  </r>
  <r>
    <x v="9"/>
    <x v="14"/>
    <x v="9"/>
    <n v="0.78527999999999998"/>
    <n v="0.78596999999999995"/>
    <n v="0.84"/>
    <n v="0.81298499999999996"/>
    <n v="540.29999999999995"/>
  </r>
  <r>
    <x v="9"/>
    <x v="14"/>
    <x v="9"/>
    <n v="0.78527999999999998"/>
    <n v="0.78596999999999995"/>
    <n v="0.84"/>
    <n v="0.81298499999999996"/>
    <n v="540.29999999999995"/>
  </r>
  <r>
    <x v="9"/>
    <x v="14"/>
    <x v="9"/>
    <n v="0.78527999999999998"/>
    <n v="0.78596999999999995"/>
    <n v="0.84"/>
    <n v="0.81298499999999996"/>
    <n v="540.29999999999995"/>
  </r>
  <r>
    <x v="9"/>
    <x v="14"/>
    <x v="9"/>
    <n v="0.78527999999999998"/>
    <n v="0.78596999999999995"/>
    <n v="0.84"/>
    <n v="0.81298499999999996"/>
    <n v="540.29999999999995"/>
  </r>
  <r>
    <x v="9"/>
    <x v="14"/>
    <x v="9"/>
    <n v="0.78527999999999998"/>
    <n v="0.78596999999999995"/>
    <n v="0.84"/>
    <n v="0.81298499999999996"/>
    <n v="540.29999999999995"/>
  </r>
  <r>
    <x v="9"/>
    <x v="14"/>
    <x v="9"/>
    <n v="0.78527999999999998"/>
    <n v="0.78596999999999995"/>
    <n v="0.84"/>
    <n v="0.81298499999999996"/>
    <n v="540.29999999999995"/>
  </r>
  <r>
    <x v="9"/>
    <x v="14"/>
    <x v="9"/>
    <n v="0.78527999999999998"/>
    <n v="0.78596999999999995"/>
    <n v="0.84"/>
    <n v="0.81298499999999996"/>
    <n v="540.29999999999995"/>
  </r>
  <r>
    <x v="9"/>
    <x v="14"/>
    <x v="9"/>
    <n v="0.78527999999999998"/>
    <n v="0.78596999999999995"/>
    <n v="0.84"/>
    <n v="0.81298499999999996"/>
    <n v="540.29999999999995"/>
  </r>
  <r>
    <x v="9"/>
    <x v="14"/>
    <x v="9"/>
    <n v="0.78527999999999998"/>
    <n v="0.78596999999999995"/>
    <n v="0.84"/>
    <n v="0.81298499999999996"/>
    <n v="540.29999999999995"/>
  </r>
  <r>
    <x v="9"/>
    <x v="14"/>
    <x v="9"/>
    <n v="0.78527999999999998"/>
    <n v="0.78596999999999995"/>
    <n v="0.84"/>
    <n v="0.81298499999999996"/>
    <n v="540.29999999999995"/>
  </r>
  <r>
    <x v="9"/>
    <x v="14"/>
    <x v="9"/>
    <n v="0.78527999999999998"/>
    <n v="0.78596999999999995"/>
    <n v="0.84"/>
    <n v="0.81298499999999996"/>
    <n v="540.29999999999995"/>
  </r>
  <r>
    <x v="9"/>
    <x v="14"/>
    <x v="9"/>
    <n v="0.78527999999999998"/>
    <n v="0.78596999999999995"/>
    <n v="0.84"/>
    <n v="0.81298499999999996"/>
    <n v="540.29999999999995"/>
  </r>
  <r>
    <x v="9"/>
    <x v="14"/>
    <x v="9"/>
    <n v="0.78527999999999998"/>
    <n v="0.78596999999999995"/>
    <n v="0.84"/>
    <n v="0.81298499999999996"/>
    <n v="540.29999999999995"/>
  </r>
  <r>
    <x v="9"/>
    <x v="14"/>
    <x v="9"/>
    <n v="0.78527999999999998"/>
    <n v="0.78596999999999995"/>
    <n v="0.84"/>
    <n v="0.81298499999999996"/>
    <n v="540.29999999999995"/>
  </r>
  <r>
    <x v="9"/>
    <x v="14"/>
    <x v="9"/>
    <n v="0.78527999999999998"/>
    <n v="0.78596999999999995"/>
    <n v="0.84"/>
    <n v="0.81298499999999996"/>
    <n v="540.29999999999995"/>
  </r>
  <r>
    <x v="9"/>
    <x v="14"/>
    <x v="9"/>
    <n v="0.78527999999999998"/>
    <n v="0.78596999999999995"/>
    <n v="0.84"/>
    <n v="0.81298499999999996"/>
    <n v="540.29999999999995"/>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4"/>
    <x v="0"/>
    <n v="2.0558900000000002"/>
    <n v="1.91"/>
    <n v="2.0380099999999999"/>
    <n v="1.974005"/>
    <n v="1280.0999999999999"/>
  </r>
  <r>
    <x v="9"/>
    <x v="15"/>
    <x v="2"/>
    <n v="106.87"/>
    <n v="101"/>
    <n v="109.002"/>
    <n v="105.001"/>
    <n v="800.2"/>
  </r>
  <r>
    <x v="9"/>
    <x v="15"/>
    <x v="2"/>
    <n v="106.87"/>
    <n v="101"/>
    <n v="109.002"/>
    <n v="105.001"/>
    <n v="800.2"/>
  </r>
  <r>
    <x v="9"/>
    <x v="15"/>
    <x v="2"/>
    <n v="106.87"/>
    <n v="101"/>
    <n v="109.002"/>
    <n v="105.001"/>
    <n v="800.2"/>
  </r>
  <r>
    <x v="9"/>
    <x v="15"/>
    <x v="2"/>
    <n v="106.87"/>
    <n v="101"/>
    <n v="109.002"/>
    <n v="105.001"/>
    <n v="800.2"/>
  </r>
  <r>
    <x v="9"/>
    <x v="15"/>
    <x v="2"/>
    <n v="106.87"/>
    <n v="101"/>
    <n v="109.002"/>
    <n v="105.001"/>
    <n v="800.2"/>
  </r>
  <r>
    <x v="9"/>
    <x v="15"/>
    <x v="2"/>
    <n v="106.87"/>
    <n v="101"/>
    <n v="109.002"/>
    <n v="105.001"/>
    <n v="800.2"/>
  </r>
  <r>
    <x v="9"/>
    <x v="15"/>
    <x v="2"/>
    <n v="106.87"/>
    <n v="101"/>
    <n v="109.002"/>
    <n v="105.001"/>
    <n v="800.2"/>
  </r>
  <r>
    <x v="9"/>
    <x v="15"/>
    <x v="2"/>
    <n v="106.87"/>
    <n v="101"/>
    <n v="109.002"/>
    <n v="105.001"/>
    <n v="800.2"/>
  </r>
  <r>
    <x v="9"/>
    <x v="15"/>
    <x v="2"/>
    <n v="106.87"/>
    <n v="101"/>
    <n v="109.002"/>
    <n v="105.001"/>
    <n v="800.2"/>
  </r>
  <r>
    <x v="9"/>
    <x v="15"/>
    <x v="2"/>
    <n v="106.87"/>
    <n v="101"/>
    <n v="109.002"/>
    <n v="105.001"/>
    <n v="800.2"/>
  </r>
  <r>
    <x v="9"/>
    <x v="15"/>
    <x v="2"/>
    <n v="106.87"/>
    <n v="101"/>
    <n v="109.002"/>
    <n v="105.001"/>
    <n v="800.2"/>
  </r>
  <r>
    <x v="9"/>
    <x v="15"/>
    <x v="2"/>
    <n v="106.87"/>
    <n v="101"/>
    <n v="109.002"/>
    <n v="105.001"/>
    <n v="800.2"/>
  </r>
  <r>
    <x v="9"/>
    <x v="15"/>
    <x v="2"/>
    <n v="106.87"/>
    <n v="101"/>
    <n v="109.002"/>
    <n v="105.001"/>
    <n v="800.2"/>
  </r>
  <r>
    <x v="9"/>
    <x v="15"/>
    <x v="2"/>
    <n v="106.87"/>
    <n v="101"/>
    <n v="109.002"/>
    <n v="105.001"/>
    <n v="800.2"/>
  </r>
  <r>
    <x v="9"/>
    <x v="15"/>
    <x v="2"/>
    <n v="106.87"/>
    <n v="101"/>
    <n v="109.002"/>
    <n v="105.001"/>
    <n v="800.2"/>
  </r>
  <r>
    <x v="9"/>
    <x v="15"/>
    <x v="2"/>
    <n v="106.87"/>
    <n v="101"/>
    <n v="109.002"/>
    <n v="105.001"/>
    <n v="800.2"/>
  </r>
  <r>
    <x v="9"/>
    <x v="15"/>
    <x v="9"/>
    <n v="0.79274"/>
    <n v="0.78596999999999995"/>
    <n v="0.84"/>
    <n v="0.81298499999999996"/>
    <n v="540.29999999999995"/>
  </r>
  <r>
    <x v="9"/>
    <x v="15"/>
    <x v="9"/>
    <n v="0.79274"/>
    <n v="0.78596999999999995"/>
    <n v="0.84"/>
    <n v="0.81298499999999996"/>
    <n v="540.29999999999995"/>
  </r>
  <r>
    <x v="9"/>
    <x v="15"/>
    <x v="9"/>
    <n v="0.79274"/>
    <n v="0.78596999999999995"/>
    <n v="0.84"/>
    <n v="0.81298499999999996"/>
    <n v="540.29999999999995"/>
  </r>
  <r>
    <x v="9"/>
    <x v="15"/>
    <x v="9"/>
    <n v="0.79274"/>
    <n v="0.78596999999999995"/>
    <n v="0.84"/>
    <n v="0.81298499999999996"/>
    <n v="540.29999999999995"/>
  </r>
  <r>
    <x v="9"/>
    <x v="15"/>
    <x v="9"/>
    <n v="0.79274"/>
    <n v="0.78596999999999995"/>
    <n v="0.84"/>
    <n v="0.81298499999999996"/>
    <n v="540.29999999999995"/>
  </r>
  <r>
    <x v="9"/>
    <x v="15"/>
    <x v="9"/>
    <n v="0.79274"/>
    <n v="0.78596999999999995"/>
    <n v="0.84"/>
    <n v="0.81298499999999996"/>
    <n v="540.29999999999995"/>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0"/>
    <n v="2.0294599999999998"/>
    <n v="1.91"/>
    <n v="2.0419900000000002"/>
    <n v="1.9759949999999999"/>
    <n v="1319.9"/>
  </r>
  <r>
    <x v="9"/>
    <x v="15"/>
    <x v="2"/>
    <n v="106.87"/>
    <n v="101"/>
    <n v="109.002"/>
    <n v="105.001"/>
    <n v="800.2"/>
  </r>
  <r>
    <x v="9"/>
    <x v="15"/>
    <x v="2"/>
    <n v="106.87"/>
    <n v="101"/>
    <n v="109.002"/>
    <n v="105.001"/>
    <n v="800.2"/>
  </r>
  <r>
    <x v="9"/>
    <x v="15"/>
    <x v="2"/>
    <n v="106.87"/>
    <n v="101"/>
    <n v="109.002"/>
    <n v="105.001"/>
    <n v="800.2"/>
  </r>
  <r>
    <x v="9"/>
    <x v="15"/>
    <x v="2"/>
    <n v="106.87"/>
    <n v="101"/>
    <n v="109.002"/>
    <n v="105.001"/>
    <n v="800.2"/>
  </r>
  <r>
    <x v="9"/>
    <x v="15"/>
    <x v="2"/>
    <n v="106.87"/>
    <n v="101"/>
    <n v="109.002"/>
    <n v="105.001"/>
    <n v="800.2"/>
  </r>
  <r>
    <x v="9"/>
    <x v="15"/>
    <x v="2"/>
    <n v="106.87"/>
    <n v="101"/>
    <n v="109.002"/>
    <n v="105.001"/>
    <n v="800.2"/>
  </r>
  <r>
    <x v="9"/>
    <x v="15"/>
    <x v="2"/>
    <n v="106.87"/>
    <n v="101"/>
    <n v="109.002"/>
    <n v="105.001"/>
    <n v="800.2"/>
  </r>
  <r>
    <x v="9"/>
    <x v="15"/>
    <x v="2"/>
    <n v="106.87"/>
    <n v="101"/>
    <n v="109.002"/>
    <n v="105.001"/>
    <n v="800.2"/>
  </r>
  <r>
    <x v="9"/>
    <x v="15"/>
    <x v="2"/>
    <n v="106.87"/>
    <n v="101"/>
    <n v="109.002"/>
    <n v="105.001"/>
    <n v="800.2"/>
  </r>
  <r>
    <x v="9"/>
    <x v="15"/>
    <x v="2"/>
    <n v="106.87"/>
    <n v="101"/>
    <n v="109.002"/>
    <n v="105.001"/>
    <n v="800.2"/>
  </r>
  <r>
    <x v="9"/>
    <x v="15"/>
    <x v="2"/>
    <n v="106.87"/>
    <n v="101"/>
    <n v="109.002"/>
    <n v="105.001"/>
    <n v="800.2"/>
  </r>
  <r>
    <x v="9"/>
    <x v="15"/>
    <x v="2"/>
    <n v="106.87"/>
    <n v="101"/>
    <n v="109.002"/>
    <n v="105.001"/>
    <n v="800.2"/>
  </r>
  <r>
    <x v="9"/>
    <x v="15"/>
    <x v="2"/>
    <n v="106.87"/>
    <n v="101"/>
    <n v="109.002"/>
    <n v="105.001"/>
    <n v="800.2"/>
  </r>
  <r>
    <x v="9"/>
    <x v="15"/>
    <x v="2"/>
    <n v="106.87"/>
    <n v="101"/>
    <n v="109.002"/>
    <n v="105.001"/>
    <n v="800.2"/>
  </r>
  <r>
    <x v="9"/>
    <x v="15"/>
    <x v="2"/>
    <n v="106.87"/>
    <n v="101"/>
    <n v="109.002"/>
    <n v="105.001"/>
    <n v="800.2"/>
  </r>
  <r>
    <x v="9"/>
    <x v="15"/>
    <x v="2"/>
    <n v="106.87"/>
    <n v="101"/>
    <n v="109.002"/>
    <n v="105.001"/>
    <n v="800.2"/>
  </r>
  <r>
    <x v="9"/>
    <x v="15"/>
    <x v="2"/>
    <n v="106.87"/>
    <n v="101"/>
    <n v="109.002"/>
    <n v="105.001"/>
    <n v="800.2"/>
  </r>
  <r>
    <x v="9"/>
    <x v="15"/>
    <x v="2"/>
    <n v="106.87"/>
    <n v="101"/>
    <n v="109.002"/>
    <n v="105.001"/>
    <n v="800.2"/>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13"/>
    <n v="0.87427999999999995"/>
    <n v="0.86750000000000005"/>
    <n v="0.94952999999999999"/>
    <n v="0.90851499999999996"/>
    <n v="820.3"/>
  </r>
  <r>
    <x v="9"/>
    <x v="15"/>
    <x v="9"/>
    <n v="0.79274"/>
    <n v="0.78596999999999995"/>
    <n v="0.84"/>
    <n v="0.81298499999999996"/>
    <n v="540.29999999999995"/>
  </r>
  <r>
    <x v="9"/>
    <x v="15"/>
    <x v="9"/>
    <n v="0.79274"/>
    <n v="0.78596999999999995"/>
    <n v="0.84"/>
    <n v="0.81298499999999996"/>
    <n v="540.29999999999995"/>
  </r>
  <r>
    <x v="9"/>
    <x v="15"/>
    <x v="9"/>
    <n v="0.79274"/>
    <n v="0.78596999999999995"/>
    <n v="0.84"/>
    <n v="0.81298499999999996"/>
    <n v="540.29999999999995"/>
  </r>
  <r>
    <x v="9"/>
    <x v="15"/>
    <x v="9"/>
    <n v="0.79274"/>
    <n v="0.78596999999999995"/>
    <n v="0.84"/>
    <n v="0.81298499999999996"/>
    <n v="540.29999999999995"/>
  </r>
  <r>
    <x v="9"/>
    <x v="15"/>
    <x v="9"/>
    <n v="0.79274"/>
    <n v="0.78596999999999995"/>
    <n v="0.84"/>
    <n v="0.81298499999999996"/>
    <n v="540.29999999999995"/>
  </r>
  <r>
    <x v="9"/>
    <x v="15"/>
    <x v="9"/>
    <n v="0.79274"/>
    <n v="0.78596999999999995"/>
    <n v="0.84"/>
    <n v="0.81298499999999996"/>
    <n v="540.29999999999995"/>
  </r>
  <r>
    <x v="9"/>
    <x v="15"/>
    <x v="9"/>
    <n v="0.79274"/>
    <n v="0.78596999999999995"/>
    <n v="0.84"/>
    <n v="0.81298499999999996"/>
    <n v="540.29999999999995"/>
  </r>
  <r>
    <x v="9"/>
    <x v="15"/>
    <x v="9"/>
    <n v="0.79274"/>
    <n v="0.78596999999999995"/>
    <n v="0.84"/>
    <n v="0.81298499999999996"/>
    <n v="540.29999999999995"/>
  </r>
  <r>
    <x v="9"/>
    <x v="15"/>
    <x v="9"/>
    <n v="0.79274"/>
    <n v="0.78596999999999995"/>
    <n v="0.84"/>
    <n v="0.81298499999999996"/>
    <n v="540.29999999999995"/>
  </r>
  <r>
    <x v="9"/>
    <x v="15"/>
    <x v="9"/>
    <n v="0.79274"/>
    <n v="0.78596999999999995"/>
    <n v="0.84"/>
    <n v="0.81298499999999996"/>
    <n v="540.29999999999995"/>
  </r>
  <r>
    <x v="9"/>
    <x v="15"/>
    <x v="9"/>
    <n v="0.79274"/>
    <n v="0.78596999999999995"/>
    <n v="0.84"/>
    <n v="0.81298499999999996"/>
    <n v="540.29999999999995"/>
  </r>
  <r>
    <x v="9"/>
    <x v="15"/>
    <x v="9"/>
    <n v="0.79274"/>
    <n v="0.78596999999999995"/>
    <n v="0.84"/>
    <n v="0.81298499999999996"/>
    <n v="540.29999999999995"/>
  </r>
  <r>
    <x v="9"/>
    <x v="15"/>
    <x v="9"/>
    <n v="0.79274"/>
    <n v="0.78596999999999995"/>
    <n v="0.84"/>
    <n v="0.81298499999999996"/>
    <n v="540.29999999999995"/>
  </r>
  <r>
    <x v="9"/>
    <x v="15"/>
    <x v="9"/>
    <n v="0.79274"/>
    <n v="0.78596999999999995"/>
    <n v="0.84"/>
    <n v="0.81298499999999996"/>
    <n v="540.29999999999995"/>
  </r>
  <r>
    <x v="9"/>
    <x v="15"/>
    <x v="9"/>
    <n v="0.79274"/>
    <n v="0.78596999999999995"/>
    <n v="0.84"/>
    <n v="0.81298499999999996"/>
    <n v="540.29999999999995"/>
  </r>
  <r>
    <x v="9"/>
    <x v="15"/>
    <x v="9"/>
    <n v="0.79274"/>
    <n v="0.78596999999999995"/>
    <n v="0.84"/>
    <n v="0.81298499999999996"/>
    <n v="540.29999999999995"/>
  </r>
  <r>
    <x v="9"/>
    <x v="15"/>
    <x v="9"/>
    <n v="0.79274"/>
    <n v="0.78596999999999995"/>
    <n v="0.84"/>
    <n v="0.81298499999999996"/>
    <n v="540.29999999999995"/>
  </r>
  <r>
    <x v="9"/>
    <x v="15"/>
    <x v="9"/>
    <n v="0.79274"/>
    <n v="0.78596999999999995"/>
    <n v="0.84"/>
    <n v="0.81298499999999996"/>
    <n v="540.29999999999995"/>
  </r>
  <r>
    <x v="9"/>
    <x v="15"/>
    <x v="9"/>
    <n v="0.79274"/>
    <n v="0.78596999999999995"/>
    <n v="0.84"/>
    <n v="0.81298499999999996"/>
    <n v="540.29999999999995"/>
  </r>
  <r>
    <x v="9"/>
    <x v="15"/>
    <x v="9"/>
    <n v="0.79274"/>
    <n v="0.78596999999999995"/>
    <n v="0.84"/>
    <n v="0.81298499999999996"/>
    <n v="540.29999999999995"/>
  </r>
  <r>
    <x v="9"/>
    <x v="15"/>
    <x v="9"/>
    <n v="0.79274"/>
    <n v="0.78596999999999995"/>
    <n v="0.84"/>
    <n v="0.81298499999999996"/>
    <n v="540.29999999999995"/>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9"/>
    <n v="0.78730999999999995"/>
    <n v="0.78596999999999995"/>
    <n v="0.84"/>
    <n v="0.81298499999999996"/>
    <n v="540.29999999999995"/>
  </r>
  <r>
    <x v="9"/>
    <x v="16"/>
    <x v="9"/>
    <n v="0.78730999999999995"/>
    <n v="0.78596999999999995"/>
    <n v="0.84"/>
    <n v="0.81298499999999996"/>
    <n v="540.29999999999995"/>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0"/>
    <n v="2.0467200000000001"/>
    <n v="1.91"/>
    <n v="2.0419900000000002"/>
    <n v="1.9759949999999999"/>
    <n v="1319.9"/>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2"/>
    <n v="108.14700000000001"/>
    <n v="101"/>
    <n v="109.002"/>
    <n v="105.001"/>
    <n v="800.2"/>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13"/>
    <n v="0.87870000000000004"/>
    <n v="0.86750000000000005"/>
    <n v="0.94952999999999999"/>
    <n v="0.90851499999999996"/>
    <n v="820.3"/>
  </r>
  <r>
    <x v="9"/>
    <x v="16"/>
    <x v="9"/>
    <n v="0.78730999999999995"/>
    <n v="0.78596999999999995"/>
    <n v="0.84"/>
    <n v="0.81298499999999996"/>
    <n v="540.29999999999995"/>
  </r>
  <r>
    <x v="9"/>
    <x v="16"/>
    <x v="9"/>
    <n v="0.78730999999999995"/>
    <n v="0.78596999999999995"/>
    <n v="0.84"/>
    <n v="0.81298499999999996"/>
    <n v="540.29999999999995"/>
  </r>
  <r>
    <x v="9"/>
    <x v="16"/>
    <x v="9"/>
    <n v="0.78730999999999995"/>
    <n v="0.78596999999999995"/>
    <n v="0.84"/>
    <n v="0.81298499999999996"/>
    <n v="540.29999999999995"/>
  </r>
  <r>
    <x v="9"/>
    <x v="16"/>
    <x v="9"/>
    <n v="0.78730999999999995"/>
    <n v="0.78596999999999995"/>
    <n v="0.84"/>
    <n v="0.81298499999999996"/>
    <n v="540.29999999999995"/>
  </r>
  <r>
    <x v="9"/>
    <x v="16"/>
    <x v="9"/>
    <n v="0.78730999999999995"/>
    <n v="0.78596999999999995"/>
    <n v="0.84"/>
    <n v="0.81298499999999996"/>
    <n v="540.29999999999995"/>
  </r>
  <r>
    <x v="9"/>
    <x v="16"/>
    <x v="9"/>
    <n v="0.78730999999999995"/>
    <n v="0.78596999999999995"/>
    <n v="0.84"/>
    <n v="0.81298499999999996"/>
    <n v="540.29999999999995"/>
  </r>
  <r>
    <x v="9"/>
    <x v="16"/>
    <x v="9"/>
    <n v="0.78730999999999995"/>
    <n v="0.78596999999999995"/>
    <n v="0.84"/>
    <n v="0.81298499999999996"/>
    <n v="540.29999999999995"/>
  </r>
  <r>
    <x v="9"/>
    <x v="16"/>
    <x v="9"/>
    <n v="0.78730999999999995"/>
    <n v="0.78596999999999995"/>
    <n v="0.84"/>
    <n v="0.81298499999999996"/>
    <n v="540.29999999999995"/>
  </r>
  <r>
    <x v="9"/>
    <x v="16"/>
    <x v="9"/>
    <n v="0.78730999999999995"/>
    <n v="0.78596999999999995"/>
    <n v="0.84"/>
    <n v="0.81298499999999996"/>
    <n v="540.29999999999995"/>
  </r>
  <r>
    <x v="9"/>
    <x v="16"/>
    <x v="9"/>
    <n v="0.78730999999999995"/>
    <n v="0.78596999999999995"/>
    <n v="0.84"/>
    <n v="0.81298499999999996"/>
    <n v="540.29999999999995"/>
  </r>
  <r>
    <x v="9"/>
    <x v="16"/>
    <x v="9"/>
    <n v="0.78730999999999995"/>
    <n v="0.78596999999999995"/>
    <n v="0.84"/>
    <n v="0.81298499999999996"/>
    <n v="540.29999999999995"/>
  </r>
  <r>
    <x v="9"/>
    <x v="16"/>
    <x v="9"/>
    <n v="0.78730999999999995"/>
    <n v="0.78596999999999995"/>
    <n v="0.84"/>
    <n v="0.81298499999999996"/>
    <n v="540.29999999999995"/>
  </r>
  <r>
    <x v="9"/>
    <x v="16"/>
    <x v="9"/>
    <n v="0.78730999999999995"/>
    <n v="0.78596999999999995"/>
    <n v="0.84"/>
    <n v="0.81298499999999996"/>
    <n v="540.29999999999995"/>
  </r>
  <r>
    <x v="9"/>
    <x v="16"/>
    <x v="9"/>
    <n v="0.78730999999999995"/>
    <n v="0.78596999999999995"/>
    <n v="0.84"/>
    <n v="0.81298499999999996"/>
    <n v="540.29999999999995"/>
  </r>
  <r>
    <x v="9"/>
    <x v="16"/>
    <x v="9"/>
    <n v="0.78730999999999995"/>
    <n v="0.78596999999999995"/>
    <n v="0.84"/>
    <n v="0.81298499999999996"/>
    <n v="540.29999999999995"/>
  </r>
  <r>
    <x v="9"/>
    <x v="16"/>
    <x v="9"/>
    <n v="0.78730999999999995"/>
    <n v="0.78596999999999995"/>
    <n v="0.84"/>
    <n v="0.81298499999999996"/>
    <n v="540.29999999999995"/>
  </r>
  <r>
    <x v="9"/>
    <x v="16"/>
    <x v="9"/>
    <n v="0.78730999999999995"/>
    <n v="0.78596999999999995"/>
    <n v="0.84"/>
    <n v="0.81298499999999996"/>
    <n v="540.29999999999995"/>
  </r>
  <r>
    <x v="9"/>
    <x v="16"/>
    <x v="9"/>
    <n v="0.78730999999999995"/>
    <n v="0.78596999999999995"/>
    <n v="0.84"/>
    <n v="0.81298499999999996"/>
    <n v="540.29999999999995"/>
  </r>
  <r>
    <x v="9"/>
    <x v="16"/>
    <x v="9"/>
    <n v="0.78730999999999995"/>
    <n v="0.78596999999999995"/>
    <n v="0.84"/>
    <n v="0.81298499999999996"/>
    <n v="540.29999999999995"/>
  </r>
  <r>
    <x v="9"/>
    <x v="16"/>
    <x v="9"/>
    <n v="0.78730999999999995"/>
    <n v="0.78596999999999995"/>
    <n v="0.84"/>
    <n v="0.81298499999999996"/>
    <n v="540.29999999999995"/>
  </r>
  <r>
    <x v="9"/>
    <x v="16"/>
    <x v="9"/>
    <n v="0.78730999999999995"/>
    <n v="0.78596999999999995"/>
    <n v="0.84"/>
    <n v="0.81298499999999996"/>
    <n v="540.29999999999995"/>
  </r>
  <r>
    <x v="9"/>
    <x v="16"/>
    <x v="9"/>
    <n v="0.78730999999999995"/>
    <n v="0.78596999999999995"/>
    <n v="0.84"/>
    <n v="0.81298499999999996"/>
    <n v="540.29999999999995"/>
  </r>
  <r>
    <x v="9"/>
    <x v="16"/>
    <x v="9"/>
    <n v="0.78730999999999995"/>
    <n v="0.78596999999999995"/>
    <n v="0.84"/>
    <n v="0.81298499999999996"/>
    <n v="540.29999999999995"/>
  </r>
  <r>
    <x v="9"/>
    <x v="16"/>
    <x v="9"/>
    <n v="0.78730999999999995"/>
    <n v="0.78596999999999995"/>
    <n v="0.84"/>
    <n v="0.81298499999999996"/>
    <n v="540.29999999999995"/>
  </r>
  <r>
    <x v="9"/>
    <x v="16"/>
    <x v="9"/>
    <n v="0.78730999999999995"/>
    <n v="0.78596999999999995"/>
    <n v="0.84"/>
    <n v="0.81298499999999996"/>
    <n v="540.29999999999995"/>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9"/>
    <n v="0.78259000000000001"/>
    <n v="0.78596999999999995"/>
    <n v="0.84"/>
    <n v="0.81298499999999996"/>
    <n v="540.29999999999995"/>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0"/>
    <n v="2.0505"/>
    <n v="1.91"/>
    <n v="2.0419900000000002"/>
    <n v="1.9759949999999999"/>
    <n v="1319.9"/>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2"/>
    <n v="112.30800000000001"/>
    <n v="101"/>
    <n v="109.002"/>
    <n v="105.001"/>
    <n v="800.2"/>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13"/>
    <n v="0.87929999999999997"/>
    <n v="0.86750000000000005"/>
    <n v="0.94952999999999999"/>
    <n v="0.90851499999999996"/>
    <n v="820.3"/>
  </r>
  <r>
    <x v="9"/>
    <x v="17"/>
    <x v="9"/>
    <n v="0.78259000000000001"/>
    <n v="0.78596999999999995"/>
    <n v="0.84"/>
    <n v="0.81298499999999996"/>
    <n v="540.29999999999995"/>
  </r>
  <r>
    <x v="9"/>
    <x v="17"/>
    <x v="9"/>
    <n v="0.78259000000000001"/>
    <n v="0.78596999999999995"/>
    <n v="0.84"/>
    <n v="0.81298499999999996"/>
    <n v="540.29999999999995"/>
  </r>
  <r>
    <x v="9"/>
    <x v="17"/>
    <x v="9"/>
    <n v="0.78259000000000001"/>
    <n v="0.78596999999999995"/>
    <n v="0.84"/>
    <n v="0.81298499999999996"/>
    <n v="540.29999999999995"/>
  </r>
  <r>
    <x v="9"/>
    <x v="17"/>
    <x v="9"/>
    <n v="0.78259000000000001"/>
    <n v="0.78596999999999995"/>
    <n v="0.84"/>
    <n v="0.81298499999999996"/>
    <n v="540.29999999999995"/>
  </r>
  <r>
    <x v="9"/>
    <x v="17"/>
    <x v="9"/>
    <n v="0.78259000000000001"/>
    <n v="0.78596999999999995"/>
    <n v="0.84"/>
    <n v="0.81298499999999996"/>
    <n v="540.29999999999995"/>
  </r>
  <r>
    <x v="9"/>
    <x v="17"/>
    <x v="9"/>
    <n v="0.78259000000000001"/>
    <n v="0.78596999999999995"/>
    <n v="0.84"/>
    <n v="0.81298499999999996"/>
    <n v="540.29999999999995"/>
  </r>
  <r>
    <x v="9"/>
    <x v="17"/>
    <x v="9"/>
    <n v="0.78259000000000001"/>
    <n v="0.78596999999999995"/>
    <n v="0.84"/>
    <n v="0.81298499999999996"/>
    <n v="540.29999999999995"/>
  </r>
  <r>
    <x v="9"/>
    <x v="17"/>
    <x v="9"/>
    <n v="0.78259000000000001"/>
    <n v="0.78596999999999995"/>
    <n v="0.84"/>
    <n v="0.81298499999999996"/>
    <n v="540.29999999999995"/>
  </r>
  <r>
    <x v="9"/>
    <x v="17"/>
    <x v="9"/>
    <n v="0.78259000000000001"/>
    <n v="0.78596999999999995"/>
    <n v="0.84"/>
    <n v="0.81298499999999996"/>
    <n v="540.29999999999995"/>
  </r>
  <r>
    <x v="9"/>
    <x v="17"/>
    <x v="9"/>
    <n v="0.78259000000000001"/>
    <n v="0.78596999999999995"/>
    <n v="0.84"/>
    <n v="0.81298499999999996"/>
    <n v="540.29999999999995"/>
  </r>
  <r>
    <x v="9"/>
    <x v="17"/>
    <x v="9"/>
    <n v="0.78259000000000001"/>
    <n v="0.78596999999999995"/>
    <n v="0.84"/>
    <n v="0.81298499999999996"/>
    <n v="540.29999999999995"/>
  </r>
  <r>
    <x v="9"/>
    <x v="17"/>
    <x v="9"/>
    <n v="0.78259000000000001"/>
    <n v="0.78596999999999995"/>
    <n v="0.84"/>
    <n v="0.81298499999999996"/>
    <n v="540.29999999999995"/>
  </r>
  <r>
    <x v="9"/>
    <x v="17"/>
    <x v="9"/>
    <n v="0.78259000000000001"/>
    <n v="0.78596999999999995"/>
    <n v="0.84"/>
    <n v="0.81298499999999996"/>
    <n v="540.29999999999995"/>
  </r>
  <r>
    <x v="9"/>
    <x v="17"/>
    <x v="9"/>
    <n v="0.78259000000000001"/>
    <n v="0.78596999999999995"/>
    <n v="0.84"/>
    <n v="0.81298499999999996"/>
    <n v="540.29999999999995"/>
  </r>
  <r>
    <x v="9"/>
    <x v="17"/>
    <x v="9"/>
    <n v="0.78259000000000001"/>
    <n v="0.78596999999999995"/>
    <n v="0.84"/>
    <n v="0.81298499999999996"/>
    <n v="540.29999999999995"/>
  </r>
  <r>
    <x v="9"/>
    <x v="17"/>
    <x v="9"/>
    <n v="0.78259000000000001"/>
    <n v="0.78596999999999995"/>
    <n v="0.84"/>
    <n v="0.81298499999999996"/>
    <n v="540.29999999999995"/>
  </r>
  <r>
    <x v="9"/>
    <x v="17"/>
    <x v="9"/>
    <n v="0.78259000000000001"/>
    <n v="0.78596999999999995"/>
    <n v="0.84"/>
    <n v="0.81298499999999996"/>
    <n v="540.29999999999995"/>
  </r>
  <r>
    <x v="9"/>
    <x v="17"/>
    <x v="9"/>
    <n v="0.78259000000000001"/>
    <n v="0.78596999999999995"/>
    <n v="0.84"/>
    <n v="0.81298499999999996"/>
    <n v="540.29999999999995"/>
  </r>
  <r>
    <x v="9"/>
    <x v="17"/>
    <x v="9"/>
    <n v="0.78259000000000001"/>
    <n v="0.78596999999999995"/>
    <n v="0.84"/>
    <n v="0.81298499999999996"/>
    <n v="540.29999999999995"/>
  </r>
  <r>
    <x v="9"/>
    <x v="17"/>
    <x v="9"/>
    <n v="0.78259000000000001"/>
    <n v="0.78596999999999995"/>
    <n v="0.84"/>
    <n v="0.81298499999999996"/>
    <n v="540.29999999999995"/>
  </r>
  <r>
    <x v="9"/>
    <x v="17"/>
    <x v="9"/>
    <n v="0.78259000000000001"/>
    <n v="0.78596999999999995"/>
    <n v="0.84"/>
    <n v="0.81298499999999996"/>
    <n v="540.29999999999995"/>
  </r>
  <r>
    <x v="9"/>
    <x v="17"/>
    <x v="9"/>
    <n v="0.78259000000000001"/>
    <n v="0.78596999999999995"/>
    <n v="0.84"/>
    <n v="0.81298499999999996"/>
    <n v="540.29999999999995"/>
  </r>
  <r>
    <x v="9"/>
    <x v="17"/>
    <x v="9"/>
    <n v="0.78259000000000001"/>
    <n v="0.78596999999999995"/>
    <n v="0.84"/>
    <n v="0.81298499999999996"/>
    <n v="540.29999999999995"/>
  </r>
  <r>
    <x v="9"/>
    <x v="17"/>
    <x v="9"/>
    <n v="0.78259000000000001"/>
    <n v="0.78596999999999995"/>
    <n v="0.84"/>
    <n v="0.81298499999999996"/>
    <n v="540.29999999999995"/>
  </r>
  <r>
    <x v="9"/>
    <x v="17"/>
    <x v="9"/>
    <n v="0.78259000000000001"/>
    <n v="0.78596999999999995"/>
    <n v="0.84"/>
    <n v="0.81298499999999996"/>
    <n v="540.29999999999995"/>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0"/>
    <n v="2.04481"/>
    <n v="1.91"/>
    <n v="2.0419900000000002"/>
    <n v="1.9759949999999999"/>
    <n v="1319.9"/>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2"/>
    <n v="114.58"/>
    <n v="101"/>
    <n v="109.002"/>
    <n v="105.001"/>
    <n v="800.2"/>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13"/>
    <n v="0.86329"/>
    <n v="0.86750000000000005"/>
    <n v="0.94952999999999999"/>
    <n v="0.90851499999999996"/>
    <n v="820.3"/>
  </r>
  <r>
    <x v="9"/>
    <x v="18"/>
    <x v="9"/>
    <n v="0.78434000000000004"/>
    <n v="0.78596999999999995"/>
    <n v="0.84"/>
    <n v="0.81298499999999996"/>
    <n v="540.29999999999995"/>
  </r>
  <r>
    <x v="9"/>
    <x v="18"/>
    <x v="9"/>
    <n v="0.78434000000000004"/>
    <n v="0.78596999999999995"/>
    <n v="0.84"/>
    <n v="0.81298499999999996"/>
    <n v="540.29999999999995"/>
  </r>
  <r>
    <x v="9"/>
    <x v="18"/>
    <x v="9"/>
    <n v="0.78434000000000004"/>
    <n v="0.78596999999999995"/>
    <n v="0.84"/>
    <n v="0.81298499999999996"/>
    <n v="540.29999999999995"/>
  </r>
  <r>
    <x v="9"/>
    <x v="18"/>
    <x v="9"/>
    <n v="0.78434000000000004"/>
    <n v="0.78596999999999995"/>
    <n v="0.84"/>
    <n v="0.81298499999999996"/>
    <n v="540.29999999999995"/>
  </r>
  <r>
    <x v="9"/>
    <x v="18"/>
    <x v="9"/>
    <n v="0.78434000000000004"/>
    <n v="0.78596999999999995"/>
    <n v="0.84"/>
    <n v="0.81298499999999996"/>
    <n v="540.29999999999995"/>
  </r>
  <r>
    <x v="9"/>
    <x v="18"/>
    <x v="9"/>
    <n v="0.78434000000000004"/>
    <n v="0.78596999999999995"/>
    <n v="0.84"/>
    <n v="0.81298499999999996"/>
    <n v="540.29999999999995"/>
  </r>
  <r>
    <x v="9"/>
    <x v="18"/>
    <x v="9"/>
    <n v="0.78434000000000004"/>
    <n v="0.78596999999999995"/>
    <n v="0.84"/>
    <n v="0.81298499999999996"/>
    <n v="540.29999999999995"/>
  </r>
  <r>
    <x v="9"/>
    <x v="18"/>
    <x v="9"/>
    <n v="0.78434000000000004"/>
    <n v="0.78596999999999995"/>
    <n v="0.84"/>
    <n v="0.81298499999999996"/>
    <n v="540.29999999999995"/>
  </r>
  <r>
    <x v="9"/>
    <x v="18"/>
    <x v="9"/>
    <n v="0.78434000000000004"/>
    <n v="0.78596999999999995"/>
    <n v="0.84"/>
    <n v="0.81298499999999996"/>
    <n v="540.29999999999995"/>
  </r>
  <r>
    <x v="9"/>
    <x v="18"/>
    <x v="9"/>
    <n v="0.78434000000000004"/>
    <n v="0.78596999999999995"/>
    <n v="0.84"/>
    <n v="0.81298499999999996"/>
    <n v="540.29999999999995"/>
  </r>
  <r>
    <x v="9"/>
    <x v="18"/>
    <x v="9"/>
    <n v="0.78434000000000004"/>
    <n v="0.78596999999999995"/>
    <n v="0.84"/>
    <n v="0.81298499999999996"/>
    <n v="540.29999999999995"/>
  </r>
  <r>
    <x v="9"/>
    <x v="18"/>
    <x v="9"/>
    <n v="0.78434000000000004"/>
    <n v="0.78596999999999995"/>
    <n v="0.84"/>
    <n v="0.81298499999999996"/>
    <n v="540.29999999999995"/>
  </r>
  <r>
    <x v="9"/>
    <x v="18"/>
    <x v="9"/>
    <n v="0.78434000000000004"/>
    <n v="0.78596999999999995"/>
    <n v="0.84"/>
    <n v="0.81298499999999996"/>
    <n v="540.29999999999995"/>
  </r>
  <r>
    <x v="9"/>
    <x v="18"/>
    <x v="9"/>
    <n v="0.78434000000000004"/>
    <n v="0.78596999999999995"/>
    <n v="0.84"/>
    <n v="0.81298499999999996"/>
    <n v="540.29999999999995"/>
  </r>
  <r>
    <x v="9"/>
    <x v="18"/>
    <x v="9"/>
    <n v="0.78434000000000004"/>
    <n v="0.78596999999999995"/>
    <n v="0.84"/>
    <n v="0.81298499999999996"/>
    <n v="540.29999999999995"/>
  </r>
  <r>
    <x v="9"/>
    <x v="18"/>
    <x v="9"/>
    <n v="0.78434000000000004"/>
    <n v="0.78596999999999995"/>
    <n v="0.84"/>
    <n v="0.81298499999999996"/>
    <n v="540.29999999999995"/>
  </r>
  <r>
    <x v="9"/>
    <x v="18"/>
    <x v="9"/>
    <n v="0.78434000000000004"/>
    <n v="0.78596999999999995"/>
    <n v="0.84"/>
    <n v="0.81298499999999996"/>
    <n v="540.29999999999995"/>
  </r>
  <r>
    <x v="9"/>
    <x v="18"/>
    <x v="9"/>
    <n v="0.78434000000000004"/>
    <n v="0.78596999999999995"/>
    <n v="0.84"/>
    <n v="0.81298499999999996"/>
    <n v="540.29999999999995"/>
  </r>
  <r>
    <x v="9"/>
    <x v="18"/>
    <x v="9"/>
    <n v="0.78434000000000004"/>
    <n v="0.78596999999999995"/>
    <n v="0.84"/>
    <n v="0.81298499999999996"/>
    <n v="540.29999999999995"/>
  </r>
  <r>
    <x v="9"/>
    <x v="18"/>
    <x v="9"/>
    <n v="0.78434000000000004"/>
    <n v="0.78596999999999995"/>
    <n v="0.84"/>
    <n v="0.81298499999999996"/>
    <n v="540.29999999999995"/>
  </r>
  <r>
    <x v="9"/>
    <x v="18"/>
    <x v="9"/>
    <n v="0.78434000000000004"/>
    <n v="0.78596999999999995"/>
    <n v="0.84"/>
    <n v="0.81298499999999996"/>
    <n v="540.29999999999995"/>
  </r>
  <r>
    <x v="9"/>
    <x v="18"/>
    <x v="9"/>
    <n v="0.78434000000000004"/>
    <n v="0.78596999999999995"/>
    <n v="0.84"/>
    <n v="0.81298499999999996"/>
    <n v="540.29999999999995"/>
  </r>
  <r>
    <x v="9"/>
    <x v="18"/>
    <x v="9"/>
    <n v="0.78434000000000004"/>
    <n v="0.78596999999999995"/>
    <n v="0.84"/>
    <n v="0.81298499999999996"/>
    <n v="540.29999999999995"/>
  </r>
  <r>
    <x v="9"/>
    <x v="18"/>
    <x v="9"/>
    <n v="0.78434000000000004"/>
    <n v="0.78596999999999995"/>
    <n v="0.84"/>
    <n v="0.81298499999999996"/>
    <n v="540.29999999999995"/>
  </r>
  <r>
    <x v="9"/>
    <x v="18"/>
    <x v="9"/>
    <n v="0.78434000000000004"/>
    <n v="0.78596999999999995"/>
    <n v="0.84"/>
    <n v="0.81298499999999996"/>
    <n v="540.29999999999995"/>
  </r>
  <r>
    <x v="9"/>
    <x v="18"/>
    <x v="9"/>
    <n v="0.78434000000000004"/>
    <n v="0.78596999999999995"/>
    <n v="0.84"/>
    <n v="0.81298499999999996"/>
    <n v="540.29999999999995"/>
  </r>
  <r>
    <x v="9"/>
    <x v="18"/>
    <x v="0"/>
    <n v="2.04481"/>
    <n v="1.91"/>
    <n v="2.0419900000000002"/>
    <n v="1.9759949999999999"/>
    <n v="1319.9"/>
  </r>
  <r>
    <x v="9"/>
    <x v="18"/>
    <x v="0"/>
    <n v="2.04481"/>
    <n v="1.91"/>
    <n v="2.0419900000000002"/>
    <n v="1.9759949999999999"/>
    <n v="1319.9"/>
  </r>
  <r>
    <x v="9"/>
    <x v="18"/>
    <x v="0"/>
    <n v="2.04481"/>
    <n v="1.91"/>
    <n v="2.0419900000000002"/>
    <n v="1.9759949999999999"/>
    <n v="1319.9"/>
  </r>
  <r>
    <x v="9"/>
    <x v="19"/>
    <x v="0"/>
    <n v="1.9801299999999999"/>
    <n v="1.91"/>
    <n v="2.0419900000000002"/>
    <n v="1.9759949999999999"/>
    <n v="1319.9"/>
  </r>
  <r>
    <x v="9"/>
    <x v="19"/>
    <x v="0"/>
    <n v="1.9801299999999999"/>
    <n v="1.91"/>
    <n v="2.0419900000000002"/>
    <n v="1.9759949999999999"/>
    <n v="1319.9"/>
  </r>
  <r>
    <x v="9"/>
    <x v="19"/>
    <x v="0"/>
    <n v="1.9801299999999999"/>
    <n v="1.91"/>
    <n v="2.0419900000000002"/>
    <n v="1.9759949999999999"/>
    <n v="1319.9"/>
  </r>
  <r>
    <x v="9"/>
    <x v="19"/>
    <x v="0"/>
    <n v="1.9801299999999999"/>
    <n v="1.91"/>
    <n v="2.0419900000000002"/>
    <n v="1.9759949999999999"/>
    <n v="1319.9"/>
  </r>
  <r>
    <x v="9"/>
    <x v="19"/>
    <x v="0"/>
    <n v="1.9801299999999999"/>
    <n v="1.91"/>
    <n v="2.0419900000000002"/>
    <n v="1.9759949999999999"/>
    <n v="1319.9"/>
  </r>
  <r>
    <x v="9"/>
    <x v="19"/>
    <x v="0"/>
    <n v="1.9801299999999999"/>
    <n v="1.91"/>
    <n v="2.0419900000000002"/>
    <n v="1.9759949999999999"/>
    <n v="1319.9"/>
  </r>
  <r>
    <x v="9"/>
    <x v="19"/>
    <x v="0"/>
    <n v="1.9801299999999999"/>
    <n v="1.91"/>
    <n v="2.0419900000000002"/>
    <n v="1.9759949999999999"/>
    <n v="1319.9"/>
  </r>
  <r>
    <x v="9"/>
    <x v="19"/>
    <x v="0"/>
    <n v="1.9801299999999999"/>
    <n v="1.91"/>
    <n v="2.0419900000000002"/>
    <n v="1.9759949999999999"/>
    <n v="1319.9"/>
  </r>
  <r>
    <x v="9"/>
    <x v="19"/>
    <x v="0"/>
    <n v="1.9801299999999999"/>
    <n v="1.91"/>
    <n v="2.0419900000000002"/>
    <n v="1.9759949999999999"/>
    <n v="1319.9"/>
  </r>
  <r>
    <x v="9"/>
    <x v="19"/>
    <x v="0"/>
    <n v="1.9801299999999999"/>
    <n v="1.91"/>
    <n v="2.0419900000000002"/>
    <n v="1.9759949999999999"/>
    <n v="1319.9"/>
  </r>
  <r>
    <x v="9"/>
    <x v="19"/>
    <x v="0"/>
    <n v="1.9801299999999999"/>
    <n v="1.91"/>
    <n v="2.0419900000000002"/>
    <n v="1.9759949999999999"/>
    <n v="1319.9"/>
  </r>
  <r>
    <x v="9"/>
    <x v="19"/>
    <x v="0"/>
    <n v="1.9801299999999999"/>
    <n v="1.91"/>
    <n v="2.0419900000000002"/>
    <n v="1.9759949999999999"/>
    <n v="1319.9"/>
  </r>
  <r>
    <x v="9"/>
    <x v="19"/>
    <x v="0"/>
    <n v="1.9801299999999999"/>
    <n v="1.91"/>
    <n v="2.0419900000000002"/>
    <n v="1.9759949999999999"/>
    <n v="1319.9"/>
  </r>
  <r>
    <x v="9"/>
    <x v="19"/>
    <x v="0"/>
    <n v="1.9801299999999999"/>
    <n v="1.91"/>
    <n v="2.0419900000000002"/>
    <n v="1.9759949999999999"/>
    <n v="1319.9"/>
  </r>
  <r>
    <x v="9"/>
    <x v="19"/>
    <x v="0"/>
    <n v="1.9801299999999999"/>
    <n v="1.91"/>
    <n v="2.0419900000000002"/>
    <n v="1.9759949999999999"/>
    <n v="1319.9"/>
  </r>
  <r>
    <x v="9"/>
    <x v="19"/>
    <x v="0"/>
    <n v="1.9801299999999999"/>
    <n v="1.91"/>
    <n v="2.0419900000000002"/>
    <n v="1.9759949999999999"/>
    <n v="1319.9"/>
  </r>
  <r>
    <x v="9"/>
    <x v="19"/>
    <x v="0"/>
    <n v="1.9801299999999999"/>
    <n v="1.91"/>
    <n v="2.0419900000000002"/>
    <n v="1.9759949999999999"/>
    <n v="1319.9"/>
  </r>
  <r>
    <x v="9"/>
    <x v="19"/>
    <x v="0"/>
    <n v="1.9801299999999999"/>
    <n v="1.91"/>
    <n v="2.0419900000000002"/>
    <n v="1.9759949999999999"/>
    <n v="1319.9"/>
  </r>
  <r>
    <x v="9"/>
    <x v="19"/>
    <x v="0"/>
    <n v="1.9801299999999999"/>
    <n v="1.91"/>
    <n v="2.0419900000000002"/>
    <n v="1.9759949999999999"/>
    <n v="1319.9"/>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2"/>
    <n v="116.229"/>
    <n v="101"/>
    <n v="109.002"/>
    <n v="105.001"/>
    <n v="800.2"/>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13"/>
    <n v="0.87426999999999999"/>
    <n v="0.86750000000000005"/>
    <n v="0.94952999999999999"/>
    <n v="0.90851499999999996"/>
    <n v="820.3"/>
  </r>
  <r>
    <x v="9"/>
    <x v="19"/>
    <x v="9"/>
    <n v="0.79903000000000002"/>
    <n v="0.78596999999999995"/>
    <n v="0.84"/>
    <n v="0.81298499999999996"/>
    <n v="540.29999999999995"/>
  </r>
  <r>
    <x v="9"/>
    <x v="19"/>
    <x v="9"/>
    <n v="0.79903000000000002"/>
    <n v="0.78596999999999995"/>
    <n v="0.84"/>
    <n v="0.81298499999999996"/>
    <n v="540.29999999999995"/>
  </r>
  <r>
    <x v="9"/>
    <x v="19"/>
    <x v="9"/>
    <n v="0.79903000000000002"/>
    <n v="0.78596999999999995"/>
    <n v="0.84"/>
    <n v="0.81298499999999996"/>
    <n v="540.29999999999995"/>
  </r>
  <r>
    <x v="9"/>
    <x v="19"/>
    <x v="9"/>
    <n v="0.79903000000000002"/>
    <n v="0.78596999999999995"/>
    <n v="0.84"/>
    <n v="0.81298499999999996"/>
    <n v="540.29999999999995"/>
  </r>
  <r>
    <x v="9"/>
    <x v="19"/>
    <x v="9"/>
    <n v="0.79903000000000002"/>
    <n v="0.78596999999999995"/>
    <n v="0.84"/>
    <n v="0.81298499999999996"/>
    <n v="540.29999999999995"/>
  </r>
  <r>
    <x v="9"/>
    <x v="19"/>
    <x v="9"/>
    <n v="0.79903000000000002"/>
    <n v="0.78596999999999995"/>
    <n v="0.84"/>
    <n v="0.81298499999999996"/>
    <n v="540.29999999999995"/>
  </r>
  <r>
    <x v="9"/>
    <x v="19"/>
    <x v="9"/>
    <n v="0.79903000000000002"/>
    <n v="0.78596999999999995"/>
    <n v="0.84"/>
    <n v="0.81298499999999996"/>
    <n v="540.29999999999995"/>
  </r>
  <r>
    <x v="9"/>
    <x v="19"/>
    <x v="9"/>
    <n v="0.79903000000000002"/>
    <n v="0.78596999999999995"/>
    <n v="0.84"/>
    <n v="0.81298499999999996"/>
    <n v="540.29999999999995"/>
  </r>
  <r>
    <x v="9"/>
    <x v="19"/>
    <x v="9"/>
    <n v="0.79903000000000002"/>
    <n v="0.78596999999999995"/>
    <n v="0.84"/>
    <n v="0.81298499999999996"/>
    <n v="540.29999999999995"/>
  </r>
  <r>
    <x v="9"/>
    <x v="19"/>
    <x v="9"/>
    <n v="0.79903000000000002"/>
    <n v="0.78596999999999995"/>
    <n v="0.84"/>
    <n v="0.81298499999999996"/>
    <n v="540.29999999999995"/>
  </r>
  <r>
    <x v="9"/>
    <x v="19"/>
    <x v="9"/>
    <n v="0.79903000000000002"/>
    <n v="0.78596999999999995"/>
    <n v="0.84"/>
    <n v="0.81298499999999996"/>
    <n v="540.29999999999995"/>
  </r>
  <r>
    <x v="9"/>
    <x v="19"/>
    <x v="9"/>
    <n v="0.79903000000000002"/>
    <n v="0.78596999999999995"/>
    <n v="0.84"/>
    <n v="0.81298499999999996"/>
    <n v="540.29999999999995"/>
  </r>
  <r>
    <x v="9"/>
    <x v="19"/>
    <x v="9"/>
    <n v="0.79903000000000002"/>
    <n v="0.78596999999999995"/>
    <n v="0.84"/>
    <n v="0.81298499999999996"/>
    <n v="540.29999999999995"/>
  </r>
  <r>
    <x v="9"/>
    <x v="19"/>
    <x v="9"/>
    <n v="0.79903000000000002"/>
    <n v="0.78596999999999995"/>
    <n v="0.84"/>
    <n v="0.81298499999999996"/>
    <n v="540.29999999999995"/>
  </r>
  <r>
    <x v="9"/>
    <x v="19"/>
    <x v="9"/>
    <n v="0.79903000000000002"/>
    <n v="0.78596999999999995"/>
    <n v="0.84"/>
    <n v="0.81298499999999996"/>
    <n v="540.29999999999995"/>
  </r>
  <r>
    <x v="9"/>
    <x v="19"/>
    <x v="9"/>
    <n v="0.79903000000000002"/>
    <n v="0.78596999999999995"/>
    <n v="0.84"/>
    <n v="0.81298499999999996"/>
    <n v="540.29999999999995"/>
  </r>
  <r>
    <x v="9"/>
    <x v="19"/>
    <x v="9"/>
    <n v="0.79903000000000002"/>
    <n v="0.78596999999999995"/>
    <n v="0.84"/>
    <n v="0.81298499999999996"/>
    <n v="540.29999999999995"/>
  </r>
  <r>
    <x v="9"/>
    <x v="19"/>
    <x v="9"/>
    <n v="0.79903000000000002"/>
    <n v="0.78596999999999995"/>
    <n v="0.84"/>
    <n v="0.81298499999999996"/>
    <n v="540.29999999999995"/>
  </r>
  <r>
    <x v="9"/>
    <x v="19"/>
    <x v="9"/>
    <n v="0.79903000000000002"/>
    <n v="0.78596999999999995"/>
    <n v="0.84"/>
    <n v="0.81298499999999996"/>
    <n v="540.29999999999995"/>
  </r>
  <r>
    <x v="9"/>
    <x v="19"/>
    <x v="9"/>
    <n v="0.79903000000000002"/>
    <n v="0.78596999999999995"/>
    <n v="0.84"/>
    <n v="0.81298499999999996"/>
    <n v="540.29999999999995"/>
  </r>
  <r>
    <x v="9"/>
    <x v="19"/>
    <x v="9"/>
    <n v="0.79903000000000002"/>
    <n v="0.78596999999999995"/>
    <n v="0.84"/>
    <n v="0.81298499999999996"/>
    <n v="540.29999999999995"/>
  </r>
  <r>
    <x v="9"/>
    <x v="19"/>
    <x v="9"/>
    <n v="0.79903000000000002"/>
    <n v="0.78596999999999995"/>
    <n v="0.84"/>
    <n v="0.81298499999999996"/>
    <n v="540.29999999999995"/>
  </r>
  <r>
    <x v="9"/>
    <x v="19"/>
    <x v="9"/>
    <n v="0.79903000000000002"/>
    <n v="0.78596999999999995"/>
    <n v="0.84"/>
    <n v="0.81298499999999996"/>
    <n v="540.29999999999995"/>
  </r>
  <r>
    <x v="9"/>
    <x v="19"/>
    <x v="0"/>
    <n v="1.9801299999999999"/>
    <n v="1.91"/>
    <n v="2.0419900000000002"/>
    <n v="1.9759949999999999"/>
    <n v="1319.9"/>
  </r>
  <r>
    <x v="9"/>
    <x v="19"/>
    <x v="0"/>
    <n v="1.9801299999999999"/>
    <n v="1.91"/>
    <n v="2.0419900000000002"/>
    <n v="1.9759949999999999"/>
    <n v="1319.9"/>
  </r>
  <r>
    <x v="9"/>
    <x v="19"/>
    <x v="0"/>
    <n v="1.9801299999999999"/>
    <n v="1.91"/>
    <n v="2.0419900000000002"/>
    <n v="1.9759949999999999"/>
    <n v="1319.9"/>
  </r>
  <r>
    <x v="9"/>
    <x v="19"/>
    <x v="0"/>
    <n v="1.9801299999999999"/>
    <n v="1.91"/>
    <n v="2.0419900000000002"/>
    <n v="1.9759949999999999"/>
    <n v="1319.9"/>
  </r>
  <r>
    <x v="9"/>
    <x v="19"/>
    <x v="0"/>
    <n v="1.9801299999999999"/>
    <n v="1.91"/>
    <n v="2.0419900000000002"/>
    <n v="1.9759949999999999"/>
    <n v="1319.9"/>
  </r>
  <r>
    <x v="9"/>
    <x v="19"/>
    <x v="0"/>
    <n v="1.9801299999999999"/>
    <n v="1.91"/>
    <n v="2.0419900000000002"/>
    <n v="1.9759949999999999"/>
    <n v="1319.9"/>
  </r>
  <r>
    <x v="9"/>
    <x v="20"/>
    <x v="0"/>
    <n v="1.9839800000000001"/>
    <n v="1.91"/>
    <n v="2.0419900000000002"/>
    <n v="1.9759949999999999"/>
    <n v="1319.9"/>
  </r>
  <r>
    <x v="9"/>
    <x v="20"/>
    <x v="0"/>
    <n v="1.9839800000000001"/>
    <n v="1.91"/>
    <n v="2.0419900000000002"/>
    <n v="1.9759949999999999"/>
    <n v="1319.9"/>
  </r>
  <r>
    <x v="9"/>
    <x v="20"/>
    <x v="0"/>
    <n v="1.9839800000000001"/>
    <n v="1.91"/>
    <n v="2.0419900000000002"/>
    <n v="1.9759949999999999"/>
    <n v="1319.9"/>
  </r>
  <r>
    <x v="9"/>
    <x v="20"/>
    <x v="0"/>
    <n v="1.9839800000000001"/>
    <n v="1.91"/>
    <n v="2.0419900000000002"/>
    <n v="1.9759949999999999"/>
    <n v="1319.9"/>
  </r>
  <r>
    <x v="9"/>
    <x v="20"/>
    <x v="0"/>
    <n v="1.9839800000000001"/>
    <n v="1.91"/>
    <n v="2.0419900000000002"/>
    <n v="1.9759949999999999"/>
    <n v="1319.9"/>
  </r>
  <r>
    <x v="9"/>
    <x v="20"/>
    <x v="0"/>
    <n v="1.9839800000000001"/>
    <n v="1.91"/>
    <n v="2.0419900000000002"/>
    <n v="1.9759949999999999"/>
    <n v="1319.9"/>
  </r>
  <r>
    <x v="9"/>
    <x v="20"/>
    <x v="0"/>
    <n v="1.9839800000000001"/>
    <n v="1.91"/>
    <n v="2.0419900000000002"/>
    <n v="1.9759949999999999"/>
    <n v="1319.9"/>
  </r>
  <r>
    <x v="9"/>
    <x v="20"/>
    <x v="0"/>
    <n v="1.9839800000000001"/>
    <n v="1.91"/>
    <n v="2.0419900000000002"/>
    <n v="1.9759949999999999"/>
    <n v="1319.9"/>
  </r>
  <r>
    <x v="9"/>
    <x v="20"/>
    <x v="0"/>
    <n v="1.9839800000000001"/>
    <n v="1.91"/>
    <n v="2.0419900000000002"/>
    <n v="1.9759949999999999"/>
    <n v="1319.9"/>
  </r>
  <r>
    <x v="9"/>
    <x v="20"/>
    <x v="0"/>
    <n v="1.9839800000000001"/>
    <n v="1.91"/>
    <n v="2.0419900000000002"/>
    <n v="1.9759949999999999"/>
    <n v="1319.9"/>
  </r>
  <r>
    <x v="9"/>
    <x v="20"/>
    <x v="0"/>
    <n v="1.9839800000000001"/>
    <n v="1.91"/>
    <n v="2.0419900000000002"/>
    <n v="1.9759949999999999"/>
    <n v="1319.9"/>
  </r>
  <r>
    <x v="9"/>
    <x v="20"/>
    <x v="0"/>
    <n v="1.9839800000000001"/>
    <n v="1.91"/>
    <n v="2.0419900000000002"/>
    <n v="1.9759949999999999"/>
    <n v="1319.9"/>
  </r>
  <r>
    <x v="9"/>
    <x v="20"/>
    <x v="0"/>
    <n v="1.9839800000000001"/>
    <n v="1.91"/>
    <n v="2.0419900000000002"/>
    <n v="1.9759949999999999"/>
    <n v="1319.9"/>
  </r>
  <r>
    <x v="9"/>
    <x v="20"/>
    <x v="0"/>
    <n v="1.9839800000000001"/>
    <n v="1.91"/>
    <n v="2.0419900000000002"/>
    <n v="1.9759949999999999"/>
    <n v="1319.9"/>
  </r>
  <r>
    <x v="9"/>
    <x v="20"/>
    <x v="0"/>
    <n v="1.9839800000000001"/>
    <n v="1.91"/>
    <n v="2.0419900000000002"/>
    <n v="1.9759949999999999"/>
    <n v="1319.9"/>
  </r>
  <r>
    <x v="9"/>
    <x v="20"/>
    <x v="0"/>
    <n v="1.9839800000000001"/>
    <n v="1.91"/>
    <n v="2.0419900000000002"/>
    <n v="1.9759949999999999"/>
    <n v="1319.9"/>
  </r>
  <r>
    <x v="9"/>
    <x v="20"/>
    <x v="0"/>
    <n v="1.9839800000000001"/>
    <n v="1.91"/>
    <n v="2.0419900000000002"/>
    <n v="1.9759949999999999"/>
    <n v="1319.9"/>
  </r>
  <r>
    <x v="9"/>
    <x v="20"/>
    <x v="0"/>
    <n v="1.9839800000000001"/>
    <n v="1.91"/>
    <n v="2.0419900000000002"/>
    <n v="1.9759949999999999"/>
    <n v="1319.9"/>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2"/>
    <n v="117.765"/>
    <n v="101"/>
    <n v="109.002"/>
    <n v="105.001"/>
    <n v="800.2"/>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13"/>
    <n v="0.86672000000000005"/>
    <n v="0.86750000000000005"/>
    <n v="0.94952999999999999"/>
    <n v="0.90851499999999996"/>
    <n v="820.3"/>
  </r>
  <r>
    <x v="9"/>
    <x v="20"/>
    <x v="9"/>
    <n v="0.79076000000000002"/>
    <n v="0.78596999999999995"/>
    <n v="0.84"/>
    <n v="0.81298499999999996"/>
    <n v="540.29999999999995"/>
  </r>
  <r>
    <x v="9"/>
    <x v="20"/>
    <x v="9"/>
    <n v="0.79076000000000002"/>
    <n v="0.78596999999999995"/>
    <n v="0.84"/>
    <n v="0.81298499999999996"/>
    <n v="540.29999999999995"/>
  </r>
  <r>
    <x v="9"/>
    <x v="20"/>
    <x v="9"/>
    <n v="0.79076000000000002"/>
    <n v="0.78596999999999995"/>
    <n v="0.84"/>
    <n v="0.81298499999999996"/>
    <n v="540.29999999999995"/>
  </r>
  <r>
    <x v="9"/>
    <x v="20"/>
    <x v="9"/>
    <n v="0.79076000000000002"/>
    <n v="0.78596999999999995"/>
    <n v="0.84"/>
    <n v="0.81298499999999996"/>
    <n v="540.29999999999995"/>
  </r>
  <r>
    <x v="9"/>
    <x v="20"/>
    <x v="9"/>
    <n v="0.79076000000000002"/>
    <n v="0.78596999999999995"/>
    <n v="0.84"/>
    <n v="0.81298499999999996"/>
    <n v="540.29999999999995"/>
  </r>
  <r>
    <x v="9"/>
    <x v="20"/>
    <x v="9"/>
    <n v="0.79076000000000002"/>
    <n v="0.78596999999999995"/>
    <n v="0.84"/>
    <n v="0.81298499999999996"/>
    <n v="540.29999999999995"/>
  </r>
  <r>
    <x v="9"/>
    <x v="20"/>
    <x v="9"/>
    <n v="0.79076000000000002"/>
    <n v="0.78596999999999995"/>
    <n v="0.84"/>
    <n v="0.81298499999999996"/>
    <n v="540.29999999999995"/>
  </r>
  <r>
    <x v="9"/>
    <x v="20"/>
    <x v="9"/>
    <n v="0.79076000000000002"/>
    <n v="0.78596999999999995"/>
    <n v="0.84"/>
    <n v="0.81298499999999996"/>
    <n v="540.29999999999995"/>
  </r>
  <r>
    <x v="9"/>
    <x v="20"/>
    <x v="9"/>
    <n v="0.79076000000000002"/>
    <n v="0.78596999999999995"/>
    <n v="0.84"/>
    <n v="0.81298499999999996"/>
    <n v="540.29999999999995"/>
  </r>
  <r>
    <x v="9"/>
    <x v="20"/>
    <x v="9"/>
    <n v="0.79076000000000002"/>
    <n v="0.78596999999999995"/>
    <n v="0.84"/>
    <n v="0.81298499999999996"/>
    <n v="540.29999999999995"/>
  </r>
  <r>
    <x v="9"/>
    <x v="20"/>
    <x v="9"/>
    <n v="0.79076000000000002"/>
    <n v="0.78596999999999995"/>
    <n v="0.84"/>
    <n v="0.81298499999999996"/>
    <n v="540.29999999999995"/>
  </r>
  <r>
    <x v="9"/>
    <x v="20"/>
    <x v="9"/>
    <n v="0.79076000000000002"/>
    <n v="0.78596999999999995"/>
    <n v="0.84"/>
    <n v="0.81298499999999996"/>
    <n v="540.29999999999995"/>
  </r>
  <r>
    <x v="9"/>
    <x v="20"/>
    <x v="9"/>
    <n v="0.79076000000000002"/>
    <n v="0.78596999999999995"/>
    <n v="0.84"/>
    <n v="0.81298499999999996"/>
    <n v="540.29999999999995"/>
  </r>
  <r>
    <x v="9"/>
    <x v="20"/>
    <x v="9"/>
    <n v="0.79076000000000002"/>
    <n v="0.78596999999999995"/>
    <n v="0.84"/>
    <n v="0.81298499999999996"/>
    <n v="540.29999999999995"/>
  </r>
  <r>
    <x v="9"/>
    <x v="20"/>
    <x v="9"/>
    <n v="0.79076000000000002"/>
    <n v="0.78596999999999995"/>
    <n v="0.84"/>
    <n v="0.81298499999999996"/>
    <n v="540.29999999999995"/>
  </r>
  <r>
    <x v="9"/>
    <x v="20"/>
    <x v="9"/>
    <n v="0.79076000000000002"/>
    <n v="0.78596999999999995"/>
    <n v="0.84"/>
    <n v="0.81298499999999996"/>
    <n v="540.29999999999995"/>
  </r>
  <r>
    <x v="9"/>
    <x v="20"/>
    <x v="9"/>
    <n v="0.79076000000000002"/>
    <n v="0.78596999999999995"/>
    <n v="0.84"/>
    <n v="0.81298499999999996"/>
    <n v="540.29999999999995"/>
  </r>
  <r>
    <x v="9"/>
    <x v="20"/>
    <x v="9"/>
    <n v="0.79076000000000002"/>
    <n v="0.78596999999999995"/>
    <n v="0.84"/>
    <n v="0.81298499999999996"/>
    <n v="540.29999999999995"/>
  </r>
  <r>
    <x v="9"/>
    <x v="20"/>
    <x v="9"/>
    <n v="0.79076000000000002"/>
    <n v="0.78596999999999995"/>
    <n v="0.84"/>
    <n v="0.81298499999999996"/>
    <n v="540.29999999999995"/>
  </r>
  <r>
    <x v="9"/>
    <x v="20"/>
    <x v="9"/>
    <n v="0.79076000000000002"/>
    <n v="0.78596999999999995"/>
    <n v="0.84"/>
    <n v="0.81298499999999996"/>
    <n v="540.29999999999995"/>
  </r>
  <r>
    <x v="9"/>
    <x v="20"/>
    <x v="9"/>
    <n v="0.79076000000000002"/>
    <n v="0.78596999999999995"/>
    <n v="0.84"/>
    <n v="0.81298499999999996"/>
    <n v="540.29999999999995"/>
  </r>
  <r>
    <x v="9"/>
    <x v="20"/>
    <x v="9"/>
    <n v="0.79076000000000002"/>
    <n v="0.78596999999999995"/>
    <n v="0.84"/>
    <n v="0.81298499999999996"/>
    <n v="540.29999999999995"/>
  </r>
  <r>
    <x v="9"/>
    <x v="20"/>
    <x v="0"/>
    <n v="1.9839800000000001"/>
    <n v="1.91"/>
    <n v="2.0419900000000002"/>
    <n v="1.9759949999999999"/>
    <n v="1319.9"/>
  </r>
  <r>
    <x v="9"/>
    <x v="20"/>
    <x v="0"/>
    <n v="1.9839800000000001"/>
    <n v="1.91"/>
    <n v="2.0419900000000002"/>
    <n v="1.9759949999999999"/>
    <n v="1319.9"/>
  </r>
  <r>
    <x v="9"/>
    <x v="21"/>
    <x v="0"/>
    <n v="1.99255"/>
    <n v="1.91"/>
    <n v="2.0419900000000002"/>
    <n v="1.9759949999999999"/>
    <n v="1319.9"/>
  </r>
  <r>
    <x v="9"/>
    <x v="21"/>
    <x v="0"/>
    <n v="1.99255"/>
    <n v="1.91"/>
    <n v="2.0419900000000002"/>
    <n v="1.9759949999999999"/>
    <n v="1319.9"/>
  </r>
  <r>
    <x v="9"/>
    <x v="21"/>
    <x v="0"/>
    <n v="1.99255"/>
    <n v="1.91"/>
    <n v="2.0419900000000002"/>
    <n v="1.9759949999999999"/>
    <n v="1319.9"/>
  </r>
  <r>
    <x v="9"/>
    <x v="21"/>
    <x v="0"/>
    <n v="1.99255"/>
    <n v="1.91"/>
    <n v="2.0419900000000002"/>
    <n v="1.9759949999999999"/>
    <n v="1319.9"/>
  </r>
  <r>
    <x v="9"/>
    <x v="21"/>
    <x v="0"/>
    <n v="1.99255"/>
    <n v="1.91"/>
    <n v="2.0419900000000002"/>
    <n v="1.9759949999999999"/>
    <n v="1319.9"/>
  </r>
  <r>
    <x v="9"/>
    <x v="21"/>
    <x v="0"/>
    <n v="1.99255"/>
    <n v="1.91"/>
    <n v="2.0419900000000002"/>
    <n v="1.9759949999999999"/>
    <n v="1319.9"/>
  </r>
  <r>
    <x v="9"/>
    <x v="21"/>
    <x v="0"/>
    <n v="1.99255"/>
    <n v="1.91"/>
    <n v="2.0419900000000002"/>
    <n v="1.9759949999999999"/>
    <n v="1319.9"/>
  </r>
  <r>
    <x v="9"/>
    <x v="21"/>
    <x v="0"/>
    <n v="1.99255"/>
    <n v="1.91"/>
    <n v="2.0419900000000002"/>
    <n v="1.9759949999999999"/>
    <n v="1319.9"/>
  </r>
  <r>
    <x v="9"/>
    <x v="21"/>
    <x v="0"/>
    <n v="1.99255"/>
    <n v="1.91"/>
    <n v="2.0419900000000002"/>
    <n v="1.9759949999999999"/>
    <n v="1319.9"/>
  </r>
  <r>
    <x v="9"/>
    <x v="21"/>
    <x v="0"/>
    <n v="1.99255"/>
    <n v="1.91"/>
    <n v="2.0419900000000002"/>
    <n v="1.9759949999999999"/>
    <n v="1319.9"/>
  </r>
  <r>
    <x v="9"/>
    <x v="21"/>
    <x v="0"/>
    <n v="1.99255"/>
    <n v="1.91"/>
    <n v="2.0419900000000002"/>
    <n v="1.9759949999999999"/>
    <n v="1319.9"/>
  </r>
  <r>
    <x v="9"/>
    <x v="21"/>
    <x v="0"/>
    <n v="1.99255"/>
    <n v="1.91"/>
    <n v="2.0419900000000002"/>
    <n v="1.9759949999999999"/>
    <n v="1319.9"/>
  </r>
  <r>
    <x v="9"/>
    <x v="21"/>
    <x v="0"/>
    <n v="1.99255"/>
    <n v="1.91"/>
    <n v="2.0419900000000002"/>
    <n v="1.9759949999999999"/>
    <n v="1319.9"/>
  </r>
  <r>
    <x v="9"/>
    <x v="21"/>
    <x v="0"/>
    <n v="1.99255"/>
    <n v="1.91"/>
    <n v="2.0419900000000002"/>
    <n v="1.9759949999999999"/>
    <n v="1319.9"/>
  </r>
  <r>
    <x v="9"/>
    <x v="21"/>
    <x v="0"/>
    <n v="1.99255"/>
    <n v="1.91"/>
    <n v="2.0419900000000002"/>
    <n v="1.9759949999999999"/>
    <n v="1319.9"/>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2"/>
    <n v="118.542"/>
    <n v="101"/>
    <n v="109.002"/>
    <n v="105.001"/>
    <n v="800.2"/>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13"/>
    <n v="0.84967000000000004"/>
    <n v="0.86750000000000005"/>
    <n v="0.94952999999999999"/>
    <n v="0.90851499999999996"/>
    <n v="820.3"/>
  </r>
  <r>
    <x v="9"/>
    <x v="21"/>
    <x v="9"/>
    <n v="0.79529000000000005"/>
    <n v="0.78596999999999995"/>
    <n v="0.84"/>
    <n v="0.81298499999999996"/>
    <n v="540.29999999999995"/>
  </r>
  <r>
    <x v="9"/>
    <x v="21"/>
    <x v="9"/>
    <n v="0.79529000000000005"/>
    <n v="0.78596999999999995"/>
    <n v="0.84"/>
    <n v="0.81298499999999996"/>
    <n v="540.29999999999995"/>
  </r>
  <r>
    <x v="9"/>
    <x v="21"/>
    <x v="9"/>
    <n v="0.79529000000000005"/>
    <n v="0.78596999999999995"/>
    <n v="0.84"/>
    <n v="0.81298499999999996"/>
    <n v="540.29999999999995"/>
  </r>
  <r>
    <x v="9"/>
    <x v="21"/>
    <x v="9"/>
    <n v="0.79529000000000005"/>
    <n v="0.78596999999999995"/>
    <n v="0.84"/>
    <n v="0.81298499999999996"/>
    <n v="540.29999999999995"/>
  </r>
  <r>
    <x v="9"/>
    <x v="21"/>
    <x v="9"/>
    <n v="0.79529000000000005"/>
    <n v="0.78596999999999995"/>
    <n v="0.84"/>
    <n v="0.81298499999999996"/>
    <n v="540.29999999999995"/>
  </r>
  <r>
    <x v="9"/>
    <x v="21"/>
    <x v="9"/>
    <n v="0.79529000000000005"/>
    <n v="0.78596999999999995"/>
    <n v="0.84"/>
    <n v="0.81298499999999996"/>
    <n v="540.29999999999995"/>
  </r>
  <r>
    <x v="9"/>
    <x v="21"/>
    <x v="9"/>
    <n v="0.79529000000000005"/>
    <n v="0.78596999999999995"/>
    <n v="0.84"/>
    <n v="0.81298499999999996"/>
    <n v="540.29999999999995"/>
  </r>
  <r>
    <x v="9"/>
    <x v="21"/>
    <x v="9"/>
    <n v="0.79529000000000005"/>
    <n v="0.78596999999999995"/>
    <n v="0.84"/>
    <n v="0.81298499999999996"/>
    <n v="540.29999999999995"/>
  </r>
  <r>
    <x v="9"/>
    <x v="21"/>
    <x v="9"/>
    <n v="0.79529000000000005"/>
    <n v="0.78596999999999995"/>
    <n v="0.84"/>
    <n v="0.81298499999999996"/>
    <n v="540.29999999999995"/>
  </r>
  <r>
    <x v="9"/>
    <x v="21"/>
    <x v="9"/>
    <n v="0.79529000000000005"/>
    <n v="0.78596999999999995"/>
    <n v="0.84"/>
    <n v="0.81298499999999996"/>
    <n v="540.29999999999995"/>
  </r>
  <r>
    <x v="9"/>
    <x v="21"/>
    <x v="9"/>
    <n v="0.79529000000000005"/>
    <n v="0.78596999999999995"/>
    <n v="0.84"/>
    <n v="0.81298499999999996"/>
    <n v="540.29999999999995"/>
  </r>
  <r>
    <x v="9"/>
    <x v="21"/>
    <x v="9"/>
    <n v="0.79529000000000005"/>
    <n v="0.78596999999999995"/>
    <n v="0.84"/>
    <n v="0.81298499999999996"/>
    <n v="540.29999999999995"/>
  </r>
  <r>
    <x v="9"/>
    <x v="21"/>
    <x v="9"/>
    <n v="0.79529000000000005"/>
    <n v="0.78596999999999995"/>
    <n v="0.84"/>
    <n v="0.81298499999999996"/>
    <n v="540.29999999999995"/>
  </r>
  <r>
    <x v="9"/>
    <x v="21"/>
    <x v="9"/>
    <n v="0.79529000000000005"/>
    <n v="0.78596999999999995"/>
    <n v="0.84"/>
    <n v="0.81298499999999996"/>
    <n v="540.29999999999995"/>
  </r>
  <r>
    <x v="9"/>
    <x v="21"/>
    <x v="9"/>
    <n v="0.79529000000000005"/>
    <n v="0.78596999999999995"/>
    <n v="0.84"/>
    <n v="0.81298499999999996"/>
    <n v="540.29999999999995"/>
  </r>
  <r>
    <x v="9"/>
    <x v="21"/>
    <x v="9"/>
    <n v="0.79529000000000005"/>
    <n v="0.78596999999999995"/>
    <n v="0.84"/>
    <n v="0.81298499999999996"/>
    <n v="540.29999999999995"/>
  </r>
  <r>
    <x v="9"/>
    <x v="21"/>
    <x v="9"/>
    <n v="0.79529000000000005"/>
    <n v="0.78596999999999995"/>
    <n v="0.84"/>
    <n v="0.81298499999999996"/>
    <n v="540.29999999999995"/>
  </r>
  <r>
    <x v="9"/>
    <x v="21"/>
    <x v="9"/>
    <n v="0.79529000000000005"/>
    <n v="0.78596999999999995"/>
    <n v="0.84"/>
    <n v="0.81298499999999996"/>
    <n v="540.29999999999995"/>
  </r>
  <r>
    <x v="9"/>
    <x v="21"/>
    <x v="9"/>
    <n v="0.79529000000000005"/>
    <n v="0.78596999999999995"/>
    <n v="0.84"/>
    <n v="0.81298499999999996"/>
    <n v="540.29999999999995"/>
  </r>
  <r>
    <x v="9"/>
    <x v="21"/>
    <x v="9"/>
    <n v="0.79529000000000005"/>
    <n v="0.78596999999999995"/>
    <n v="0.84"/>
    <n v="0.81298499999999996"/>
    <n v="540.29999999999995"/>
  </r>
  <r>
    <x v="9"/>
    <x v="21"/>
    <x v="0"/>
    <n v="1.99255"/>
    <n v="1.91"/>
    <n v="2.0419900000000002"/>
    <n v="1.9759949999999999"/>
    <n v="1319.9"/>
  </r>
  <r>
    <x v="9"/>
    <x v="21"/>
    <x v="0"/>
    <n v="1.99255"/>
    <n v="1.91"/>
    <n v="2.0419900000000002"/>
    <n v="1.9759949999999999"/>
    <n v="1319.9"/>
  </r>
  <r>
    <x v="9"/>
    <x v="21"/>
    <x v="0"/>
    <n v="1.99255"/>
    <n v="1.91"/>
    <n v="2.0419900000000002"/>
    <n v="1.9759949999999999"/>
    <n v="1319.9"/>
  </r>
  <r>
    <x v="9"/>
    <x v="21"/>
    <x v="0"/>
    <n v="1.99255"/>
    <n v="1.91"/>
    <n v="2.0419900000000002"/>
    <n v="1.9759949999999999"/>
    <n v="1319.9"/>
  </r>
  <r>
    <x v="9"/>
    <x v="22"/>
    <x v="0"/>
    <n v="2.0185"/>
    <n v="1.91"/>
    <n v="2.0419900000000002"/>
    <n v="1.9759949999999999"/>
    <n v="1319.9"/>
  </r>
  <r>
    <x v="9"/>
    <x v="22"/>
    <x v="0"/>
    <n v="2.0185"/>
    <n v="1.91"/>
    <n v="2.0419900000000002"/>
    <n v="1.9759949999999999"/>
    <n v="1319.9"/>
  </r>
  <r>
    <x v="9"/>
    <x v="22"/>
    <x v="0"/>
    <n v="2.0185"/>
    <n v="1.91"/>
    <n v="2.0419900000000002"/>
    <n v="1.9759949999999999"/>
    <n v="1319.9"/>
  </r>
  <r>
    <x v="9"/>
    <x v="22"/>
    <x v="0"/>
    <n v="2.0185"/>
    <n v="1.91"/>
    <n v="2.0419900000000002"/>
    <n v="1.9759949999999999"/>
    <n v="1319.9"/>
  </r>
  <r>
    <x v="9"/>
    <x v="22"/>
    <x v="0"/>
    <n v="2.0185"/>
    <n v="1.91"/>
    <n v="2.0419900000000002"/>
    <n v="1.9759949999999999"/>
    <n v="1319.9"/>
  </r>
  <r>
    <x v="9"/>
    <x v="22"/>
    <x v="0"/>
    <n v="2.0185"/>
    <n v="1.91"/>
    <n v="2.0419900000000002"/>
    <n v="1.9759949999999999"/>
    <n v="1319.9"/>
  </r>
  <r>
    <x v="9"/>
    <x v="22"/>
    <x v="0"/>
    <n v="2.0185"/>
    <n v="1.91"/>
    <n v="2.0419900000000002"/>
    <n v="1.9759949999999999"/>
    <n v="1319.9"/>
  </r>
  <r>
    <x v="9"/>
    <x v="22"/>
    <x v="0"/>
    <n v="2.0185"/>
    <n v="1.91"/>
    <n v="2.0419900000000002"/>
    <n v="1.9759949999999999"/>
    <n v="1319.9"/>
  </r>
  <r>
    <x v="9"/>
    <x v="22"/>
    <x v="0"/>
    <n v="2.0185"/>
    <n v="1.91"/>
    <n v="2.0419900000000002"/>
    <n v="1.9759949999999999"/>
    <n v="1319.9"/>
  </r>
  <r>
    <x v="9"/>
    <x v="22"/>
    <x v="0"/>
    <n v="2.0185"/>
    <n v="1.91"/>
    <n v="2.0419900000000002"/>
    <n v="1.9759949999999999"/>
    <n v="1319.9"/>
  </r>
  <r>
    <x v="9"/>
    <x v="22"/>
    <x v="0"/>
    <n v="2.0185"/>
    <n v="1.91"/>
    <n v="2.0419900000000002"/>
    <n v="1.9759949999999999"/>
    <n v="1319.9"/>
  </r>
  <r>
    <x v="9"/>
    <x v="22"/>
    <x v="0"/>
    <n v="2.0185"/>
    <n v="1.91"/>
    <n v="2.0419900000000002"/>
    <n v="1.9759949999999999"/>
    <n v="1319.9"/>
  </r>
  <r>
    <x v="9"/>
    <x v="22"/>
    <x v="0"/>
    <n v="2.0185"/>
    <n v="1.91"/>
    <n v="2.0419900000000002"/>
    <n v="1.9759949999999999"/>
    <n v="1319.9"/>
  </r>
  <r>
    <x v="9"/>
    <x v="22"/>
    <x v="0"/>
    <n v="2.0185"/>
    <n v="1.91"/>
    <n v="2.0419900000000002"/>
    <n v="1.9759949999999999"/>
    <n v="1319.9"/>
  </r>
  <r>
    <x v="9"/>
    <x v="22"/>
    <x v="0"/>
    <n v="2.0185"/>
    <n v="1.91"/>
    <n v="2.0419900000000002"/>
    <n v="1.9759949999999999"/>
    <n v="1319.9"/>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2"/>
    <n v="121.467"/>
    <n v="101"/>
    <n v="109.002"/>
    <n v="105.001"/>
    <n v="800.2"/>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13"/>
    <n v="0.83113999999999999"/>
    <n v="0.86750000000000005"/>
    <n v="0.94952999999999999"/>
    <n v="0.90851499999999996"/>
    <n v="820.3"/>
  </r>
  <r>
    <x v="9"/>
    <x v="22"/>
    <x v="9"/>
    <n v="0.78812000000000004"/>
    <n v="0.78596999999999995"/>
    <n v="0.84"/>
    <n v="0.81298499999999996"/>
    <n v="540.29999999999995"/>
  </r>
  <r>
    <x v="9"/>
    <x v="22"/>
    <x v="9"/>
    <n v="0.78812000000000004"/>
    <n v="0.78596999999999995"/>
    <n v="0.84"/>
    <n v="0.81298499999999996"/>
    <n v="540.29999999999995"/>
  </r>
  <r>
    <x v="9"/>
    <x v="22"/>
    <x v="9"/>
    <n v="0.78812000000000004"/>
    <n v="0.78596999999999995"/>
    <n v="0.84"/>
    <n v="0.81298499999999996"/>
    <n v="540.29999999999995"/>
  </r>
  <r>
    <x v="9"/>
    <x v="22"/>
    <x v="9"/>
    <n v="0.78812000000000004"/>
    <n v="0.78596999999999995"/>
    <n v="0.84"/>
    <n v="0.81298499999999996"/>
    <n v="540.29999999999995"/>
  </r>
  <r>
    <x v="9"/>
    <x v="22"/>
    <x v="9"/>
    <n v="0.78812000000000004"/>
    <n v="0.78596999999999995"/>
    <n v="0.84"/>
    <n v="0.81298499999999996"/>
    <n v="540.29999999999995"/>
  </r>
  <r>
    <x v="9"/>
    <x v="22"/>
    <x v="9"/>
    <n v="0.78812000000000004"/>
    <n v="0.78596999999999995"/>
    <n v="0.84"/>
    <n v="0.81298499999999996"/>
    <n v="540.29999999999995"/>
  </r>
  <r>
    <x v="9"/>
    <x v="22"/>
    <x v="9"/>
    <n v="0.78812000000000004"/>
    <n v="0.78596999999999995"/>
    <n v="0.84"/>
    <n v="0.81298499999999996"/>
    <n v="540.29999999999995"/>
  </r>
  <r>
    <x v="9"/>
    <x v="22"/>
    <x v="9"/>
    <n v="0.78812000000000004"/>
    <n v="0.78596999999999995"/>
    <n v="0.84"/>
    <n v="0.81298499999999996"/>
    <n v="540.29999999999995"/>
  </r>
  <r>
    <x v="9"/>
    <x v="22"/>
    <x v="9"/>
    <n v="0.78812000000000004"/>
    <n v="0.78596999999999995"/>
    <n v="0.84"/>
    <n v="0.81298499999999996"/>
    <n v="540.29999999999995"/>
  </r>
  <r>
    <x v="9"/>
    <x v="22"/>
    <x v="9"/>
    <n v="0.78812000000000004"/>
    <n v="0.78596999999999995"/>
    <n v="0.84"/>
    <n v="0.81298499999999996"/>
    <n v="540.29999999999995"/>
  </r>
  <r>
    <x v="9"/>
    <x v="22"/>
    <x v="9"/>
    <n v="0.78812000000000004"/>
    <n v="0.78596999999999995"/>
    <n v="0.84"/>
    <n v="0.81298499999999996"/>
    <n v="540.29999999999995"/>
  </r>
  <r>
    <x v="9"/>
    <x v="22"/>
    <x v="9"/>
    <n v="0.78812000000000004"/>
    <n v="0.78596999999999995"/>
    <n v="0.84"/>
    <n v="0.81298499999999996"/>
    <n v="540.29999999999995"/>
  </r>
  <r>
    <x v="9"/>
    <x v="22"/>
    <x v="9"/>
    <n v="0.78812000000000004"/>
    <n v="0.78596999999999995"/>
    <n v="0.84"/>
    <n v="0.81298499999999996"/>
    <n v="540.29999999999995"/>
  </r>
  <r>
    <x v="9"/>
    <x v="22"/>
    <x v="9"/>
    <n v="0.78812000000000004"/>
    <n v="0.78596999999999995"/>
    <n v="0.84"/>
    <n v="0.81298499999999996"/>
    <n v="540.29999999999995"/>
  </r>
  <r>
    <x v="9"/>
    <x v="22"/>
    <x v="9"/>
    <n v="0.78812000000000004"/>
    <n v="0.78596999999999995"/>
    <n v="0.84"/>
    <n v="0.81298499999999996"/>
    <n v="540.29999999999995"/>
  </r>
  <r>
    <x v="9"/>
    <x v="22"/>
    <x v="9"/>
    <n v="0.78812000000000004"/>
    <n v="0.78596999999999995"/>
    <n v="0.84"/>
    <n v="0.81298499999999996"/>
    <n v="540.29999999999995"/>
  </r>
  <r>
    <x v="9"/>
    <x v="22"/>
    <x v="9"/>
    <n v="0.78812000000000004"/>
    <n v="0.78596999999999995"/>
    <n v="0.84"/>
    <n v="0.81298499999999996"/>
    <n v="540.29999999999995"/>
  </r>
  <r>
    <x v="9"/>
    <x v="22"/>
    <x v="9"/>
    <n v="0.78812000000000004"/>
    <n v="0.78596999999999995"/>
    <n v="0.84"/>
    <n v="0.81298499999999996"/>
    <n v="540.29999999999995"/>
  </r>
  <r>
    <x v="9"/>
    <x v="22"/>
    <x v="9"/>
    <n v="0.78812000000000004"/>
    <n v="0.78596999999999995"/>
    <n v="0.84"/>
    <n v="0.81298499999999996"/>
    <n v="540.29999999999995"/>
  </r>
  <r>
    <x v="9"/>
    <x v="22"/>
    <x v="9"/>
    <n v="0.78812000000000004"/>
    <n v="0.78596999999999995"/>
    <n v="0.84"/>
    <n v="0.81298499999999996"/>
    <n v="540.29999999999995"/>
  </r>
  <r>
    <x v="9"/>
    <x v="22"/>
    <x v="0"/>
    <n v="2.0185"/>
    <n v="1.91"/>
    <n v="2.0419900000000002"/>
    <n v="1.9759949999999999"/>
    <n v="1319.9"/>
  </r>
  <r>
    <x v="9"/>
    <x v="22"/>
    <x v="0"/>
    <n v="2.0185"/>
    <n v="1.91"/>
    <n v="2.0419900000000002"/>
    <n v="1.9759949999999999"/>
    <n v="1319.9"/>
  </r>
  <r>
    <x v="9"/>
    <x v="22"/>
    <x v="0"/>
    <n v="2.0185"/>
    <n v="1.91"/>
    <n v="2.0419900000000002"/>
    <n v="1.9759949999999999"/>
    <n v="1319.9"/>
  </r>
  <r>
    <x v="9"/>
    <x v="22"/>
    <x v="0"/>
    <n v="2.0185"/>
    <n v="1.91"/>
    <n v="2.0419900000000002"/>
    <n v="1.9759949999999999"/>
    <n v="1319.9"/>
  </r>
  <r>
    <x v="9"/>
    <x v="23"/>
    <x v="0"/>
    <n v="2.0183599999999999"/>
    <n v="1.91"/>
    <n v="2.0419900000000002"/>
    <n v="1.9759949999999999"/>
    <n v="1319.9"/>
  </r>
  <r>
    <x v="9"/>
    <x v="23"/>
    <x v="0"/>
    <n v="2.0183599999999999"/>
    <n v="1.91"/>
    <n v="2.0419900000000002"/>
    <n v="1.9759949999999999"/>
    <n v="1319.9"/>
  </r>
  <r>
    <x v="9"/>
    <x v="23"/>
    <x v="0"/>
    <n v="2.0183599999999999"/>
    <n v="1.91"/>
    <n v="2.0419900000000002"/>
    <n v="1.9759949999999999"/>
    <n v="1319.9"/>
  </r>
  <r>
    <x v="9"/>
    <x v="23"/>
    <x v="0"/>
    <n v="2.0183599999999999"/>
    <n v="1.91"/>
    <n v="2.0419900000000002"/>
    <n v="1.9759949999999999"/>
    <n v="1319.9"/>
  </r>
  <r>
    <x v="9"/>
    <x v="23"/>
    <x v="0"/>
    <n v="2.0183599999999999"/>
    <n v="1.91"/>
    <n v="2.0419900000000002"/>
    <n v="1.9759949999999999"/>
    <n v="1319.9"/>
  </r>
  <r>
    <x v="9"/>
    <x v="23"/>
    <x v="0"/>
    <n v="2.0183599999999999"/>
    <n v="1.91"/>
    <n v="2.0419900000000002"/>
    <n v="1.9759949999999999"/>
    <n v="1319.9"/>
  </r>
  <r>
    <x v="9"/>
    <x v="23"/>
    <x v="0"/>
    <n v="2.0183599999999999"/>
    <n v="1.91"/>
    <n v="2.0419900000000002"/>
    <n v="1.9759949999999999"/>
    <n v="1319.9"/>
  </r>
  <r>
    <x v="9"/>
    <x v="23"/>
    <x v="0"/>
    <n v="2.0183599999999999"/>
    <n v="1.91"/>
    <n v="2.0419900000000002"/>
    <n v="1.9759949999999999"/>
    <n v="1319.9"/>
  </r>
  <r>
    <x v="9"/>
    <x v="23"/>
    <x v="0"/>
    <n v="2.0183599999999999"/>
    <n v="1.91"/>
    <n v="2.0419900000000002"/>
    <n v="1.9759949999999999"/>
    <n v="1319.9"/>
  </r>
  <r>
    <x v="9"/>
    <x v="23"/>
    <x v="0"/>
    <n v="2.0183599999999999"/>
    <n v="1.91"/>
    <n v="2.0419900000000002"/>
    <n v="1.9759949999999999"/>
    <n v="1319.9"/>
  </r>
  <r>
    <x v="9"/>
    <x v="23"/>
    <x v="0"/>
    <n v="2.0183599999999999"/>
    <n v="1.91"/>
    <n v="2.0419900000000002"/>
    <n v="1.9759949999999999"/>
    <n v="1319.9"/>
  </r>
  <r>
    <x v="9"/>
    <x v="23"/>
    <x v="0"/>
    <n v="2.0183599999999999"/>
    <n v="1.91"/>
    <n v="2.0419900000000002"/>
    <n v="1.9759949999999999"/>
    <n v="1319.9"/>
  </r>
  <r>
    <x v="9"/>
    <x v="23"/>
    <x v="0"/>
    <n v="2.0183599999999999"/>
    <n v="1.91"/>
    <n v="2.0419900000000002"/>
    <n v="1.9759949999999999"/>
    <n v="1319.9"/>
  </r>
  <r>
    <x v="9"/>
    <x v="23"/>
    <x v="0"/>
    <n v="2.0183599999999999"/>
    <n v="1.91"/>
    <n v="2.0419900000000002"/>
    <n v="1.9759949999999999"/>
    <n v="1319.9"/>
  </r>
  <r>
    <x v="9"/>
    <x v="23"/>
    <x v="0"/>
    <n v="2.0183599999999999"/>
    <n v="1.91"/>
    <n v="2.0419900000000002"/>
    <n v="1.9759949999999999"/>
    <n v="1319.9"/>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2"/>
    <n v="118.726"/>
    <n v="101"/>
    <n v="109.002"/>
    <n v="105.001"/>
    <n v="800.2"/>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13"/>
    <n v="0.82399"/>
    <n v="0.86750000000000005"/>
    <n v="0.94952999999999999"/>
    <n v="0.90851499999999996"/>
    <n v="820.3"/>
  </r>
  <r>
    <x v="9"/>
    <x v="23"/>
    <x v="9"/>
    <n v="0.7923"/>
    <n v="0.78596999999999995"/>
    <n v="0.84"/>
    <n v="0.81298499999999996"/>
    <n v="540.29999999999995"/>
  </r>
  <r>
    <x v="9"/>
    <x v="23"/>
    <x v="9"/>
    <n v="0.7923"/>
    <n v="0.78596999999999995"/>
    <n v="0.84"/>
    <n v="0.81298499999999996"/>
    <n v="540.29999999999995"/>
  </r>
  <r>
    <x v="9"/>
    <x v="23"/>
    <x v="9"/>
    <n v="0.7923"/>
    <n v="0.78596999999999995"/>
    <n v="0.84"/>
    <n v="0.81298499999999996"/>
    <n v="540.29999999999995"/>
  </r>
  <r>
    <x v="9"/>
    <x v="23"/>
    <x v="9"/>
    <n v="0.7923"/>
    <n v="0.78596999999999995"/>
    <n v="0.84"/>
    <n v="0.81298499999999996"/>
    <n v="540.29999999999995"/>
  </r>
  <r>
    <x v="9"/>
    <x v="23"/>
    <x v="9"/>
    <n v="0.7923"/>
    <n v="0.78596999999999995"/>
    <n v="0.84"/>
    <n v="0.81298499999999996"/>
    <n v="540.29999999999995"/>
  </r>
  <r>
    <x v="9"/>
    <x v="23"/>
    <x v="9"/>
    <n v="0.7923"/>
    <n v="0.78596999999999995"/>
    <n v="0.84"/>
    <n v="0.81298499999999996"/>
    <n v="540.29999999999995"/>
  </r>
  <r>
    <x v="9"/>
    <x v="23"/>
    <x v="9"/>
    <n v="0.7923"/>
    <n v="0.78596999999999995"/>
    <n v="0.84"/>
    <n v="0.81298499999999996"/>
    <n v="540.29999999999995"/>
  </r>
  <r>
    <x v="9"/>
    <x v="23"/>
    <x v="9"/>
    <n v="0.7923"/>
    <n v="0.78596999999999995"/>
    <n v="0.84"/>
    <n v="0.81298499999999996"/>
    <n v="540.29999999999995"/>
  </r>
  <r>
    <x v="9"/>
    <x v="23"/>
    <x v="9"/>
    <n v="0.7923"/>
    <n v="0.78596999999999995"/>
    <n v="0.84"/>
    <n v="0.81298499999999996"/>
    <n v="540.29999999999995"/>
  </r>
  <r>
    <x v="9"/>
    <x v="23"/>
    <x v="9"/>
    <n v="0.7923"/>
    <n v="0.78596999999999995"/>
    <n v="0.84"/>
    <n v="0.81298499999999996"/>
    <n v="540.29999999999995"/>
  </r>
  <r>
    <x v="9"/>
    <x v="23"/>
    <x v="9"/>
    <n v="0.7923"/>
    <n v="0.78596999999999995"/>
    <n v="0.84"/>
    <n v="0.81298499999999996"/>
    <n v="540.29999999999995"/>
  </r>
  <r>
    <x v="9"/>
    <x v="23"/>
    <x v="9"/>
    <n v="0.7923"/>
    <n v="0.78596999999999995"/>
    <n v="0.84"/>
    <n v="0.81298499999999996"/>
    <n v="540.29999999999995"/>
  </r>
  <r>
    <x v="9"/>
    <x v="23"/>
    <x v="9"/>
    <n v="0.7923"/>
    <n v="0.78596999999999995"/>
    <n v="0.84"/>
    <n v="0.81298499999999996"/>
    <n v="540.29999999999995"/>
  </r>
  <r>
    <x v="9"/>
    <x v="23"/>
    <x v="9"/>
    <n v="0.7923"/>
    <n v="0.78596999999999995"/>
    <n v="0.84"/>
    <n v="0.81298499999999996"/>
    <n v="540.29999999999995"/>
  </r>
  <r>
    <x v="9"/>
    <x v="23"/>
    <x v="9"/>
    <n v="0.7923"/>
    <n v="0.78596999999999995"/>
    <n v="0.84"/>
    <n v="0.81298499999999996"/>
    <n v="540.29999999999995"/>
  </r>
  <r>
    <x v="9"/>
    <x v="23"/>
    <x v="9"/>
    <n v="0.7923"/>
    <n v="0.78596999999999995"/>
    <n v="0.84"/>
    <n v="0.81298499999999996"/>
    <n v="540.29999999999995"/>
  </r>
  <r>
    <x v="9"/>
    <x v="23"/>
    <x v="9"/>
    <n v="0.7923"/>
    <n v="0.78596999999999995"/>
    <n v="0.84"/>
    <n v="0.81298499999999996"/>
    <n v="540.29999999999995"/>
  </r>
  <r>
    <x v="9"/>
    <x v="23"/>
    <x v="9"/>
    <n v="0.7923"/>
    <n v="0.78596999999999995"/>
    <n v="0.84"/>
    <n v="0.81298499999999996"/>
    <n v="540.29999999999995"/>
  </r>
  <r>
    <x v="9"/>
    <x v="23"/>
    <x v="9"/>
    <n v="0.7923"/>
    <n v="0.78596999999999995"/>
    <n v="0.84"/>
    <n v="0.81298499999999996"/>
    <n v="540.29999999999995"/>
  </r>
  <r>
    <x v="9"/>
    <x v="23"/>
    <x v="9"/>
    <n v="0.7923"/>
    <n v="0.78596999999999995"/>
    <n v="0.84"/>
    <n v="0.81298499999999996"/>
    <n v="540.29999999999995"/>
  </r>
  <r>
    <x v="9"/>
    <x v="23"/>
    <x v="0"/>
    <n v="2.0183599999999999"/>
    <n v="1.91"/>
    <n v="2.0419900000000002"/>
    <n v="1.9759949999999999"/>
    <n v="1319.9"/>
  </r>
  <r>
    <x v="9"/>
    <x v="23"/>
    <x v="0"/>
    <n v="2.0183599999999999"/>
    <n v="1.91"/>
    <n v="2.0419900000000002"/>
    <n v="1.9759949999999999"/>
    <n v="1319.9"/>
  </r>
  <r>
    <x v="9"/>
    <x v="23"/>
    <x v="0"/>
    <n v="2.0183599999999999"/>
    <n v="1.91"/>
    <n v="2.0419900000000002"/>
    <n v="1.9759949999999999"/>
    <n v="1319.9"/>
  </r>
  <r>
    <x v="9"/>
    <x v="23"/>
    <x v="0"/>
    <n v="2.0183599999999999"/>
    <n v="1.91"/>
    <n v="2.0419900000000002"/>
    <n v="1.9759949999999999"/>
    <n v="1319.9"/>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13"/>
    <n v="0.82243999999999995"/>
    <n v="0.86750000000000005"/>
    <n v="0.94952999999999999"/>
    <n v="0.90851499999999996"/>
    <n v="820.3"/>
  </r>
  <r>
    <x v="9"/>
    <x v="24"/>
    <x v="9"/>
    <n v="0.79669000000000001"/>
    <n v="0.78596999999999995"/>
    <n v="0.84"/>
    <n v="0.81298499999999996"/>
    <n v="540.29999999999995"/>
  </r>
  <r>
    <x v="9"/>
    <x v="24"/>
    <x v="9"/>
    <n v="0.79669000000000001"/>
    <n v="0.78596999999999995"/>
    <n v="0.84"/>
    <n v="0.81298499999999996"/>
    <n v="540.29999999999995"/>
  </r>
  <r>
    <x v="9"/>
    <x v="24"/>
    <x v="9"/>
    <n v="0.79669000000000001"/>
    <n v="0.78596999999999995"/>
    <n v="0.84"/>
    <n v="0.81298499999999996"/>
    <n v="540.29999999999995"/>
  </r>
  <r>
    <x v="9"/>
    <x v="24"/>
    <x v="9"/>
    <n v="0.79669000000000001"/>
    <n v="0.78596999999999995"/>
    <n v="0.84"/>
    <n v="0.81298499999999996"/>
    <n v="540.29999999999995"/>
  </r>
  <r>
    <x v="9"/>
    <x v="24"/>
    <x v="9"/>
    <n v="0.79669000000000001"/>
    <n v="0.78596999999999995"/>
    <n v="0.84"/>
    <n v="0.81298499999999996"/>
    <n v="540.29999999999995"/>
  </r>
  <r>
    <x v="9"/>
    <x v="24"/>
    <x v="9"/>
    <n v="0.79669000000000001"/>
    <n v="0.78596999999999995"/>
    <n v="0.84"/>
    <n v="0.81298499999999996"/>
    <n v="540.29999999999995"/>
  </r>
  <r>
    <x v="9"/>
    <x v="24"/>
    <x v="9"/>
    <n v="0.79669000000000001"/>
    <n v="0.78596999999999995"/>
    <n v="0.84"/>
    <n v="0.81298499999999996"/>
    <n v="540.29999999999995"/>
  </r>
  <r>
    <x v="9"/>
    <x v="24"/>
    <x v="9"/>
    <n v="0.79669000000000001"/>
    <n v="0.78596999999999995"/>
    <n v="0.84"/>
    <n v="0.81298499999999996"/>
    <n v="540.29999999999995"/>
  </r>
  <r>
    <x v="9"/>
    <x v="24"/>
    <x v="9"/>
    <n v="0.79669000000000001"/>
    <n v="0.78596999999999995"/>
    <n v="0.84"/>
    <n v="0.81298499999999996"/>
    <n v="540.29999999999995"/>
  </r>
  <r>
    <x v="9"/>
    <x v="24"/>
    <x v="9"/>
    <n v="0.79669000000000001"/>
    <n v="0.78596999999999995"/>
    <n v="0.84"/>
    <n v="0.81298499999999996"/>
    <n v="540.29999999999995"/>
  </r>
  <r>
    <x v="9"/>
    <x v="24"/>
    <x v="9"/>
    <n v="0.79669000000000001"/>
    <n v="0.78596999999999995"/>
    <n v="0.84"/>
    <n v="0.81298499999999996"/>
    <n v="540.29999999999995"/>
  </r>
  <r>
    <x v="9"/>
    <x v="24"/>
    <x v="9"/>
    <n v="0.79669000000000001"/>
    <n v="0.78596999999999995"/>
    <n v="0.84"/>
    <n v="0.81298499999999996"/>
    <n v="540.29999999999995"/>
  </r>
  <r>
    <x v="9"/>
    <x v="24"/>
    <x v="9"/>
    <n v="0.79669000000000001"/>
    <n v="0.78596999999999995"/>
    <n v="0.84"/>
    <n v="0.81298499999999996"/>
    <n v="540.29999999999995"/>
  </r>
  <r>
    <x v="9"/>
    <x v="24"/>
    <x v="9"/>
    <n v="0.79669000000000001"/>
    <n v="0.78596999999999995"/>
    <n v="0.84"/>
    <n v="0.81298499999999996"/>
    <n v="540.29999999999995"/>
  </r>
  <r>
    <x v="9"/>
    <x v="24"/>
    <x v="9"/>
    <n v="0.79669000000000001"/>
    <n v="0.78596999999999995"/>
    <n v="0.84"/>
    <n v="0.81298499999999996"/>
    <n v="540.29999999999995"/>
  </r>
  <r>
    <x v="9"/>
    <x v="24"/>
    <x v="9"/>
    <n v="0.79669000000000001"/>
    <n v="0.78596999999999995"/>
    <n v="0.84"/>
    <n v="0.81298499999999996"/>
    <n v="540.29999999999995"/>
  </r>
  <r>
    <x v="9"/>
    <x v="24"/>
    <x v="9"/>
    <n v="0.79669000000000001"/>
    <n v="0.78596999999999995"/>
    <n v="0.84"/>
    <n v="0.81298499999999996"/>
    <n v="540.29999999999995"/>
  </r>
  <r>
    <x v="9"/>
    <x v="24"/>
    <x v="9"/>
    <n v="0.79669000000000001"/>
    <n v="0.78596999999999995"/>
    <n v="0.84"/>
    <n v="0.81298499999999996"/>
    <n v="540.29999999999995"/>
  </r>
  <r>
    <x v="9"/>
    <x v="24"/>
    <x v="9"/>
    <n v="0.79669000000000001"/>
    <n v="0.78596999999999995"/>
    <n v="0.84"/>
    <n v="0.81298499999999996"/>
    <n v="540.29999999999995"/>
  </r>
  <r>
    <x v="9"/>
    <x v="24"/>
    <x v="9"/>
    <n v="0.79669000000000001"/>
    <n v="0.78596999999999995"/>
    <n v="0.84"/>
    <n v="0.81298499999999996"/>
    <n v="540.29999999999995"/>
  </r>
  <r>
    <x v="9"/>
    <x v="24"/>
    <x v="0"/>
    <n v="2.0207799999999998"/>
    <n v="1.91"/>
    <n v="2.0419900000000002"/>
    <n v="1.9759949999999999"/>
    <n v="1319.9"/>
  </r>
  <r>
    <x v="9"/>
    <x v="24"/>
    <x v="0"/>
    <n v="2.0207799999999998"/>
    <n v="1.91"/>
    <n v="2.0419900000000002"/>
    <n v="1.9759949999999999"/>
    <n v="1319.9"/>
  </r>
  <r>
    <x v="9"/>
    <x v="24"/>
    <x v="0"/>
    <n v="2.0207799999999998"/>
    <n v="1.91"/>
    <n v="2.0419900000000002"/>
    <n v="1.9759949999999999"/>
    <n v="1319.9"/>
  </r>
  <r>
    <x v="9"/>
    <x v="24"/>
    <x v="0"/>
    <n v="2.0207799999999998"/>
    <n v="1.91"/>
    <n v="2.0419900000000002"/>
    <n v="1.9759949999999999"/>
    <n v="1319.9"/>
  </r>
  <r>
    <x v="10"/>
    <x v="46"/>
    <x v="13"/>
    <m/>
    <n v="0.90654999999999997"/>
    <n v="0.90766999999999998"/>
    <n v="0.90710999999999997"/>
    <n v="11.2"/>
  </r>
  <r>
    <x v="10"/>
    <x v="46"/>
    <x v="13"/>
    <m/>
    <n v="0.90654999999999997"/>
    <n v="0.90766999999999998"/>
    <n v="0.90710999999999997"/>
    <n v="11.2"/>
  </r>
  <r>
    <x v="10"/>
    <x v="46"/>
    <x v="13"/>
    <m/>
    <n v="0.90654999999999997"/>
    <n v="0.90766999999999998"/>
    <n v="0.90710999999999997"/>
    <n v="11.2"/>
  </r>
  <r>
    <x v="10"/>
    <x v="46"/>
    <x v="13"/>
    <m/>
    <n v="0.90654999999999997"/>
    <n v="0.90766999999999998"/>
    <n v="0.90710999999999997"/>
    <n v="11.2"/>
  </r>
  <r>
    <x v="10"/>
    <x v="46"/>
    <x v="13"/>
    <m/>
    <n v="0.90654999999999997"/>
    <n v="0.90766999999999998"/>
    <n v="0.90710999999999997"/>
    <n v="11.2"/>
  </r>
  <r>
    <x v="10"/>
    <x v="46"/>
    <x v="12"/>
    <m/>
    <n v="93.081000000000003"/>
    <n v="93.16"/>
    <n v="93.120500000000007"/>
    <n v="7.9"/>
  </r>
  <r>
    <x v="10"/>
    <x v="46"/>
    <x v="12"/>
    <m/>
    <n v="93.081000000000003"/>
    <n v="93.16"/>
    <n v="93.120500000000007"/>
    <n v="7.9"/>
  </r>
  <r>
    <x v="10"/>
    <x v="46"/>
    <x v="12"/>
    <m/>
    <n v="93.081000000000003"/>
    <n v="93.16"/>
    <n v="93.120500000000007"/>
    <n v="7.9"/>
  </r>
  <r>
    <x v="10"/>
    <x v="46"/>
    <x v="12"/>
    <m/>
    <n v="93.081000000000003"/>
    <n v="93.16"/>
    <n v="93.120500000000007"/>
    <n v="7.9"/>
  </r>
  <r>
    <x v="10"/>
    <x v="46"/>
    <x v="12"/>
    <m/>
    <n v="93.081000000000003"/>
    <n v="93.16"/>
    <n v="93.120500000000007"/>
    <n v="7.9"/>
  </r>
  <r>
    <x v="10"/>
    <x v="46"/>
    <x v="12"/>
    <m/>
    <n v="93.081000000000003"/>
    <n v="93.16"/>
    <n v="93.120500000000007"/>
    <n v="7.9"/>
  </r>
  <r>
    <x v="10"/>
    <x v="46"/>
    <x v="12"/>
    <m/>
    <n v="93.081000000000003"/>
    <n v="93.16"/>
    <n v="93.120500000000007"/>
    <n v="7.9"/>
  </r>
  <r>
    <x v="10"/>
    <x v="46"/>
    <x v="9"/>
    <m/>
    <n v="0.82991000000000004"/>
    <n v="0.83038999999999996"/>
    <n v="0.83015000000000005"/>
    <n v="4.8"/>
  </r>
  <r>
    <x v="10"/>
    <x v="46"/>
    <x v="9"/>
    <m/>
    <n v="0.82991000000000004"/>
    <n v="0.83038999999999996"/>
    <n v="0.83015000000000005"/>
    <n v="4.8"/>
  </r>
  <r>
    <x v="10"/>
    <x v="47"/>
    <x v="13"/>
    <m/>
    <n v="0.90283999999999998"/>
    <n v="0.90766999999999998"/>
    <n v="0.90525500000000003"/>
    <n v="48.3"/>
  </r>
  <r>
    <x v="10"/>
    <x v="47"/>
    <x v="13"/>
    <m/>
    <n v="0.90283999999999998"/>
    <n v="0.90766999999999998"/>
    <n v="0.90525500000000003"/>
    <n v="48.3"/>
  </r>
  <r>
    <x v="10"/>
    <x v="47"/>
    <x v="13"/>
    <m/>
    <n v="0.90283999999999998"/>
    <n v="0.90766999999999998"/>
    <n v="0.90525500000000003"/>
    <n v="48.3"/>
  </r>
  <r>
    <x v="10"/>
    <x v="47"/>
    <x v="13"/>
    <m/>
    <n v="0.90283999999999998"/>
    <n v="0.90766999999999998"/>
    <n v="0.90525500000000003"/>
    <n v="48.3"/>
  </r>
  <r>
    <x v="10"/>
    <x v="47"/>
    <x v="13"/>
    <m/>
    <n v="0.90283999999999998"/>
    <n v="0.90766999999999998"/>
    <n v="0.90525500000000003"/>
    <n v="48.3"/>
  </r>
  <r>
    <x v="10"/>
    <x v="47"/>
    <x v="13"/>
    <m/>
    <n v="0.90283999999999998"/>
    <n v="0.90766999999999998"/>
    <n v="0.90525500000000003"/>
    <n v="48.3"/>
  </r>
  <r>
    <x v="10"/>
    <x v="47"/>
    <x v="13"/>
    <m/>
    <n v="0.90283999999999998"/>
    <n v="0.90766999999999998"/>
    <n v="0.90525500000000003"/>
    <n v="48.3"/>
  </r>
  <r>
    <x v="10"/>
    <x v="47"/>
    <x v="13"/>
    <m/>
    <n v="0.90283999999999998"/>
    <n v="0.90766999999999998"/>
    <n v="0.90525500000000003"/>
    <n v="48.3"/>
  </r>
  <r>
    <x v="10"/>
    <x v="47"/>
    <x v="13"/>
    <m/>
    <n v="0.90283999999999998"/>
    <n v="0.90766999999999998"/>
    <n v="0.90525500000000003"/>
    <n v="48.3"/>
  </r>
  <r>
    <x v="10"/>
    <x v="47"/>
    <x v="13"/>
    <m/>
    <n v="0.90283999999999998"/>
    <n v="0.90766999999999998"/>
    <n v="0.90525500000000003"/>
    <n v="48.3"/>
  </r>
  <r>
    <x v="10"/>
    <x v="47"/>
    <x v="13"/>
    <m/>
    <n v="0.90283999999999998"/>
    <n v="0.90766999999999998"/>
    <n v="0.90525500000000003"/>
    <n v="48.3"/>
  </r>
  <r>
    <x v="10"/>
    <x v="47"/>
    <x v="13"/>
    <m/>
    <n v="0.90283999999999998"/>
    <n v="0.90766999999999998"/>
    <n v="0.90525500000000003"/>
    <n v="48.3"/>
  </r>
  <r>
    <x v="10"/>
    <x v="47"/>
    <x v="12"/>
    <m/>
    <n v="91.227000000000004"/>
    <n v="93.16"/>
    <n v="92.1935"/>
    <n v="193.3"/>
  </r>
  <r>
    <x v="10"/>
    <x v="47"/>
    <x v="12"/>
    <m/>
    <n v="91.227000000000004"/>
    <n v="93.16"/>
    <n v="92.1935"/>
    <n v="193.3"/>
  </r>
  <r>
    <x v="10"/>
    <x v="47"/>
    <x v="12"/>
    <m/>
    <n v="91.227000000000004"/>
    <n v="93.16"/>
    <n v="92.1935"/>
    <n v="193.3"/>
  </r>
  <r>
    <x v="10"/>
    <x v="47"/>
    <x v="12"/>
    <m/>
    <n v="91.227000000000004"/>
    <n v="93.16"/>
    <n v="92.1935"/>
    <n v="193.3"/>
  </r>
  <r>
    <x v="10"/>
    <x v="47"/>
    <x v="12"/>
    <m/>
    <n v="91.227000000000004"/>
    <n v="93.16"/>
    <n v="92.1935"/>
    <n v="193.3"/>
  </r>
  <r>
    <x v="10"/>
    <x v="47"/>
    <x v="12"/>
    <m/>
    <n v="91.227000000000004"/>
    <n v="93.16"/>
    <n v="92.1935"/>
    <n v="193.3"/>
  </r>
  <r>
    <x v="10"/>
    <x v="47"/>
    <x v="12"/>
    <m/>
    <n v="91.227000000000004"/>
    <n v="93.16"/>
    <n v="92.1935"/>
    <n v="193.3"/>
  </r>
  <r>
    <x v="10"/>
    <x v="47"/>
    <x v="12"/>
    <m/>
    <n v="91.227000000000004"/>
    <n v="93.16"/>
    <n v="92.1935"/>
    <n v="193.3"/>
  </r>
  <r>
    <x v="10"/>
    <x v="47"/>
    <x v="12"/>
    <m/>
    <n v="91.227000000000004"/>
    <n v="93.16"/>
    <n v="92.1935"/>
    <n v="193.3"/>
  </r>
  <r>
    <x v="10"/>
    <x v="47"/>
    <x v="12"/>
    <m/>
    <n v="91.227000000000004"/>
    <n v="93.16"/>
    <n v="92.1935"/>
    <n v="193.3"/>
  </r>
  <r>
    <x v="10"/>
    <x v="47"/>
    <x v="12"/>
    <m/>
    <n v="91.227000000000004"/>
    <n v="93.16"/>
    <n v="92.1935"/>
    <n v="193.3"/>
  </r>
  <r>
    <x v="10"/>
    <x v="47"/>
    <x v="12"/>
    <m/>
    <n v="91.227000000000004"/>
    <n v="93.16"/>
    <n v="92.1935"/>
    <n v="193.3"/>
  </r>
  <r>
    <x v="10"/>
    <x v="47"/>
    <x v="12"/>
    <m/>
    <n v="91.227000000000004"/>
    <n v="93.16"/>
    <n v="92.1935"/>
    <n v="193.3"/>
  </r>
  <r>
    <x v="10"/>
    <x v="47"/>
    <x v="12"/>
    <m/>
    <n v="91.227000000000004"/>
    <n v="93.16"/>
    <n v="92.1935"/>
    <n v="193.3"/>
  </r>
  <r>
    <x v="10"/>
    <x v="47"/>
    <x v="12"/>
    <m/>
    <n v="91.227000000000004"/>
    <n v="93.16"/>
    <n v="92.1935"/>
    <n v="193.3"/>
  </r>
  <r>
    <x v="10"/>
    <x v="47"/>
    <x v="12"/>
    <m/>
    <n v="91.227000000000004"/>
    <n v="93.16"/>
    <n v="92.1935"/>
    <n v="193.3"/>
  </r>
  <r>
    <x v="10"/>
    <x v="47"/>
    <x v="9"/>
    <m/>
    <n v="0.82991000000000004"/>
    <n v="0.83584000000000003"/>
    <n v="0.83287500000000003"/>
    <n v="59.3"/>
  </r>
  <r>
    <x v="10"/>
    <x v="47"/>
    <x v="9"/>
    <m/>
    <n v="0.82991000000000004"/>
    <n v="0.83584000000000003"/>
    <n v="0.83287500000000003"/>
    <n v="59.3"/>
  </r>
  <r>
    <x v="10"/>
    <x v="47"/>
    <x v="9"/>
    <m/>
    <n v="0.82991000000000004"/>
    <n v="0.83584000000000003"/>
    <n v="0.83287500000000003"/>
    <n v="59.3"/>
  </r>
  <r>
    <x v="10"/>
    <x v="47"/>
    <x v="9"/>
    <m/>
    <n v="0.82991000000000004"/>
    <n v="0.83584000000000003"/>
    <n v="0.83287500000000003"/>
    <n v="59.3"/>
  </r>
  <r>
    <x v="10"/>
    <x v="47"/>
    <x v="9"/>
    <m/>
    <n v="0.82991000000000004"/>
    <n v="0.83584000000000003"/>
    <n v="0.83287500000000003"/>
    <n v="59.3"/>
  </r>
  <r>
    <x v="10"/>
    <x v="47"/>
    <x v="9"/>
    <m/>
    <n v="0.82991000000000004"/>
    <n v="0.83584000000000003"/>
    <n v="0.83287500000000003"/>
    <n v="59.3"/>
  </r>
  <r>
    <x v="10"/>
    <x v="47"/>
    <x v="9"/>
    <m/>
    <n v="0.82991000000000004"/>
    <n v="0.83584000000000003"/>
    <n v="0.83287500000000003"/>
    <n v="59.3"/>
  </r>
  <r>
    <x v="10"/>
    <x v="48"/>
    <x v="13"/>
    <m/>
    <n v="0.90283999999999998"/>
    <n v="0.90883000000000003"/>
    <n v="0.90583499999999995"/>
    <n v="59.9"/>
  </r>
  <r>
    <x v="10"/>
    <x v="48"/>
    <x v="13"/>
    <m/>
    <n v="0.90283999999999998"/>
    <n v="0.90883000000000003"/>
    <n v="0.90583499999999995"/>
    <n v="59.9"/>
  </r>
  <r>
    <x v="10"/>
    <x v="48"/>
    <x v="13"/>
    <m/>
    <n v="0.90283999999999998"/>
    <n v="0.90883000000000003"/>
    <n v="0.90583499999999995"/>
    <n v="59.9"/>
  </r>
  <r>
    <x v="10"/>
    <x v="48"/>
    <x v="13"/>
    <m/>
    <n v="0.90283999999999998"/>
    <n v="0.90883000000000003"/>
    <n v="0.90583499999999995"/>
    <n v="59.9"/>
  </r>
  <r>
    <x v="10"/>
    <x v="48"/>
    <x v="13"/>
    <m/>
    <n v="0.90283999999999998"/>
    <n v="0.90883000000000003"/>
    <n v="0.90583499999999995"/>
    <n v="59.9"/>
  </r>
  <r>
    <x v="10"/>
    <x v="48"/>
    <x v="13"/>
    <m/>
    <n v="0.90283999999999998"/>
    <n v="0.90883000000000003"/>
    <n v="0.90583499999999995"/>
    <n v="59.9"/>
  </r>
  <r>
    <x v="10"/>
    <x v="48"/>
    <x v="13"/>
    <m/>
    <n v="0.90283999999999998"/>
    <n v="0.90883000000000003"/>
    <n v="0.90583499999999995"/>
    <n v="59.9"/>
  </r>
  <r>
    <x v="10"/>
    <x v="48"/>
    <x v="13"/>
    <m/>
    <n v="0.90283999999999998"/>
    <n v="0.90883000000000003"/>
    <n v="0.90583499999999995"/>
    <n v="59.9"/>
  </r>
  <r>
    <x v="10"/>
    <x v="48"/>
    <x v="13"/>
    <m/>
    <n v="0.90283999999999998"/>
    <n v="0.90883000000000003"/>
    <n v="0.90583499999999995"/>
    <n v="59.9"/>
  </r>
  <r>
    <x v="10"/>
    <x v="48"/>
    <x v="13"/>
    <m/>
    <n v="0.90283999999999998"/>
    <n v="0.90883000000000003"/>
    <n v="0.90583499999999995"/>
    <n v="59.9"/>
  </r>
  <r>
    <x v="10"/>
    <x v="48"/>
    <x v="13"/>
    <m/>
    <n v="0.90283999999999998"/>
    <n v="0.90883000000000003"/>
    <n v="0.90583499999999995"/>
    <n v="59.9"/>
  </r>
  <r>
    <x v="10"/>
    <x v="48"/>
    <x v="13"/>
    <m/>
    <n v="0.90283999999999998"/>
    <n v="0.90883000000000003"/>
    <n v="0.90583499999999995"/>
    <n v="59.9"/>
  </r>
  <r>
    <x v="10"/>
    <x v="48"/>
    <x v="12"/>
    <m/>
    <n v="91.099000000000004"/>
    <n v="93.16"/>
    <n v="92.129499999999993"/>
    <n v="206.1"/>
  </r>
  <r>
    <x v="10"/>
    <x v="48"/>
    <x v="12"/>
    <m/>
    <n v="91.099000000000004"/>
    <n v="93.16"/>
    <n v="92.129499999999993"/>
    <n v="206.1"/>
  </r>
  <r>
    <x v="10"/>
    <x v="48"/>
    <x v="12"/>
    <m/>
    <n v="91.099000000000004"/>
    <n v="93.16"/>
    <n v="92.129499999999993"/>
    <n v="206.1"/>
  </r>
  <r>
    <x v="10"/>
    <x v="48"/>
    <x v="12"/>
    <m/>
    <n v="91.099000000000004"/>
    <n v="93.16"/>
    <n v="92.129499999999993"/>
    <n v="206.1"/>
  </r>
  <r>
    <x v="10"/>
    <x v="48"/>
    <x v="12"/>
    <m/>
    <n v="91.099000000000004"/>
    <n v="93.16"/>
    <n v="92.129499999999993"/>
    <n v="206.1"/>
  </r>
  <r>
    <x v="10"/>
    <x v="48"/>
    <x v="12"/>
    <m/>
    <n v="91.099000000000004"/>
    <n v="93.16"/>
    <n v="92.129499999999993"/>
    <n v="206.1"/>
  </r>
  <r>
    <x v="10"/>
    <x v="48"/>
    <x v="12"/>
    <m/>
    <n v="91.099000000000004"/>
    <n v="93.16"/>
    <n v="92.129499999999993"/>
    <n v="206.1"/>
  </r>
  <r>
    <x v="10"/>
    <x v="48"/>
    <x v="12"/>
    <m/>
    <n v="91.099000000000004"/>
    <n v="93.16"/>
    <n v="92.129499999999993"/>
    <n v="206.1"/>
  </r>
  <r>
    <x v="10"/>
    <x v="48"/>
    <x v="12"/>
    <m/>
    <n v="91.099000000000004"/>
    <n v="93.16"/>
    <n v="92.129499999999993"/>
    <n v="206.1"/>
  </r>
  <r>
    <x v="10"/>
    <x v="48"/>
    <x v="12"/>
    <m/>
    <n v="91.099000000000004"/>
    <n v="93.16"/>
    <n v="92.129499999999993"/>
    <n v="206.1"/>
  </r>
  <r>
    <x v="10"/>
    <x v="48"/>
    <x v="12"/>
    <m/>
    <n v="91.099000000000004"/>
    <n v="93.16"/>
    <n v="92.129499999999993"/>
    <n v="206.1"/>
  </r>
  <r>
    <x v="10"/>
    <x v="48"/>
    <x v="12"/>
    <m/>
    <n v="91.099000000000004"/>
    <n v="93.16"/>
    <n v="92.129499999999993"/>
    <n v="206.1"/>
  </r>
  <r>
    <x v="10"/>
    <x v="48"/>
    <x v="12"/>
    <m/>
    <n v="91.099000000000004"/>
    <n v="93.16"/>
    <n v="92.129499999999993"/>
    <n v="206.1"/>
  </r>
  <r>
    <x v="10"/>
    <x v="48"/>
    <x v="12"/>
    <m/>
    <n v="91.099000000000004"/>
    <n v="93.16"/>
    <n v="92.129499999999993"/>
    <n v="206.1"/>
  </r>
  <r>
    <x v="10"/>
    <x v="48"/>
    <x v="12"/>
    <m/>
    <n v="91.099000000000004"/>
    <n v="93.16"/>
    <n v="92.129499999999993"/>
    <n v="206.1"/>
  </r>
  <r>
    <x v="10"/>
    <x v="48"/>
    <x v="12"/>
    <m/>
    <n v="91.099000000000004"/>
    <n v="93.16"/>
    <n v="92.129499999999993"/>
    <n v="206.1"/>
  </r>
  <r>
    <x v="10"/>
    <x v="48"/>
    <x v="12"/>
    <m/>
    <n v="91.099000000000004"/>
    <n v="93.16"/>
    <n v="92.129499999999993"/>
    <n v="206.1"/>
  </r>
  <r>
    <x v="10"/>
    <x v="48"/>
    <x v="12"/>
    <m/>
    <n v="91.099000000000004"/>
    <n v="93.16"/>
    <n v="92.129499999999993"/>
    <n v="206.1"/>
  </r>
  <r>
    <x v="10"/>
    <x v="48"/>
    <x v="9"/>
    <m/>
    <n v="0.82991000000000004"/>
    <n v="0.83677999999999997"/>
    <n v="0.833345"/>
    <n v="68.7"/>
  </r>
  <r>
    <x v="10"/>
    <x v="48"/>
    <x v="9"/>
    <m/>
    <n v="0.82991000000000004"/>
    <n v="0.83677999999999997"/>
    <n v="0.833345"/>
    <n v="68.7"/>
  </r>
  <r>
    <x v="10"/>
    <x v="48"/>
    <x v="9"/>
    <m/>
    <n v="0.82991000000000004"/>
    <n v="0.83677999999999997"/>
    <n v="0.833345"/>
    <n v="68.7"/>
  </r>
  <r>
    <x v="10"/>
    <x v="48"/>
    <x v="9"/>
    <m/>
    <n v="0.82991000000000004"/>
    <n v="0.83677999999999997"/>
    <n v="0.833345"/>
    <n v="68.7"/>
  </r>
  <r>
    <x v="10"/>
    <x v="48"/>
    <x v="9"/>
    <m/>
    <n v="0.82991000000000004"/>
    <n v="0.83677999999999997"/>
    <n v="0.833345"/>
    <n v="68.7"/>
  </r>
  <r>
    <x v="10"/>
    <x v="48"/>
    <x v="9"/>
    <m/>
    <n v="0.82991000000000004"/>
    <n v="0.83677999999999997"/>
    <n v="0.833345"/>
    <n v="68.7"/>
  </r>
  <r>
    <x v="10"/>
    <x v="48"/>
    <x v="9"/>
    <m/>
    <n v="0.82991000000000004"/>
    <n v="0.83677999999999997"/>
    <n v="0.833345"/>
    <n v="68.7"/>
  </r>
  <r>
    <x v="10"/>
    <x v="48"/>
    <x v="9"/>
    <m/>
    <n v="0.82991000000000004"/>
    <n v="0.83677999999999997"/>
    <n v="0.833345"/>
    <n v="68.7"/>
  </r>
  <r>
    <x v="10"/>
    <x v="49"/>
    <x v="13"/>
    <m/>
    <n v="0.90283999999999998"/>
    <n v="0.92496999999999996"/>
    <n v="0.91390499999999997"/>
    <n v="221.3"/>
  </r>
  <r>
    <x v="10"/>
    <x v="49"/>
    <x v="13"/>
    <m/>
    <n v="0.90283999999999998"/>
    <n v="0.92496999999999996"/>
    <n v="0.91390499999999997"/>
    <n v="221.3"/>
  </r>
  <r>
    <x v="10"/>
    <x v="49"/>
    <x v="13"/>
    <m/>
    <n v="0.90283999999999998"/>
    <n v="0.92496999999999996"/>
    <n v="0.91390499999999997"/>
    <n v="221.3"/>
  </r>
  <r>
    <x v="10"/>
    <x v="49"/>
    <x v="13"/>
    <m/>
    <n v="0.90283999999999998"/>
    <n v="0.92496999999999996"/>
    <n v="0.91390499999999997"/>
    <n v="221.3"/>
  </r>
  <r>
    <x v="10"/>
    <x v="49"/>
    <x v="13"/>
    <m/>
    <n v="0.90283999999999998"/>
    <n v="0.92496999999999996"/>
    <n v="0.91390499999999997"/>
    <n v="221.3"/>
  </r>
  <r>
    <x v="10"/>
    <x v="49"/>
    <x v="13"/>
    <m/>
    <n v="0.90283999999999998"/>
    <n v="0.92496999999999996"/>
    <n v="0.91390499999999997"/>
    <n v="221.3"/>
  </r>
  <r>
    <x v="10"/>
    <x v="49"/>
    <x v="13"/>
    <m/>
    <n v="0.90283999999999998"/>
    <n v="0.92496999999999996"/>
    <n v="0.91390499999999997"/>
    <n v="221.3"/>
  </r>
  <r>
    <x v="10"/>
    <x v="49"/>
    <x v="13"/>
    <m/>
    <n v="0.90283999999999998"/>
    <n v="0.92496999999999996"/>
    <n v="0.91390499999999997"/>
    <n v="221.3"/>
  </r>
  <r>
    <x v="10"/>
    <x v="49"/>
    <x v="13"/>
    <m/>
    <n v="0.90283999999999998"/>
    <n v="0.92496999999999996"/>
    <n v="0.91390499999999997"/>
    <n v="221.3"/>
  </r>
  <r>
    <x v="10"/>
    <x v="49"/>
    <x v="13"/>
    <m/>
    <n v="0.90283999999999998"/>
    <n v="0.92496999999999996"/>
    <n v="0.91390499999999997"/>
    <n v="221.3"/>
  </r>
  <r>
    <x v="10"/>
    <x v="49"/>
    <x v="13"/>
    <m/>
    <n v="0.90283999999999998"/>
    <n v="0.92496999999999996"/>
    <n v="0.91390499999999997"/>
    <n v="221.3"/>
  </r>
  <r>
    <x v="10"/>
    <x v="49"/>
    <x v="13"/>
    <m/>
    <n v="0.90283999999999998"/>
    <n v="0.92496999999999996"/>
    <n v="0.91390499999999997"/>
    <n v="221.3"/>
  </r>
  <r>
    <x v="10"/>
    <x v="49"/>
    <x v="13"/>
    <m/>
    <n v="0.90283999999999998"/>
    <n v="0.92496999999999996"/>
    <n v="0.91390499999999997"/>
    <n v="221.3"/>
  </r>
  <r>
    <x v="10"/>
    <x v="49"/>
    <x v="13"/>
    <m/>
    <n v="0.90283999999999998"/>
    <n v="0.92496999999999996"/>
    <n v="0.91390499999999997"/>
    <n v="221.3"/>
  </r>
  <r>
    <x v="10"/>
    <x v="49"/>
    <x v="13"/>
    <m/>
    <n v="0.90283999999999998"/>
    <n v="0.92496999999999996"/>
    <n v="0.91390499999999997"/>
    <n v="221.3"/>
  </r>
  <r>
    <x v="10"/>
    <x v="49"/>
    <x v="13"/>
    <m/>
    <n v="0.90283999999999998"/>
    <n v="0.92496999999999996"/>
    <n v="0.91390499999999997"/>
    <n v="221.3"/>
  </r>
  <r>
    <x v="10"/>
    <x v="49"/>
    <x v="13"/>
    <m/>
    <n v="0.90283999999999998"/>
    <n v="0.92496999999999996"/>
    <n v="0.91390499999999997"/>
    <n v="221.3"/>
  </r>
  <r>
    <x v="10"/>
    <x v="49"/>
    <x v="13"/>
    <m/>
    <n v="0.90283999999999998"/>
    <n v="0.92496999999999996"/>
    <n v="0.91390499999999997"/>
    <n v="221.3"/>
  </r>
  <r>
    <x v="10"/>
    <x v="49"/>
    <x v="13"/>
    <m/>
    <n v="0.90283999999999998"/>
    <n v="0.92496999999999996"/>
    <n v="0.91390499999999997"/>
    <n v="221.3"/>
  </r>
  <r>
    <x v="10"/>
    <x v="49"/>
    <x v="13"/>
    <m/>
    <n v="0.90283999999999998"/>
    <n v="0.92496999999999996"/>
    <n v="0.91390499999999997"/>
    <n v="221.3"/>
  </r>
  <r>
    <x v="10"/>
    <x v="49"/>
    <x v="12"/>
    <m/>
    <n v="91.099000000000004"/>
    <n v="93.16"/>
    <n v="92.129499999999993"/>
    <n v="206.1"/>
  </r>
  <r>
    <x v="10"/>
    <x v="49"/>
    <x v="12"/>
    <m/>
    <n v="91.099000000000004"/>
    <n v="93.16"/>
    <n v="92.129499999999993"/>
    <n v="206.1"/>
  </r>
  <r>
    <x v="10"/>
    <x v="49"/>
    <x v="12"/>
    <m/>
    <n v="91.099000000000004"/>
    <n v="93.16"/>
    <n v="92.129499999999993"/>
    <n v="206.1"/>
  </r>
  <r>
    <x v="10"/>
    <x v="49"/>
    <x v="12"/>
    <m/>
    <n v="91.099000000000004"/>
    <n v="93.16"/>
    <n v="92.129499999999993"/>
    <n v="206.1"/>
  </r>
  <r>
    <x v="10"/>
    <x v="49"/>
    <x v="12"/>
    <m/>
    <n v="91.099000000000004"/>
    <n v="93.16"/>
    <n v="92.129499999999993"/>
    <n v="206.1"/>
  </r>
  <r>
    <x v="10"/>
    <x v="49"/>
    <x v="12"/>
    <m/>
    <n v="91.099000000000004"/>
    <n v="93.16"/>
    <n v="92.129499999999993"/>
    <n v="206.1"/>
  </r>
  <r>
    <x v="10"/>
    <x v="49"/>
    <x v="12"/>
    <m/>
    <n v="91.099000000000004"/>
    <n v="93.16"/>
    <n v="92.129499999999993"/>
    <n v="206.1"/>
  </r>
  <r>
    <x v="10"/>
    <x v="49"/>
    <x v="12"/>
    <m/>
    <n v="91.099000000000004"/>
    <n v="93.16"/>
    <n v="92.129499999999993"/>
    <n v="206.1"/>
  </r>
  <r>
    <x v="10"/>
    <x v="49"/>
    <x v="12"/>
    <m/>
    <n v="91.099000000000004"/>
    <n v="93.16"/>
    <n v="92.129499999999993"/>
    <n v="206.1"/>
  </r>
  <r>
    <x v="10"/>
    <x v="49"/>
    <x v="12"/>
    <m/>
    <n v="91.099000000000004"/>
    <n v="93.16"/>
    <n v="92.129499999999993"/>
    <n v="206.1"/>
  </r>
  <r>
    <x v="10"/>
    <x v="49"/>
    <x v="12"/>
    <m/>
    <n v="91.099000000000004"/>
    <n v="93.16"/>
    <n v="92.129499999999993"/>
    <n v="206.1"/>
  </r>
  <r>
    <x v="10"/>
    <x v="49"/>
    <x v="12"/>
    <m/>
    <n v="91.099000000000004"/>
    <n v="93.16"/>
    <n v="92.129499999999993"/>
    <n v="206.1"/>
  </r>
  <r>
    <x v="10"/>
    <x v="49"/>
    <x v="12"/>
    <m/>
    <n v="91.099000000000004"/>
    <n v="93.16"/>
    <n v="92.129499999999993"/>
    <n v="206.1"/>
  </r>
  <r>
    <x v="10"/>
    <x v="49"/>
    <x v="12"/>
    <m/>
    <n v="91.099000000000004"/>
    <n v="93.16"/>
    <n v="92.129499999999993"/>
    <n v="206.1"/>
  </r>
  <r>
    <x v="10"/>
    <x v="49"/>
    <x v="12"/>
    <m/>
    <n v="91.099000000000004"/>
    <n v="93.16"/>
    <n v="92.129499999999993"/>
    <n v="206.1"/>
  </r>
  <r>
    <x v="10"/>
    <x v="49"/>
    <x v="12"/>
    <m/>
    <n v="91.099000000000004"/>
    <n v="93.16"/>
    <n v="92.129499999999993"/>
    <n v="206.1"/>
  </r>
  <r>
    <x v="10"/>
    <x v="49"/>
    <x v="12"/>
    <m/>
    <n v="91.099000000000004"/>
    <n v="93.16"/>
    <n v="92.129499999999993"/>
    <n v="206.1"/>
  </r>
  <r>
    <x v="10"/>
    <x v="49"/>
    <x v="12"/>
    <m/>
    <n v="91.099000000000004"/>
    <n v="93.16"/>
    <n v="92.129499999999993"/>
    <n v="206.1"/>
  </r>
  <r>
    <x v="10"/>
    <x v="49"/>
    <x v="9"/>
    <m/>
    <n v="0.82632000000000005"/>
    <n v="0.83677999999999997"/>
    <n v="0.83155000000000001"/>
    <n v="104.6"/>
  </r>
  <r>
    <x v="10"/>
    <x v="49"/>
    <x v="9"/>
    <m/>
    <n v="0.82632000000000005"/>
    <n v="0.83677999999999997"/>
    <n v="0.83155000000000001"/>
    <n v="104.6"/>
  </r>
  <r>
    <x v="10"/>
    <x v="49"/>
    <x v="9"/>
    <m/>
    <n v="0.82632000000000005"/>
    <n v="0.83677999999999997"/>
    <n v="0.83155000000000001"/>
    <n v="104.6"/>
  </r>
  <r>
    <x v="10"/>
    <x v="49"/>
    <x v="9"/>
    <m/>
    <n v="0.82632000000000005"/>
    <n v="0.83677999999999997"/>
    <n v="0.83155000000000001"/>
    <n v="104.6"/>
  </r>
  <r>
    <x v="10"/>
    <x v="49"/>
    <x v="9"/>
    <m/>
    <n v="0.82632000000000005"/>
    <n v="0.83677999999999997"/>
    <n v="0.83155000000000001"/>
    <n v="104.6"/>
  </r>
  <r>
    <x v="10"/>
    <x v="49"/>
    <x v="9"/>
    <m/>
    <n v="0.82632000000000005"/>
    <n v="0.83677999999999997"/>
    <n v="0.83155000000000001"/>
    <n v="104.6"/>
  </r>
  <r>
    <x v="10"/>
    <x v="49"/>
    <x v="9"/>
    <m/>
    <n v="0.82632000000000005"/>
    <n v="0.83677999999999997"/>
    <n v="0.83155000000000001"/>
    <n v="104.6"/>
  </r>
  <r>
    <x v="10"/>
    <x v="49"/>
    <x v="9"/>
    <m/>
    <n v="0.82632000000000005"/>
    <n v="0.83677999999999997"/>
    <n v="0.83155000000000001"/>
    <n v="104.6"/>
  </r>
  <r>
    <x v="10"/>
    <x v="49"/>
    <x v="9"/>
    <m/>
    <n v="0.82632000000000005"/>
    <n v="0.83677999999999997"/>
    <n v="0.83155000000000001"/>
    <n v="104.6"/>
  </r>
  <r>
    <x v="10"/>
    <x v="50"/>
    <x v="13"/>
    <m/>
    <n v="0.90283999999999998"/>
    <n v="0.92942999999999998"/>
    <n v="0.91613500000000003"/>
    <n v="265.89999999999998"/>
  </r>
  <r>
    <x v="10"/>
    <x v="50"/>
    <x v="13"/>
    <m/>
    <n v="0.90283999999999998"/>
    <n v="0.92942999999999998"/>
    <n v="0.91613500000000003"/>
    <n v="265.89999999999998"/>
  </r>
  <r>
    <x v="10"/>
    <x v="50"/>
    <x v="13"/>
    <m/>
    <n v="0.90283999999999998"/>
    <n v="0.92942999999999998"/>
    <n v="0.91613500000000003"/>
    <n v="265.89999999999998"/>
  </r>
  <r>
    <x v="10"/>
    <x v="50"/>
    <x v="13"/>
    <m/>
    <n v="0.90283999999999998"/>
    <n v="0.92942999999999998"/>
    <n v="0.91613500000000003"/>
    <n v="265.89999999999998"/>
  </r>
  <r>
    <x v="10"/>
    <x v="50"/>
    <x v="13"/>
    <m/>
    <n v="0.90283999999999998"/>
    <n v="0.92942999999999998"/>
    <n v="0.91613500000000003"/>
    <n v="265.89999999999998"/>
  </r>
  <r>
    <x v="10"/>
    <x v="50"/>
    <x v="13"/>
    <m/>
    <n v="0.90283999999999998"/>
    <n v="0.92942999999999998"/>
    <n v="0.91613500000000003"/>
    <n v="265.89999999999998"/>
  </r>
  <r>
    <x v="10"/>
    <x v="50"/>
    <x v="13"/>
    <m/>
    <n v="0.90283999999999998"/>
    <n v="0.92942999999999998"/>
    <n v="0.91613500000000003"/>
    <n v="265.89999999999998"/>
  </r>
  <r>
    <x v="10"/>
    <x v="50"/>
    <x v="13"/>
    <m/>
    <n v="0.90283999999999998"/>
    <n v="0.92942999999999998"/>
    <n v="0.91613500000000003"/>
    <n v="265.89999999999998"/>
  </r>
  <r>
    <x v="10"/>
    <x v="50"/>
    <x v="13"/>
    <m/>
    <n v="0.90283999999999998"/>
    <n v="0.92942999999999998"/>
    <n v="0.91613500000000003"/>
    <n v="265.89999999999998"/>
  </r>
  <r>
    <x v="10"/>
    <x v="50"/>
    <x v="13"/>
    <m/>
    <n v="0.90283999999999998"/>
    <n v="0.92942999999999998"/>
    <n v="0.91613500000000003"/>
    <n v="265.89999999999998"/>
  </r>
  <r>
    <x v="10"/>
    <x v="50"/>
    <x v="13"/>
    <m/>
    <n v="0.90283999999999998"/>
    <n v="0.92942999999999998"/>
    <n v="0.91613500000000003"/>
    <n v="265.89999999999998"/>
  </r>
  <r>
    <x v="10"/>
    <x v="50"/>
    <x v="13"/>
    <m/>
    <n v="0.90283999999999998"/>
    <n v="0.92942999999999998"/>
    <n v="0.91613500000000003"/>
    <n v="265.89999999999998"/>
  </r>
  <r>
    <x v="10"/>
    <x v="50"/>
    <x v="13"/>
    <m/>
    <n v="0.90283999999999998"/>
    <n v="0.92942999999999998"/>
    <n v="0.91613500000000003"/>
    <n v="265.89999999999998"/>
  </r>
  <r>
    <x v="10"/>
    <x v="50"/>
    <x v="13"/>
    <m/>
    <n v="0.90283999999999998"/>
    <n v="0.92942999999999998"/>
    <n v="0.91613500000000003"/>
    <n v="265.89999999999998"/>
  </r>
  <r>
    <x v="10"/>
    <x v="50"/>
    <x v="13"/>
    <m/>
    <n v="0.90283999999999998"/>
    <n v="0.92942999999999998"/>
    <n v="0.91613500000000003"/>
    <n v="265.89999999999998"/>
  </r>
  <r>
    <x v="10"/>
    <x v="50"/>
    <x v="13"/>
    <m/>
    <n v="0.90283999999999998"/>
    <n v="0.92942999999999998"/>
    <n v="0.91613500000000003"/>
    <n v="265.89999999999998"/>
  </r>
  <r>
    <x v="10"/>
    <x v="50"/>
    <x v="13"/>
    <m/>
    <n v="0.90283999999999998"/>
    <n v="0.92942999999999998"/>
    <n v="0.91613500000000003"/>
    <n v="265.89999999999998"/>
  </r>
  <r>
    <x v="10"/>
    <x v="50"/>
    <x v="13"/>
    <m/>
    <n v="0.90283999999999998"/>
    <n v="0.92942999999999998"/>
    <n v="0.91613500000000003"/>
    <n v="265.89999999999998"/>
  </r>
  <r>
    <x v="10"/>
    <x v="50"/>
    <x v="13"/>
    <m/>
    <n v="0.90283999999999998"/>
    <n v="0.92942999999999998"/>
    <n v="0.91613500000000003"/>
    <n v="265.89999999999998"/>
  </r>
  <r>
    <x v="10"/>
    <x v="50"/>
    <x v="13"/>
    <m/>
    <n v="0.90283999999999998"/>
    <n v="0.92942999999999998"/>
    <n v="0.91613500000000003"/>
    <n v="265.89999999999998"/>
  </r>
  <r>
    <x v="10"/>
    <x v="50"/>
    <x v="12"/>
    <m/>
    <n v="91.099000000000004"/>
    <n v="94.122"/>
    <n v="92.610500000000002"/>
    <n v="302.3"/>
  </r>
  <r>
    <x v="10"/>
    <x v="50"/>
    <x v="12"/>
    <m/>
    <n v="91.099000000000004"/>
    <n v="94.122"/>
    <n v="92.610500000000002"/>
    <n v="302.3"/>
  </r>
  <r>
    <x v="10"/>
    <x v="50"/>
    <x v="12"/>
    <m/>
    <n v="91.099000000000004"/>
    <n v="94.122"/>
    <n v="92.610500000000002"/>
    <n v="302.3"/>
  </r>
  <r>
    <x v="10"/>
    <x v="50"/>
    <x v="12"/>
    <m/>
    <n v="91.099000000000004"/>
    <n v="94.122"/>
    <n v="92.610500000000002"/>
    <n v="302.3"/>
  </r>
  <r>
    <x v="10"/>
    <x v="50"/>
    <x v="12"/>
    <m/>
    <n v="91.099000000000004"/>
    <n v="94.122"/>
    <n v="92.610500000000002"/>
    <n v="302.3"/>
  </r>
  <r>
    <x v="10"/>
    <x v="50"/>
    <x v="12"/>
    <m/>
    <n v="91.099000000000004"/>
    <n v="94.122"/>
    <n v="92.610500000000002"/>
    <n v="302.3"/>
  </r>
  <r>
    <x v="10"/>
    <x v="50"/>
    <x v="12"/>
    <m/>
    <n v="91.099000000000004"/>
    <n v="94.122"/>
    <n v="92.610500000000002"/>
    <n v="302.3"/>
  </r>
  <r>
    <x v="10"/>
    <x v="50"/>
    <x v="12"/>
    <m/>
    <n v="91.099000000000004"/>
    <n v="94.122"/>
    <n v="92.610500000000002"/>
    <n v="302.3"/>
  </r>
  <r>
    <x v="10"/>
    <x v="50"/>
    <x v="12"/>
    <m/>
    <n v="91.099000000000004"/>
    <n v="94.122"/>
    <n v="92.610500000000002"/>
    <n v="302.3"/>
  </r>
  <r>
    <x v="10"/>
    <x v="50"/>
    <x v="12"/>
    <m/>
    <n v="91.099000000000004"/>
    <n v="94.122"/>
    <n v="92.610500000000002"/>
    <n v="302.3"/>
  </r>
  <r>
    <x v="10"/>
    <x v="50"/>
    <x v="12"/>
    <m/>
    <n v="91.099000000000004"/>
    <n v="94.122"/>
    <n v="92.610500000000002"/>
    <n v="302.3"/>
  </r>
  <r>
    <x v="10"/>
    <x v="50"/>
    <x v="12"/>
    <m/>
    <n v="91.099000000000004"/>
    <n v="94.122"/>
    <n v="92.610500000000002"/>
    <n v="302.3"/>
  </r>
  <r>
    <x v="10"/>
    <x v="50"/>
    <x v="12"/>
    <m/>
    <n v="91.099000000000004"/>
    <n v="94.122"/>
    <n v="92.610500000000002"/>
    <n v="302.3"/>
  </r>
  <r>
    <x v="10"/>
    <x v="50"/>
    <x v="12"/>
    <m/>
    <n v="91.099000000000004"/>
    <n v="94.122"/>
    <n v="92.610500000000002"/>
    <n v="302.3"/>
  </r>
  <r>
    <x v="10"/>
    <x v="50"/>
    <x v="12"/>
    <m/>
    <n v="91.099000000000004"/>
    <n v="94.122"/>
    <n v="92.610500000000002"/>
    <n v="302.3"/>
  </r>
  <r>
    <x v="10"/>
    <x v="50"/>
    <x v="12"/>
    <m/>
    <n v="91.099000000000004"/>
    <n v="94.122"/>
    <n v="92.610500000000002"/>
    <n v="302.3"/>
  </r>
  <r>
    <x v="10"/>
    <x v="50"/>
    <x v="12"/>
    <m/>
    <n v="91.099000000000004"/>
    <n v="94.122"/>
    <n v="92.610500000000002"/>
    <n v="302.3"/>
  </r>
  <r>
    <x v="10"/>
    <x v="50"/>
    <x v="12"/>
    <m/>
    <n v="91.099000000000004"/>
    <n v="94.122"/>
    <n v="92.610500000000002"/>
    <n v="302.3"/>
  </r>
  <r>
    <x v="10"/>
    <x v="50"/>
    <x v="12"/>
    <m/>
    <n v="91.099000000000004"/>
    <n v="94.122"/>
    <n v="92.610500000000002"/>
    <n v="302.3"/>
  </r>
  <r>
    <x v="10"/>
    <x v="50"/>
    <x v="12"/>
    <m/>
    <n v="91.099000000000004"/>
    <n v="94.122"/>
    <n v="92.610500000000002"/>
    <n v="302.3"/>
  </r>
  <r>
    <x v="10"/>
    <x v="50"/>
    <x v="12"/>
    <m/>
    <n v="91.099000000000004"/>
    <n v="94.122"/>
    <n v="92.610500000000002"/>
    <n v="302.3"/>
  </r>
  <r>
    <x v="10"/>
    <x v="50"/>
    <x v="12"/>
    <m/>
    <n v="91.099000000000004"/>
    <n v="94.122"/>
    <n v="92.610500000000002"/>
    <n v="302.3"/>
  </r>
  <r>
    <x v="10"/>
    <x v="50"/>
    <x v="9"/>
    <m/>
    <n v="0.82630999999999999"/>
    <n v="0.83677999999999997"/>
    <n v="0.83154499999999998"/>
    <n v="104.7"/>
  </r>
  <r>
    <x v="10"/>
    <x v="50"/>
    <x v="9"/>
    <m/>
    <n v="0.82630999999999999"/>
    <n v="0.83677999999999997"/>
    <n v="0.83154499999999998"/>
    <n v="104.7"/>
  </r>
  <r>
    <x v="10"/>
    <x v="50"/>
    <x v="9"/>
    <m/>
    <n v="0.82630999999999999"/>
    <n v="0.83677999999999997"/>
    <n v="0.83154499999999998"/>
    <n v="104.7"/>
  </r>
  <r>
    <x v="10"/>
    <x v="50"/>
    <x v="9"/>
    <m/>
    <n v="0.82630999999999999"/>
    <n v="0.83677999999999997"/>
    <n v="0.83154499999999998"/>
    <n v="104.7"/>
  </r>
  <r>
    <x v="10"/>
    <x v="50"/>
    <x v="9"/>
    <m/>
    <n v="0.82630999999999999"/>
    <n v="0.83677999999999997"/>
    <n v="0.83154499999999998"/>
    <n v="104.7"/>
  </r>
  <r>
    <x v="10"/>
    <x v="50"/>
    <x v="9"/>
    <m/>
    <n v="0.82630999999999999"/>
    <n v="0.83677999999999997"/>
    <n v="0.83154499999999998"/>
    <n v="104.7"/>
  </r>
  <r>
    <x v="10"/>
    <x v="50"/>
    <x v="9"/>
    <m/>
    <n v="0.82630999999999999"/>
    <n v="0.83677999999999997"/>
    <n v="0.83154499999999998"/>
    <n v="104.7"/>
  </r>
  <r>
    <x v="10"/>
    <x v="50"/>
    <x v="9"/>
    <m/>
    <n v="0.82630999999999999"/>
    <n v="0.83677999999999997"/>
    <n v="0.83154499999999998"/>
    <n v="104.7"/>
  </r>
  <r>
    <x v="10"/>
    <x v="50"/>
    <x v="9"/>
    <m/>
    <n v="0.82630999999999999"/>
    <n v="0.83677999999999997"/>
    <n v="0.83154499999999998"/>
    <n v="104.7"/>
  </r>
  <r>
    <x v="10"/>
    <x v="51"/>
    <x v="13"/>
    <m/>
    <n v="0.90283999999999998"/>
    <n v="0.94006000000000001"/>
    <n v="0.92144999999999999"/>
    <n v="372.2"/>
  </r>
  <r>
    <x v="10"/>
    <x v="51"/>
    <x v="13"/>
    <m/>
    <n v="0.90283999999999998"/>
    <n v="0.94006000000000001"/>
    <n v="0.92144999999999999"/>
    <n v="372.2"/>
  </r>
  <r>
    <x v="10"/>
    <x v="51"/>
    <x v="13"/>
    <m/>
    <n v="0.90283999999999998"/>
    <n v="0.94006000000000001"/>
    <n v="0.92144999999999999"/>
    <n v="372.2"/>
  </r>
  <r>
    <x v="10"/>
    <x v="51"/>
    <x v="13"/>
    <m/>
    <n v="0.90283999999999998"/>
    <n v="0.94006000000000001"/>
    <n v="0.92144999999999999"/>
    <n v="372.2"/>
  </r>
  <r>
    <x v="10"/>
    <x v="51"/>
    <x v="13"/>
    <m/>
    <n v="0.90283999999999998"/>
    <n v="0.94006000000000001"/>
    <n v="0.92144999999999999"/>
    <n v="372.2"/>
  </r>
  <r>
    <x v="10"/>
    <x v="51"/>
    <x v="13"/>
    <m/>
    <n v="0.90283999999999998"/>
    <n v="0.94006000000000001"/>
    <n v="0.92144999999999999"/>
    <n v="372.2"/>
  </r>
  <r>
    <x v="10"/>
    <x v="51"/>
    <x v="13"/>
    <m/>
    <n v="0.90283999999999998"/>
    <n v="0.94006000000000001"/>
    <n v="0.92144999999999999"/>
    <n v="372.2"/>
  </r>
  <r>
    <x v="10"/>
    <x v="51"/>
    <x v="13"/>
    <m/>
    <n v="0.90283999999999998"/>
    <n v="0.94006000000000001"/>
    <n v="0.92144999999999999"/>
    <n v="372.2"/>
  </r>
  <r>
    <x v="10"/>
    <x v="51"/>
    <x v="13"/>
    <m/>
    <n v="0.90283999999999998"/>
    <n v="0.94006000000000001"/>
    <n v="0.92144999999999999"/>
    <n v="372.2"/>
  </r>
  <r>
    <x v="10"/>
    <x v="51"/>
    <x v="13"/>
    <m/>
    <n v="0.90283999999999998"/>
    <n v="0.94006000000000001"/>
    <n v="0.92144999999999999"/>
    <n v="372.2"/>
  </r>
  <r>
    <x v="10"/>
    <x v="51"/>
    <x v="13"/>
    <m/>
    <n v="0.90283999999999998"/>
    <n v="0.94006000000000001"/>
    <n v="0.92144999999999999"/>
    <n v="372.2"/>
  </r>
  <r>
    <x v="10"/>
    <x v="51"/>
    <x v="13"/>
    <m/>
    <n v="0.90283999999999998"/>
    <n v="0.94006000000000001"/>
    <n v="0.92144999999999999"/>
    <n v="372.2"/>
  </r>
  <r>
    <x v="10"/>
    <x v="51"/>
    <x v="13"/>
    <m/>
    <n v="0.90283999999999998"/>
    <n v="0.94006000000000001"/>
    <n v="0.92144999999999999"/>
    <n v="372.2"/>
  </r>
  <r>
    <x v="10"/>
    <x v="51"/>
    <x v="13"/>
    <m/>
    <n v="0.90283999999999998"/>
    <n v="0.94006000000000001"/>
    <n v="0.92144999999999999"/>
    <n v="372.2"/>
  </r>
  <r>
    <x v="10"/>
    <x v="51"/>
    <x v="13"/>
    <m/>
    <n v="0.90283999999999998"/>
    <n v="0.94006000000000001"/>
    <n v="0.92144999999999999"/>
    <n v="372.2"/>
  </r>
  <r>
    <x v="10"/>
    <x v="51"/>
    <x v="13"/>
    <m/>
    <n v="0.90283999999999998"/>
    <n v="0.94006000000000001"/>
    <n v="0.92144999999999999"/>
    <n v="372.2"/>
  </r>
  <r>
    <x v="10"/>
    <x v="51"/>
    <x v="13"/>
    <m/>
    <n v="0.90283999999999998"/>
    <n v="0.94006000000000001"/>
    <n v="0.92144999999999999"/>
    <n v="372.2"/>
  </r>
  <r>
    <x v="10"/>
    <x v="51"/>
    <x v="13"/>
    <m/>
    <n v="0.90283999999999998"/>
    <n v="0.94006000000000001"/>
    <n v="0.92144999999999999"/>
    <n v="372.2"/>
  </r>
  <r>
    <x v="10"/>
    <x v="51"/>
    <x v="13"/>
    <m/>
    <n v="0.90283999999999998"/>
    <n v="0.94006000000000001"/>
    <n v="0.92144999999999999"/>
    <n v="372.2"/>
  </r>
  <r>
    <x v="10"/>
    <x v="51"/>
    <x v="13"/>
    <m/>
    <n v="0.90283999999999998"/>
    <n v="0.94006000000000001"/>
    <n v="0.92144999999999999"/>
    <n v="372.2"/>
  </r>
  <r>
    <x v="10"/>
    <x v="51"/>
    <x v="13"/>
    <m/>
    <n v="0.90283999999999998"/>
    <n v="0.94006000000000001"/>
    <n v="0.92144999999999999"/>
    <n v="372.2"/>
  </r>
  <r>
    <x v="10"/>
    <x v="51"/>
    <x v="13"/>
    <m/>
    <n v="0.90283999999999998"/>
    <n v="0.94006000000000001"/>
    <n v="0.92144999999999999"/>
    <n v="372.2"/>
  </r>
  <r>
    <x v="10"/>
    <x v="51"/>
    <x v="13"/>
    <m/>
    <n v="0.90283999999999998"/>
    <n v="0.94006000000000001"/>
    <n v="0.92144999999999999"/>
    <n v="372.2"/>
  </r>
  <r>
    <x v="10"/>
    <x v="51"/>
    <x v="13"/>
    <m/>
    <n v="0.90283999999999998"/>
    <n v="0.94006000000000001"/>
    <n v="0.92144999999999999"/>
    <n v="372.2"/>
  </r>
  <r>
    <x v="10"/>
    <x v="51"/>
    <x v="13"/>
    <m/>
    <n v="0.90283999999999998"/>
    <n v="0.94006000000000001"/>
    <n v="0.92144999999999999"/>
    <n v="372.2"/>
  </r>
  <r>
    <x v="10"/>
    <x v="51"/>
    <x v="13"/>
    <m/>
    <n v="0.90283999999999998"/>
    <n v="0.94006000000000001"/>
    <n v="0.92144999999999999"/>
    <n v="372.2"/>
  </r>
  <r>
    <x v="10"/>
    <x v="51"/>
    <x v="13"/>
    <m/>
    <n v="0.90283999999999998"/>
    <n v="0.94006000000000001"/>
    <n v="0.92144999999999999"/>
    <n v="372.2"/>
  </r>
  <r>
    <x v="10"/>
    <x v="51"/>
    <x v="13"/>
    <m/>
    <n v="0.90283999999999998"/>
    <n v="0.94006000000000001"/>
    <n v="0.92144999999999999"/>
    <n v="372.2"/>
  </r>
  <r>
    <x v="10"/>
    <x v="51"/>
    <x v="12"/>
    <m/>
    <n v="91.099000000000004"/>
    <n v="94.122"/>
    <n v="92.610500000000002"/>
    <n v="302.3"/>
  </r>
  <r>
    <x v="10"/>
    <x v="51"/>
    <x v="12"/>
    <m/>
    <n v="91.099000000000004"/>
    <n v="94.122"/>
    <n v="92.610500000000002"/>
    <n v="302.3"/>
  </r>
  <r>
    <x v="10"/>
    <x v="51"/>
    <x v="12"/>
    <m/>
    <n v="91.099000000000004"/>
    <n v="94.122"/>
    <n v="92.610500000000002"/>
    <n v="302.3"/>
  </r>
  <r>
    <x v="10"/>
    <x v="51"/>
    <x v="12"/>
    <m/>
    <n v="91.099000000000004"/>
    <n v="94.122"/>
    <n v="92.610500000000002"/>
    <n v="302.3"/>
  </r>
  <r>
    <x v="10"/>
    <x v="51"/>
    <x v="12"/>
    <m/>
    <n v="91.099000000000004"/>
    <n v="94.122"/>
    <n v="92.610500000000002"/>
    <n v="302.3"/>
  </r>
  <r>
    <x v="10"/>
    <x v="51"/>
    <x v="12"/>
    <m/>
    <n v="91.099000000000004"/>
    <n v="94.122"/>
    <n v="92.610500000000002"/>
    <n v="302.3"/>
  </r>
  <r>
    <x v="10"/>
    <x v="51"/>
    <x v="12"/>
    <m/>
    <n v="91.099000000000004"/>
    <n v="94.122"/>
    <n v="92.610500000000002"/>
    <n v="302.3"/>
  </r>
  <r>
    <x v="10"/>
    <x v="51"/>
    <x v="12"/>
    <m/>
    <n v="91.099000000000004"/>
    <n v="94.122"/>
    <n v="92.610500000000002"/>
    <n v="302.3"/>
  </r>
  <r>
    <x v="10"/>
    <x v="51"/>
    <x v="12"/>
    <m/>
    <n v="91.099000000000004"/>
    <n v="94.122"/>
    <n v="92.610500000000002"/>
    <n v="302.3"/>
  </r>
  <r>
    <x v="10"/>
    <x v="51"/>
    <x v="12"/>
    <m/>
    <n v="91.099000000000004"/>
    <n v="94.122"/>
    <n v="92.610500000000002"/>
    <n v="302.3"/>
  </r>
  <r>
    <x v="10"/>
    <x v="51"/>
    <x v="12"/>
    <m/>
    <n v="91.099000000000004"/>
    <n v="94.122"/>
    <n v="92.610500000000002"/>
    <n v="302.3"/>
  </r>
  <r>
    <x v="10"/>
    <x v="51"/>
    <x v="12"/>
    <m/>
    <n v="91.099000000000004"/>
    <n v="94.122"/>
    <n v="92.610500000000002"/>
    <n v="302.3"/>
  </r>
  <r>
    <x v="10"/>
    <x v="51"/>
    <x v="12"/>
    <m/>
    <n v="91.099000000000004"/>
    <n v="94.122"/>
    <n v="92.610500000000002"/>
    <n v="302.3"/>
  </r>
  <r>
    <x v="10"/>
    <x v="51"/>
    <x v="12"/>
    <m/>
    <n v="91.099000000000004"/>
    <n v="94.122"/>
    <n v="92.610500000000002"/>
    <n v="302.3"/>
  </r>
  <r>
    <x v="10"/>
    <x v="51"/>
    <x v="12"/>
    <m/>
    <n v="91.099000000000004"/>
    <n v="94.122"/>
    <n v="92.610500000000002"/>
    <n v="302.3"/>
  </r>
  <r>
    <x v="10"/>
    <x v="51"/>
    <x v="12"/>
    <m/>
    <n v="91.099000000000004"/>
    <n v="94.122"/>
    <n v="92.610500000000002"/>
    <n v="302.3"/>
  </r>
  <r>
    <x v="10"/>
    <x v="51"/>
    <x v="12"/>
    <m/>
    <n v="91.099000000000004"/>
    <n v="94.122"/>
    <n v="92.610500000000002"/>
    <n v="302.3"/>
  </r>
  <r>
    <x v="10"/>
    <x v="51"/>
    <x v="12"/>
    <m/>
    <n v="91.099000000000004"/>
    <n v="94.122"/>
    <n v="92.610500000000002"/>
    <n v="302.3"/>
  </r>
  <r>
    <x v="10"/>
    <x v="51"/>
    <x v="12"/>
    <m/>
    <n v="91.099000000000004"/>
    <n v="94.122"/>
    <n v="92.610500000000002"/>
    <n v="302.3"/>
  </r>
  <r>
    <x v="10"/>
    <x v="51"/>
    <x v="12"/>
    <m/>
    <n v="91.099000000000004"/>
    <n v="94.122"/>
    <n v="92.610500000000002"/>
    <n v="302.3"/>
  </r>
  <r>
    <x v="10"/>
    <x v="51"/>
    <x v="12"/>
    <m/>
    <n v="91.099000000000004"/>
    <n v="94.122"/>
    <n v="92.610500000000002"/>
    <n v="302.3"/>
  </r>
  <r>
    <x v="10"/>
    <x v="51"/>
    <x v="12"/>
    <m/>
    <n v="91.099000000000004"/>
    <n v="94.122"/>
    <n v="92.610500000000002"/>
    <n v="302.3"/>
  </r>
  <r>
    <x v="10"/>
    <x v="51"/>
    <x v="9"/>
    <m/>
    <n v="0.82630999999999999"/>
    <n v="0.83677999999999997"/>
    <n v="0.83154499999999998"/>
    <n v="104.7"/>
  </r>
  <r>
    <x v="10"/>
    <x v="51"/>
    <x v="9"/>
    <m/>
    <n v="0.82630999999999999"/>
    <n v="0.83677999999999997"/>
    <n v="0.83154499999999998"/>
    <n v="104.7"/>
  </r>
  <r>
    <x v="10"/>
    <x v="51"/>
    <x v="9"/>
    <m/>
    <n v="0.82630999999999999"/>
    <n v="0.83677999999999997"/>
    <n v="0.83154499999999998"/>
    <n v="104.7"/>
  </r>
  <r>
    <x v="10"/>
    <x v="51"/>
    <x v="9"/>
    <m/>
    <n v="0.82630999999999999"/>
    <n v="0.83677999999999997"/>
    <n v="0.83154499999999998"/>
    <n v="104.7"/>
  </r>
  <r>
    <x v="10"/>
    <x v="51"/>
    <x v="9"/>
    <m/>
    <n v="0.82630999999999999"/>
    <n v="0.83677999999999997"/>
    <n v="0.83154499999999998"/>
    <n v="104.7"/>
  </r>
  <r>
    <x v="10"/>
    <x v="51"/>
    <x v="9"/>
    <m/>
    <n v="0.82630999999999999"/>
    <n v="0.83677999999999997"/>
    <n v="0.83154499999999998"/>
    <n v="104.7"/>
  </r>
  <r>
    <x v="10"/>
    <x v="51"/>
    <x v="9"/>
    <m/>
    <n v="0.82630999999999999"/>
    <n v="0.83677999999999997"/>
    <n v="0.83154499999999998"/>
    <n v="104.7"/>
  </r>
  <r>
    <x v="10"/>
    <x v="51"/>
    <x v="9"/>
    <m/>
    <n v="0.82630999999999999"/>
    <n v="0.83677999999999997"/>
    <n v="0.83154499999999998"/>
    <n v="104.7"/>
  </r>
  <r>
    <x v="10"/>
    <x v="51"/>
    <x v="9"/>
    <m/>
    <n v="0.82630999999999999"/>
    <n v="0.83677999999999997"/>
    <n v="0.83154499999999998"/>
    <n v="104.7"/>
  </r>
  <r>
    <x v="10"/>
    <x v="51"/>
    <x v="9"/>
    <m/>
    <n v="0.82630999999999999"/>
    <n v="0.83677999999999997"/>
    <n v="0.83154499999999998"/>
    <n v="104.7"/>
  </r>
  <r>
    <x v="10"/>
    <x v="52"/>
    <x v="13"/>
    <m/>
    <n v="0.90283999999999998"/>
    <n v="0.94006000000000001"/>
    <n v="0.92144999999999999"/>
    <n v="372.2"/>
  </r>
  <r>
    <x v="10"/>
    <x v="52"/>
    <x v="13"/>
    <m/>
    <n v="0.90283999999999998"/>
    <n v="0.94006000000000001"/>
    <n v="0.92144999999999999"/>
    <n v="372.2"/>
  </r>
  <r>
    <x v="10"/>
    <x v="52"/>
    <x v="13"/>
    <m/>
    <n v="0.90283999999999998"/>
    <n v="0.94006000000000001"/>
    <n v="0.92144999999999999"/>
    <n v="372.2"/>
  </r>
  <r>
    <x v="10"/>
    <x v="52"/>
    <x v="13"/>
    <m/>
    <n v="0.90283999999999998"/>
    <n v="0.94006000000000001"/>
    <n v="0.92144999999999999"/>
    <n v="372.2"/>
  </r>
  <r>
    <x v="10"/>
    <x v="52"/>
    <x v="13"/>
    <m/>
    <n v="0.90283999999999998"/>
    <n v="0.94006000000000001"/>
    <n v="0.92144999999999999"/>
    <n v="372.2"/>
  </r>
  <r>
    <x v="10"/>
    <x v="52"/>
    <x v="13"/>
    <m/>
    <n v="0.90283999999999998"/>
    <n v="0.94006000000000001"/>
    <n v="0.92144999999999999"/>
    <n v="372.2"/>
  </r>
  <r>
    <x v="10"/>
    <x v="52"/>
    <x v="13"/>
    <m/>
    <n v="0.90283999999999998"/>
    <n v="0.94006000000000001"/>
    <n v="0.92144999999999999"/>
    <n v="372.2"/>
  </r>
  <r>
    <x v="10"/>
    <x v="52"/>
    <x v="13"/>
    <m/>
    <n v="0.90283999999999998"/>
    <n v="0.94006000000000001"/>
    <n v="0.92144999999999999"/>
    <n v="372.2"/>
  </r>
  <r>
    <x v="10"/>
    <x v="52"/>
    <x v="13"/>
    <m/>
    <n v="0.90283999999999998"/>
    <n v="0.94006000000000001"/>
    <n v="0.92144999999999999"/>
    <n v="372.2"/>
  </r>
  <r>
    <x v="10"/>
    <x v="52"/>
    <x v="13"/>
    <m/>
    <n v="0.90283999999999998"/>
    <n v="0.94006000000000001"/>
    <n v="0.92144999999999999"/>
    <n v="372.2"/>
  </r>
  <r>
    <x v="10"/>
    <x v="52"/>
    <x v="13"/>
    <m/>
    <n v="0.90283999999999998"/>
    <n v="0.94006000000000001"/>
    <n v="0.92144999999999999"/>
    <n v="372.2"/>
  </r>
  <r>
    <x v="10"/>
    <x v="52"/>
    <x v="13"/>
    <m/>
    <n v="0.90283999999999998"/>
    <n v="0.94006000000000001"/>
    <n v="0.92144999999999999"/>
    <n v="372.2"/>
  </r>
  <r>
    <x v="10"/>
    <x v="52"/>
    <x v="13"/>
    <m/>
    <n v="0.90283999999999998"/>
    <n v="0.94006000000000001"/>
    <n v="0.92144999999999999"/>
    <n v="372.2"/>
  </r>
  <r>
    <x v="10"/>
    <x v="52"/>
    <x v="13"/>
    <m/>
    <n v="0.90283999999999998"/>
    <n v="0.94006000000000001"/>
    <n v="0.92144999999999999"/>
    <n v="372.2"/>
  </r>
  <r>
    <x v="10"/>
    <x v="52"/>
    <x v="13"/>
    <m/>
    <n v="0.90283999999999998"/>
    <n v="0.94006000000000001"/>
    <n v="0.92144999999999999"/>
    <n v="372.2"/>
  </r>
  <r>
    <x v="10"/>
    <x v="52"/>
    <x v="13"/>
    <m/>
    <n v="0.90283999999999998"/>
    <n v="0.94006000000000001"/>
    <n v="0.92144999999999999"/>
    <n v="372.2"/>
  </r>
  <r>
    <x v="10"/>
    <x v="52"/>
    <x v="13"/>
    <m/>
    <n v="0.90283999999999998"/>
    <n v="0.94006000000000001"/>
    <n v="0.92144999999999999"/>
    <n v="372.2"/>
  </r>
  <r>
    <x v="10"/>
    <x v="52"/>
    <x v="13"/>
    <m/>
    <n v="0.90283999999999998"/>
    <n v="0.94006000000000001"/>
    <n v="0.92144999999999999"/>
    <n v="372.2"/>
  </r>
  <r>
    <x v="10"/>
    <x v="52"/>
    <x v="13"/>
    <m/>
    <n v="0.90283999999999998"/>
    <n v="0.94006000000000001"/>
    <n v="0.92144999999999999"/>
    <n v="372.2"/>
  </r>
  <r>
    <x v="10"/>
    <x v="52"/>
    <x v="13"/>
    <m/>
    <n v="0.90283999999999998"/>
    <n v="0.94006000000000001"/>
    <n v="0.92144999999999999"/>
    <n v="372.2"/>
  </r>
  <r>
    <x v="10"/>
    <x v="52"/>
    <x v="13"/>
    <m/>
    <n v="0.90283999999999998"/>
    <n v="0.94006000000000001"/>
    <n v="0.92144999999999999"/>
    <n v="372.2"/>
  </r>
  <r>
    <x v="10"/>
    <x v="52"/>
    <x v="13"/>
    <m/>
    <n v="0.90283999999999998"/>
    <n v="0.94006000000000001"/>
    <n v="0.92144999999999999"/>
    <n v="372.2"/>
  </r>
  <r>
    <x v="10"/>
    <x v="52"/>
    <x v="13"/>
    <m/>
    <n v="0.90283999999999998"/>
    <n v="0.94006000000000001"/>
    <n v="0.92144999999999999"/>
    <n v="372.2"/>
  </r>
  <r>
    <x v="10"/>
    <x v="52"/>
    <x v="13"/>
    <m/>
    <n v="0.90283999999999998"/>
    <n v="0.94006000000000001"/>
    <n v="0.92144999999999999"/>
    <n v="372.2"/>
  </r>
  <r>
    <x v="10"/>
    <x v="52"/>
    <x v="13"/>
    <m/>
    <n v="0.90283999999999998"/>
    <n v="0.94006000000000001"/>
    <n v="0.92144999999999999"/>
    <n v="372.2"/>
  </r>
  <r>
    <x v="10"/>
    <x v="52"/>
    <x v="13"/>
    <m/>
    <n v="0.90283999999999998"/>
    <n v="0.94006000000000001"/>
    <n v="0.92144999999999999"/>
    <n v="372.2"/>
  </r>
  <r>
    <x v="10"/>
    <x v="52"/>
    <x v="13"/>
    <m/>
    <n v="0.90283999999999998"/>
    <n v="0.94006000000000001"/>
    <n v="0.92144999999999999"/>
    <n v="372.2"/>
  </r>
  <r>
    <x v="10"/>
    <x v="52"/>
    <x v="12"/>
    <m/>
    <n v="91.099000000000004"/>
    <n v="94.122"/>
    <n v="92.610500000000002"/>
    <n v="302.3"/>
  </r>
  <r>
    <x v="10"/>
    <x v="52"/>
    <x v="12"/>
    <m/>
    <n v="91.099000000000004"/>
    <n v="94.122"/>
    <n v="92.610500000000002"/>
    <n v="302.3"/>
  </r>
  <r>
    <x v="10"/>
    <x v="52"/>
    <x v="12"/>
    <m/>
    <n v="91.099000000000004"/>
    <n v="94.122"/>
    <n v="92.610500000000002"/>
    <n v="302.3"/>
  </r>
  <r>
    <x v="10"/>
    <x v="52"/>
    <x v="12"/>
    <m/>
    <n v="91.099000000000004"/>
    <n v="94.122"/>
    <n v="92.610500000000002"/>
    <n v="302.3"/>
  </r>
  <r>
    <x v="10"/>
    <x v="52"/>
    <x v="12"/>
    <m/>
    <n v="91.099000000000004"/>
    <n v="94.122"/>
    <n v="92.610500000000002"/>
    <n v="302.3"/>
  </r>
  <r>
    <x v="10"/>
    <x v="52"/>
    <x v="12"/>
    <m/>
    <n v="91.099000000000004"/>
    <n v="94.122"/>
    <n v="92.610500000000002"/>
    <n v="302.3"/>
  </r>
  <r>
    <x v="10"/>
    <x v="52"/>
    <x v="12"/>
    <m/>
    <n v="91.099000000000004"/>
    <n v="94.122"/>
    <n v="92.610500000000002"/>
    <n v="302.3"/>
  </r>
  <r>
    <x v="10"/>
    <x v="52"/>
    <x v="12"/>
    <m/>
    <n v="91.099000000000004"/>
    <n v="94.122"/>
    <n v="92.610500000000002"/>
    <n v="302.3"/>
  </r>
  <r>
    <x v="10"/>
    <x v="52"/>
    <x v="12"/>
    <m/>
    <n v="91.099000000000004"/>
    <n v="94.122"/>
    <n v="92.610500000000002"/>
    <n v="302.3"/>
  </r>
  <r>
    <x v="10"/>
    <x v="52"/>
    <x v="12"/>
    <m/>
    <n v="91.099000000000004"/>
    <n v="94.122"/>
    <n v="92.610500000000002"/>
    <n v="302.3"/>
  </r>
  <r>
    <x v="10"/>
    <x v="52"/>
    <x v="12"/>
    <m/>
    <n v="91.099000000000004"/>
    <n v="94.122"/>
    <n v="92.610500000000002"/>
    <n v="302.3"/>
  </r>
  <r>
    <x v="10"/>
    <x v="52"/>
    <x v="12"/>
    <m/>
    <n v="91.099000000000004"/>
    <n v="94.122"/>
    <n v="92.610500000000002"/>
    <n v="302.3"/>
  </r>
  <r>
    <x v="10"/>
    <x v="52"/>
    <x v="12"/>
    <m/>
    <n v="91.099000000000004"/>
    <n v="94.122"/>
    <n v="92.610500000000002"/>
    <n v="302.3"/>
  </r>
  <r>
    <x v="10"/>
    <x v="52"/>
    <x v="12"/>
    <m/>
    <n v="91.099000000000004"/>
    <n v="94.122"/>
    <n v="92.610500000000002"/>
    <n v="302.3"/>
  </r>
  <r>
    <x v="10"/>
    <x v="52"/>
    <x v="12"/>
    <m/>
    <n v="91.099000000000004"/>
    <n v="94.122"/>
    <n v="92.610500000000002"/>
    <n v="302.3"/>
  </r>
  <r>
    <x v="10"/>
    <x v="52"/>
    <x v="12"/>
    <m/>
    <n v="91.099000000000004"/>
    <n v="94.122"/>
    <n v="92.610500000000002"/>
    <n v="302.3"/>
  </r>
  <r>
    <x v="10"/>
    <x v="52"/>
    <x v="12"/>
    <m/>
    <n v="91.099000000000004"/>
    <n v="94.122"/>
    <n v="92.610500000000002"/>
    <n v="302.3"/>
  </r>
  <r>
    <x v="10"/>
    <x v="52"/>
    <x v="12"/>
    <m/>
    <n v="91.099000000000004"/>
    <n v="94.122"/>
    <n v="92.610500000000002"/>
    <n v="302.3"/>
  </r>
  <r>
    <x v="10"/>
    <x v="52"/>
    <x v="12"/>
    <m/>
    <n v="91.099000000000004"/>
    <n v="94.122"/>
    <n v="92.610500000000002"/>
    <n v="302.3"/>
  </r>
  <r>
    <x v="10"/>
    <x v="52"/>
    <x v="12"/>
    <m/>
    <n v="91.099000000000004"/>
    <n v="94.122"/>
    <n v="92.610500000000002"/>
    <n v="302.3"/>
  </r>
  <r>
    <x v="10"/>
    <x v="52"/>
    <x v="12"/>
    <m/>
    <n v="91.099000000000004"/>
    <n v="94.122"/>
    <n v="92.610500000000002"/>
    <n v="302.3"/>
  </r>
  <r>
    <x v="10"/>
    <x v="52"/>
    <x v="12"/>
    <m/>
    <n v="91.099000000000004"/>
    <n v="94.122"/>
    <n v="92.610500000000002"/>
    <n v="302.3"/>
  </r>
  <r>
    <x v="10"/>
    <x v="52"/>
    <x v="9"/>
    <m/>
    <n v="0.82249000000000005"/>
    <n v="0.83677999999999997"/>
    <n v="0.82963500000000001"/>
    <n v="142.9"/>
  </r>
  <r>
    <x v="10"/>
    <x v="52"/>
    <x v="9"/>
    <m/>
    <n v="0.82249000000000005"/>
    <n v="0.83677999999999997"/>
    <n v="0.82963500000000001"/>
    <n v="142.9"/>
  </r>
  <r>
    <x v="10"/>
    <x v="52"/>
    <x v="9"/>
    <m/>
    <n v="0.82249000000000005"/>
    <n v="0.83677999999999997"/>
    <n v="0.82963500000000001"/>
    <n v="142.9"/>
  </r>
  <r>
    <x v="10"/>
    <x v="52"/>
    <x v="9"/>
    <m/>
    <n v="0.82249000000000005"/>
    <n v="0.83677999999999997"/>
    <n v="0.82963500000000001"/>
    <n v="142.9"/>
  </r>
  <r>
    <x v="10"/>
    <x v="52"/>
    <x v="9"/>
    <m/>
    <n v="0.82249000000000005"/>
    <n v="0.83677999999999997"/>
    <n v="0.82963500000000001"/>
    <n v="142.9"/>
  </r>
  <r>
    <x v="10"/>
    <x v="52"/>
    <x v="9"/>
    <m/>
    <n v="0.82249000000000005"/>
    <n v="0.83677999999999997"/>
    <n v="0.82963500000000001"/>
    <n v="142.9"/>
  </r>
  <r>
    <x v="10"/>
    <x v="52"/>
    <x v="9"/>
    <m/>
    <n v="0.82249000000000005"/>
    <n v="0.83677999999999997"/>
    <n v="0.82963500000000001"/>
    <n v="142.9"/>
  </r>
  <r>
    <x v="10"/>
    <x v="52"/>
    <x v="9"/>
    <m/>
    <n v="0.82249000000000005"/>
    <n v="0.83677999999999997"/>
    <n v="0.82963500000000001"/>
    <n v="142.9"/>
  </r>
  <r>
    <x v="10"/>
    <x v="52"/>
    <x v="9"/>
    <m/>
    <n v="0.82249000000000005"/>
    <n v="0.83677999999999997"/>
    <n v="0.82963500000000001"/>
    <n v="142.9"/>
  </r>
  <r>
    <x v="10"/>
    <x v="52"/>
    <x v="9"/>
    <m/>
    <n v="0.82249000000000005"/>
    <n v="0.83677999999999997"/>
    <n v="0.82963500000000001"/>
    <n v="142.9"/>
  </r>
  <r>
    <x v="10"/>
    <x v="52"/>
    <x v="9"/>
    <m/>
    <n v="0.82249000000000005"/>
    <n v="0.83677999999999997"/>
    <n v="0.82963500000000001"/>
    <n v="142.9"/>
  </r>
  <r>
    <x v="10"/>
    <x v="53"/>
    <x v="13"/>
    <m/>
    <n v="0.90283999999999998"/>
    <n v="0.94006000000000001"/>
    <n v="0.92144999999999999"/>
    <n v="372.2"/>
  </r>
  <r>
    <x v="10"/>
    <x v="53"/>
    <x v="13"/>
    <m/>
    <n v="0.90283999999999998"/>
    <n v="0.94006000000000001"/>
    <n v="0.92144999999999999"/>
    <n v="372.2"/>
  </r>
  <r>
    <x v="10"/>
    <x v="53"/>
    <x v="13"/>
    <m/>
    <n v="0.90283999999999998"/>
    <n v="0.94006000000000001"/>
    <n v="0.92144999999999999"/>
    <n v="372.2"/>
  </r>
  <r>
    <x v="10"/>
    <x v="53"/>
    <x v="13"/>
    <m/>
    <n v="0.90283999999999998"/>
    <n v="0.94006000000000001"/>
    <n v="0.92144999999999999"/>
    <n v="372.2"/>
  </r>
  <r>
    <x v="10"/>
    <x v="53"/>
    <x v="13"/>
    <m/>
    <n v="0.90283999999999998"/>
    <n v="0.94006000000000001"/>
    <n v="0.92144999999999999"/>
    <n v="372.2"/>
  </r>
  <r>
    <x v="10"/>
    <x v="53"/>
    <x v="13"/>
    <m/>
    <n v="0.90283999999999998"/>
    <n v="0.94006000000000001"/>
    <n v="0.92144999999999999"/>
    <n v="372.2"/>
  </r>
  <r>
    <x v="10"/>
    <x v="53"/>
    <x v="13"/>
    <m/>
    <n v="0.90283999999999998"/>
    <n v="0.94006000000000001"/>
    <n v="0.92144999999999999"/>
    <n v="372.2"/>
  </r>
  <r>
    <x v="10"/>
    <x v="53"/>
    <x v="13"/>
    <m/>
    <n v="0.90283999999999998"/>
    <n v="0.94006000000000001"/>
    <n v="0.92144999999999999"/>
    <n v="372.2"/>
  </r>
  <r>
    <x v="10"/>
    <x v="53"/>
    <x v="13"/>
    <m/>
    <n v="0.90283999999999998"/>
    <n v="0.94006000000000001"/>
    <n v="0.92144999999999999"/>
    <n v="372.2"/>
  </r>
  <r>
    <x v="10"/>
    <x v="53"/>
    <x v="13"/>
    <m/>
    <n v="0.90283999999999998"/>
    <n v="0.94006000000000001"/>
    <n v="0.92144999999999999"/>
    <n v="372.2"/>
  </r>
  <r>
    <x v="10"/>
    <x v="53"/>
    <x v="13"/>
    <m/>
    <n v="0.90283999999999998"/>
    <n v="0.94006000000000001"/>
    <n v="0.92144999999999999"/>
    <n v="372.2"/>
  </r>
  <r>
    <x v="10"/>
    <x v="53"/>
    <x v="13"/>
    <m/>
    <n v="0.90283999999999998"/>
    <n v="0.94006000000000001"/>
    <n v="0.92144999999999999"/>
    <n v="372.2"/>
  </r>
  <r>
    <x v="10"/>
    <x v="53"/>
    <x v="13"/>
    <m/>
    <n v="0.90283999999999998"/>
    <n v="0.94006000000000001"/>
    <n v="0.92144999999999999"/>
    <n v="372.2"/>
  </r>
  <r>
    <x v="10"/>
    <x v="53"/>
    <x v="13"/>
    <m/>
    <n v="0.90283999999999998"/>
    <n v="0.94006000000000001"/>
    <n v="0.92144999999999999"/>
    <n v="372.2"/>
  </r>
  <r>
    <x v="10"/>
    <x v="53"/>
    <x v="13"/>
    <m/>
    <n v="0.90283999999999998"/>
    <n v="0.94006000000000001"/>
    <n v="0.92144999999999999"/>
    <n v="372.2"/>
  </r>
  <r>
    <x v="10"/>
    <x v="53"/>
    <x v="13"/>
    <m/>
    <n v="0.90283999999999998"/>
    <n v="0.94006000000000001"/>
    <n v="0.92144999999999999"/>
    <n v="372.2"/>
  </r>
  <r>
    <x v="10"/>
    <x v="53"/>
    <x v="13"/>
    <m/>
    <n v="0.90283999999999998"/>
    <n v="0.94006000000000001"/>
    <n v="0.92144999999999999"/>
    <n v="372.2"/>
  </r>
  <r>
    <x v="10"/>
    <x v="53"/>
    <x v="13"/>
    <m/>
    <n v="0.90283999999999998"/>
    <n v="0.94006000000000001"/>
    <n v="0.92144999999999999"/>
    <n v="372.2"/>
  </r>
  <r>
    <x v="10"/>
    <x v="53"/>
    <x v="13"/>
    <m/>
    <n v="0.90283999999999998"/>
    <n v="0.94006000000000001"/>
    <n v="0.92144999999999999"/>
    <n v="372.2"/>
  </r>
  <r>
    <x v="10"/>
    <x v="53"/>
    <x v="13"/>
    <m/>
    <n v="0.90283999999999998"/>
    <n v="0.94006000000000001"/>
    <n v="0.92144999999999999"/>
    <n v="372.2"/>
  </r>
  <r>
    <x v="10"/>
    <x v="53"/>
    <x v="13"/>
    <m/>
    <n v="0.90283999999999998"/>
    <n v="0.94006000000000001"/>
    <n v="0.92144999999999999"/>
    <n v="372.2"/>
  </r>
  <r>
    <x v="10"/>
    <x v="53"/>
    <x v="13"/>
    <m/>
    <n v="0.90283999999999998"/>
    <n v="0.94006000000000001"/>
    <n v="0.92144999999999999"/>
    <n v="372.2"/>
  </r>
  <r>
    <x v="10"/>
    <x v="53"/>
    <x v="13"/>
    <m/>
    <n v="0.90283999999999998"/>
    <n v="0.94006000000000001"/>
    <n v="0.92144999999999999"/>
    <n v="372.2"/>
  </r>
  <r>
    <x v="10"/>
    <x v="53"/>
    <x v="13"/>
    <m/>
    <n v="0.90283999999999998"/>
    <n v="0.94006000000000001"/>
    <n v="0.92144999999999999"/>
    <n v="372.2"/>
  </r>
  <r>
    <x v="10"/>
    <x v="53"/>
    <x v="13"/>
    <m/>
    <n v="0.90283999999999998"/>
    <n v="0.94006000000000001"/>
    <n v="0.92144999999999999"/>
    <n v="372.2"/>
  </r>
  <r>
    <x v="10"/>
    <x v="53"/>
    <x v="13"/>
    <m/>
    <n v="0.90283999999999998"/>
    <n v="0.94006000000000001"/>
    <n v="0.92144999999999999"/>
    <n v="372.2"/>
  </r>
  <r>
    <x v="10"/>
    <x v="53"/>
    <x v="13"/>
    <m/>
    <n v="0.90283999999999998"/>
    <n v="0.94006000000000001"/>
    <n v="0.92144999999999999"/>
    <n v="372.2"/>
  </r>
  <r>
    <x v="10"/>
    <x v="53"/>
    <x v="12"/>
    <m/>
    <n v="91.099000000000004"/>
    <n v="94.122"/>
    <n v="92.610500000000002"/>
    <n v="302.3"/>
  </r>
  <r>
    <x v="10"/>
    <x v="53"/>
    <x v="12"/>
    <m/>
    <n v="91.099000000000004"/>
    <n v="94.122"/>
    <n v="92.610500000000002"/>
    <n v="302.3"/>
  </r>
  <r>
    <x v="10"/>
    <x v="53"/>
    <x v="12"/>
    <m/>
    <n v="91.099000000000004"/>
    <n v="94.122"/>
    <n v="92.610500000000002"/>
    <n v="302.3"/>
  </r>
  <r>
    <x v="10"/>
    <x v="53"/>
    <x v="12"/>
    <m/>
    <n v="91.099000000000004"/>
    <n v="94.122"/>
    <n v="92.610500000000002"/>
    <n v="302.3"/>
  </r>
  <r>
    <x v="10"/>
    <x v="53"/>
    <x v="12"/>
    <m/>
    <n v="91.099000000000004"/>
    <n v="94.122"/>
    <n v="92.610500000000002"/>
    <n v="302.3"/>
  </r>
  <r>
    <x v="10"/>
    <x v="53"/>
    <x v="12"/>
    <m/>
    <n v="91.099000000000004"/>
    <n v="94.122"/>
    <n v="92.610500000000002"/>
    <n v="302.3"/>
  </r>
  <r>
    <x v="10"/>
    <x v="53"/>
    <x v="12"/>
    <m/>
    <n v="91.099000000000004"/>
    <n v="94.122"/>
    <n v="92.610500000000002"/>
    <n v="302.3"/>
  </r>
  <r>
    <x v="10"/>
    <x v="53"/>
    <x v="12"/>
    <m/>
    <n v="91.099000000000004"/>
    <n v="94.122"/>
    <n v="92.610500000000002"/>
    <n v="302.3"/>
  </r>
  <r>
    <x v="10"/>
    <x v="53"/>
    <x v="12"/>
    <m/>
    <n v="91.099000000000004"/>
    <n v="94.122"/>
    <n v="92.610500000000002"/>
    <n v="302.3"/>
  </r>
  <r>
    <x v="10"/>
    <x v="53"/>
    <x v="12"/>
    <m/>
    <n v="91.099000000000004"/>
    <n v="94.122"/>
    <n v="92.610500000000002"/>
    <n v="302.3"/>
  </r>
  <r>
    <x v="10"/>
    <x v="53"/>
    <x v="12"/>
    <m/>
    <n v="91.099000000000004"/>
    <n v="94.122"/>
    <n v="92.610500000000002"/>
    <n v="302.3"/>
  </r>
  <r>
    <x v="10"/>
    <x v="53"/>
    <x v="12"/>
    <m/>
    <n v="91.099000000000004"/>
    <n v="94.122"/>
    <n v="92.610500000000002"/>
    <n v="302.3"/>
  </r>
  <r>
    <x v="10"/>
    <x v="53"/>
    <x v="12"/>
    <m/>
    <n v="91.099000000000004"/>
    <n v="94.122"/>
    <n v="92.610500000000002"/>
    <n v="302.3"/>
  </r>
  <r>
    <x v="10"/>
    <x v="53"/>
    <x v="12"/>
    <m/>
    <n v="91.099000000000004"/>
    <n v="94.122"/>
    <n v="92.610500000000002"/>
    <n v="302.3"/>
  </r>
  <r>
    <x v="10"/>
    <x v="53"/>
    <x v="12"/>
    <m/>
    <n v="91.099000000000004"/>
    <n v="94.122"/>
    <n v="92.610500000000002"/>
    <n v="302.3"/>
  </r>
  <r>
    <x v="10"/>
    <x v="53"/>
    <x v="12"/>
    <m/>
    <n v="91.099000000000004"/>
    <n v="94.122"/>
    <n v="92.610500000000002"/>
    <n v="302.3"/>
  </r>
  <r>
    <x v="10"/>
    <x v="53"/>
    <x v="12"/>
    <m/>
    <n v="91.099000000000004"/>
    <n v="94.122"/>
    <n v="92.610500000000002"/>
    <n v="302.3"/>
  </r>
  <r>
    <x v="10"/>
    <x v="53"/>
    <x v="12"/>
    <m/>
    <n v="91.099000000000004"/>
    <n v="94.122"/>
    <n v="92.610500000000002"/>
    <n v="302.3"/>
  </r>
  <r>
    <x v="10"/>
    <x v="53"/>
    <x v="12"/>
    <m/>
    <n v="91.099000000000004"/>
    <n v="94.122"/>
    <n v="92.610500000000002"/>
    <n v="302.3"/>
  </r>
  <r>
    <x v="10"/>
    <x v="53"/>
    <x v="12"/>
    <m/>
    <n v="91.099000000000004"/>
    <n v="94.122"/>
    <n v="92.610500000000002"/>
    <n v="302.3"/>
  </r>
  <r>
    <x v="10"/>
    <x v="53"/>
    <x v="12"/>
    <m/>
    <n v="91.099000000000004"/>
    <n v="94.122"/>
    <n v="92.610500000000002"/>
    <n v="302.3"/>
  </r>
  <r>
    <x v="10"/>
    <x v="53"/>
    <x v="12"/>
    <m/>
    <n v="91.099000000000004"/>
    <n v="94.122"/>
    <n v="92.610500000000002"/>
    <n v="302.3"/>
  </r>
  <r>
    <x v="10"/>
    <x v="53"/>
    <x v="9"/>
    <m/>
    <n v="0.82249000000000005"/>
    <n v="0.83677999999999997"/>
    <n v="0.82963500000000001"/>
    <n v="142.9"/>
  </r>
  <r>
    <x v="10"/>
    <x v="53"/>
    <x v="9"/>
    <m/>
    <n v="0.82249000000000005"/>
    <n v="0.83677999999999997"/>
    <n v="0.82963500000000001"/>
    <n v="142.9"/>
  </r>
  <r>
    <x v="10"/>
    <x v="53"/>
    <x v="9"/>
    <m/>
    <n v="0.82249000000000005"/>
    <n v="0.83677999999999997"/>
    <n v="0.82963500000000001"/>
    <n v="142.9"/>
  </r>
  <r>
    <x v="10"/>
    <x v="53"/>
    <x v="9"/>
    <m/>
    <n v="0.82249000000000005"/>
    <n v="0.83677999999999997"/>
    <n v="0.82963500000000001"/>
    <n v="142.9"/>
  </r>
  <r>
    <x v="10"/>
    <x v="53"/>
    <x v="9"/>
    <m/>
    <n v="0.82249000000000005"/>
    <n v="0.83677999999999997"/>
    <n v="0.82963500000000001"/>
    <n v="142.9"/>
  </r>
  <r>
    <x v="10"/>
    <x v="53"/>
    <x v="9"/>
    <m/>
    <n v="0.82249000000000005"/>
    <n v="0.83677999999999997"/>
    <n v="0.82963500000000001"/>
    <n v="142.9"/>
  </r>
  <r>
    <x v="10"/>
    <x v="53"/>
    <x v="9"/>
    <m/>
    <n v="0.82249000000000005"/>
    <n v="0.83677999999999997"/>
    <n v="0.82963500000000001"/>
    <n v="142.9"/>
  </r>
  <r>
    <x v="10"/>
    <x v="53"/>
    <x v="9"/>
    <m/>
    <n v="0.82249000000000005"/>
    <n v="0.83677999999999997"/>
    <n v="0.82963500000000001"/>
    <n v="142.9"/>
  </r>
  <r>
    <x v="10"/>
    <x v="53"/>
    <x v="9"/>
    <m/>
    <n v="0.82249000000000005"/>
    <n v="0.83677999999999997"/>
    <n v="0.82963500000000001"/>
    <n v="142.9"/>
  </r>
  <r>
    <x v="10"/>
    <x v="53"/>
    <x v="9"/>
    <m/>
    <n v="0.82249000000000005"/>
    <n v="0.83677999999999997"/>
    <n v="0.82963500000000001"/>
    <n v="142.9"/>
  </r>
  <r>
    <x v="10"/>
    <x v="53"/>
    <x v="9"/>
    <m/>
    <n v="0.82249000000000005"/>
    <n v="0.83677999999999997"/>
    <n v="0.82963500000000001"/>
    <n v="142.9"/>
  </r>
  <r>
    <x v="10"/>
    <x v="53"/>
    <x v="9"/>
    <m/>
    <n v="0.82249000000000005"/>
    <n v="0.83677999999999997"/>
    <n v="0.82963500000000001"/>
    <n v="142.9"/>
  </r>
  <r>
    <x v="10"/>
    <x v="54"/>
    <x v="13"/>
    <m/>
    <n v="0.90283999999999998"/>
    <n v="0.94006000000000001"/>
    <n v="0.92144999999999999"/>
    <n v="372.2"/>
  </r>
  <r>
    <x v="10"/>
    <x v="54"/>
    <x v="13"/>
    <m/>
    <n v="0.90283999999999998"/>
    <n v="0.94006000000000001"/>
    <n v="0.92144999999999999"/>
    <n v="372.2"/>
  </r>
  <r>
    <x v="10"/>
    <x v="54"/>
    <x v="13"/>
    <m/>
    <n v="0.90283999999999998"/>
    <n v="0.94006000000000001"/>
    <n v="0.92144999999999999"/>
    <n v="372.2"/>
  </r>
  <r>
    <x v="10"/>
    <x v="54"/>
    <x v="13"/>
    <m/>
    <n v="0.90283999999999998"/>
    <n v="0.94006000000000001"/>
    <n v="0.92144999999999999"/>
    <n v="372.2"/>
  </r>
  <r>
    <x v="10"/>
    <x v="54"/>
    <x v="13"/>
    <m/>
    <n v="0.90283999999999998"/>
    <n v="0.94006000000000001"/>
    <n v="0.92144999999999999"/>
    <n v="372.2"/>
  </r>
  <r>
    <x v="10"/>
    <x v="54"/>
    <x v="13"/>
    <m/>
    <n v="0.90283999999999998"/>
    <n v="0.94006000000000001"/>
    <n v="0.92144999999999999"/>
    <n v="372.2"/>
  </r>
  <r>
    <x v="10"/>
    <x v="54"/>
    <x v="13"/>
    <m/>
    <n v="0.90283999999999998"/>
    <n v="0.94006000000000001"/>
    <n v="0.92144999999999999"/>
    <n v="372.2"/>
  </r>
  <r>
    <x v="10"/>
    <x v="54"/>
    <x v="13"/>
    <m/>
    <n v="0.90283999999999998"/>
    <n v="0.94006000000000001"/>
    <n v="0.92144999999999999"/>
    <n v="372.2"/>
  </r>
  <r>
    <x v="10"/>
    <x v="54"/>
    <x v="13"/>
    <m/>
    <n v="0.90283999999999998"/>
    <n v="0.94006000000000001"/>
    <n v="0.92144999999999999"/>
    <n v="372.2"/>
  </r>
  <r>
    <x v="10"/>
    <x v="54"/>
    <x v="13"/>
    <m/>
    <n v="0.90283999999999998"/>
    <n v="0.94006000000000001"/>
    <n v="0.92144999999999999"/>
    <n v="372.2"/>
  </r>
  <r>
    <x v="10"/>
    <x v="54"/>
    <x v="13"/>
    <m/>
    <n v="0.90283999999999998"/>
    <n v="0.94006000000000001"/>
    <n v="0.92144999999999999"/>
    <n v="372.2"/>
  </r>
  <r>
    <x v="10"/>
    <x v="54"/>
    <x v="13"/>
    <m/>
    <n v="0.90283999999999998"/>
    <n v="0.94006000000000001"/>
    <n v="0.92144999999999999"/>
    <n v="372.2"/>
  </r>
  <r>
    <x v="10"/>
    <x v="54"/>
    <x v="13"/>
    <m/>
    <n v="0.90283999999999998"/>
    <n v="0.94006000000000001"/>
    <n v="0.92144999999999999"/>
    <n v="372.2"/>
  </r>
  <r>
    <x v="10"/>
    <x v="54"/>
    <x v="13"/>
    <m/>
    <n v="0.90283999999999998"/>
    <n v="0.94006000000000001"/>
    <n v="0.92144999999999999"/>
    <n v="372.2"/>
  </r>
  <r>
    <x v="10"/>
    <x v="54"/>
    <x v="13"/>
    <m/>
    <n v="0.90283999999999998"/>
    <n v="0.94006000000000001"/>
    <n v="0.92144999999999999"/>
    <n v="372.2"/>
  </r>
  <r>
    <x v="10"/>
    <x v="54"/>
    <x v="13"/>
    <m/>
    <n v="0.90283999999999998"/>
    <n v="0.94006000000000001"/>
    <n v="0.92144999999999999"/>
    <n v="372.2"/>
  </r>
  <r>
    <x v="10"/>
    <x v="54"/>
    <x v="13"/>
    <m/>
    <n v="0.90283999999999998"/>
    <n v="0.94006000000000001"/>
    <n v="0.92144999999999999"/>
    <n v="372.2"/>
  </r>
  <r>
    <x v="10"/>
    <x v="54"/>
    <x v="13"/>
    <m/>
    <n v="0.90283999999999998"/>
    <n v="0.94006000000000001"/>
    <n v="0.92144999999999999"/>
    <n v="372.2"/>
  </r>
  <r>
    <x v="10"/>
    <x v="54"/>
    <x v="13"/>
    <m/>
    <n v="0.90283999999999998"/>
    <n v="0.94006000000000001"/>
    <n v="0.92144999999999999"/>
    <n v="372.2"/>
  </r>
  <r>
    <x v="10"/>
    <x v="54"/>
    <x v="13"/>
    <m/>
    <n v="0.90283999999999998"/>
    <n v="0.94006000000000001"/>
    <n v="0.92144999999999999"/>
    <n v="372.2"/>
  </r>
  <r>
    <x v="10"/>
    <x v="54"/>
    <x v="13"/>
    <m/>
    <n v="0.90283999999999998"/>
    <n v="0.94006000000000001"/>
    <n v="0.92144999999999999"/>
    <n v="372.2"/>
  </r>
  <r>
    <x v="10"/>
    <x v="54"/>
    <x v="13"/>
    <m/>
    <n v="0.90283999999999998"/>
    <n v="0.94006000000000001"/>
    <n v="0.92144999999999999"/>
    <n v="372.2"/>
  </r>
  <r>
    <x v="10"/>
    <x v="54"/>
    <x v="13"/>
    <m/>
    <n v="0.90283999999999998"/>
    <n v="0.94006000000000001"/>
    <n v="0.92144999999999999"/>
    <n v="372.2"/>
  </r>
  <r>
    <x v="10"/>
    <x v="54"/>
    <x v="13"/>
    <m/>
    <n v="0.90283999999999998"/>
    <n v="0.94006000000000001"/>
    <n v="0.92144999999999999"/>
    <n v="372.2"/>
  </r>
  <r>
    <x v="10"/>
    <x v="54"/>
    <x v="13"/>
    <m/>
    <n v="0.90283999999999998"/>
    <n v="0.94006000000000001"/>
    <n v="0.92144999999999999"/>
    <n v="372.2"/>
  </r>
  <r>
    <x v="10"/>
    <x v="54"/>
    <x v="13"/>
    <m/>
    <n v="0.90283999999999998"/>
    <n v="0.94006000000000001"/>
    <n v="0.92144999999999999"/>
    <n v="372.2"/>
  </r>
  <r>
    <x v="10"/>
    <x v="54"/>
    <x v="13"/>
    <m/>
    <n v="0.90283999999999998"/>
    <n v="0.94006000000000001"/>
    <n v="0.92144999999999999"/>
    <n v="372.2"/>
  </r>
  <r>
    <x v="10"/>
    <x v="54"/>
    <x v="12"/>
    <m/>
    <n v="91.099000000000004"/>
    <n v="94.122"/>
    <n v="92.610500000000002"/>
    <n v="302.3"/>
  </r>
  <r>
    <x v="10"/>
    <x v="54"/>
    <x v="12"/>
    <m/>
    <n v="91.099000000000004"/>
    <n v="94.122"/>
    <n v="92.610500000000002"/>
    <n v="302.3"/>
  </r>
  <r>
    <x v="10"/>
    <x v="54"/>
    <x v="12"/>
    <m/>
    <n v="91.099000000000004"/>
    <n v="94.122"/>
    <n v="92.610500000000002"/>
    <n v="302.3"/>
  </r>
  <r>
    <x v="10"/>
    <x v="54"/>
    <x v="12"/>
    <m/>
    <n v="91.099000000000004"/>
    <n v="94.122"/>
    <n v="92.610500000000002"/>
    <n v="302.3"/>
  </r>
  <r>
    <x v="10"/>
    <x v="54"/>
    <x v="12"/>
    <m/>
    <n v="91.099000000000004"/>
    <n v="94.122"/>
    <n v="92.610500000000002"/>
    <n v="302.3"/>
  </r>
  <r>
    <x v="10"/>
    <x v="54"/>
    <x v="12"/>
    <m/>
    <n v="91.099000000000004"/>
    <n v="94.122"/>
    <n v="92.610500000000002"/>
    <n v="302.3"/>
  </r>
  <r>
    <x v="10"/>
    <x v="54"/>
    <x v="12"/>
    <m/>
    <n v="91.099000000000004"/>
    <n v="94.122"/>
    <n v="92.610500000000002"/>
    <n v="302.3"/>
  </r>
  <r>
    <x v="10"/>
    <x v="54"/>
    <x v="12"/>
    <m/>
    <n v="91.099000000000004"/>
    <n v="94.122"/>
    <n v="92.610500000000002"/>
    <n v="302.3"/>
  </r>
  <r>
    <x v="10"/>
    <x v="54"/>
    <x v="12"/>
    <m/>
    <n v="91.099000000000004"/>
    <n v="94.122"/>
    <n v="92.610500000000002"/>
    <n v="302.3"/>
  </r>
  <r>
    <x v="10"/>
    <x v="54"/>
    <x v="12"/>
    <m/>
    <n v="91.099000000000004"/>
    <n v="94.122"/>
    <n v="92.610500000000002"/>
    <n v="302.3"/>
  </r>
  <r>
    <x v="10"/>
    <x v="54"/>
    <x v="12"/>
    <m/>
    <n v="91.099000000000004"/>
    <n v="94.122"/>
    <n v="92.610500000000002"/>
    <n v="302.3"/>
  </r>
  <r>
    <x v="10"/>
    <x v="54"/>
    <x v="12"/>
    <m/>
    <n v="91.099000000000004"/>
    <n v="94.122"/>
    <n v="92.610500000000002"/>
    <n v="302.3"/>
  </r>
  <r>
    <x v="10"/>
    <x v="54"/>
    <x v="12"/>
    <m/>
    <n v="91.099000000000004"/>
    <n v="94.122"/>
    <n v="92.610500000000002"/>
    <n v="302.3"/>
  </r>
  <r>
    <x v="10"/>
    <x v="54"/>
    <x v="12"/>
    <m/>
    <n v="91.099000000000004"/>
    <n v="94.122"/>
    <n v="92.610500000000002"/>
    <n v="302.3"/>
  </r>
  <r>
    <x v="10"/>
    <x v="54"/>
    <x v="12"/>
    <m/>
    <n v="91.099000000000004"/>
    <n v="94.122"/>
    <n v="92.610500000000002"/>
    <n v="302.3"/>
  </r>
  <r>
    <x v="10"/>
    <x v="54"/>
    <x v="12"/>
    <m/>
    <n v="91.099000000000004"/>
    <n v="94.122"/>
    <n v="92.610500000000002"/>
    <n v="302.3"/>
  </r>
  <r>
    <x v="10"/>
    <x v="54"/>
    <x v="12"/>
    <m/>
    <n v="91.099000000000004"/>
    <n v="94.122"/>
    <n v="92.610500000000002"/>
    <n v="302.3"/>
  </r>
  <r>
    <x v="10"/>
    <x v="54"/>
    <x v="12"/>
    <m/>
    <n v="91.099000000000004"/>
    <n v="94.122"/>
    <n v="92.610500000000002"/>
    <n v="302.3"/>
  </r>
  <r>
    <x v="10"/>
    <x v="54"/>
    <x v="12"/>
    <m/>
    <n v="91.099000000000004"/>
    <n v="94.122"/>
    <n v="92.610500000000002"/>
    <n v="302.3"/>
  </r>
  <r>
    <x v="10"/>
    <x v="54"/>
    <x v="12"/>
    <m/>
    <n v="91.099000000000004"/>
    <n v="94.122"/>
    <n v="92.610500000000002"/>
    <n v="302.3"/>
  </r>
  <r>
    <x v="10"/>
    <x v="54"/>
    <x v="12"/>
    <m/>
    <n v="91.099000000000004"/>
    <n v="94.122"/>
    <n v="92.610500000000002"/>
    <n v="302.3"/>
  </r>
  <r>
    <x v="10"/>
    <x v="54"/>
    <x v="12"/>
    <m/>
    <n v="91.099000000000004"/>
    <n v="94.122"/>
    <n v="92.610500000000002"/>
    <n v="302.3"/>
  </r>
  <r>
    <x v="10"/>
    <x v="54"/>
    <x v="9"/>
    <m/>
    <n v="0.82174999999999998"/>
    <n v="0.83677999999999997"/>
    <n v="0.82926500000000003"/>
    <n v="150.30000000000001"/>
  </r>
  <r>
    <x v="10"/>
    <x v="54"/>
    <x v="9"/>
    <m/>
    <n v="0.82174999999999998"/>
    <n v="0.83677999999999997"/>
    <n v="0.82926500000000003"/>
    <n v="150.30000000000001"/>
  </r>
  <r>
    <x v="10"/>
    <x v="54"/>
    <x v="9"/>
    <m/>
    <n v="0.82174999999999998"/>
    <n v="0.83677999999999997"/>
    <n v="0.82926500000000003"/>
    <n v="150.30000000000001"/>
  </r>
  <r>
    <x v="10"/>
    <x v="54"/>
    <x v="9"/>
    <m/>
    <n v="0.82174999999999998"/>
    <n v="0.83677999999999997"/>
    <n v="0.82926500000000003"/>
    <n v="150.30000000000001"/>
  </r>
  <r>
    <x v="10"/>
    <x v="54"/>
    <x v="9"/>
    <m/>
    <n v="0.82174999999999998"/>
    <n v="0.83677999999999997"/>
    <n v="0.82926500000000003"/>
    <n v="150.30000000000001"/>
  </r>
  <r>
    <x v="10"/>
    <x v="54"/>
    <x v="9"/>
    <m/>
    <n v="0.82174999999999998"/>
    <n v="0.83677999999999997"/>
    <n v="0.82926500000000003"/>
    <n v="150.30000000000001"/>
  </r>
  <r>
    <x v="10"/>
    <x v="54"/>
    <x v="9"/>
    <m/>
    <n v="0.82174999999999998"/>
    <n v="0.83677999999999997"/>
    <n v="0.82926500000000003"/>
    <n v="150.30000000000001"/>
  </r>
  <r>
    <x v="10"/>
    <x v="54"/>
    <x v="9"/>
    <m/>
    <n v="0.82174999999999998"/>
    <n v="0.83677999999999997"/>
    <n v="0.82926500000000003"/>
    <n v="150.30000000000001"/>
  </r>
  <r>
    <x v="10"/>
    <x v="54"/>
    <x v="9"/>
    <m/>
    <n v="0.82174999999999998"/>
    <n v="0.83677999999999997"/>
    <n v="0.82926500000000003"/>
    <n v="150.30000000000001"/>
  </r>
  <r>
    <x v="10"/>
    <x v="54"/>
    <x v="9"/>
    <m/>
    <n v="0.82174999999999998"/>
    <n v="0.83677999999999997"/>
    <n v="0.82926500000000003"/>
    <n v="150.30000000000001"/>
  </r>
  <r>
    <x v="10"/>
    <x v="54"/>
    <x v="9"/>
    <m/>
    <n v="0.82174999999999998"/>
    <n v="0.83677999999999997"/>
    <n v="0.82926500000000003"/>
    <n v="150.30000000000001"/>
  </r>
  <r>
    <x v="10"/>
    <x v="54"/>
    <x v="9"/>
    <m/>
    <n v="0.82174999999999998"/>
    <n v="0.83677999999999997"/>
    <n v="0.82926500000000003"/>
    <n v="150.30000000000001"/>
  </r>
  <r>
    <x v="10"/>
    <x v="55"/>
    <x v="13"/>
    <m/>
    <n v="0.90283999999999998"/>
    <n v="0.94006000000000001"/>
    <n v="0.92144999999999999"/>
    <n v="372.2"/>
  </r>
  <r>
    <x v="10"/>
    <x v="55"/>
    <x v="13"/>
    <m/>
    <n v="0.90283999999999998"/>
    <n v="0.94006000000000001"/>
    <n v="0.92144999999999999"/>
    <n v="372.2"/>
  </r>
  <r>
    <x v="10"/>
    <x v="55"/>
    <x v="13"/>
    <m/>
    <n v="0.90283999999999998"/>
    <n v="0.94006000000000001"/>
    <n v="0.92144999999999999"/>
    <n v="372.2"/>
  </r>
  <r>
    <x v="10"/>
    <x v="55"/>
    <x v="13"/>
    <m/>
    <n v="0.90283999999999998"/>
    <n v="0.94006000000000001"/>
    <n v="0.92144999999999999"/>
    <n v="372.2"/>
  </r>
  <r>
    <x v="10"/>
    <x v="55"/>
    <x v="13"/>
    <m/>
    <n v="0.90283999999999998"/>
    <n v="0.94006000000000001"/>
    <n v="0.92144999999999999"/>
    <n v="372.2"/>
  </r>
  <r>
    <x v="10"/>
    <x v="55"/>
    <x v="13"/>
    <m/>
    <n v="0.90283999999999998"/>
    <n v="0.94006000000000001"/>
    <n v="0.92144999999999999"/>
    <n v="372.2"/>
  </r>
  <r>
    <x v="10"/>
    <x v="55"/>
    <x v="13"/>
    <m/>
    <n v="0.90283999999999998"/>
    <n v="0.94006000000000001"/>
    <n v="0.92144999999999999"/>
    <n v="372.2"/>
  </r>
  <r>
    <x v="10"/>
    <x v="55"/>
    <x v="13"/>
    <m/>
    <n v="0.90283999999999998"/>
    <n v="0.94006000000000001"/>
    <n v="0.92144999999999999"/>
    <n v="372.2"/>
  </r>
  <r>
    <x v="10"/>
    <x v="55"/>
    <x v="13"/>
    <m/>
    <n v="0.90283999999999998"/>
    <n v="0.94006000000000001"/>
    <n v="0.92144999999999999"/>
    <n v="372.2"/>
  </r>
  <r>
    <x v="10"/>
    <x v="55"/>
    <x v="13"/>
    <m/>
    <n v="0.90283999999999998"/>
    <n v="0.94006000000000001"/>
    <n v="0.92144999999999999"/>
    <n v="372.2"/>
  </r>
  <r>
    <x v="10"/>
    <x v="55"/>
    <x v="13"/>
    <m/>
    <n v="0.90283999999999998"/>
    <n v="0.94006000000000001"/>
    <n v="0.92144999999999999"/>
    <n v="372.2"/>
  </r>
  <r>
    <x v="10"/>
    <x v="55"/>
    <x v="13"/>
    <m/>
    <n v="0.90283999999999998"/>
    <n v="0.94006000000000001"/>
    <n v="0.92144999999999999"/>
    <n v="372.2"/>
  </r>
  <r>
    <x v="10"/>
    <x v="55"/>
    <x v="13"/>
    <m/>
    <n v="0.90283999999999998"/>
    <n v="0.94006000000000001"/>
    <n v="0.92144999999999999"/>
    <n v="372.2"/>
  </r>
  <r>
    <x v="10"/>
    <x v="55"/>
    <x v="13"/>
    <m/>
    <n v="0.90283999999999998"/>
    <n v="0.94006000000000001"/>
    <n v="0.92144999999999999"/>
    <n v="372.2"/>
  </r>
  <r>
    <x v="10"/>
    <x v="55"/>
    <x v="13"/>
    <m/>
    <n v="0.90283999999999998"/>
    <n v="0.94006000000000001"/>
    <n v="0.92144999999999999"/>
    <n v="372.2"/>
  </r>
  <r>
    <x v="10"/>
    <x v="55"/>
    <x v="13"/>
    <m/>
    <n v="0.90283999999999998"/>
    <n v="0.94006000000000001"/>
    <n v="0.92144999999999999"/>
    <n v="372.2"/>
  </r>
  <r>
    <x v="10"/>
    <x v="55"/>
    <x v="13"/>
    <m/>
    <n v="0.90283999999999998"/>
    <n v="0.94006000000000001"/>
    <n v="0.92144999999999999"/>
    <n v="372.2"/>
  </r>
  <r>
    <x v="10"/>
    <x v="55"/>
    <x v="13"/>
    <m/>
    <n v="0.90283999999999998"/>
    <n v="0.94006000000000001"/>
    <n v="0.92144999999999999"/>
    <n v="372.2"/>
  </r>
  <r>
    <x v="10"/>
    <x v="55"/>
    <x v="13"/>
    <m/>
    <n v="0.90283999999999998"/>
    <n v="0.94006000000000001"/>
    <n v="0.92144999999999999"/>
    <n v="372.2"/>
  </r>
  <r>
    <x v="10"/>
    <x v="55"/>
    <x v="13"/>
    <m/>
    <n v="0.90283999999999998"/>
    <n v="0.94006000000000001"/>
    <n v="0.92144999999999999"/>
    <n v="372.2"/>
  </r>
  <r>
    <x v="10"/>
    <x v="55"/>
    <x v="13"/>
    <m/>
    <n v="0.90283999999999998"/>
    <n v="0.94006000000000001"/>
    <n v="0.92144999999999999"/>
    <n v="372.2"/>
  </r>
  <r>
    <x v="10"/>
    <x v="55"/>
    <x v="13"/>
    <m/>
    <n v="0.90283999999999998"/>
    <n v="0.94006000000000001"/>
    <n v="0.92144999999999999"/>
    <n v="372.2"/>
  </r>
  <r>
    <x v="10"/>
    <x v="55"/>
    <x v="13"/>
    <m/>
    <n v="0.90283999999999998"/>
    <n v="0.94006000000000001"/>
    <n v="0.92144999999999999"/>
    <n v="372.2"/>
  </r>
  <r>
    <x v="10"/>
    <x v="55"/>
    <x v="13"/>
    <m/>
    <n v="0.90283999999999998"/>
    <n v="0.94006000000000001"/>
    <n v="0.92144999999999999"/>
    <n v="372.2"/>
  </r>
  <r>
    <x v="10"/>
    <x v="55"/>
    <x v="13"/>
    <m/>
    <n v="0.90283999999999998"/>
    <n v="0.94006000000000001"/>
    <n v="0.92144999999999999"/>
    <n v="372.2"/>
  </r>
  <r>
    <x v="10"/>
    <x v="55"/>
    <x v="13"/>
    <m/>
    <n v="0.90283999999999998"/>
    <n v="0.94006000000000001"/>
    <n v="0.92144999999999999"/>
    <n v="372.2"/>
  </r>
  <r>
    <x v="10"/>
    <x v="55"/>
    <x v="13"/>
    <m/>
    <n v="0.90283999999999998"/>
    <n v="0.94006000000000001"/>
    <n v="0.92144999999999999"/>
    <n v="372.2"/>
  </r>
  <r>
    <x v="10"/>
    <x v="55"/>
    <x v="13"/>
    <m/>
    <n v="0.90283999999999998"/>
    <n v="0.94006000000000001"/>
    <n v="0.92144999999999999"/>
    <n v="372.2"/>
  </r>
  <r>
    <x v="10"/>
    <x v="55"/>
    <x v="12"/>
    <m/>
    <n v="91.099000000000004"/>
    <n v="94.122"/>
    <n v="92.610500000000002"/>
    <n v="302.3"/>
  </r>
  <r>
    <x v="10"/>
    <x v="55"/>
    <x v="12"/>
    <m/>
    <n v="91.099000000000004"/>
    <n v="94.122"/>
    <n v="92.610500000000002"/>
    <n v="302.3"/>
  </r>
  <r>
    <x v="10"/>
    <x v="55"/>
    <x v="12"/>
    <m/>
    <n v="91.099000000000004"/>
    <n v="94.122"/>
    <n v="92.610500000000002"/>
    <n v="302.3"/>
  </r>
  <r>
    <x v="10"/>
    <x v="55"/>
    <x v="12"/>
    <m/>
    <n v="91.099000000000004"/>
    <n v="94.122"/>
    <n v="92.610500000000002"/>
    <n v="302.3"/>
  </r>
  <r>
    <x v="10"/>
    <x v="55"/>
    <x v="12"/>
    <m/>
    <n v="91.099000000000004"/>
    <n v="94.122"/>
    <n v="92.610500000000002"/>
    <n v="302.3"/>
  </r>
  <r>
    <x v="10"/>
    <x v="55"/>
    <x v="12"/>
    <m/>
    <n v="91.099000000000004"/>
    <n v="94.122"/>
    <n v="92.610500000000002"/>
    <n v="302.3"/>
  </r>
  <r>
    <x v="10"/>
    <x v="55"/>
    <x v="12"/>
    <m/>
    <n v="91.099000000000004"/>
    <n v="94.122"/>
    <n v="92.610500000000002"/>
    <n v="302.3"/>
  </r>
  <r>
    <x v="10"/>
    <x v="55"/>
    <x v="12"/>
    <m/>
    <n v="91.099000000000004"/>
    <n v="94.122"/>
    <n v="92.610500000000002"/>
    <n v="302.3"/>
  </r>
  <r>
    <x v="10"/>
    <x v="55"/>
    <x v="12"/>
    <m/>
    <n v="91.099000000000004"/>
    <n v="94.122"/>
    <n v="92.610500000000002"/>
    <n v="302.3"/>
  </r>
  <r>
    <x v="10"/>
    <x v="55"/>
    <x v="12"/>
    <m/>
    <n v="91.099000000000004"/>
    <n v="94.122"/>
    <n v="92.610500000000002"/>
    <n v="302.3"/>
  </r>
  <r>
    <x v="10"/>
    <x v="55"/>
    <x v="12"/>
    <m/>
    <n v="91.099000000000004"/>
    <n v="94.122"/>
    <n v="92.610500000000002"/>
    <n v="302.3"/>
  </r>
  <r>
    <x v="10"/>
    <x v="55"/>
    <x v="12"/>
    <m/>
    <n v="91.099000000000004"/>
    <n v="94.122"/>
    <n v="92.610500000000002"/>
    <n v="302.3"/>
  </r>
  <r>
    <x v="10"/>
    <x v="55"/>
    <x v="12"/>
    <m/>
    <n v="91.099000000000004"/>
    <n v="94.122"/>
    <n v="92.610500000000002"/>
    <n v="302.3"/>
  </r>
  <r>
    <x v="10"/>
    <x v="55"/>
    <x v="12"/>
    <m/>
    <n v="91.099000000000004"/>
    <n v="94.122"/>
    <n v="92.610500000000002"/>
    <n v="302.3"/>
  </r>
  <r>
    <x v="10"/>
    <x v="55"/>
    <x v="12"/>
    <m/>
    <n v="91.099000000000004"/>
    <n v="94.122"/>
    <n v="92.610500000000002"/>
    <n v="302.3"/>
  </r>
  <r>
    <x v="10"/>
    <x v="55"/>
    <x v="12"/>
    <m/>
    <n v="91.099000000000004"/>
    <n v="94.122"/>
    <n v="92.610500000000002"/>
    <n v="302.3"/>
  </r>
  <r>
    <x v="10"/>
    <x v="55"/>
    <x v="12"/>
    <m/>
    <n v="91.099000000000004"/>
    <n v="94.122"/>
    <n v="92.610500000000002"/>
    <n v="302.3"/>
  </r>
  <r>
    <x v="10"/>
    <x v="55"/>
    <x v="12"/>
    <m/>
    <n v="91.099000000000004"/>
    <n v="94.122"/>
    <n v="92.610500000000002"/>
    <n v="302.3"/>
  </r>
  <r>
    <x v="10"/>
    <x v="55"/>
    <x v="12"/>
    <m/>
    <n v="91.099000000000004"/>
    <n v="94.122"/>
    <n v="92.610500000000002"/>
    <n v="302.3"/>
  </r>
  <r>
    <x v="10"/>
    <x v="55"/>
    <x v="12"/>
    <m/>
    <n v="91.099000000000004"/>
    <n v="94.122"/>
    <n v="92.610500000000002"/>
    <n v="302.3"/>
  </r>
  <r>
    <x v="10"/>
    <x v="55"/>
    <x v="12"/>
    <m/>
    <n v="91.099000000000004"/>
    <n v="94.122"/>
    <n v="92.610500000000002"/>
    <n v="302.3"/>
  </r>
  <r>
    <x v="10"/>
    <x v="55"/>
    <x v="12"/>
    <m/>
    <n v="91.099000000000004"/>
    <n v="94.122"/>
    <n v="92.610500000000002"/>
    <n v="302.3"/>
  </r>
  <r>
    <x v="10"/>
    <x v="55"/>
    <x v="9"/>
    <m/>
    <n v="0.81620999999999999"/>
    <n v="0.83677999999999997"/>
    <n v="0.82649499999999998"/>
    <n v="205.7"/>
  </r>
  <r>
    <x v="10"/>
    <x v="55"/>
    <x v="9"/>
    <m/>
    <n v="0.81620999999999999"/>
    <n v="0.83677999999999997"/>
    <n v="0.82649499999999998"/>
    <n v="205.7"/>
  </r>
  <r>
    <x v="10"/>
    <x v="55"/>
    <x v="9"/>
    <m/>
    <n v="0.81620999999999999"/>
    <n v="0.83677999999999997"/>
    <n v="0.82649499999999998"/>
    <n v="205.7"/>
  </r>
  <r>
    <x v="10"/>
    <x v="55"/>
    <x v="9"/>
    <m/>
    <n v="0.81620999999999999"/>
    <n v="0.83677999999999997"/>
    <n v="0.82649499999999998"/>
    <n v="205.7"/>
  </r>
  <r>
    <x v="10"/>
    <x v="55"/>
    <x v="9"/>
    <m/>
    <n v="0.81620999999999999"/>
    <n v="0.83677999999999997"/>
    <n v="0.82649499999999998"/>
    <n v="205.7"/>
  </r>
  <r>
    <x v="10"/>
    <x v="55"/>
    <x v="9"/>
    <m/>
    <n v="0.81620999999999999"/>
    <n v="0.83677999999999997"/>
    <n v="0.82649499999999998"/>
    <n v="205.7"/>
  </r>
  <r>
    <x v="10"/>
    <x v="55"/>
    <x v="9"/>
    <m/>
    <n v="0.81620999999999999"/>
    <n v="0.83677999999999997"/>
    <n v="0.82649499999999998"/>
    <n v="205.7"/>
  </r>
  <r>
    <x v="10"/>
    <x v="55"/>
    <x v="9"/>
    <m/>
    <n v="0.81620999999999999"/>
    <n v="0.83677999999999997"/>
    <n v="0.82649499999999998"/>
    <n v="205.7"/>
  </r>
  <r>
    <x v="10"/>
    <x v="55"/>
    <x v="9"/>
    <m/>
    <n v="0.81620999999999999"/>
    <n v="0.83677999999999997"/>
    <n v="0.82649499999999998"/>
    <n v="205.7"/>
  </r>
  <r>
    <x v="10"/>
    <x v="55"/>
    <x v="9"/>
    <m/>
    <n v="0.81620999999999999"/>
    <n v="0.83677999999999997"/>
    <n v="0.82649499999999998"/>
    <n v="205.7"/>
  </r>
  <r>
    <x v="10"/>
    <x v="55"/>
    <x v="9"/>
    <m/>
    <n v="0.81620999999999999"/>
    <n v="0.83677999999999997"/>
    <n v="0.82649499999999998"/>
    <n v="205.7"/>
  </r>
  <r>
    <x v="10"/>
    <x v="55"/>
    <x v="9"/>
    <m/>
    <n v="0.81620999999999999"/>
    <n v="0.83677999999999997"/>
    <n v="0.82649499999999998"/>
    <n v="205.7"/>
  </r>
  <r>
    <x v="10"/>
    <x v="55"/>
    <x v="9"/>
    <m/>
    <n v="0.81620999999999999"/>
    <n v="0.83677999999999997"/>
    <n v="0.82649499999999998"/>
    <n v="205.7"/>
  </r>
  <r>
    <x v="10"/>
    <x v="55"/>
    <x v="9"/>
    <m/>
    <n v="0.81620999999999999"/>
    <n v="0.83677999999999997"/>
    <n v="0.82649499999999998"/>
    <n v="205.7"/>
  </r>
  <r>
    <x v="10"/>
    <x v="56"/>
    <x v="9"/>
    <m/>
    <n v="0.81425999999999998"/>
    <n v="0.83677999999999997"/>
    <n v="0.82552000000000003"/>
    <n v="225.2"/>
  </r>
  <r>
    <x v="10"/>
    <x v="56"/>
    <x v="13"/>
    <m/>
    <n v="0.90283999999999998"/>
    <n v="0.94006000000000001"/>
    <n v="0.92144999999999999"/>
    <n v="372.2"/>
  </r>
  <r>
    <x v="10"/>
    <x v="56"/>
    <x v="13"/>
    <m/>
    <n v="0.90283999999999998"/>
    <n v="0.94006000000000001"/>
    <n v="0.92144999999999999"/>
    <n v="372.2"/>
  </r>
  <r>
    <x v="10"/>
    <x v="56"/>
    <x v="13"/>
    <m/>
    <n v="0.90283999999999998"/>
    <n v="0.94006000000000001"/>
    <n v="0.92144999999999999"/>
    <n v="372.2"/>
  </r>
  <r>
    <x v="10"/>
    <x v="56"/>
    <x v="13"/>
    <m/>
    <n v="0.90283999999999998"/>
    <n v="0.94006000000000001"/>
    <n v="0.92144999999999999"/>
    <n v="372.2"/>
  </r>
  <r>
    <x v="10"/>
    <x v="56"/>
    <x v="13"/>
    <m/>
    <n v="0.90283999999999998"/>
    <n v="0.94006000000000001"/>
    <n v="0.92144999999999999"/>
    <n v="372.2"/>
  </r>
  <r>
    <x v="10"/>
    <x v="56"/>
    <x v="13"/>
    <m/>
    <n v="0.90283999999999998"/>
    <n v="0.94006000000000001"/>
    <n v="0.92144999999999999"/>
    <n v="372.2"/>
  </r>
  <r>
    <x v="10"/>
    <x v="56"/>
    <x v="13"/>
    <m/>
    <n v="0.90283999999999998"/>
    <n v="0.94006000000000001"/>
    <n v="0.92144999999999999"/>
    <n v="372.2"/>
  </r>
  <r>
    <x v="10"/>
    <x v="56"/>
    <x v="13"/>
    <m/>
    <n v="0.90283999999999998"/>
    <n v="0.94006000000000001"/>
    <n v="0.92144999999999999"/>
    <n v="372.2"/>
  </r>
  <r>
    <x v="10"/>
    <x v="56"/>
    <x v="13"/>
    <m/>
    <n v="0.90283999999999998"/>
    <n v="0.94006000000000001"/>
    <n v="0.92144999999999999"/>
    <n v="372.2"/>
  </r>
  <r>
    <x v="10"/>
    <x v="56"/>
    <x v="13"/>
    <m/>
    <n v="0.90283999999999998"/>
    <n v="0.94006000000000001"/>
    <n v="0.92144999999999999"/>
    <n v="372.2"/>
  </r>
  <r>
    <x v="10"/>
    <x v="56"/>
    <x v="13"/>
    <m/>
    <n v="0.90283999999999998"/>
    <n v="0.94006000000000001"/>
    <n v="0.92144999999999999"/>
    <n v="372.2"/>
  </r>
  <r>
    <x v="10"/>
    <x v="56"/>
    <x v="13"/>
    <m/>
    <n v="0.90283999999999998"/>
    <n v="0.94006000000000001"/>
    <n v="0.92144999999999999"/>
    <n v="372.2"/>
  </r>
  <r>
    <x v="10"/>
    <x v="56"/>
    <x v="13"/>
    <m/>
    <n v="0.90283999999999998"/>
    <n v="0.94006000000000001"/>
    <n v="0.92144999999999999"/>
    <n v="372.2"/>
  </r>
  <r>
    <x v="10"/>
    <x v="56"/>
    <x v="13"/>
    <m/>
    <n v="0.90283999999999998"/>
    <n v="0.94006000000000001"/>
    <n v="0.92144999999999999"/>
    <n v="372.2"/>
  </r>
  <r>
    <x v="10"/>
    <x v="56"/>
    <x v="13"/>
    <m/>
    <n v="0.90283999999999998"/>
    <n v="0.94006000000000001"/>
    <n v="0.92144999999999999"/>
    <n v="372.2"/>
  </r>
  <r>
    <x v="10"/>
    <x v="56"/>
    <x v="13"/>
    <m/>
    <n v="0.90283999999999998"/>
    <n v="0.94006000000000001"/>
    <n v="0.92144999999999999"/>
    <n v="372.2"/>
  </r>
  <r>
    <x v="10"/>
    <x v="56"/>
    <x v="13"/>
    <m/>
    <n v="0.90283999999999998"/>
    <n v="0.94006000000000001"/>
    <n v="0.92144999999999999"/>
    <n v="372.2"/>
  </r>
  <r>
    <x v="10"/>
    <x v="56"/>
    <x v="13"/>
    <m/>
    <n v="0.90283999999999998"/>
    <n v="0.94006000000000001"/>
    <n v="0.92144999999999999"/>
    <n v="372.2"/>
  </r>
  <r>
    <x v="10"/>
    <x v="56"/>
    <x v="13"/>
    <m/>
    <n v="0.90283999999999998"/>
    <n v="0.94006000000000001"/>
    <n v="0.92144999999999999"/>
    <n v="372.2"/>
  </r>
  <r>
    <x v="10"/>
    <x v="56"/>
    <x v="13"/>
    <m/>
    <n v="0.90283999999999998"/>
    <n v="0.94006000000000001"/>
    <n v="0.92144999999999999"/>
    <n v="372.2"/>
  </r>
  <r>
    <x v="10"/>
    <x v="56"/>
    <x v="13"/>
    <m/>
    <n v="0.90283999999999998"/>
    <n v="0.94006000000000001"/>
    <n v="0.92144999999999999"/>
    <n v="372.2"/>
  </r>
  <r>
    <x v="10"/>
    <x v="56"/>
    <x v="13"/>
    <m/>
    <n v="0.90283999999999998"/>
    <n v="0.94006000000000001"/>
    <n v="0.92144999999999999"/>
    <n v="372.2"/>
  </r>
  <r>
    <x v="10"/>
    <x v="56"/>
    <x v="13"/>
    <m/>
    <n v="0.90283999999999998"/>
    <n v="0.94006000000000001"/>
    <n v="0.92144999999999999"/>
    <n v="372.2"/>
  </r>
  <r>
    <x v="10"/>
    <x v="56"/>
    <x v="13"/>
    <m/>
    <n v="0.90283999999999998"/>
    <n v="0.94006000000000001"/>
    <n v="0.92144999999999999"/>
    <n v="372.2"/>
  </r>
  <r>
    <x v="10"/>
    <x v="56"/>
    <x v="13"/>
    <m/>
    <n v="0.90283999999999998"/>
    <n v="0.94006000000000001"/>
    <n v="0.92144999999999999"/>
    <n v="372.2"/>
  </r>
  <r>
    <x v="10"/>
    <x v="56"/>
    <x v="13"/>
    <m/>
    <n v="0.90283999999999998"/>
    <n v="0.94006000000000001"/>
    <n v="0.92144999999999999"/>
    <n v="372.2"/>
  </r>
  <r>
    <x v="10"/>
    <x v="56"/>
    <x v="13"/>
    <m/>
    <n v="0.90283999999999998"/>
    <n v="0.94006000000000001"/>
    <n v="0.92144999999999999"/>
    <n v="372.2"/>
  </r>
  <r>
    <x v="10"/>
    <x v="56"/>
    <x v="13"/>
    <m/>
    <n v="0.90283999999999998"/>
    <n v="0.94006000000000001"/>
    <n v="0.92144999999999999"/>
    <n v="372.2"/>
  </r>
  <r>
    <x v="10"/>
    <x v="56"/>
    <x v="12"/>
    <m/>
    <n v="91.099000000000004"/>
    <n v="94.122"/>
    <n v="92.610500000000002"/>
    <n v="302.3"/>
  </r>
  <r>
    <x v="10"/>
    <x v="56"/>
    <x v="12"/>
    <m/>
    <n v="91.099000000000004"/>
    <n v="94.122"/>
    <n v="92.610500000000002"/>
    <n v="302.3"/>
  </r>
  <r>
    <x v="10"/>
    <x v="56"/>
    <x v="12"/>
    <m/>
    <n v="91.099000000000004"/>
    <n v="94.122"/>
    <n v="92.610500000000002"/>
    <n v="302.3"/>
  </r>
  <r>
    <x v="10"/>
    <x v="56"/>
    <x v="12"/>
    <m/>
    <n v="91.099000000000004"/>
    <n v="94.122"/>
    <n v="92.610500000000002"/>
    <n v="302.3"/>
  </r>
  <r>
    <x v="10"/>
    <x v="56"/>
    <x v="12"/>
    <m/>
    <n v="91.099000000000004"/>
    <n v="94.122"/>
    <n v="92.610500000000002"/>
    <n v="302.3"/>
  </r>
  <r>
    <x v="10"/>
    <x v="56"/>
    <x v="12"/>
    <m/>
    <n v="91.099000000000004"/>
    <n v="94.122"/>
    <n v="92.610500000000002"/>
    <n v="302.3"/>
  </r>
  <r>
    <x v="10"/>
    <x v="56"/>
    <x v="12"/>
    <m/>
    <n v="91.099000000000004"/>
    <n v="94.122"/>
    <n v="92.610500000000002"/>
    <n v="302.3"/>
  </r>
  <r>
    <x v="10"/>
    <x v="56"/>
    <x v="12"/>
    <m/>
    <n v="91.099000000000004"/>
    <n v="94.122"/>
    <n v="92.610500000000002"/>
    <n v="302.3"/>
  </r>
  <r>
    <x v="10"/>
    <x v="56"/>
    <x v="12"/>
    <m/>
    <n v="91.099000000000004"/>
    <n v="94.122"/>
    <n v="92.610500000000002"/>
    <n v="302.3"/>
  </r>
  <r>
    <x v="10"/>
    <x v="56"/>
    <x v="12"/>
    <m/>
    <n v="91.099000000000004"/>
    <n v="94.122"/>
    <n v="92.610500000000002"/>
    <n v="302.3"/>
  </r>
  <r>
    <x v="10"/>
    <x v="56"/>
    <x v="12"/>
    <m/>
    <n v="91.099000000000004"/>
    <n v="94.122"/>
    <n v="92.610500000000002"/>
    <n v="302.3"/>
  </r>
  <r>
    <x v="10"/>
    <x v="56"/>
    <x v="12"/>
    <m/>
    <n v="91.099000000000004"/>
    <n v="94.122"/>
    <n v="92.610500000000002"/>
    <n v="302.3"/>
  </r>
  <r>
    <x v="10"/>
    <x v="56"/>
    <x v="12"/>
    <m/>
    <n v="91.099000000000004"/>
    <n v="94.122"/>
    <n v="92.610500000000002"/>
    <n v="302.3"/>
  </r>
  <r>
    <x v="10"/>
    <x v="56"/>
    <x v="12"/>
    <m/>
    <n v="91.099000000000004"/>
    <n v="94.122"/>
    <n v="92.610500000000002"/>
    <n v="302.3"/>
  </r>
  <r>
    <x v="10"/>
    <x v="56"/>
    <x v="12"/>
    <m/>
    <n v="91.099000000000004"/>
    <n v="94.122"/>
    <n v="92.610500000000002"/>
    <n v="302.3"/>
  </r>
  <r>
    <x v="10"/>
    <x v="56"/>
    <x v="12"/>
    <m/>
    <n v="91.099000000000004"/>
    <n v="94.122"/>
    <n v="92.610500000000002"/>
    <n v="302.3"/>
  </r>
  <r>
    <x v="10"/>
    <x v="56"/>
    <x v="12"/>
    <m/>
    <n v="91.099000000000004"/>
    <n v="94.122"/>
    <n v="92.610500000000002"/>
    <n v="302.3"/>
  </r>
  <r>
    <x v="10"/>
    <x v="56"/>
    <x v="12"/>
    <m/>
    <n v="91.099000000000004"/>
    <n v="94.122"/>
    <n v="92.610500000000002"/>
    <n v="302.3"/>
  </r>
  <r>
    <x v="10"/>
    <x v="56"/>
    <x v="12"/>
    <m/>
    <n v="91.099000000000004"/>
    <n v="94.122"/>
    <n v="92.610500000000002"/>
    <n v="302.3"/>
  </r>
  <r>
    <x v="10"/>
    <x v="56"/>
    <x v="12"/>
    <m/>
    <n v="91.099000000000004"/>
    <n v="94.122"/>
    <n v="92.610500000000002"/>
    <n v="302.3"/>
  </r>
  <r>
    <x v="10"/>
    <x v="56"/>
    <x v="12"/>
    <m/>
    <n v="91.099000000000004"/>
    <n v="94.122"/>
    <n v="92.610500000000002"/>
    <n v="302.3"/>
  </r>
  <r>
    <x v="10"/>
    <x v="56"/>
    <x v="12"/>
    <m/>
    <n v="91.099000000000004"/>
    <n v="94.122"/>
    <n v="92.610500000000002"/>
    <n v="302.3"/>
  </r>
  <r>
    <x v="10"/>
    <x v="56"/>
    <x v="9"/>
    <m/>
    <n v="0.81425999999999998"/>
    <n v="0.83677999999999997"/>
    <n v="0.82552000000000003"/>
    <n v="225.2"/>
  </r>
  <r>
    <x v="10"/>
    <x v="56"/>
    <x v="9"/>
    <m/>
    <n v="0.81425999999999998"/>
    <n v="0.83677999999999997"/>
    <n v="0.82552000000000003"/>
    <n v="225.2"/>
  </r>
  <r>
    <x v="10"/>
    <x v="56"/>
    <x v="9"/>
    <m/>
    <n v="0.81425999999999998"/>
    <n v="0.83677999999999997"/>
    <n v="0.82552000000000003"/>
    <n v="225.2"/>
  </r>
  <r>
    <x v="10"/>
    <x v="56"/>
    <x v="9"/>
    <m/>
    <n v="0.81425999999999998"/>
    <n v="0.83677999999999997"/>
    <n v="0.82552000000000003"/>
    <n v="225.2"/>
  </r>
  <r>
    <x v="10"/>
    <x v="56"/>
    <x v="9"/>
    <m/>
    <n v="0.81425999999999998"/>
    <n v="0.83677999999999997"/>
    <n v="0.82552000000000003"/>
    <n v="225.2"/>
  </r>
  <r>
    <x v="10"/>
    <x v="56"/>
    <x v="9"/>
    <m/>
    <n v="0.81425999999999998"/>
    <n v="0.83677999999999997"/>
    <n v="0.82552000000000003"/>
    <n v="225.2"/>
  </r>
  <r>
    <x v="10"/>
    <x v="56"/>
    <x v="9"/>
    <m/>
    <n v="0.81425999999999998"/>
    <n v="0.83677999999999997"/>
    <n v="0.82552000000000003"/>
    <n v="225.2"/>
  </r>
  <r>
    <x v="10"/>
    <x v="56"/>
    <x v="9"/>
    <m/>
    <n v="0.81425999999999998"/>
    <n v="0.83677999999999997"/>
    <n v="0.82552000000000003"/>
    <n v="225.2"/>
  </r>
  <r>
    <x v="10"/>
    <x v="56"/>
    <x v="9"/>
    <m/>
    <n v="0.81425999999999998"/>
    <n v="0.83677999999999997"/>
    <n v="0.82552000000000003"/>
    <n v="225.2"/>
  </r>
  <r>
    <x v="10"/>
    <x v="56"/>
    <x v="9"/>
    <m/>
    <n v="0.81425999999999998"/>
    <n v="0.83677999999999997"/>
    <n v="0.82552000000000003"/>
    <n v="225.2"/>
  </r>
  <r>
    <x v="10"/>
    <x v="56"/>
    <x v="9"/>
    <m/>
    <n v="0.81425999999999998"/>
    <n v="0.83677999999999997"/>
    <n v="0.82552000000000003"/>
    <n v="225.2"/>
  </r>
  <r>
    <x v="10"/>
    <x v="56"/>
    <x v="9"/>
    <m/>
    <n v="0.81425999999999998"/>
    <n v="0.83677999999999997"/>
    <n v="0.82552000000000003"/>
    <n v="225.2"/>
  </r>
  <r>
    <x v="10"/>
    <x v="56"/>
    <x v="9"/>
    <m/>
    <n v="0.81425999999999998"/>
    <n v="0.83677999999999997"/>
    <n v="0.82552000000000003"/>
    <n v="225.2"/>
  </r>
  <r>
    <x v="10"/>
    <x v="56"/>
    <x v="9"/>
    <m/>
    <n v="0.81425999999999998"/>
    <n v="0.83677999999999997"/>
    <n v="0.82552000000000003"/>
    <n v="225.2"/>
  </r>
  <r>
    <x v="10"/>
    <x v="57"/>
    <x v="9"/>
    <m/>
    <n v="0.80845"/>
    <n v="0.83677999999999997"/>
    <n v="0.82261499999999999"/>
    <n v="283.3"/>
  </r>
  <r>
    <x v="10"/>
    <x v="57"/>
    <x v="9"/>
    <m/>
    <n v="0.80845"/>
    <n v="0.83677999999999997"/>
    <n v="0.82261499999999999"/>
    <n v="283.3"/>
  </r>
  <r>
    <x v="10"/>
    <x v="57"/>
    <x v="9"/>
    <m/>
    <n v="0.80845"/>
    <n v="0.83677999999999997"/>
    <n v="0.82261499999999999"/>
    <n v="283.3"/>
  </r>
  <r>
    <x v="10"/>
    <x v="57"/>
    <x v="13"/>
    <m/>
    <n v="0.90283999999999998"/>
    <n v="0.94006000000000001"/>
    <n v="0.92144999999999999"/>
    <n v="372.2"/>
  </r>
  <r>
    <x v="10"/>
    <x v="57"/>
    <x v="13"/>
    <m/>
    <n v="0.90283999999999998"/>
    <n v="0.94006000000000001"/>
    <n v="0.92144999999999999"/>
    <n v="372.2"/>
  </r>
  <r>
    <x v="10"/>
    <x v="57"/>
    <x v="13"/>
    <m/>
    <n v="0.90283999999999998"/>
    <n v="0.94006000000000001"/>
    <n v="0.92144999999999999"/>
    <n v="372.2"/>
  </r>
  <r>
    <x v="10"/>
    <x v="57"/>
    <x v="13"/>
    <m/>
    <n v="0.90283999999999998"/>
    <n v="0.94006000000000001"/>
    <n v="0.92144999999999999"/>
    <n v="372.2"/>
  </r>
  <r>
    <x v="10"/>
    <x v="57"/>
    <x v="13"/>
    <m/>
    <n v="0.90283999999999998"/>
    <n v="0.94006000000000001"/>
    <n v="0.92144999999999999"/>
    <n v="372.2"/>
  </r>
  <r>
    <x v="10"/>
    <x v="57"/>
    <x v="13"/>
    <m/>
    <n v="0.90283999999999998"/>
    <n v="0.94006000000000001"/>
    <n v="0.92144999999999999"/>
    <n v="372.2"/>
  </r>
  <r>
    <x v="10"/>
    <x v="57"/>
    <x v="13"/>
    <m/>
    <n v="0.90283999999999998"/>
    <n v="0.94006000000000001"/>
    <n v="0.92144999999999999"/>
    <n v="372.2"/>
  </r>
  <r>
    <x v="10"/>
    <x v="57"/>
    <x v="13"/>
    <m/>
    <n v="0.90283999999999998"/>
    <n v="0.94006000000000001"/>
    <n v="0.92144999999999999"/>
    <n v="372.2"/>
  </r>
  <r>
    <x v="10"/>
    <x v="57"/>
    <x v="13"/>
    <m/>
    <n v="0.90283999999999998"/>
    <n v="0.94006000000000001"/>
    <n v="0.92144999999999999"/>
    <n v="372.2"/>
  </r>
  <r>
    <x v="10"/>
    <x v="57"/>
    <x v="13"/>
    <m/>
    <n v="0.90283999999999998"/>
    <n v="0.94006000000000001"/>
    <n v="0.92144999999999999"/>
    <n v="372.2"/>
  </r>
  <r>
    <x v="10"/>
    <x v="57"/>
    <x v="13"/>
    <m/>
    <n v="0.90283999999999998"/>
    <n v="0.94006000000000001"/>
    <n v="0.92144999999999999"/>
    <n v="372.2"/>
  </r>
  <r>
    <x v="10"/>
    <x v="57"/>
    <x v="13"/>
    <m/>
    <n v="0.90283999999999998"/>
    <n v="0.94006000000000001"/>
    <n v="0.92144999999999999"/>
    <n v="372.2"/>
  </r>
  <r>
    <x v="10"/>
    <x v="57"/>
    <x v="13"/>
    <m/>
    <n v="0.90283999999999998"/>
    <n v="0.94006000000000001"/>
    <n v="0.92144999999999999"/>
    <n v="372.2"/>
  </r>
  <r>
    <x v="10"/>
    <x v="57"/>
    <x v="13"/>
    <m/>
    <n v="0.90283999999999998"/>
    <n v="0.94006000000000001"/>
    <n v="0.92144999999999999"/>
    <n v="372.2"/>
  </r>
  <r>
    <x v="10"/>
    <x v="57"/>
    <x v="13"/>
    <m/>
    <n v="0.90283999999999998"/>
    <n v="0.94006000000000001"/>
    <n v="0.92144999999999999"/>
    <n v="372.2"/>
  </r>
  <r>
    <x v="10"/>
    <x v="57"/>
    <x v="13"/>
    <m/>
    <n v="0.90283999999999998"/>
    <n v="0.94006000000000001"/>
    <n v="0.92144999999999999"/>
    <n v="372.2"/>
  </r>
  <r>
    <x v="10"/>
    <x v="57"/>
    <x v="13"/>
    <m/>
    <n v="0.90283999999999998"/>
    <n v="0.94006000000000001"/>
    <n v="0.92144999999999999"/>
    <n v="372.2"/>
  </r>
  <r>
    <x v="10"/>
    <x v="57"/>
    <x v="13"/>
    <m/>
    <n v="0.90283999999999998"/>
    <n v="0.94006000000000001"/>
    <n v="0.92144999999999999"/>
    <n v="372.2"/>
  </r>
  <r>
    <x v="10"/>
    <x v="57"/>
    <x v="13"/>
    <m/>
    <n v="0.90283999999999998"/>
    <n v="0.94006000000000001"/>
    <n v="0.92144999999999999"/>
    <n v="372.2"/>
  </r>
  <r>
    <x v="10"/>
    <x v="57"/>
    <x v="13"/>
    <m/>
    <n v="0.90283999999999998"/>
    <n v="0.94006000000000001"/>
    <n v="0.92144999999999999"/>
    <n v="372.2"/>
  </r>
  <r>
    <x v="10"/>
    <x v="57"/>
    <x v="13"/>
    <m/>
    <n v="0.90283999999999998"/>
    <n v="0.94006000000000001"/>
    <n v="0.92144999999999999"/>
    <n v="372.2"/>
  </r>
  <r>
    <x v="10"/>
    <x v="57"/>
    <x v="13"/>
    <m/>
    <n v="0.90283999999999998"/>
    <n v="0.94006000000000001"/>
    <n v="0.92144999999999999"/>
    <n v="372.2"/>
  </r>
  <r>
    <x v="10"/>
    <x v="57"/>
    <x v="13"/>
    <m/>
    <n v="0.90283999999999998"/>
    <n v="0.94006000000000001"/>
    <n v="0.92144999999999999"/>
    <n v="372.2"/>
  </r>
  <r>
    <x v="10"/>
    <x v="57"/>
    <x v="13"/>
    <m/>
    <n v="0.90283999999999998"/>
    <n v="0.94006000000000001"/>
    <n v="0.92144999999999999"/>
    <n v="372.2"/>
  </r>
  <r>
    <x v="10"/>
    <x v="57"/>
    <x v="13"/>
    <m/>
    <n v="0.90283999999999998"/>
    <n v="0.94006000000000001"/>
    <n v="0.92144999999999999"/>
    <n v="372.2"/>
  </r>
  <r>
    <x v="10"/>
    <x v="57"/>
    <x v="13"/>
    <m/>
    <n v="0.90283999999999998"/>
    <n v="0.94006000000000001"/>
    <n v="0.92144999999999999"/>
    <n v="372.2"/>
  </r>
  <r>
    <x v="10"/>
    <x v="57"/>
    <x v="13"/>
    <m/>
    <n v="0.90283999999999998"/>
    <n v="0.94006000000000001"/>
    <n v="0.92144999999999999"/>
    <n v="372.2"/>
  </r>
  <r>
    <x v="10"/>
    <x v="57"/>
    <x v="13"/>
    <m/>
    <n v="0.90283999999999998"/>
    <n v="0.94006000000000001"/>
    <n v="0.92144999999999999"/>
    <n v="372.2"/>
  </r>
  <r>
    <x v="10"/>
    <x v="57"/>
    <x v="12"/>
    <m/>
    <n v="91.099000000000004"/>
    <n v="94.122"/>
    <n v="92.610500000000002"/>
    <n v="302.3"/>
  </r>
  <r>
    <x v="10"/>
    <x v="57"/>
    <x v="12"/>
    <m/>
    <n v="91.099000000000004"/>
    <n v="94.122"/>
    <n v="92.610500000000002"/>
    <n v="302.3"/>
  </r>
  <r>
    <x v="10"/>
    <x v="57"/>
    <x v="12"/>
    <m/>
    <n v="91.099000000000004"/>
    <n v="94.122"/>
    <n v="92.610500000000002"/>
    <n v="302.3"/>
  </r>
  <r>
    <x v="10"/>
    <x v="57"/>
    <x v="12"/>
    <m/>
    <n v="91.099000000000004"/>
    <n v="94.122"/>
    <n v="92.610500000000002"/>
    <n v="302.3"/>
  </r>
  <r>
    <x v="10"/>
    <x v="57"/>
    <x v="12"/>
    <m/>
    <n v="91.099000000000004"/>
    <n v="94.122"/>
    <n v="92.610500000000002"/>
    <n v="302.3"/>
  </r>
  <r>
    <x v="10"/>
    <x v="57"/>
    <x v="12"/>
    <m/>
    <n v="91.099000000000004"/>
    <n v="94.122"/>
    <n v="92.610500000000002"/>
    <n v="302.3"/>
  </r>
  <r>
    <x v="10"/>
    <x v="57"/>
    <x v="12"/>
    <m/>
    <n v="91.099000000000004"/>
    <n v="94.122"/>
    <n v="92.610500000000002"/>
    <n v="302.3"/>
  </r>
  <r>
    <x v="10"/>
    <x v="57"/>
    <x v="12"/>
    <m/>
    <n v="91.099000000000004"/>
    <n v="94.122"/>
    <n v="92.610500000000002"/>
    <n v="302.3"/>
  </r>
  <r>
    <x v="10"/>
    <x v="57"/>
    <x v="12"/>
    <m/>
    <n v="91.099000000000004"/>
    <n v="94.122"/>
    <n v="92.610500000000002"/>
    <n v="302.3"/>
  </r>
  <r>
    <x v="10"/>
    <x v="57"/>
    <x v="12"/>
    <m/>
    <n v="91.099000000000004"/>
    <n v="94.122"/>
    <n v="92.610500000000002"/>
    <n v="302.3"/>
  </r>
  <r>
    <x v="10"/>
    <x v="57"/>
    <x v="12"/>
    <m/>
    <n v="91.099000000000004"/>
    <n v="94.122"/>
    <n v="92.610500000000002"/>
    <n v="302.3"/>
  </r>
  <r>
    <x v="10"/>
    <x v="57"/>
    <x v="12"/>
    <m/>
    <n v="91.099000000000004"/>
    <n v="94.122"/>
    <n v="92.610500000000002"/>
    <n v="302.3"/>
  </r>
  <r>
    <x v="10"/>
    <x v="57"/>
    <x v="12"/>
    <m/>
    <n v="91.099000000000004"/>
    <n v="94.122"/>
    <n v="92.610500000000002"/>
    <n v="302.3"/>
  </r>
  <r>
    <x v="10"/>
    <x v="57"/>
    <x v="12"/>
    <m/>
    <n v="91.099000000000004"/>
    <n v="94.122"/>
    <n v="92.610500000000002"/>
    <n v="302.3"/>
  </r>
  <r>
    <x v="10"/>
    <x v="57"/>
    <x v="12"/>
    <m/>
    <n v="91.099000000000004"/>
    <n v="94.122"/>
    <n v="92.610500000000002"/>
    <n v="302.3"/>
  </r>
  <r>
    <x v="10"/>
    <x v="57"/>
    <x v="12"/>
    <m/>
    <n v="91.099000000000004"/>
    <n v="94.122"/>
    <n v="92.610500000000002"/>
    <n v="302.3"/>
  </r>
  <r>
    <x v="10"/>
    <x v="57"/>
    <x v="12"/>
    <m/>
    <n v="91.099000000000004"/>
    <n v="94.122"/>
    <n v="92.610500000000002"/>
    <n v="302.3"/>
  </r>
  <r>
    <x v="10"/>
    <x v="57"/>
    <x v="12"/>
    <m/>
    <n v="91.099000000000004"/>
    <n v="94.122"/>
    <n v="92.610500000000002"/>
    <n v="302.3"/>
  </r>
  <r>
    <x v="10"/>
    <x v="57"/>
    <x v="12"/>
    <m/>
    <n v="91.099000000000004"/>
    <n v="94.122"/>
    <n v="92.610500000000002"/>
    <n v="302.3"/>
  </r>
  <r>
    <x v="10"/>
    <x v="57"/>
    <x v="12"/>
    <m/>
    <n v="91.099000000000004"/>
    <n v="94.122"/>
    <n v="92.610500000000002"/>
    <n v="302.3"/>
  </r>
  <r>
    <x v="10"/>
    <x v="57"/>
    <x v="12"/>
    <m/>
    <n v="91.099000000000004"/>
    <n v="94.122"/>
    <n v="92.610500000000002"/>
    <n v="302.3"/>
  </r>
  <r>
    <x v="10"/>
    <x v="57"/>
    <x v="12"/>
    <m/>
    <n v="91.099000000000004"/>
    <n v="94.122"/>
    <n v="92.610500000000002"/>
    <n v="302.3"/>
  </r>
  <r>
    <x v="10"/>
    <x v="57"/>
    <x v="9"/>
    <m/>
    <n v="0.80845"/>
    <n v="0.83677999999999997"/>
    <n v="0.82261499999999999"/>
    <n v="283.3"/>
  </r>
  <r>
    <x v="10"/>
    <x v="57"/>
    <x v="9"/>
    <m/>
    <n v="0.80845"/>
    <n v="0.83677999999999997"/>
    <n v="0.82261499999999999"/>
    <n v="283.3"/>
  </r>
  <r>
    <x v="10"/>
    <x v="57"/>
    <x v="9"/>
    <m/>
    <n v="0.80845"/>
    <n v="0.83677999999999997"/>
    <n v="0.82261499999999999"/>
    <n v="283.3"/>
  </r>
  <r>
    <x v="10"/>
    <x v="57"/>
    <x v="9"/>
    <m/>
    <n v="0.80845"/>
    <n v="0.83677999999999997"/>
    <n v="0.82261499999999999"/>
    <n v="283.3"/>
  </r>
  <r>
    <x v="10"/>
    <x v="57"/>
    <x v="9"/>
    <m/>
    <n v="0.80845"/>
    <n v="0.83677999999999997"/>
    <n v="0.82261499999999999"/>
    <n v="283.3"/>
  </r>
  <r>
    <x v="10"/>
    <x v="57"/>
    <x v="9"/>
    <m/>
    <n v="0.80845"/>
    <n v="0.83677999999999997"/>
    <n v="0.82261499999999999"/>
    <n v="283.3"/>
  </r>
  <r>
    <x v="10"/>
    <x v="57"/>
    <x v="9"/>
    <m/>
    <n v="0.80845"/>
    <n v="0.83677999999999997"/>
    <n v="0.82261499999999999"/>
    <n v="283.3"/>
  </r>
  <r>
    <x v="10"/>
    <x v="57"/>
    <x v="9"/>
    <m/>
    <n v="0.80845"/>
    <n v="0.83677999999999997"/>
    <n v="0.82261499999999999"/>
    <n v="283.3"/>
  </r>
  <r>
    <x v="10"/>
    <x v="57"/>
    <x v="9"/>
    <m/>
    <n v="0.80845"/>
    <n v="0.83677999999999997"/>
    <n v="0.82261499999999999"/>
    <n v="283.3"/>
  </r>
  <r>
    <x v="10"/>
    <x v="57"/>
    <x v="9"/>
    <m/>
    <n v="0.80845"/>
    <n v="0.83677999999999997"/>
    <n v="0.82261499999999999"/>
    <n v="283.3"/>
  </r>
  <r>
    <x v="10"/>
    <x v="57"/>
    <x v="9"/>
    <m/>
    <n v="0.80845"/>
    <n v="0.83677999999999997"/>
    <n v="0.82261499999999999"/>
    <n v="283.3"/>
  </r>
  <r>
    <x v="10"/>
    <x v="57"/>
    <x v="9"/>
    <m/>
    <n v="0.80845"/>
    <n v="0.83677999999999997"/>
    <n v="0.82261499999999999"/>
    <n v="283.3"/>
  </r>
  <r>
    <x v="10"/>
    <x v="57"/>
    <x v="9"/>
    <m/>
    <n v="0.80845"/>
    <n v="0.83677999999999997"/>
    <n v="0.82261499999999999"/>
    <n v="283.3"/>
  </r>
  <r>
    <x v="10"/>
    <x v="57"/>
    <x v="9"/>
    <m/>
    <n v="0.80845"/>
    <n v="0.83677999999999997"/>
    <n v="0.82261499999999999"/>
    <n v="283.3"/>
  </r>
  <r>
    <x v="10"/>
    <x v="58"/>
    <x v="9"/>
    <m/>
    <n v="0.80845"/>
    <n v="0.83677999999999997"/>
    <n v="0.82261499999999999"/>
    <n v="283.3"/>
  </r>
  <r>
    <x v="10"/>
    <x v="58"/>
    <x v="9"/>
    <m/>
    <n v="0.80845"/>
    <n v="0.83677999999999997"/>
    <n v="0.82261499999999999"/>
    <n v="283.3"/>
  </r>
  <r>
    <x v="10"/>
    <x v="58"/>
    <x v="9"/>
    <m/>
    <n v="0.80845"/>
    <n v="0.83677999999999997"/>
    <n v="0.82261499999999999"/>
    <n v="283.3"/>
  </r>
  <r>
    <x v="10"/>
    <x v="58"/>
    <x v="13"/>
    <m/>
    <n v="0.90283999999999998"/>
    <n v="0.94006000000000001"/>
    <n v="0.92144999999999999"/>
    <n v="372.2"/>
  </r>
  <r>
    <x v="10"/>
    <x v="58"/>
    <x v="13"/>
    <m/>
    <n v="0.90283999999999998"/>
    <n v="0.94006000000000001"/>
    <n v="0.92144999999999999"/>
    <n v="372.2"/>
  </r>
  <r>
    <x v="10"/>
    <x v="58"/>
    <x v="13"/>
    <m/>
    <n v="0.90283999999999998"/>
    <n v="0.94006000000000001"/>
    <n v="0.92144999999999999"/>
    <n v="372.2"/>
  </r>
  <r>
    <x v="10"/>
    <x v="58"/>
    <x v="13"/>
    <m/>
    <n v="0.90283999999999998"/>
    <n v="0.94006000000000001"/>
    <n v="0.92144999999999999"/>
    <n v="372.2"/>
  </r>
  <r>
    <x v="10"/>
    <x v="58"/>
    <x v="13"/>
    <m/>
    <n v="0.90283999999999998"/>
    <n v="0.94006000000000001"/>
    <n v="0.92144999999999999"/>
    <n v="372.2"/>
  </r>
  <r>
    <x v="10"/>
    <x v="58"/>
    <x v="13"/>
    <m/>
    <n v="0.90283999999999998"/>
    <n v="0.94006000000000001"/>
    <n v="0.92144999999999999"/>
    <n v="372.2"/>
  </r>
  <r>
    <x v="10"/>
    <x v="58"/>
    <x v="13"/>
    <m/>
    <n v="0.90283999999999998"/>
    <n v="0.94006000000000001"/>
    <n v="0.92144999999999999"/>
    <n v="372.2"/>
  </r>
  <r>
    <x v="10"/>
    <x v="58"/>
    <x v="13"/>
    <m/>
    <n v="0.90283999999999998"/>
    <n v="0.94006000000000001"/>
    <n v="0.92144999999999999"/>
    <n v="372.2"/>
  </r>
  <r>
    <x v="10"/>
    <x v="58"/>
    <x v="13"/>
    <m/>
    <n v="0.90283999999999998"/>
    <n v="0.94006000000000001"/>
    <n v="0.92144999999999999"/>
    <n v="372.2"/>
  </r>
  <r>
    <x v="10"/>
    <x v="58"/>
    <x v="13"/>
    <m/>
    <n v="0.90283999999999998"/>
    <n v="0.94006000000000001"/>
    <n v="0.92144999999999999"/>
    <n v="372.2"/>
  </r>
  <r>
    <x v="10"/>
    <x v="58"/>
    <x v="13"/>
    <m/>
    <n v="0.90283999999999998"/>
    <n v="0.94006000000000001"/>
    <n v="0.92144999999999999"/>
    <n v="372.2"/>
  </r>
  <r>
    <x v="10"/>
    <x v="58"/>
    <x v="13"/>
    <m/>
    <n v="0.90283999999999998"/>
    <n v="0.94006000000000001"/>
    <n v="0.92144999999999999"/>
    <n v="372.2"/>
  </r>
  <r>
    <x v="10"/>
    <x v="58"/>
    <x v="13"/>
    <m/>
    <n v="0.90283999999999998"/>
    <n v="0.94006000000000001"/>
    <n v="0.92144999999999999"/>
    <n v="372.2"/>
  </r>
  <r>
    <x v="10"/>
    <x v="58"/>
    <x v="13"/>
    <m/>
    <n v="0.90283999999999998"/>
    <n v="0.94006000000000001"/>
    <n v="0.92144999999999999"/>
    <n v="372.2"/>
  </r>
  <r>
    <x v="10"/>
    <x v="58"/>
    <x v="13"/>
    <m/>
    <n v="0.90283999999999998"/>
    <n v="0.94006000000000001"/>
    <n v="0.92144999999999999"/>
    <n v="372.2"/>
  </r>
  <r>
    <x v="10"/>
    <x v="58"/>
    <x v="13"/>
    <m/>
    <n v="0.90283999999999998"/>
    <n v="0.94006000000000001"/>
    <n v="0.92144999999999999"/>
    <n v="372.2"/>
  </r>
  <r>
    <x v="10"/>
    <x v="58"/>
    <x v="13"/>
    <m/>
    <n v="0.90283999999999998"/>
    <n v="0.94006000000000001"/>
    <n v="0.92144999999999999"/>
    <n v="372.2"/>
  </r>
  <r>
    <x v="10"/>
    <x v="58"/>
    <x v="13"/>
    <m/>
    <n v="0.90283999999999998"/>
    <n v="0.94006000000000001"/>
    <n v="0.92144999999999999"/>
    <n v="372.2"/>
  </r>
  <r>
    <x v="10"/>
    <x v="58"/>
    <x v="13"/>
    <m/>
    <n v="0.90283999999999998"/>
    <n v="0.94006000000000001"/>
    <n v="0.92144999999999999"/>
    <n v="372.2"/>
  </r>
  <r>
    <x v="10"/>
    <x v="58"/>
    <x v="13"/>
    <m/>
    <n v="0.90283999999999998"/>
    <n v="0.94006000000000001"/>
    <n v="0.92144999999999999"/>
    <n v="372.2"/>
  </r>
  <r>
    <x v="10"/>
    <x v="58"/>
    <x v="13"/>
    <m/>
    <n v="0.90283999999999998"/>
    <n v="0.94006000000000001"/>
    <n v="0.92144999999999999"/>
    <n v="372.2"/>
  </r>
  <r>
    <x v="10"/>
    <x v="58"/>
    <x v="13"/>
    <m/>
    <n v="0.90283999999999998"/>
    <n v="0.94006000000000001"/>
    <n v="0.92144999999999999"/>
    <n v="372.2"/>
  </r>
  <r>
    <x v="10"/>
    <x v="58"/>
    <x v="13"/>
    <m/>
    <n v="0.90283999999999998"/>
    <n v="0.94006000000000001"/>
    <n v="0.92144999999999999"/>
    <n v="372.2"/>
  </r>
  <r>
    <x v="10"/>
    <x v="58"/>
    <x v="13"/>
    <m/>
    <n v="0.90283999999999998"/>
    <n v="0.94006000000000001"/>
    <n v="0.92144999999999999"/>
    <n v="372.2"/>
  </r>
  <r>
    <x v="10"/>
    <x v="58"/>
    <x v="13"/>
    <m/>
    <n v="0.90283999999999998"/>
    <n v="0.94006000000000001"/>
    <n v="0.92144999999999999"/>
    <n v="372.2"/>
  </r>
  <r>
    <x v="10"/>
    <x v="58"/>
    <x v="13"/>
    <m/>
    <n v="0.90283999999999998"/>
    <n v="0.94006000000000001"/>
    <n v="0.92144999999999999"/>
    <n v="372.2"/>
  </r>
  <r>
    <x v="10"/>
    <x v="58"/>
    <x v="13"/>
    <m/>
    <n v="0.90283999999999998"/>
    <n v="0.94006000000000001"/>
    <n v="0.92144999999999999"/>
    <n v="372.2"/>
  </r>
  <r>
    <x v="10"/>
    <x v="58"/>
    <x v="13"/>
    <m/>
    <n v="0.90283999999999998"/>
    <n v="0.94006000000000001"/>
    <n v="0.92144999999999999"/>
    <n v="372.2"/>
  </r>
  <r>
    <x v="10"/>
    <x v="58"/>
    <x v="12"/>
    <m/>
    <n v="91.099000000000004"/>
    <n v="94.122"/>
    <n v="92.610500000000002"/>
    <n v="302.3"/>
  </r>
  <r>
    <x v="10"/>
    <x v="58"/>
    <x v="12"/>
    <m/>
    <n v="91.099000000000004"/>
    <n v="94.122"/>
    <n v="92.610500000000002"/>
    <n v="302.3"/>
  </r>
  <r>
    <x v="10"/>
    <x v="58"/>
    <x v="12"/>
    <m/>
    <n v="91.099000000000004"/>
    <n v="94.122"/>
    <n v="92.610500000000002"/>
    <n v="302.3"/>
  </r>
  <r>
    <x v="10"/>
    <x v="58"/>
    <x v="12"/>
    <m/>
    <n v="91.099000000000004"/>
    <n v="94.122"/>
    <n v="92.610500000000002"/>
    <n v="302.3"/>
  </r>
  <r>
    <x v="10"/>
    <x v="58"/>
    <x v="12"/>
    <m/>
    <n v="91.099000000000004"/>
    <n v="94.122"/>
    <n v="92.610500000000002"/>
    <n v="302.3"/>
  </r>
  <r>
    <x v="10"/>
    <x v="58"/>
    <x v="12"/>
    <m/>
    <n v="91.099000000000004"/>
    <n v="94.122"/>
    <n v="92.610500000000002"/>
    <n v="302.3"/>
  </r>
  <r>
    <x v="10"/>
    <x v="58"/>
    <x v="12"/>
    <m/>
    <n v="91.099000000000004"/>
    <n v="94.122"/>
    <n v="92.610500000000002"/>
    <n v="302.3"/>
  </r>
  <r>
    <x v="10"/>
    <x v="58"/>
    <x v="12"/>
    <m/>
    <n v="91.099000000000004"/>
    <n v="94.122"/>
    <n v="92.610500000000002"/>
    <n v="302.3"/>
  </r>
  <r>
    <x v="10"/>
    <x v="58"/>
    <x v="12"/>
    <m/>
    <n v="91.099000000000004"/>
    <n v="94.122"/>
    <n v="92.610500000000002"/>
    <n v="302.3"/>
  </r>
  <r>
    <x v="10"/>
    <x v="58"/>
    <x v="12"/>
    <m/>
    <n v="91.099000000000004"/>
    <n v="94.122"/>
    <n v="92.610500000000002"/>
    <n v="302.3"/>
  </r>
  <r>
    <x v="10"/>
    <x v="58"/>
    <x v="12"/>
    <m/>
    <n v="91.099000000000004"/>
    <n v="94.122"/>
    <n v="92.610500000000002"/>
    <n v="302.3"/>
  </r>
  <r>
    <x v="10"/>
    <x v="58"/>
    <x v="12"/>
    <m/>
    <n v="91.099000000000004"/>
    <n v="94.122"/>
    <n v="92.610500000000002"/>
    <n v="302.3"/>
  </r>
  <r>
    <x v="10"/>
    <x v="58"/>
    <x v="12"/>
    <m/>
    <n v="91.099000000000004"/>
    <n v="94.122"/>
    <n v="92.610500000000002"/>
    <n v="302.3"/>
  </r>
  <r>
    <x v="10"/>
    <x v="58"/>
    <x v="12"/>
    <m/>
    <n v="91.099000000000004"/>
    <n v="94.122"/>
    <n v="92.610500000000002"/>
    <n v="302.3"/>
  </r>
  <r>
    <x v="10"/>
    <x v="58"/>
    <x v="12"/>
    <m/>
    <n v="91.099000000000004"/>
    <n v="94.122"/>
    <n v="92.610500000000002"/>
    <n v="302.3"/>
  </r>
  <r>
    <x v="10"/>
    <x v="58"/>
    <x v="12"/>
    <m/>
    <n v="91.099000000000004"/>
    <n v="94.122"/>
    <n v="92.610500000000002"/>
    <n v="302.3"/>
  </r>
  <r>
    <x v="10"/>
    <x v="58"/>
    <x v="12"/>
    <m/>
    <n v="91.099000000000004"/>
    <n v="94.122"/>
    <n v="92.610500000000002"/>
    <n v="302.3"/>
  </r>
  <r>
    <x v="10"/>
    <x v="58"/>
    <x v="12"/>
    <m/>
    <n v="91.099000000000004"/>
    <n v="94.122"/>
    <n v="92.610500000000002"/>
    <n v="302.3"/>
  </r>
  <r>
    <x v="10"/>
    <x v="58"/>
    <x v="12"/>
    <m/>
    <n v="91.099000000000004"/>
    <n v="94.122"/>
    <n v="92.610500000000002"/>
    <n v="302.3"/>
  </r>
  <r>
    <x v="10"/>
    <x v="58"/>
    <x v="12"/>
    <m/>
    <n v="91.099000000000004"/>
    <n v="94.122"/>
    <n v="92.610500000000002"/>
    <n v="302.3"/>
  </r>
  <r>
    <x v="10"/>
    <x v="58"/>
    <x v="12"/>
    <m/>
    <n v="91.099000000000004"/>
    <n v="94.122"/>
    <n v="92.610500000000002"/>
    <n v="302.3"/>
  </r>
  <r>
    <x v="10"/>
    <x v="58"/>
    <x v="12"/>
    <m/>
    <n v="91.099000000000004"/>
    <n v="94.122"/>
    <n v="92.610500000000002"/>
    <n v="302.3"/>
  </r>
  <r>
    <x v="10"/>
    <x v="58"/>
    <x v="9"/>
    <m/>
    <n v="0.80845"/>
    <n v="0.83677999999999997"/>
    <n v="0.82261499999999999"/>
    <n v="283.3"/>
  </r>
  <r>
    <x v="10"/>
    <x v="58"/>
    <x v="9"/>
    <m/>
    <n v="0.80845"/>
    <n v="0.83677999999999997"/>
    <n v="0.82261499999999999"/>
    <n v="283.3"/>
  </r>
  <r>
    <x v="10"/>
    <x v="58"/>
    <x v="9"/>
    <m/>
    <n v="0.80845"/>
    <n v="0.83677999999999997"/>
    <n v="0.82261499999999999"/>
    <n v="283.3"/>
  </r>
  <r>
    <x v="10"/>
    <x v="58"/>
    <x v="9"/>
    <m/>
    <n v="0.80845"/>
    <n v="0.83677999999999997"/>
    <n v="0.82261499999999999"/>
    <n v="283.3"/>
  </r>
  <r>
    <x v="10"/>
    <x v="58"/>
    <x v="9"/>
    <m/>
    <n v="0.80845"/>
    <n v="0.83677999999999997"/>
    <n v="0.82261499999999999"/>
    <n v="283.3"/>
  </r>
  <r>
    <x v="10"/>
    <x v="58"/>
    <x v="9"/>
    <m/>
    <n v="0.80845"/>
    <n v="0.83677999999999997"/>
    <n v="0.82261499999999999"/>
    <n v="283.3"/>
  </r>
  <r>
    <x v="10"/>
    <x v="58"/>
    <x v="9"/>
    <m/>
    <n v="0.80845"/>
    <n v="0.83677999999999997"/>
    <n v="0.82261499999999999"/>
    <n v="283.3"/>
  </r>
  <r>
    <x v="10"/>
    <x v="58"/>
    <x v="9"/>
    <m/>
    <n v="0.80845"/>
    <n v="0.83677999999999997"/>
    <n v="0.82261499999999999"/>
    <n v="283.3"/>
  </r>
  <r>
    <x v="10"/>
    <x v="58"/>
    <x v="9"/>
    <m/>
    <n v="0.80845"/>
    <n v="0.83677999999999997"/>
    <n v="0.82261499999999999"/>
    <n v="283.3"/>
  </r>
  <r>
    <x v="10"/>
    <x v="58"/>
    <x v="9"/>
    <m/>
    <n v="0.80845"/>
    <n v="0.83677999999999997"/>
    <n v="0.82261499999999999"/>
    <n v="283.3"/>
  </r>
  <r>
    <x v="10"/>
    <x v="58"/>
    <x v="9"/>
    <m/>
    <n v="0.80845"/>
    <n v="0.83677999999999997"/>
    <n v="0.82261499999999999"/>
    <n v="283.3"/>
  </r>
  <r>
    <x v="10"/>
    <x v="58"/>
    <x v="9"/>
    <m/>
    <n v="0.80845"/>
    <n v="0.83677999999999997"/>
    <n v="0.82261499999999999"/>
    <n v="283.3"/>
  </r>
  <r>
    <x v="10"/>
    <x v="58"/>
    <x v="9"/>
    <m/>
    <n v="0.80845"/>
    <n v="0.83677999999999997"/>
    <n v="0.82261499999999999"/>
    <n v="283.3"/>
  </r>
  <r>
    <x v="10"/>
    <x v="58"/>
    <x v="9"/>
    <m/>
    <n v="0.80845"/>
    <n v="0.83677999999999997"/>
    <n v="0.82261499999999999"/>
    <n v="283.3"/>
  </r>
  <r>
    <x v="10"/>
    <x v="59"/>
    <x v="9"/>
    <m/>
    <n v="0.80800000000000005"/>
    <n v="0.84"/>
    <n v="0.82399999999999995"/>
    <n v="320"/>
  </r>
  <r>
    <x v="10"/>
    <x v="59"/>
    <x v="9"/>
    <m/>
    <n v="0.80800000000000005"/>
    <n v="0.84"/>
    <n v="0.82399999999999995"/>
    <n v="320"/>
  </r>
  <r>
    <x v="10"/>
    <x v="59"/>
    <x v="9"/>
    <m/>
    <n v="0.80800000000000005"/>
    <n v="0.84"/>
    <n v="0.82399999999999995"/>
    <n v="320"/>
  </r>
  <r>
    <x v="10"/>
    <x v="59"/>
    <x v="9"/>
    <m/>
    <n v="0.80800000000000005"/>
    <n v="0.84"/>
    <n v="0.82399999999999995"/>
    <n v="320"/>
  </r>
  <r>
    <x v="10"/>
    <x v="59"/>
    <x v="13"/>
    <m/>
    <n v="0.89344999999999997"/>
    <n v="0.94559000000000004"/>
    <n v="0.91952"/>
    <n v="521.4"/>
  </r>
  <r>
    <x v="10"/>
    <x v="59"/>
    <x v="13"/>
    <m/>
    <n v="0.89344999999999997"/>
    <n v="0.94559000000000004"/>
    <n v="0.91952"/>
    <n v="521.4"/>
  </r>
  <r>
    <x v="10"/>
    <x v="59"/>
    <x v="13"/>
    <m/>
    <n v="0.89344999999999997"/>
    <n v="0.94559000000000004"/>
    <n v="0.91952"/>
    <n v="521.4"/>
  </r>
  <r>
    <x v="10"/>
    <x v="59"/>
    <x v="13"/>
    <m/>
    <n v="0.89344999999999997"/>
    <n v="0.94559000000000004"/>
    <n v="0.91952"/>
    <n v="521.4"/>
  </r>
  <r>
    <x v="10"/>
    <x v="59"/>
    <x v="13"/>
    <m/>
    <n v="0.89344999999999997"/>
    <n v="0.94559000000000004"/>
    <n v="0.91952"/>
    <n v="521.4"/>
  </r>
  <r>
    <x v="10"/>
    <x v="59"/>
    <x v="13"/>
    <m/>
    <n v="0.89344999999999997"/>
    <n v="0.94559000000000004"/>
    <n v="0.91952"/>
    <n v="521.4"/>
  </r>
  <r>
    <x v="10"/>
    <x v="59"/>
    <x v="13"/>
    <m/>
    <n v="0.89344999999999997"/>
    <n v="0.94559000000000004"/>
    <n v="0.91952"/>
    <n v="521.4"/>
  </r>
  <r>
    <x v="10"/>
    <x v="59"/>
    <x v="13"/>
    <m/>
    <n v="0.89344999999999997"/>
    <n v="0.94559000000000004"/>
    <n v="0.91952"/>
    <n v="521.4"/>
  </r>
  <r>
    <x v="10"/>
    <x v="59"/>
    <x v="13"/>
    <m/>
    <n v="0.89344999999999997"/>
    <n v="0.94559000000000004"/>
    <n v="0.91952"/>
    <n v="521.4"/>
  </r>
  <r>
    <x v="10"/>
    <x v="59"/>
    <x v="13"/>
    <m/>
    <n v="0.89344999999999997"/>
    <n v="0.94559000000000004"/>
    <n v="0.91952"/>
    <n v="521.4"/>
  </r>
  <r>
    <x v="10"/>
    <x v="59"/>
    <x v="13"/>
    <m/>
    <n v="0.89344999999999997"/>
    <n v="0.94559000000000004"/>
    <n v="0.91952"/>
    <n v="521.4"/>
  </r>
  <r>
    <x v="10"/>
    <x v="59"/>
    <x v="13"/>
    <m/>
    <n v="0.89344999999999997"/>
    <n v="0.94559000000000004"/>
    <n v="0.91952"/>
    <n v="521.4"/>
  </r>
  <r>
    <x v="10"/>
    <x v="59"/>
    <x v="13"/>
    <m/>
    <n v="0.89344999999999997"/>
    <n v="0.94559000000000004"/>
    <n v="0.91952"/>
    <n v="521.4"/>
  </r>
  <r>
    <x v="10"/>
    <x v="59"/>
    <x v="13"/>
    <m/>
    <n v="0.89344999999999997"/>
    <n v="0.94559000000000004"/>
    <n v="0.91952"/>
    <n v="521.4"/>
  </r>
  <r>
    <x v="10"/>
    <x v="59"/>
    <x v="13"/>
    <m/>
    <n v="0.89344999999999997"/>
    <n v="0.94559000000000004"/>
    <n v="0.91952"/>
    <n v="521.4"/>
  </r>
  <r>
    <x v="10"/>
    <x v="59"/>
    <x v="13"/>
    <m/>
    <n v="0.89344999999999997"/>
    <n v="0.94559000000000004"/>
    <n v="0.91952"/>
    <n v="521.4"/>
  </r>
  <r>
    <x v="10"/>
    <x v="59"/>
    <x v="13"/>
    <m/>
    <n v="0.89344999999999997"/>
    <n v="0.94559000000000004"/>
    <n v="0.91952"/>
    <n v="521.4"/>
  </r>
  <r>
    <x v="10"/>
    <x v="59"/>
    <x v="13"/>
    <m/>
    <n v="0.89344999999999997"/>
    <n v="0.94559000000000004"/>
    <n v="0.91952"/>
    <n v="521.4"/>
  </r>
  <r>
    <x v="10"/>
    <x v="59"/>
    <x v="13"/>
    <m/>
    <n v="0.89344999999999997"/>
    <n v="0.94559000000000004"/>
    <n v="0.91952"/>
    <n v="521.4"/>
  </r>
  <r>
    <x v="10"/>
    <x v="59"/>
    <x v="13"/>
    <m/>
    <n v="0.89344999999999997"/>
    <n v="0.94559000000000004"/>
    <n v="0.91952"/>
    <n v="521.4"/>
  </r>
  <r>
    <x v="10"/>
    <x v="59"/>
    <x v="13"/>
    <m/>
    <n v="0.89344999999999997"/>
    <n v="0.94559000000000004"/>
    <n v="0.91952"/>
    <n v="521.4"/>
  </r>
  <r>
    <x v="10"/>
    <x v="59"/>
    <x v="13"/>
    <m/>
    <n v="0.89344999999999997"/>
    <n v="0.94559000000000004"/>
    <n v="0.91952"/>
    <n v="521.4"/>
  </r>
  <r>
    <x v="10"/>
    <x v="59"/>
    <x v="13"/>
    <m/>
    <n v="0.89344999999999997"/>
    <n v="0.94559000000000004"/>
    <n v="0.91952"/>
    <n v="521.4"/>
  </r>
  <r>
    <x v="10"/>
    <x v="59"/>
    <x v="13"/>
    <m/>
    <n v="0.89344999999999997"/>
    <n v="0.94559000000000004"/>
    <n v="0.91952"/>
    <n v="521.4"/>
  </r>
  <r>
    <x v="10"/>
    <x v="59"/>
    <x v="13"/>
    <m/>
    <n v="0.89344999999999997"/>
    <n v="0.94559000000000004"/>
    <n v="0.91952"/>
    <n v="521.4"/>
  </r>
  <r>
    <x v="10"/>
    <x v="59"/>
    <x v="13"/>
    <m/>
    <n v="0.89344999999999997"/>
    <n v="0.94559000000000004"/>
    <n v="0.91952"/>
    <n v="521.4"/>
  </r>
  <r>
    <x v="10"/>
    <x v="59"/>
    <x v="13"/>
    <m/>
    <n v="0.89344999999999997"/>
    <n v="0.94559000000000004"/>
    <n v="0.91952"/>
    <n v="521.4"/>
  </r>
  <r>
    <x v="10"/>
    <x v="59"/>
    <x v="13"/>
    <m/>
    <n v="0.89344999999999997"/>
    <n v="0.94559000000000004"/>
    <n v="0.91952"/>
    <n v="521.4"/>
  </r>
  <r>
    <x v="10"/>
    <x v="59"/>
    <x v="12"/>
    <m/>
    <n v="90.8"/>
    <n v="94.81"/>
    <n v="92.805000000000007"/>
    <n v="401"/>
  </r>
  <r>
    <x v="10"/>
    <x v="59"/>
    <x v="12"/>
    <m/>
    <n v="90.8"/>
    <n v="94.81"/>
    <n v="92.805000000000007"/>
    <n v="401"/>
  </r>
  <r>
    <x v="10"/>
    <x v="59"/>
    <x v="12"/>
    <m/>
    <n v="90.8"/>
    <n v="94.81"/>
    <n v="92.805000000000007"/>
    <n v="401"/>
  </r>
  <r>
    <x v="10"/>
    <x v="59"/>
    <x v="12"/>
    <m/>
    <n v="90.8"/>
    <n v="94.81"/>
    <n v="92.805000000000007"/>
    <n v="401"/>
  </r>
  <r>
    <x v="10"/>
    <x v="59"/>
    <x v="12"/>
    <m/>
    <n v="90.8"/>
    <n v="94.81"/>
    <n v="92.805000000000007"/>
    <n v="401"/>
  </r>
  <r>
    <x v="10"/>
    <x v="59"/>
    <x v="12"/>
    <m/>
    <n v="90.8"/>
    <n v="94.81"/>
    <n v="92.805000000000007"/>
    <n v="401"/>
  </r>
  <r>
    <x v="10"/>
    <x v="59"/>
    <x v="12"/>
    <m/>
    <n v="90.8"/>
    <n v="94.81"/>
    <n v="92.805000000000007"/>
    <n v="401"/>
  </r>
  <r>
    <x v="10"/>
    <x v="59"/>
    <x v="12"/>
    <m/>
    <n v="90.8"/>
    <n v="94.81"/>
    <n v="92.805000000000007"/>
    <n v="401"/>
  </r>
  <r>
    <x v="10"/>
    <x v="59"/>
    <x v="12"/>
    <m/>
    <n v="90.8"/>
    <n v="94.81"/>
    <n v="92.805000000000007"/>
    <n v="401"/>
  </r>
  <r>
    <x v="10"/>
    <x v="59"/>
    <x v="12"/>
    <m/>
    <n v="90.8"/>
    <n v="94.81"/>
    <n v="92.805000000000007"/>
    <n v="401"/>
  </r>
  <r>
    <x v="10"/>
    <x v="59"/>
    <x v="12"/>
    <m/>
    <n v="90.8"/>
    <n v="94.81"/>
    <n v="92.805000000000007"/>
    <n v="401"/>
  </r>
  <r>
    <x v="10"/>
    <x v="59"/>
    <x v="12"/>
    <m/>
    <n v="90.8"/>
    <n v="94.81"/>
    <n v="92.805000000000007"/>
    <n v="401"/>
  </r>
  <r>
    <x v="10"/>
    <x v="59"/>
    <x v="12"/>
    <m/>
    <n v="90.8"/>
    <n v="94.81"/>
    <n v="92.805000000000007"/>
    <n v="401"/>
  </r>
  <r>
    <x v="10"/>
    <x v="59"/>
    <x v="12"/>
    <m/>
    <n v="90.8"/>
    <n v="94.81"/>
    <n v="92.805000000000007"/>
    <n v="401"/>
  </r>
  <r>
    <x v="10"/>
    <x v="59"/>
    <x v="12"/>
    <m/>
    <n v="90.8"/>
    <n v="94.81"/>
    <n v="92.805000000000007"/>
    <n v="401"/>
  </r>
  <r>
    <x v="10"/>
    <x v="59"/>
    <x v="12"/>
    <m/>
    <n v="90.8"/>
    <n v="94.81"/>
    <n v="92.805000000000007"/>
    <n v="401"/>
  </r>
  <r>
    <x v="10"/>
    <x v="59"/>
    <x v="12"/>
    <m/>
    <n v="90.8"/>
    <n v="94.81"/>
    <n v="92.805000000000007"/>
    <n v="401"/>
  </r>
  <r>
    <x v="10"/>
    <x v="59"/>
    <x v="12"/>
    <m/>
    <n v="90.8"/>
    <n v="94.81"/>
    <n v="92.805000000000007"/>
    <n v="401"/>
  </r>
  <r>
    <x v="10"/>
    <x v="59"/>
    <x v="12"/>
    <m/>
    <n v="90.8"/>
    <n v="94.81"/>
    <n v="92.805000000000007"/>
    <n v="401"/>
  </r>
  <r>
    <x v="10"/>
    <x v="59"/>
    <x v="12"/>
    <m/>
    <n v="90.8"/>
    <n v="94.81"/>
    <n v="92.805000000000007"/>
    <n v="401"/>
  </r>
  <r>
    <x v="10"/>
    <x v="59"/>
    <x v="12"/>
    <m/>
    <n v="90.8"/>
    <n v="94.81"/>
    <n v="92.805000000000007"/>
    <n v="401"/>
  </r>
  <r>
    <x v="10"/>
    <x v="59"/>
    <x v="12"/>
    <m/>
    <n v="90.8"/>
    <n v="94.81"/>
    <n v="92.805000000000007"/>
    <n v="401"/>
  </r>
  <r>
    <x v="10"/>
    <x v="59"/>
    <x v="9"/>
    <m/>
    <n v="0.80800000000000005"/>
    <n v="0.84"/>
    <n v="0.82399999999999995"/>
    <n v="320"/>
  </r>
  <r>
    <x v="10"/>
    <x v="59"/>
    <x v="9"/>
    <m/>
    <n v="0.80800000000000005"/>
    <n v="0.84"/>
    <n v="0.82399999999999995"/>
    <n v="320"/>
  </r>
  <r>
    <x v="10"/>
    <x v="59"/>
    <x v="9"/>
    <m/>
    <n v="0.80800000000000005"/>
    <n v="0.84"/>
    <n v="0.82399999999999995"/>
    <n v="320"/>
  </r>
  <r>
    <x v="10"/>
    <x v="59"/>
    <x v="9"/>
    <m/>
    <n v="0.80800000000000005"/>
    <n v="0.84"/>
    <n v="0.82399999999999995"/>
    <n v="320"/>
  </r>
  <r>
    <x v="10"/>
    <x v="59"/>
    <x v="9"/>
    <m/>
    <n v="0.80800000000000005"/>
    <n v="0.84"/>
    <n v="0.82399999999999995"/>
    <n v="320"/>
  </r>
  <r>
    <x v="10"/>
    <x v="59"/>
    <x v="9"/>
    <m/>
    <n v="0.80800000000000005"/>
    <n v="0.84"/>
    <n v="0.82399999999999995"/>
    <n v="320"/>
  </r>
  <r>
    <x v="10"/>
    <x v="59"/>
    <x v="9"/>
    <m/>
    <n v="0.80800000000000005"/>
    <n v="0.84"/>
    <n v="0.82399999999999995"/>
    <n v="320"/>
  </r>
  <r>
    <x v="10"/>
    <x v="59"/>
    <x v="9"/>
    <m/>
    <n v="0.80800000000000005"/>
    <n v="0.84"/>
    <n v="0.82399999999999995"/>
    <n v="320"/>
  </r>
  <r>
    <x v="10"/>
    <x v="59"/>
    <x v="9"/>
    <m/>
    <n v="0.80800000000000005"/>
    <n v="0.84"/>
    <n v="0.82399999999999995"/>
    <n v="320"/>
  </r>
  <r>
    <x v="10"/>
    <x v="59"/>
    <x v="9"/>
    <m/>
    <n v="0.80800000000000005"/>
    <n v="0.84"/>
    <n v="0.82399999999999995"/>
    <n v="320"/>
  </r>
  <r>
    <x v="10"/>
    <x v="59"/>
    <x v="9"/>
    <m/>
    <n v="0.80800000000000005"/>
    <n v="0.84"/>
    <n v="0.82399999999999995"/>
    <n v="320"/>
  </r>
  <r>
    <x v="10"/>
    <x v="59"/>
    <x v="9"/>
    <m/>
    <n v="0.80800000000000005"/>
    <n v="0.84"/>
    <n v="0.82399999999999995"/>
    <n v="320"/>
  </r>
  <r>
    <x v="10"/>
    <x v="59"/>
    <x v="9"/>
    <m/>
    <n v="0.80800000000000005"/>
    <n v="0.84"/>
    <n v="0.82399999999999995"/>
    <n v="320"/>
  </r>
  <r>
    <x v="10"/>
    <x v="59"/>
    <x v="9"/>
    <m/>
    <n v="0.80800000000000005"/>
    <n v="0.84"/>
    <n v="0.82399999999999995"/>
    <n v="320"/>
  </r>
  <r>
    <x v="10"/>
    <x v="25"/>
    <x v="9"/>
    <m/>
    <n v="0.79800000000000004"/>
    <n v="0.84"/>
    <n v="0.81899999999999995"/>
    <n v="420"/>
  </r>
  <r>
    <x v="10"/>
    <x v="25"/>
    <x v="9"/>
    <m/>
    <n v="0.79800000000000004"/>
    <n v="0.84"/>
    <n v="0.81899999999999995"/>
    <n v="420"/>
  </r>
  <r>
    <x v="10"/>
    <x v="25"/>
    <x v="9"/>
    <m/>
    <n v="0.79800000000000004"/>
    <n v="0.84"/>
    <n v="0.81899999999999995"/>
    <n v="420"/>
  </r>
  <r>
    <x v="10"/>
    <x v="25"/>
    <x v="9"/>
    <m/>
    <n v="0.79800000000000004"/>
    <n v="0.84"/>
    <n v="0.81899999999999995"/>
    <n v="420"/>
  </r>
  <r>
    <x v="10"/>
    <x v="25"/>
    <x v="9"/>
    <m/>
    <n v="0.79800000000000004"/>
    <n v="0.84"/>
    <n v="0.81899999999999995"/>
    <n v="420"/>
  </r>
  <r>
    <x v="10"/>
    <x v="25"/>
    <x v="9"/>
    <m/>
    <n v="0.79800000000000004"/>
    <n v="0.84"/>
    <n v="0.81899999999999995"/>
    <n v="420"/>
  </r>
  <r>
    <x v="10"/>
    <x v="25"/>
    <x v="9"/>
    <m/>
    <n v="0.79800000000000004"/>
    <n v="0.84"/>
    <n v="0.81899999999999995"/>
    <n v="420"/>
  </r>
  <r>
    <x v="10"/>
    <x v="25"/>
    <x v="9"/>
    <m/>
    <n v="0.79800000000000004"/>
    <n v="0.84"/>
    <n v="0.81899999999999995"/>
    <n v="420"/>
  </r>
  <r>
    <x v="10"/>
    <x v="25"/>
    <x v="9"/>
    <m/>
    <n v="0.79800000000000004"/>
    <n v="0.84"/>
    <n v="0.81899999999999995"/>
    <n v="420"/>
  </r>
  <r>
    <x v="10"/>
    <x v="25"/>
    <x v="13"/>
    <m/>
    <n v="0.89344999999999997"/>
    <n v="0.94559000000000004"/>
    <n v="0.91952"/>
    <n v="521.4"/>
  </r>
  <r>
    <x v="10"/>
    <x v="25"/>
    <x v="13"/>
    <m/>
    <n v="0.89344999999999997"/>
    <n v="0.94559000000000004"/>
    <n v="0.91952"/>
    <n v="521.4"/>
  </r>
  <r>
    <x v="10"/>
    <x v="25"/>
    <x v="13"/>
    <m/>
    <n v="0.89344999999999997"/>
    <n v="0.94559000000000004"/>
    <n v="0.91952"/>
    <n v="521.4"/>
  </r>
  <r>
    <x v="10"/>
    <x v="25"/>
    <x v="13"/>
    <m/>
    <n v="0.89344999999999997"/>
    <n v="0.94559000000000004"/>
    <n v="0.91952"/>
    <n v="521.4"/>
  </r>
  <r>
    <x v="10"/>
    <x v="25"/>
    <x v="13"/>
    <m/>
    <n v="0.89344999999999997"/>
    <n v="0.94559000000000004"/>
    <n v="0.91952"/>
    <n v="521.4"/>
  </r>
  <r>
    <x v="10"/>
    <x v="25"/>
    <x v="13"/>
    <m/>
    <n v="0.89344999999999997"/>
    <n v="0.94559000000000004"/>
    <n v="0.91952"/>
    <n v="521.4"/>
  </r>
  <r>
    <x v="10"/>
    <x v="25"/>
    <x v="13"/>
    <m/>
    <n v="0.89344999999999997"/>
    <n v="0.94559000000000004"/>
    <n v="0.91952"/>
    <n v="521.4"/>
  </r>
  <r>
    <x v="10"/>
    <x v="25"/>
    <x v="13"/>
    <m/>
    <n v="0.89344999999999997"/>
    <n v="0.94559000000000004"/>
    <n v="0.91952"/>
    <n v="521.4"/>
  </r>
  <r>
    <x v="10"/>
    <x v="25"/>
    <x v="13"/>
    <m/>
    <n v="0.89344999999999997"/>
    <n v="0.94559000000000004"/>
    <n v="0.91952"/>
    <n v="521.4"/>
  </r>
  <r>
    <x v="10"/>
    <x v="25"/>
    <x v="13"/>
    <m/>
    <n v="0.89344999999999997"/>
    <n v="0.94559000000000004"/>
    <n v="0.91952"/>
    <n v="521.4"/>
  </r>
  <r>
    <x v="10"/>
    <x v="25"/>
    <x v="13"/>
    <m/>
    <n v="0.89344999999999997"/>
    <n v="0.94559000000000004"/>
    <n v="0.91952"/>
    <n v="521.4"/>
  </r>
  <r>
    <x v="10"/>
    <x v="25"/>
    <x v="13"/>
    <m/>
    <n v="0.89344999999999997"/>
    <n v="0.94559000000000004"/>
    <n v="0.91952"/>
    <n v="521.4"/>
  </r>
  <r>
    <x v="10"/>
    <x v="25"/>
    <x v="13"/>
    <m/>
    <n v="0.89344999999999997"/>
    <n v="0.94559000000000004"/>
    <n v="0.91952"/>
    <n v="521.4"/>
  </r>
  <r>
    <x v="10"/>
    <x v="25"/>
    <x v="13"/>
    <m/>
    <n v="0.89344999999999997"/>
    <n v="0.94559000000000004"/>
    <n v="0.91952"/>
    <n v="521.4"/>
  </r>
  <r>
    <x v="10"/>
    <x v="25"/>
    <x v="13"/>
    <m/>
    <n v="0.89344999999999997"/>
    <n v="0.94559000000000004"/>
    <n v="0.91952"/>
    <n v="521.4"/>
  </r>
  <r>
    <x v="10"/>
    <x v="25"/>
    <x v="13"/>
    <m/>
    <n v="0.89344999999999997"/>
    <n v="0.94559000000000004"/>
    <n v="0.91952"/>
    <n v="521.4"/>
  </r>
  <r>
    <x v="10"/>
    <x v="25"/>
    <x v="13"/>
    <m/>
    <n v="0.89344999999999997"/>
    <n v="0.94559000000000004"/>
    <n v="0.91952"/>
    <n v="521.4"/>
  </r>
  <r>
    <x v="10"/>
    <x v="25"/>
    <x v="13"/>
    <m/>
    <n v="0.89344999999999997"/>
    <n v="0.94559000000000004"/>
    <n v="0.91952"/>
    <n v="521.4"/>
  </r>
  <r>
    <x v="10"/>
    <x v="25"/>
    <x v="13"/>
    <m/>
    <n v="0.89344999999999997"/>
    <n v="0.94559000000000004"/>
    <n v="0.91952"/>
    <n v="521.4"/>
  </r>
  <r>
    <x v="10"/>
    <x v="25"/>
    <x v="13"/>
    <m/>
    <n v="0.89344999999999997"/>
    <n v="0.94559000000000004"/>
    <n v="0.91952"/>
    <n v="521.4"/>
  </r>
  <r>
    <x v="10"/>
    <x v="25"/>
    <x v="13"/>
    <m/>
    <n v="0.89344999999999997"/>
    <n v="0.94559000000000004"/>
    <n v="0.91952"/>
    <n v="521.4"/>
  </r>
  <r>
    <x v="10"/>
    <x v="25"/>
    <x v="13"/>
    <m/>
    <n v="0.89344999999999997"/>
    <n v="0.94559000000000004"/>
    <n v="0.91952"/>
    <n v="521.4"/>
  </r>
  <r>
    <x v="10"/>
    <x v="25"/>
    <x v="13"/>
    <m/>
    <n v="0.89344999999999997"/>
    <n v="0.94559000000000004"/>
    <n v="0.91952"/>
    <n v="521.4"/>
  </r>
  <r>
    <x v="10"/>
    <x v="25"/>
    <x v="13"/>
    <m/>
    <n v="0.89344999999999997"/>
    <n v="0.94559000000000004"/>
    <n v="0.91952"/>
    <n v="521.4"/>
  </r>
  <r>
    <x v="10"/>
    <x v="25"/>
    <x v="13"/>
    <m/>
    <n v="0.89344999999999997"/>
    <n v="0.94559000000000004"/>
    <n v="0.91952"/>
    <n v="521.4"/>
  </r>
  <r>
    <x v="10"/>
    <x v="25"/>
    <x v="13"/>
    <m/>
    <n v="0.89344999999999997"/>
    <n v="0.94559000000000004"/>
    <n v="0.91952"/>
    <n v="521.4"/>
  </r>
  <r>
    <x v="10"/>
    <x v="25"/>
    <x v="13"/>
    <m/>
    <n v="0.89344999999999997"/>
    <n v="0.94559000000000004"/>
    <n v="0.91952"/>
    <n v="521.4"/>
  </r>
  <r>
    <x v="10"/>
    <x v="25"/>
    <x v="13"/>
    <m/>
    <n v="0.89344999999999997"/>
    <n v="0.94559000000000004"/>
    <n v="0.91952"/>
    <n v="521.4"/>
  </r>
  <r>
    <x v="10"/>
    <x v="25"/>
    <x v="12"/>
    <m/>
    <n v="90.8"/>
    <n v="94.81"/>
    <n v="92.805000000000007"/>
    <n v="401"/>
  </r>
  <r>
    <x v="10"/>
    <x v="25"/>
    <x v="12"/>
    <m/>
    <n v="90.8"/>
    <n v="94.81"/>
    <n v="92.805000000000007"/>
    <n v="401"/>
  </r>
  <r>
    <x v="10"/>
    <x v="25"/>
    <x v="12"/>
    <m/>
    <n v="90.8"/>
    <n v="94.81"/>
    <n v="92.805000000000007"/>
    <n v="401"/>
  </r>
  <r>
    <x v="10"/>
    <x v="25"/>
    <x v="12"/>
    <m/>
    <n v="90.8"/>
    <n v="94.81"/>
    <n v="92.805000000000007"/>
    <n v="401"/>
  </r>
  <r>
    <x v="10"/>
    <x v="25"/>
    <x v="12"/>
    <m/>
    <n v="90.8"/>
    <n v="94.81"/>
    <n v="92.805000000000007"/>
    <n v="401"/>
  </r>
  <r>
    <x v="10"/>
    <x v="25"/>
    <x v="12"/>
    <m/>
    <n v="90.8"/>
    <n v="94.81"/>
    <n v="92.805000000000007"/>
    <n v="401"/>
  </r>
  <r>
    <x v="10"/>
    <x v="25"/>
    <x v="12"/>
    <m/>
    <n v="90.8"/>
    <n v="94.81"/>
    <n v="92.805000000000007"/>
    <n v="401"/>
  </r>
  <r>
    <x v="10"/>
    <x v="25"/>
    <x v="12"/>
    <m/>
    <n v="90.8"/>
    <n v="94.81"/>
    <n v="92.805000000000007"/>
    <n v="401"/>
  </r>
  <r>
    <x v="10"/>
    <x v="25"/>
    <x v="12"/>
    <m/>
    <n v="90.8"/>
    <n v="94.81"/>
    <n v="92.805000000000007"/>
    <n v="401"/>
  </r>
  <r>
    <x v="10"/>
    <x v="25"/>
    <x v="12"/>
    <m/>
    <n v="90.8"/>
    <n v="94.81"/>
    <n v="92.805000000000007"/>
    <n v="401"/>
  </r>
  <r>
    <x v="10"/>
    <x v="25"/>
    <x v="12"/>
    <m/>
    <n v="90.8"/>
    <n v="94.81"/>
    <n v="92.805000000000007"/>
    <n v="401"/>
  </r>
  <r>
    <x v="10"/>
    <x v="25"/>
    <x v="12"/>
    <m/>
    <n v="90.8"/>
    <n v="94.81"/>
    <n v="92.805000000000007"/>
    <n v="401"/>
  </r>
  <r>
    <x v="10"/>
    <x v="25"/>
    <x v="12"/>
    <m/>
    <n v="90.8"/>
    <n v="94.81"/>
    <n v="92.805000000000007"/>
    <n v="401"/>
  </r>
  <r>
    <x v="10"/>
    <x v="25"/>
    <x v="12"/>
    <m/>
    <n v="90.8"/>
    <n v="94.81"/>
    <n v="92.805000000000007"/>
    <n v="401"/>
  </r>
  <r>
    <x v="10"/>
    <x v="25"/>
    <x v="12"/>
    <m/>
    <n v="90.8"/>
    <n v="94.81"/>
    <n v="92.805000000000007"/>
    <n v="401"/>
  </r>
  <r>
    <x v="10"/>
    <x v="25"/>
    <x v="12"/>
    <m/>
    <n v="90.8"/>
    <n v="94.81"/>
    <n v="92.805000000000007"/>
    <n v="401"/>
  </r>
  <r>
    <x v="10"/>
    <x v="25"/>
    <x v="12"/>
    <m/>
    <n v="90.8"/>
    <n v="94.81"/>
    <n v="92.805000000000007"/>
    <n v="401"/>
  </r>
  <r>
    <x v="10"/>
    <x v="25"/>
    <x v="12"/>
    <m/>
    <n v="90.8"/>
    <n v="94.81"/>
    <n v="92.805000000000007"/>
    <n v="401"/>
  </r>
  <r>
    <x v="10"/>
    <x v="25"/>
    <x v="12"/>
    <m/>
    <n v="90.8"/>
    <n v="94.81"/>
    <n v="92.805000000000007"/>
    <n v="401"/>
  </r>
  <r>
    <x v="10"/>
    <x v="25"/>
    <x v="12"/>
    <m/>
    <n v="90.8"/>
    <n v="94.81"/>
    <n v="92.805000000000007"/>
    <n v="401"/>
  </r>
  <r>
    <x v="10"/>
    <x v="25"/>
    <x v="12"/>
    <m/>
    <n v="90.8"/>
    <n v="94.81"/>
    <n v="92.805000000000007"/>
    <n v="401"/>
  </r>
  <r>
    <x v="10"/>
    <x v="25"/>
    <x v="12"/>
    <m/>
    <n v="90.8"/>
    <n v="94.81"/>
    <n v="92.805000000000007"/>
    <n v="401"/>
  </r>
  <r>
    <x v="10"/>
    <x v="25"/>
    <x v="9"/>
    <m/>
    <n v="0.79800000000000004"/>
    <n v="0.84"/>
    <n v="0.81899999999999995"/>
    <n v="420"/>
  </r>
  <r>
    <x v="10"/>
    <x v="25"/>
    <x v="9"/>
    <m/>
    <n v="0.79800000000000004"/>
    <n v="0.84"/>
    <n v="0.81899999999999995"/>
    <n v="420"/>
  </r>
  <r>
    <x v="10"/>
    <x v="25"/>
    <x v="9"/>
    <m/>
    <n v="0.79800000000000004"/>
    <n v="0.84"/>
    <n v="0.81899999999999995"/>
    <n v="420"/>
  </r>
  <r>
    <x v="10"/>
    <x v="25"/>
    <x v="9"/>
    <m/>
    <n v="0.79800000000000004"/>
    <n v="0.84"/>
    <n v="0.81899999999999995"/>
    <n v="420"/>
  </r>
  <r>
    <x v="10"/>
    <x v="25"/>
    <x v="9"/>
    <m/>
    <n v="0.79800000000000004"/>
    <n v="0.84"/>
    <n v="0.81899999999999995"/>
    <n v="420"/>
  </r>
  <r>
    <x v="10"/>
    <x v="25"/>
    <x v="9"/>
    <m/>
    <n v="0.79800000000000004"/>
    <n v="0.84"/>
    <n v="0.81899999999999995"/>
    <n v="420"/>
  </r>
  <r>
    <x v="10"/>
    <x v="25"/>
    <x v="9"/>
    <m/>
    <n v="0.79800000000000004"/>
    <n v="0.84"/>
    <n v="0.81899999999999995"/>
    <n v="420"/>
  </r>
  <r>
    <x v="10"/>
    <x v="25"/>
    <x v="9"/>
    <m/>
    <n v="0.79800000000000004"/>
    <n v="0.84"/>
    <n v="0.81899999999999995"/>
    <n v="420"/>
  </r>
  <r>
    <x v="10"/>
    <x v="25"/>
    <x v="9"/>
    <m/>
    <n v="0.79800000000000004"/>
    <n v="0.84"/>
    <n v="0.81899999999999995"/>
    <n v="420"/>
  </r>
  <r>
    <x v="10"/>
    <x v="25"/>
    <x v="9"/>
    <m/>
    <n v="0.79800000000000004"/>
    <n v="0.84"/>
    <n v="0.81899999999999995"/>
    <n v="420"/>
  </r>
  <r>
    <x v="10"/>
    <x v="25"/>
    <x v="9"/>
    <m/>
    <n v="0.79800000000000004"/>
    <n v="0.84"/>
    <n v="0.81899999999999995"/>
    <n v="420"/>
  </r>
  <r>
    <x v="10"/>
    <x v="25"/>
    <x v="9"/>
    <m/>
    <n v="0.79800000000000004"/>
    <n v="0.84"/>
    <n v="0.81899999999999995"/>
    <n v="420"/>
  </r>
  <r>
    <x v="10"/>
    <x v="25"/>
    <x v="9"/>
    <m/>
    <n v="0.79800000000000004"/>
    <n v="0.84"/>
    <n v="0.81899999999999995"/>
    <n v="420"/>
  </r>
  <r>
    <x v="10"/>
    <x v="25"/>
    <x v="9"/>
    <m/>
    <n v="0.79800000000000004"/>
    <n v="0.84"/>
    <n v="0.81899999999999995"/>
    <n v="420"/>
  </r>
  <r>
    <x v="10"/>
    <x v="60"/>
    <x v="9"/>
    <n v="0.79912000000000005"/>
    <n v="0.79600000000000004"/>
    <n v="0.84"/>
    <n v="0.81799999999999995"/>
    <n v="440"/>
  </r>
  <r>
    <x v="10"/>
    <x v="60"/>
    <x v="9"/>
    <n v="0.79912000000000005"/>
    <n v="0.79600000000000004"/>
    <n v="0.84"/>
    <n v="0.81799999999999995"/>
    <n v="440"/>
  </r>
  <r>
    <x v="10"/>
    <x v="60"/>
    <x v="9"/>
    <n v="0.79912000000000005"/>
    <n v="0.79600000000000004"/>
    <n v="0.84"/>
    <n v="0.81799999999999995"/>
    <n v="440"/>
  </r>
  <r>
    <x v="10"/>
    <x v="60"/>
    <x v="9"/>
    <n v="0.79912000000000005"/>
    <n v="0.79600000000000004"/>
    <n v="0.84"/>
    <n v="0.81799999999999995"/>
    <n v="440"/>
  </r>
  <r>
    <x v="10"/>
    <x v="60"/>
    <x v="9"/>
    <n v="0.79912000000000005"/>
    <n v="0.79600000000000004"/>
    <n v="0.84"/>
    <n v="0.81799999999999995"/>
    <n v="440"/>
  </r>
  <r>
    <x v="10"/>
    <x v="60"/>
    <x v="9"/>
    <n v="0.79912000000000005"/>
    <n v="0.79600000000000004"/>
    <n v="0.84"/>
    <n v="0.81799999999999995"/>
    <n v="440"/>
  </r>
  <r>
    <x v="10"/>
    <x v="60"/>
    <x v="9"/>
    <n v="0.79912000000000005"/>
    <n v="0.79600000000000004"/>
    <n v="0.84"/>
    <n v="0.81799999999999995"/>
    <n v="440"/>
  </r>
  <r>
    <x v="10"/>
    <x v="60"/>
    <x v="9"/>
    <n v="0.79912000000000005"/>
    <n v="0.79600000000000004"/>
    <n v="0.84"/>
    <n v="0.81799999999999995"/>
    <n v="440"/>
  </r>
  <r>
    <x v="10"/>
    <x v="60"/>
    <x v="9"/>
    <n v="0.79912000000000005"/>
    <n v="0.79600000000000004"/>
    <n v="0.84"/>
    <n v="0.81799999999999995"/>
    <n v="440"/>
  </r>
  <r>
    <x v="10"/>
    <x v="60"/>
    <x v="9"/>
    <n v="0.79912000000000005"/>
    <n v="0.79600000000000004"/>
    <n v="0.84"/>
    <n v="0.81799999999999995"/>
    <n v="440"/>
  </r>
  <r>
    <x v="10"/>
    <x v="60"/>
    <x v="9"/>
    <n v="0.79912000000000005"/>
    <n v="0.79600000000000004"/>
    <n v="0.84"/>
    <n v="0.81799999999999995"/>
    <n v="440"/>
  </r>
  <r>
    <x v="10"/>
    <x v="60"/>
    <x v="13"/>
    <n v="0.93837000000000004"/>
    <n v="0.89344999999999997"/>
    <n v="0.94559000000000004"/>
    <n v="0.91952"/>
    <n v="521.4"/>
  </r>
  <r>
    <x v="10"/>
    <x v="60"/>
    <x v="13"/>
    <n v="0.93837000000000004"/>
    <n v="0.89344999999999997"/>
    <n v="0.94559000000000004"/>
    <n v="0.91952"/>
    <n v="521.4"/>
  </r>
  <r>
    <x v="10"/>
    <x v="60"/>
    <x v="13"/>
    <n v="0.93837000000000004"/>
    <n v="0.89344999999999997"/>
    <n v="0.94559000000000004"/>
    <n v="0.91952"/>
    <n v="521.4"/>
  </r>
  <r>
    <x v="10"/>
    <x v="60"/>
    <x v="13"/>
    <n v="0.93837000000000004"/>
    <n v="0.89344999999999997"/>
    <n v="0.94559000000000004"/>
    <n v="0.91952"/>
    <n v="521.4"/>
  </r>
  <r>
    <x v="10"/>
    <x v="60"/>
    <x v="13"/>
    <n v="0.93837000000000004"/>
    <n v="0.89344999999999997"/>
    <n v="0.94559000000000004"/>
    <n v="0.91952"/>
    <n v="521.4"/>
  </r>
  <r>
    <x v="10"/>
    <x v="60"/>
    <x v="13"/>
    <n v="0.93837000000000004"/>
    <n v="0.89344999999999997"/>
    <n v="0.94559000000000004"/>
    <n v="0.91952"/>
    <n v="521.4"/>
  </r>
  <r>
    <x v="10"/>
    <x v="60"/>
    <x v="13"/>
    <n v="0.93837000000000004"/>
    <n v="0.89344999999999997"/>
    <n v="0.94559000000000004"/>
    <n v="0.91952"/>
    <n v="521.4"/>
  </r>
  <r>
    <x v="10"/>
    <x v="60"/>
    <x v="13"/>
    <n v="0.93837000000000004"/>
    <n v="0.89344999999999997"/>
    <n v="0.94559000000000004"/>
    <n v="0.91952"/>
    <n v="521.4"/>
  </r>
  <r>
    <x v="10"/>
    <x v="60"/>
    <x v="13"/>
    <n v="0.93837000000000004"/>
    <n v="0.89344999999999997"/>
    <n v="0.94559000000000004"/>
    <n v="0.91952"/>
    <n v="521.4"/>
  </r>
  <r>
    <x v="10"/>
    <x v="60"/>
    <x v="13"/>
    <n v="0.93837000000000004"/>
    <n v="0.89344999999999997"/>
    <n v="0.94559000000000004"/>
    <n v="0.91952"/>
    <n v="521.4"/>
  </r>
  <r>
    <x v="10"/>
    <x v="60"/>
    <x v="13"/>
    <n v="0.93837000000000004"/>
    <n v="0.89344999999999997"/>
    <n v="0.94559000000000004"/>
    <n v="0.91952"/>
    <n v="521.4"/>
  </r>
  <r>
    <x v="10"/>
    <x v="60"/>
    <x v="13"/>
    <n v="0.93837000000000004"/>
    <n v="0.89344999999999997"/>
    <n v="0.94559000000000004"/>
    <n v="0.91952"/>
    <n v="521.4"/>
  </r>
  <r>
    <x v="10"/>
    <x v="60"/>
    <x v="13"/>
    <n v="0.93837000000000004"/>
    <n v="0.89344999999999997"/>
    <n v="0.94559000000000004"/>
    <n v="0.91952"/>
    <n v="521.4"/>
  </r>
  <r>
    <x v="10"/>
    <x v="60"/>
    <x v="13"/>
    <n v="0.93837000000000004"/>
    <n v="0.89344999999999997"/>
    <n v="0.94559000000000004"/>
    <n v="0.91952"/>
    <n v="521.4"/>
  </r>
  <r>
    <x v="10"/>
    <x v="60"/>
    <x v="13"/>
    <n v="0.93837000000000004"/>
    <n v="0.89344999999999997"/>
    <n v="0.94559000000000004"/>
    <n v="0.91952"/>
    <n v="521.4"/>
  </r>
  <r>
    <x v="10"/>
    <x v="60"/>
    <x v="13"/>
    <n v="0.93837000000000004"/>
    <n v="0.89344999999999997"/>
    <n v="0.94559000000000004"/>
    <n v="0.91952"/>
    <n v="521.4"/>
  </r>
  <r>
    <x v="10"/>
    <x v="60"/>
    <x v="13"/>
    <n v="0.93837000000000004"/>
    <n v="0.89344999999999997"/>
    <n v="0.94559000000000004"/>
    <n v="0.91952"/>
    <n v="521.4"/>
  </r>
  <r>
    <x v="10"/>
    <x v="60"/>
    <x v="13"/>
    <n v="0.93837000000000004"/>
    <n v="0.89344999999999997"/>
    <n v="0.94559000000000004"/>
    <n v="0.91952"/>
    <n v="521.4"/>
  </r>
  <r>
    <x v="10"/>
    <x v="60"/>
    <x v="13"/>
    <n v="0.93837000000000004"/>
    <n v="0.89344999999999997"/>
    <n v="0.94559000000000004"/>
    <n v="0.91952"/>
    <n v="521.4"/>
  </r>
  <r>
    <x v="10"/>
    <x v="60"/>
    <x v="13"/>
    <n v="0.93837000000000004"/>
    <n v="0.89344999999999997"/>
    <n v="0.94559000000000004"/>
    <n v="0.91952"/>
    <n v="521.4"/>
  </r>
  <r>
    <x v="10"/>
    <x v="60"/>
    <x v="13"/>
    <n v="0.93837000000000004"/>
    <n v="0.89344999999999997"/>
    <n v="0.94559000000000004"/>
    <n v="0.91952"/>
    <n v="521.4"/>
  </r>
  <r>
    <x v="10"/>
    <x v="60"/>
    <x v="13"/>
    <n v="0.93837000000000004"/>
    <n v="0.89344999999999997"/>
    <n v="0.94559000000000004"/>
    <n v="0.91952"/>
    <n v="521.4"/>
  </r>
  <r>
    <x v="10"/>
    <x v="60"/>
    <x v="13"/>
    <n v="0.93837000000000004"/>
    <n v="0.89344999999999997"/>
    <n v="0.94559000000000004"/>
    <n v="0.91952"/>
    <n v="521.4"/>
  </r>
  <r>
    <x v="10"/>
    <x v="60"/>
    <x v="13"/>
    <n v="0.93837000000000004"/>
    <n v="0.89344999999999997"/>
    <n v="0.94559000000000004"/>
    <n v="0.91952"/>
    <n v="521.4"/>
  </r>
  <r>
    <x v="10"/>
    <x v="60"/>
    <x v="13"/>
    <n v="0.93837000000000004"/>
    <n v="0.89344999999999997"/>
    <n v="0.94559000000000004"/>
    <n v="0.91952"/>
    <n v="521.4"/>
  </r>
  <r>
    <x v="10"/>
    <x v="60"/>
    <x v="13"/>
    <n v="0.93837000000000004"/>
    <n v="0.89344999999999997"/>
    <n v="0.94559000000000004"/>
    <n v="0.91952"/>
    <n v="521.4"/>
  </r>
  <r>
    <x v="10"/>
    <x v="60"/>
    <x v="13"/>
    <n v="0.93837000000000004"/>
    <n v="0.89344999999999997"/>
    <n v="0.94559000000000004"/>
    <n v="0.91952"/>
    <n v="521.4"/>
  </r>
  <r>
    <x v="10"/>
    <x v="60"/>
    <x v="13"/>
    <n v="0.93837000000000004"/>
    <n v="0.89344999999999997"/>
    <n v="0.94559000000000004"/>
    <n v="0.91952"/>
    <n v="521.4"/>
  </r>
  <r>
    <x v="10"/>
    <x v="60"/>
    <x v="12"/>
    <n v="94.78"/>
    <n v="90.8"/>
    <n v="95"/>
    <n v="92.9"/>
    <n v="420"/>
  </r>
  <r>
    <x v="10"/>
    <x v="60"/>
    <x v="12"/>
    <n v="94.78"/>
    <n v="90.8"/>
    <n v="95"/>
    <n v="92.9"/>
    <n v="420"/>
  </r>
  <r>
    <x v="10"/>
    <x v="60"/>
    <x v="12"/>
    <n v="94.78"/>
    <n v="90.8"/>
    <n v="95"/>
    <n v="92.9"/>
    <n v="420"/>
  </r>
  <r>
    <x v="10"/>
    <x v="60"/>
    <x v="12"/>
    <n v="94.78"/>
    <n v="90.8"/>
    <n v="95"/>
    <n v="92.9"/>
    <n v="420"/>
  </r>
  <r>
    <x v="10"/>
    <x v="60"/>
    <x v="12"/>
    <n v="94.78"/>
    <n v="90.8"/>
    <n v="95"/>
    <n v="92.9"/>
    <n v="420"/>
  </r>
  <r>
    <x v="10"/>
    <x v="60"/>
    <x v="12"/>
    <n v="94.78"/>
    <n v="90.8"/>
    <n v="95"/>
    <n v="92.9"/>
    <n v="420"/>
  </r>
  <r>
    <x v="10"/>
    <x v="60"/>
    <x v="12"/>
    <n v="94.78"/>
    <n v="90.8"/>
    <n v="95"/>
    <n v="92.9"/>
    <n v="420"/>
  </r>
  <r>
    <x v="10"/>
    <x v="60"/>
    <x v="12"/>
    <n v="94.78"/>
    <n v="90.8"/>
    <n v="95"/>
    <n v="92.9"/>
    <n v="420"/>
  </r>
  <r>
    <x v="10"/>
    <x v="60"/>
    <x v="12"/>
    <n v="94.78"/>
    <n v="90.8"/>
    <n v="95"/>
    <n v="92.9"/>
    <n v="420"/>
  </r>
  <r>
    <x v="10"/>
    <x v="60"/>
    <x v="12"/>
    <n v="94.78"/>
    <n v="90.8"/>
    <n v="95"/>
    <n v="92.9"/>
    <n v="420"/>
  </r>
  <r>
    <x v="10"/>
    <x v="60"/>
    <x v="12"/>
    <n v="94.78"/>
    <n v="90.8"/>
    <n v="95"/>
    <n v="92.9"/>
    <n v="420"/>
  </r>
  <r>
    <x v="10"/>
    <x v="60"/>
    <x v="12"/>
    <n v="94.78"/>
    <n v="90.8"/>
    <n v="95"/>
    <n v="92.9"/>
    <n v="420"/>
  </r>
  <r>
    <x v="10"/>
    <x v="60"/>
    <x v="12"/>
    <n v="94.78"/>
    <n v="90.8"/>
    <n v="95"/>
    <n v="92.9"/>
    <n v="420"/>
  </r>
  <r>
    <x v="10"/>
    <x v="60"/>
    <x v="12"/>
    <n v="94.78"/>
    <n v="90.8"/>
    <n v="95"/>
    <n v="92.9"/>
    <n v="420"/>
  </r>
  <r>
    <x v="10"/>
    <x v="60"/>
    <x v="12"/>
    <n v="94.78"/>
    <n v="90.8"/>
    <n v="95"/>
    <n v="92.9"/>
    <n v="420"/>
  </r>
  <r>
    <x v="10"/>
    <x v="60"/>
    <x v="12"/>
    <n v="94.78"/>
    <n v="90.8"/>
    <n v="95"/>
    <n v="92.9"/>
    <n v="420"/>
  </r>
  <r>
    <x v="10"/>
    <x v="60"/>
    <x v="12"/>
    <n v="94.78"/>
    <n v="90.8"/>
    <n v="95"/>
    <n v="92.9"/>
    <n v="420"/>
  </r>
  <r>
    <x v="10"/>
    <x v="60"/>
    <x v="12"/>
    <n v="94.78"/>
    <n v="90.8"/>
    <n v="95"/>
    <n v="92.9"/>
    <n v="420"/>
  </r>
  <r>
    <x v="10"/>
    <x v="60"/>
    <x v="12"/>
    <n v="94.78"/>
    <n v="90.8"/>
    <n v="95"/>
    <n v="92.9"/>
    <n v="420"/>
  </r>
  <r>
    <x v="10"/>
    <x v="60"/>
    <x v="12"/>
    <n v="94.78"/>
    <n v="90.8"/>
    <n v="95"/>
    <n v="92.9"/>
    <n v="420"/>
  </r>
  <r>
    <x v="10"/>
    <x v="60"/>
    <x v="12"/>
    <n v="94.78"/>
    <n v="90.8"/>
    <n v="95"/>
    <n v="92.9"/>
    <n v="420"/>
  </r>
  <r>
    <x v="10"/>
    <x v="60"/>
    <x v="12"/>
    <n v="94.78"/>
    <n v="90.8"/>
    <n v="95"/>
    <n v="92.9"/>
    <n v="420"/>
  </r>
  <r>
    <x v="10"/>
    <x v="60"/>
    <x v="12"/>
    <n v="94.78"/>
    <n v="90.8"/>
    <n v="95"/>
    <n v="92.9"/>
    <n v="420"/>
  </r>
  <r>
    <x v="10"/>
    <x v="60"/>
    <x v="9"/>
    <n v="0.79912000000000005"/>
    <n v="0.79600000000000004"/>
    <n v="0.84"/>
    <n v="0.81799999999999995"/>
    <n v="440"/>
  </r>
  <r>
    <x v="10"/>
    <x v="60"/>
    <x v="9"/>
    <n v="0.79912000000000005"/>
    <n v="0.79600000000000004"/>
    <n v="0.84"/>
    <n v="0.81799999999999995"/>
    <n v="440"/>
  </r>
  <r>
    <x v="10"/>
    <x v="60"/>
    <x v="9"/>
    <n v="0.79912000000000005"/>
    <n v="0.79600000000000004"/>
    <n v="0.84"/>
    <n v="0.81799999999999995"/>
    <n v="440"/>
  </r>
  <r>
    <x v="10"/>
    <x v="60"/>
    <x v="9"/>
    <n v="0.79912000000000005"/>
    <n v="0.79600000000000004"/>
    <n v="0.84"/>
    <n v="0.81799999999999995"/>
    <n v="440"/>
  </r>
  <r>
    <x v="10"/>
    <x v="60"/>
    <x v="9"/>
    <n v="0.79912000000000005"/>
    <n v="0.79600000000000004"/>
    <n v="0.84"/>
    <n v="0.81799999999999995"/>
    <n v="440"/>
  </r>
  <r>
    <x v="10"/>
    <x v="60"/>
    <x v="9"/>
    <n v="0.79912000000000005"/>
    <n v="0.79600000000000004"/>
    <n v="0.84"/>
    <n v="0.81799999999999995"/>
    <n v="440"/>
  </r>
  <r>
    <x v="10"/>
    <x v="60"/>
    <x v="9"/>
    <n v="0.79912000000000005"/>
    <n v="0.79600000000000004"/>
    <n v="0.84"/>
    <n v="0.81799999999999995"/>
    <n v="440"/>
  </r>
  <r>
    <x v="10"/>
    <x v="60"/>
    <x v="9"/>
    <n v="0.79912000000000005"/>
    <n v="0.79600000000000004"/>
    <n v="0.84"/>
    <n v="0.81799999999999995"/>
    <n v="440"/>
  </r>
  <r>
    <x v="10"/>
    <x v="60"/>
    <x v="9"/>
    <n v="0.79912000000000005"/>
    <n v="0.79600000000000004"/>
    <n v="0.84"/>
    <n v="0.81799999999999995"/>
    <n v="440"/>
  </r>
  <r>
    <x v="10"/>
    <x v="60"/>
    <x v="9"/>
    <n v="0.79912000000000005"/>
    <n v="0.79600000000000004"/>
    <n v="0.84"/>
    <n v="0.81799999999999995"/>
    <n v="440"/>
  </r>
  <r>
    <x v="10"/>
    <x v="60"/>
    <x v="9"/>
    <n v="0.79912000000000005"/>
    <n v="0.79600000000000004"/>
    <n v="0.84"/>
    <n v="0.81799999999999995"/>
    <n v="440"/>
  </r>
  <r>
    <x v="10"/>
    <x v="60"/>
    <x v="9"/>
    <n v="0.79912000000000005"/>
    <n v="0.79600000000000004"/>
    <n v="0.84"/>
    <n v="0.81799999999999995"/>
    <n v="440"/>
  </r>
  <r>
    <x v="10"/>
    <x v="60"/>
    <x v="9"/>
    <n v="0.79912000000000005"/>
    <n v="0.79600000000000004"/>
    <n v="0.84"/>
    <n v="0.81799999999999995"/>
    <n v="440"/>
  </r>
  <r>
    <x v="10"/>
    <x v="26"/>
    <x v="9"/>
    <n v="0.79998000000000002"/>
    <n v="0.79600000000000004"/>
    <n v="0.84"/>
    <n v="0.81799999999999995"/>
    <n v="440"/>
  </r>
  <r>
    <x v="10"/>
    <x v="26"/>
    <x v="9"/>
    <n v="0.79998000000000002"/>
    <n v="0.79600000000000004"/>
    <n v="0.84"/>
    <n v="0.81799999999999995"/>
    <n v="440"/>
  </r>
  <r>
    <x v="10"/>
    <x v="26"/>
    <x v="9"/>
    <n v="0.79998000000000002"/>
    <n v="0.79600000000000004"/>
    <n v="0.84"/>
    <n v="0.81799999999999995"/>
    <n v="440"/>
  </r>
  <r>
    <x v="10"/>
    <x v="26"/>
    <x v="9"/>
    <n v="0.79998000000000002"/>
    <n v="0.79600000000000004"/>
    <n v="0.84"/>
    <n v="0.81799999999999995"/>
    <n v="440"/>
  </r>
  <r>
    <x v="10"/>
    <x v="26"/>
    <x v="9"/>
    <n v="0.79998000000000002"/>
    <n v="0.79600000000000004"/>
    <n v="0.84"/>
    <n v="0.81799999999999995"/>
    <n v="440"/>
  </r>
  <r>
    <x v="10"/>
    <x v="26"/>
    <x v="9"/>
    <n v="0.79998000000000002"/>
    <n v="0.79600000000000004"/>
    <n v="0.84"/>
    <n v="0.81799999999999995"/>
    <n v="440"/>
  </r>
  <r>
    <x v="10"/>
    <x v="26"/>
    <x v="9"/>
    <n v="0.79998000000000002"/>
    <n v="0.79600000000000004"/>
    <n v="0.84"/>
    <n v="0.81799999999999995"/>
    <n v="440"/>
  </r>
  <r>
    <x v="10"/>
    <x v="26"/>
    <x v="9"/>
    <n v="0.79998000000000002"/>
    <n v="0.79600000000000004"/>
    <n v="0.84"/>
    <n v="0.81799999999999995"/>
    <n v="440"/>
  </r>
  <r>
    <x v="10"/>
    <x v="26"/>
    <x v="9"/>
    <n v="0.79998000000000002"/>
    <n v="0.79600000000000004"/>
    <n v="0.84"/>
    <n v="0.81799999999999995"/>
    <n v="440"/>
  </r>
  <r>
    <x v="10"/>
    <x v="26"/>
    <x v="9"/>
    <n v="0.79998000000000002"/>
    <n v="0.79600000000000004"/>
    <n v="0.84"/>
    <n v="0.81799999999999995"/>
    <n v="440"/>
  </r>
  <r>
    <x v="10"/>
    <x v="26"/>
    <x v="9"/>
    <n v="0.79998000000000002"/>
    <n v="0.79600000000000004"/>
    <n v="0.84"/>
    <n v="0.81799999999999995"/>
    <n v="440"/>
  </r>
  <r>
    <x v="10"/>
    <x v="26"/>
    <x v="9"/>
    <n v="0.79998000000000002"/>
    <n v="0.79600000000000004"/>
    <n v="0.84"/>
    <n v="0.81799999999999995"/>
    <n v="440"/>
  </r>
  <r>
    <x v="10"/>
    <x v="26"/>
    <x v="13"/>
    <n v="0.94245999999999996"/>
    <n v="0.89344999999999997"/>
    <n v="0.94559000000000004"/>
    <n v="0.91952"/>
    <n v="521.4"/>
  </r>
  <r>
    <x v="10"/>
    <x v="26"/>
    <x v="13"/>
    <n v="0.94245999999999996"/>
    <n v="0.89344999999999997"/>
    <n v="0.94559000000000004"/>
    <n v="0.91952"/>
    <n v="521.4"/>
  </r>
  <r>
    <x v="10"/>
    <x v="26"/>
    <x v="13"/>
    <n v="0.94245999999999996"/>
    <n v="0.89344999999999997"/>
    <n v="0.94559000000000004"/>
    <n v="0.91952"/>
    <n v="521.4"/>
  </r>
  <r>
    <x v="10"/>
    <x v="26"/>
    <x v="13"/>
    <n v="0.94245999999999996"/>
    <n v="0.89344999999999997"/>
    <n v="0.94559000000000004"/>
    <n v="0.91952"/>
    <n v="521.4"/>
  </r>
  <r>
    <x v="10"/>
    <x v="26"/>
    <x v="13"/>
    <n v="0.94245999999999996"/>
    <n v="0.89344999999999997"/>
    <n v="0.94559000000000004"/>
    <n v="0.91952"/>
    <n v="521.4"/>
  </r>
  <r>
    <x v="10"/>
    <x v="26"/>
    <x v="13"/>
    <n v="0.94245999999999996"/>
    <n v="0.89344999999999997"/>
    <n v="0.94559000000000004"/>
    <n v="0.91952"/>
    <n v="521.4"/>
  </r>
  <r>
    <x v="10"/>
    <x v="26"/>
    <x v="13"/>
    <n v="0.94245999999999996"/>
    <n v="0.89344999999999997"/>
    <n v="0.94559000000000004"/>
    <n v="0.91952"/>
    <n v="521.4"/>
  </r>
  <r>
    <x v="10"/>
    <x v="26"/>
    <x v="13"/>
    <n v="0.94245999999999996"/>
    <n v="0.89344999999999997"/>
    <n v="0.94559000000000004"/>
    <n v="0.91952"/>
    <n v="521.4"/>
  </r>
  <r>
    <x v="10"/>
    <x v="26"/>
    <x v="13"/>
    <n v="0.94245999999999996"/>
    <n v="0.89344999999999997"/>
    <n v="0.94559000000000004"/>
    <n v="0.91952"/>
    <n v="521.4"/>
  </r>
  <r>
    <x v="10"/>
    <x v="26"/>
    <x v="13"/>
    <n v="0.94245999999999996"/>
    <n v="0.89344999999999997"/>
    <n v="0.94559000000000004"/>
    <n v="0.91952"/>
    <n v="521.4"/>
  </r>
  <r>
    <x v="10"/>
    <x v="26"/>
    <x v="13"/>
    <n v="0.94245999999999996"/>
    <n v="0.89344999999999997"/>
    <n v="0.94559000000000004"/>
    <n v="0.91952"/>
    <n v="521.4"/>
  </r>
  <r>
    <x v="10"/>
    <x v="26"/>
    <x v="13"/>
    <n v="0.94245999999999996"/>
    <n v="0.89344999999999997"/>
    <n v="0.94559000000000004"/>
    <n v="0.91952"/>
    <n v="521.4"/>
  </r>
  <r>
    <x v="10"/>
    <x v="26"/>
    <x v="13"/>
    <n v="0.94245999999999996"/>
    <n v="0.89344999999999997"/>
    <n v="0.94559000000000004"/>
    <n v="0.91952"/>
    <n v="521.4"/>
  </r>
  <r>
    <x v="10"/>
    <x v="26"/>
    <x v="13"/>
    <n v="0.94245999999999996"/>
    <n v="0.89344999999999997"/>
    <n v="0.94559000000000004"/>
    <n v="0.91952"/>
    <n v="521.4"/>
  </r>
  <r>
    <x v="10"/>
    <x v="26"/>
    <x v="13"/>
    <n v="0.94245999999999996"/>
    <n v="0.89344999999999997"/>
    <n v="0.94559000000000004"/>
    <n v="0.91952"/>
    <n v="521.4"/>
  </r>
  <r>
    <x v="10"/>
    <x v="26"/>
    <x v="13"/>
    <n v="0.94245999999999996"/>
    <n v="0.89344999999999997"/>
    <n v="0.94559000000000004"/>
    <n v="0.91952"/>
    <n v="521.4"/>
  </r>
  <r>
    <x v="10"/>
    <x v="26"/>
    <x v="13"/>
    <n v="0.94245999999999996"/>
    <n v="0.89344999999999997"/>
    <n v="0.94559000000000004"/>
    <n v="0.91952"/>
    <n v="521.4"/>
  </r>
  <r>
    <x v="10"/>
    <x v="26"/>
    <x v="13"/>
    <n v="0.94245999999999996"/>
    <n v="0.89344999999999997"/>
    <n v="0.94559000000000004"/>
    <n v="0.91952"/>
    <n v="521.4"/>
  </r>
  <r>
    <x v="10"/>
    <x v="26"/>
    <x v="13"/>
    <n v="0.94245999999999996"/>
    <n v="0.89344999999999997"/>
    <n v="0.94559000000000004"/>
    <n v="0.91952"/>
    <n v="521.4"/>
  </r>
  <r>
    <x v="10"/>
    <x v="26"/>
    <x v="13"/>
    <n v="0.94245999999999996"/>
    <n v="0.89344999999999997"/>
    <n v="0.94559000000000004"/>
    <n v="0.91952"/>
    <n v="521.4"/>
  </r>
  <r>
    <x v="10"/>
    <x v="26"/>
    <x v="13"/>
    <n v="0.94245999999999996"/>
    <n v="0.89344999999999997"/>
    <n v="0.94559000000000004"/>
    <n v="0.91952"/>
    <n v="521.4"/>
  </r>
  <r>
    <x v="10"/>
    <x v="26"/>
    <x v="13"/>
    <n v="0.94245999999999996"/>
    <n v="0.89344999999999997"/>
    <n v="0.94559000000000004"/>
    <n v="0.91952"/>
    <n v="521.4"/>
  </r>
  <r>
    <x v="10"/>
    <x v="26"/>
    <x v="13"/>
    <n v="0.94245999999999996"/>
    <n v="0.89344999999999997"/>
    <n v="0.94559000000000004"/>
    <n v="0.91952"/>
    <n v="521.4"/>
  </r>
  <r>
    <x v="10"/>
    <x v="26"/>
    <x v="13"/>
    <n v="0.94245999999999996"/>
    <n v="0.89344999999999997"/>
    <n v="0.94559000000000004"/>
    <n v="0.91952"/>
    <n v="521.4"/>
  </r>
  <r>
    <x v="10"/>
    <x v="26"/>
    <x v="13"/>
    <n v="0.94245999999999996"/>
    <n v="0.89344999999999997"/>
    <n v="0.94559000000000004"/>
    <n v="0.91952"/>
    <n v="521.4"/>
  </r>
  <r>
    <x v="10"/>
    <x v="26"/>
    <x v="13"/>
    <n v="0.94245999999999996"/>
    <n v="0.89344999999999997"/>
    <n v="0.94559000000000004"/>
    <n v="0.91952"/>
    <n v="521.4"/>
  </r>
  <r>
    <x v="10"/>
    <x v="26"/>
    <x v="13"/>
    <n v="0.94245999999999996"/>
    <n v="0.89344999999999997"/>
    <n v="0.94559000000000004"/>
    <n v="0.91952"/>
    <n v="521.4"/>
  </r>
  <r>
    <x v="10"/>
    <x v="26"/>
    <x v="13"/>
    <n v="0.94245999999999996"/>
    <n v="0.89344999999999997"/>
    <n v="0.94559000000000004"/>
    <n v="0.91952"/>
    <n v="521.4"/>
  </r>
  <r>
    <x v="10"/>
    <x v="26"/>
    <x v="12"/>
    <n v="95.022000000000006"/>
    <n v="90.8"/>
    <n v="95.2"/>
    <n v="93"/>
    <n v="440"/>
  </r>
  <r>
    <x v="10"/>
    <x v="26"/>
    <x v="12"/>
    <n v="95.022000000000006"/>
    <n v="90.8"/>
    <n v="95.2"/>
    <n v="93"/>
    <n v="440"/>
  </r>
  <r>
    <x v="10"/>
    <x v="26"/>
    <x v="12"/>
    <n v="95.022000000000006"/>
    <n v="90.8"/>
    <n v="95.2"/>
    <n v="93"/>
    <n v="440"/>
  </r>
  <r>
    <x v="10"/>
    <x v="26"/>
    <x v="12"/>
    <n v="95.022000000000006"/>
    <n v="90.8"/>
    <n v="95.2"/>
    <n v="93"/>
    <n v="440"/>
  </r>
  <r>
    <x v="10"/>
    <x v="26"/>
    <x v="12"/>
    <n v="95.022000000000006"/>
    <n v="90.8"/>
    <n v="95.2"/>
    <n v="93"/>
    <n v="440"/>
  </r>
  <r>
    <x v="10"/>
    <x v="26"/>
    <x v="12"/>
    <n v="95.022000000000006"/>
    <n v="90.8"/>
    <n v="95.2"/>
    <n v="93"/>
    <n v="440"/>
  </r>
  <r>
    <x v="10"/>
    <x v="26"/>
    <x v="12"/>
    <n v="95.022000000000006"/>
    <n v="90.8"/>
    <n v="95.2"/>
    <n v="93"/>
    <n v="440"/>
  </r>
  <r>
    <x v="10"/>
    <x v="26"/>
    <x v="12"/>
    <n v="95.022000000000006"/>
    <n v="90.8"/>
    <n v="95.2"/>
    <n v="93"/>
    <n v="440"/>
  </r>
  <r>
    <x v="10"/>
    <x v="26"/>
    <x v="12"/>
    <n v="95.022000000000006"/>
    <n v="90.8"/>
    <n v="95.2"/>
    <n v="93"/>
    <n v="440"/>
  </r>
  <r>
    <x v="10"/>
    <x v="26"/>
    <x v="12"/>
    <n v="95.022000000000006"/>
    <n v="90.8"/>
    <n v="95.2"/>
    <n v="93"/>
    <n v="440"/>
  </r>
  <r>
    <x v="10"/>
    <x v="26"/>
    <x v="12"/>
    <n v="95.022000000000006"/>
    <n v="90.8"/>
    <n v="95.2"/>
    <n v="93"/>
    <n v="440"/>
  </r>
  <r>
    <x v="10"/>
    <x v="26"/>
    <x v="12"/>
    <n v="95.022000000000006"/>
    <n v="90.8"/>
    <n v="95.2"/>
    <n v="93"/>
    <n v="440"/>
  </r>
  <r>
    <x v="10"/>
    <x v="26"/>
    <x v="12"/>
    <n v="95.022000000000006"/>
    <n v="90.8"/>
    <n v="95.2"/>
    <n v="93"/>
    <n v="440"/>
  </r>
  <r>
    <x v="10"/>
    <x v="26"/>
    <x v="12"/>
    <n v="95.022000000000006"/>
    <n v="90.8"/>
    <n v="95.2"/>
    <n v="93"/>
    <n v="440"/>
  </r>
  <r>
    <x v="10"/>
    <x v="26"/>
    <x v="12"/>
    <n v="95.022000000000006"/>
    <n v="90.8"/>
    <n v="95.2"/>
    <n v="93"/>
    <n v="440"/>
  </r>
  <r>
    <x v="10"/>
    <x v="26"/>
    <x v="12"/>
    <n v="95.022000000000006"/>
    <n v="90.8"/>
    <n v="95.2"/>
    <n v="93"/>
    <n v="440"/>
  </r>
  <r>
    <x v="10"/>
    <x v="26"/>
    <x v="12"/>
    <n v="95.022000000000006"/>
    <n v="90.8"/>
    <n v="95.2"/>
    <n v="93"/>
    <n v="440"/>
  </r>
  <r>
    <x v="10"/>
    <x v="26"/>
    <x v="12"/>
    <n v="95.022000000000006"/>
    <n v="90.8"/>
    <n v="95.2"/>
    <n v="93"/>
    <n v="440"/>
  </r>
  <r>
    <x v="10"/>
    <x v="26"/>
    <x v="12"/>
    <n v="95.022000000000006"/>
    <n v="90.8"/>
    <n v="95.2"/>
    <n v="93"/>
    <n v="440"/>
  </r>
  <r>
    <x v="10"/>
    <x v="26"/>
    <x v="12"/>
    <n v="95.022000000000006"/>
    <n v="90.8"/>
    <n v="95.2"/>
    <n v="93"/>
    <n v="440"/>
  </r>
  <r>
    <x v="10"/>
    <x v="26"/>
    <x v="12"/>
    <n v="95.022000000000006"/>
    <n v="90.8"/>
    <n v="95.2"/>
    <n v="93"/>
    <n v="440"/>
  </r>
  <r>
    <x v="10"/>
    <x v="26"/>
    <x v="12"/>
    <n v="95.022000000000006"/>
    <n v="90.8"/>
    <n v="95.2"/>
    <n v="93"/>
    <n v="440"/>
  </r>
  <r>
    <x v="10"/>
    <x v="26"/>
    <x v="12"/>
    <n v="95.022000000000006"/>
    <n v="90.8"/>
    <n v="95.2"/>
    <n v="93"/>
    <n v="440"/>
  </r>
  <r>
    <x v="10"/>
    <x v="26"/>
    <x v="12"/>
    <n v="95.022000000000006"/>
    <n v="90.8"/>
    <n v="95.2"/>
    <n v="93"/>
    <n v="440"/>
  </r>
  <r>
    <x v="10"/>
    <x v="26"/>
    <x v="9"/>
    <n v="0.79998000000000002"/>
    <n v="0.79600000000000004"/>
    <n v="0.84"/>
    <n v="0.81799999999999995"/>
    <n v="440"/>
  </r>
  <r>
    <x v="10"/>
    <x v="26"/>
    <x v="9"/>
    <n v="0.79998000000000002"/>
    <n v="0.79600000000000004"/>
    <n v="0.84"/>
    <n v="0.81799999999999995"/>
    <n v="440"/>
  </r>
  <r>
    <x v="10"/>
    <x v="26"/>
    <x v="9"/>
    <n v="0.79998000000000002"/>
    <n v="0.79600000000000004"/>
    <n v="0.84"/>
    <n v="0.81799999999999995"/>
    <n v="440"/>
  </r>
  <r>
    <x v="10"/>
    <x v="26"/>
    <x v="9"/>
    <n v="0.79998000000000002"/>
    <n v="0.79600000000000004"/>
    <n v="0.84"/>
    <n v="0.81799999999999995"/>
    <n v="440"/>
  </r>
  <r>
    <x v="10"/>
    <x v="26"/>
    <x v="9"/>
    <n v="0.79998000000000002"/>
    <n v="0.79600000000000004"/>
    <n v="0.84"/>
    <n v="0.81799999999999995"/>
    <n v="440"/>
  </r>
  <r>
    <x v="10"/>
    <x v="26"/>
    <x v="9"/>
    <n v="0.79998000000000002"/>
    <n v="0.79600000000000004"/>
    <n v="0.84"/>
    <n v="0.81799999999999995"/>
    <n v="440"/>
  </r>
  <r>
    <x v="10"/>
    <x v="26"/>
    <x v="9"/>
    <n v="0.79998000000000002"/>
    <n v="0.79600000000000004"/>
    <n v="0.84"/>
    <n v="0.81799999999999995"/>
    <n v="440"/>
  </r>
  <r>
    <x v="10"/>
    <x v="26"/>
    <x v="9"/>
    <n v="0.79998000000000002"/>
    <n v="0.79600000000000004"/>
    <n v="0.84"/>
    <n v="0.81799999999999995"/>
    <n v="440"/>
  </r>
  <r>
    <x v="10"/>
    <x v="26"/>
    <x v="9"/>
    <n v="0.79998000000000002"/>
    <n v="0.79600000000000004"/>
    <n v="0.84"/>
    <n v="0.81799999999999995"/>
    <n v="440"/>
  </r>
  <r>
    <x v="10"/>
    <x v="26"/>
    <x v="9"/>
    <n v="0.79998000000000002"/>
    <n v="0.79600000000000004"/>
    <n v="0.84"/>
    <n v="0.81799999999999995"/>
    <n v="440"/>
  </r>
  <r>
    <x v="10"/>
    <x v="26"/>
    <x v="9"/>
    <n v="0.79998000000000002"/>
    <n v="0.79600000000000004"/>
    <n v="0.84"/>
    <n v="0.81799999999999995"/>
    <n v="440"/>
  </r>
  <r>
    <x v="10"/>
    <x v="26"/>
    <x v="9"/>
    <n v="0.79998000000000002"/>
    <n v="0.79600000000000004"/>
    <n v="0.84"/>
    <n v="0.81799999999999995"/>
    <n v="440"/>
  </r>
  <r>
    <x v="10"/>
    <x v="0"/>
    <x v="9"/>
    <n v="0.79191999999999996"/>
    <n v="0.79198000000000002"/>
    <n v="0.84"/>
    <n v="0.81598999999999999"/>
    <n v="480.2"/>
  </r>
  <r>
    <x v="10"/>
    <x v="0"/>
    <x v="9"/>
    <n v="0.79191999999999996"/>
    <n v="0.79198000000000002"/>
    <n v="0.84"/>
    <n v="0.81598999999999999"/>
    <n v="480.2"/>
  </r>
  <r>
    <x v="10"/>
    <x v="0"/>
    <x v="9"/>
    <n v="0.79191999999999996"/>
    <n v="0.79198000000000002"/>
    <n v="0.84"/>
    <n v="0.81598999999999999"/>
    <n v="480.2"/>
  </r>
  <r>
    <x v="10"/>
    <x v="0"/>
    <x v="9"/>
    <n v="0.79191999999999996"/>
    <n v="0.79198000000000002"/>
    <n v="0.84"/>
    <n v="0.81598999999999999"/>
    <n v="480.2"/>
  </r>
  <r>
    <x v="10"/>
    <x v="0"/>
    <x v="9"/>
    <n v="0.79191999999999996"/>
    <n v="0.79198000000000002"/>
    <n v="0.84"/>
    <n v="0.81598999999999999"/>
    <n v="480.2"/>
  </r>
  <r>
    <x v="10"/>
    <x v="0"/>
    <x v="9"/>
    <n v="0.79191999999999996"/>
    <n v="0.79198000000000002"/>
    <n v="0.84"/>
    <n v="0.81598999999999999"/>
    <n v="480.2"/>
  </r>
  <r>
    <x v="10"/>
    <x v="0"/>
    <x v="9"/>
    <n v="0.79191999999999996"/>
    <n v="0.79198000000000002"/>
    <n v="0.84"/>
    <n v="0.81598999999999999"/>
    <n v="480.2"/>
  </r>
  <r>
    <x v="10"/>
    <x v="0"/>
    <x v="9"/>
    <n v="0.79191999999999996"/>
    <n v="0.79198000000000002"/>
    <n v="0.84"/>
    <n v="0.81598999999999999"/>
    <n v="480.2"/>
  </r>
  <r>
    <x v="10"/>
    <x v="0"/>
    <x v="9"/>
    <n v="0.79191999999999996"/>
    <n v="0.79198000000000002"/>
    <n v="0.84"/>
    <n v="0.81598999999999999"/>
    <n v="480.2"/>
  </r>
  <r>
    <x v="10"/>
    <x v="0"/>
    <x v="9"/>
    <n v="0.79191999999999996"/>
    <n v="0.79198000000000002"/>
    <n v="0.84"/>
    <n v="0.81598999999999999"/>
    <n v="480.2"/>
  </r>
  <r>
    <x v="10"/>
    <x v="0"/>
    <x v="9"/>
    <n v="0.79191999999999996"/>
    <n v="0.79198000000000002"/>
    <n v="0.84"/>
    <n v="0.81598999999999999"/>
    <n v="480.2"/>
  </r>
  <r>
    <x v="10"/>
    <x v="0"/>
    <x v="9"/>
    <n v="0.79191999999999996"/>
    <n v="0.79198000000000002"/>
    <n v="0.84"/>
    <n v="0.81598999999999999"/>
    <n v="480.2"/>
  </r>
  <r>
    <x v="10"/>
    <x v="0"/>
    <x v="9"/>
    <n v="0.79191999999999996"/>
    <n v="0.79198000000000002"/>
    <n v="0.84"/>
    <n v="0.81598999999999999"/>
    <n v="480.2"/>
  </r>
  <r>
    <x v="10"/>
    <x v="0"/>
    <x v="9"/>
    <n v="0.79191999999999996"/>
    <n v="0.79198000000000002"/>
    <n v="0.84"/>
    <n v="0.81598999999999999"/>
    <n v="480.2"/>
  </r>
  <r>
    <x v="10"/>
    <x v="0"/>
    <x v="9"/>
    <n v="0.79191999999999996"/>
    <n v="0.79198000000000002"/>
    <n v="0.84"/>
    <n v="0.81598999999999999"/>
    <n v="480.2"/>
  </r>
  <r>
    <x v="10"/>
    <x v="0"/>
    <x v="9"/>
    <n v="0.79191999999999996"/>
    <n v="0.79198000000000002"/>
    <n v="0.84"/>
    <n v="0.81598999999999999"/>
    <n v="480.2"/>
  </r>
  <r>
    <x v="10"/>
    <x v="0"/>
    <x v="9"/>
    <n v="0.79191999999999996"/>
    <n v="0.79198000000000002"/>
    <n v="0.84"/>
    <n v="0.81598999999999999"/>
    <n v="480.2"/>
  </r>
  <r>
    <x v="10"/>
    <x v="0"/>
    <x v="9"/>
    <n v="0.79191999999999996"/>
    <n v="0.79198000000000002"/>
    <n v="0.84"/>
    <n v="0.81598999999999999"/>
    <n v="480.2"/>
  </r>
  <r>
    <x v="10"/>
    <x v="0"/>
    <x v="9"/>
    <n v="0.79191999999999996"/>
    <n v="0.79198000000000002"/>
    <n v="0.84"/>
    <n v="0.81598999999999999"/>
    <n v="480.2"/>
  </r>
  <r>
    <x v="10"/>
    <x v="0"/>
    <x v="9"/>
    <n v="0.79191999999999996"/>
    <n v="0.79198000000000002"/>
    <n v="0.84"/>
    <n v="0.81598999999999999"/>
    <n v="480.2"/>
  </r>
  <r>
    <x v="10"/>
    <x v="0"/>
    <x v="9"/>
    <n v="0.79191999999999996"/>
    <n v="0.79198000000000002"/>
    <n v="0.84"/>
    <n v="0.81598999999999999"/>
    <n v="480.2"/>
  </r>
  <r>
    <x v="10"/>
    <x v="0"/>
    <x v="9"/>
    <n v="0.79191999999999996"/>
    <n v="0.79198000000000002"/>
    <n v="0.84"/>
    <n v="0.81598999999999999"/>
    <n v="480.2"/>
  </r>
  <r>
    <x v="10"/>
    <x v="0"/>
    <x v="9"/>
    <n v="0.79191999999999996"/>
    <n v="0.79198000000000002"/>
    <n v="0.84"/>
    <n v="0.81598999999999999"/>
    <n v="480.2"/>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3"/>
    <n v="0.93584000000000001"/>
    <n v="0.89344999999999997"/>
    <n v="0.94952999999999999"/>
    <n v="0.92149000000000003"/>
    <n v="560.79999999999995"/>
  </r>
  <r>
    <x v="10"/>
    <x v="0"/>
    <x v="12"/>
    <n v="95.784000000000006"/>
    <n v="90.8"/>
    <n v="96.2"/>
    <n v="93.5"/>
    <n v="540"/>
  </r>
  <r>
    <x v="10"/>
    <x v="0"/>
    <x v="12"/>
    <n v="95.784000000000006"/>
    <n v="90.8"/>
    <n v="96.2"/>
    <n v="93.5"/>
    <n v="540"/>
  </r>
  <r>
    <x v="10"/>
    <x v="0"/>
    <x v="12"/>
    <n v="95.784000000000006"/>
    <n v="90.8"/>
    <n v="96.2"/>
    <n v="93.5"/>
    <n v="540"/>
  </r>
  <r>
    <x v="10"/>
    <x v="0"/>
    <x v="12"/>
    <n v="95.784000000000006"/>
    <n v="90.8"/>
    <n v="96.2"/>
    <n v="93.5"/>
    <n v="540"/>
  </r>
  <r>
    <x v="10"/>
    <x v="0"/>
    <x v="12"/>
    <n v="95.784000000000006"/>
    <n v="90.8"/>
    <n v="96.2"/>
    <n v="93.5"/>
    <n v="540"/>
  </r>
  <r>
    <x v="10"/>
    <x v="0"/>
    <x v="12"/>
    <n v="95.784000000000006"/>
    <n v="90.8"/>
    <n v="96.2"/>
    <n v="93.5"/>
    <n v="540"/>
  </r>
  <r>
    <x v="10"/>
    <x v="0"/>
    <x v="12"/>
    <n v="95.784000000000006"/>
    <n v="90.8"/>
    <n v="96.2"/>
    <n v="93.5"/>
    <n v="540"/>
  </r>
  <r>
    <x v="10"/>
    <x v="0"/>
    <x v="12"/>
    <n v="95.784000000000006"/>
    <n v="90.8"/>
    <n v="96.2"/>
    <n v="93.5"/>
    <n v="540"/>
  </r>
  <r>
    <x v="10"/>
    <x v="0"/>
    <x v="12"/>
    <n v="95.784000000000006"/>
    <n v="90.8"/>
    <n v="96.2"/>
    <n v="93.5"/>
    <n v="540"/>
  </r>
  <r>
    <x v="10"/>
    <x v="0"/>
    <x v="12"/>
    <n v="95.784000000000006"/>
    <n v="90.8"/>
    <n v="96.2"/>
    <n v="93.5"/>
    <n v="540"/>
  </r>
  <r>
    <x v="10"/>
    <x v="0"/>
    <x v="12"/>
    <n v="95.784000000000006"/>
    <n v="90.8"/>
    <n v="96.2"/>
    <n v="93.5"/>
    <n v="540"/>
  </r>
  <r>
    <x v="10"/>
    <x v="0"/>
    <x v="12"/>
    <n v="95.784000000000006"/>
    <n v="90.8"/>
    <n v="96.2"/>
    <n v="93.5"/>
    <n v="540"/>
  </r>
  <r>
    <x v="10"/>
    <x v="0"/>
    <x v="12"/>
    <n v="95.784000000000006"/>
    <n v="90.8"/>
    <n v="96.2"/>
    <n v="93.5"/>
    <n v="540"/>
  </r>
  <r>
    <x v="10"/>
    <x v="0"/>
    <x v="12"/>
    <n v="95.784000000000006"/>
    <n v="90.8"/>
    <n v="96.2"/>
    <n v="93.5"/>
    <n v="540"/>
  </r>
  <r>
    <x v="10"/>
    <x v="0"/>
    <x v="12"/>
    <n v="95.784000000000006"/>
    <n v="90.8"/>
    <n v="96.2"/>
    <n v="93.5"/>
    <n v="540"/>
  </r>
  <r>
    <x v="10"/>
    <x v="0"/>
    <x v="12"/>
    <n v="95.784000000000006"/>
    <n v="90.8"/>
    <n v="96.2"/>
    <n v="93.5"/>
    <n v="540"/>
  </r>
  <r>
    <x v="10"/>
    <x v="0"/>
    <x v="12"/>
    <n v="95.784000000000006"/>
    <n v="90.8"/>
    <n v="96.2"/>
    <n v="93.5"/>
    <n v="540"/>
  </r>
  <r>
    <x v="10"/>
    <x v="0"/>
    <x v="12"/>
    <n v="95.784000000000006"/>
    <n v="90.8"/>
    <n v="96.2"/>
    <n v="93.5"/>
    <n v="540"/>
  </r>
  <r>
    <x v="10"/>
    <x v="0"/>
    <x v="12"/>
    <n v="95.784000000000006"/>
    <n v="90.8"/>
    <n v="96.2"/>
    <n v="93.5"/>
    <n v="540"/>
  </r>
  <r>
    <x v="10"/>
    <x v="0"/>
    <x v="12"/>
    <n v="95.784000000000006"/>
    <n v="90.8"/>
    <n v="96.2"/>
    <n v="93.5"/>
    <n v="540"/>
  </r>
  <r>
    <x v="10"/>
    <x v="0"/>
    <x v="12"/>
    <n v="95.784000000000006"/>
    <n v="90.8"/>
    <n v="96.2"/>
    <n v="93.5"/>
    <n v="540"/>
  </r>
  <r>
    <x v="10"/>
    <x v="0"/>
    <x v="12"/>
    <n v="95.784000000000006"/>
    <n v="90.8"/>
    <n v="96.2"/>
    <n v="93.5"/>
    <n v="540"/>
  </r>
  <r>
    <x v="10"/>
    <x v="0"/>
    <x v="12"/>
    <n v="95.784000000000006"/>
    <n v="90.8"/>
    <n v="96.2"/>
    <n v="93.5"/>
    <n v="540"/>
  </r>
  <r>
    <x v="10"/>
    <x v="0"/>
    <x v="12"/>
    <n v="95.784000000000006"/>
    <n v="90.8"/>
    <n v="96.2"/>
    <n v="93.5"/>
    <n v="540"/>
  </r>
  <r>
    <x v="10"/>
    <x v="0"/>
    <x v="12"/>
    <n v="95.784000000000006"/>
    <n v="90.8"/>
    <n v="96.2"/>
    <n v="93.5"/>
    <n v="540"/>
  </r>
  <r>
    <x v="10"/>
    <x v="0"/>
    <x v="12"/>
    <n v="95.784000000000006"/>
    <n v="90.8"/>
    <n v="96.2"/>
    <n v="93.5"/>
    <n v="540"/>
  </r>
  <r>
    <x v="10"/>
    <x v="0"/>
    <x v="12"/>
    <n v="95.784000000000006"/>
    <n v="90.8"/>
    <n v="96.2"/>
    <n v="93.5"/>
    <n v="540"/>
  </r>
  <r>
    <x v="10"/>
    <x v="0"/>
    <x v="12"/>
    <n v="95.784000000000006"/>
    <n v="90.8"/>
    <n v="96.2"/>
    <n v="93.5"/>
    <n v="540"/>
  </r>
  <r>
    <x v="10"/>
    <x v="0"/>
    <x v="12"/>
    <n v="95.784000000000006"/>
    <n v="90.8"/>
    <n v="96.2"/>
    <n v="93.5"/>
    <n v="540"/>
  </r>
  <r>
    <x v="10"/>
    <x v="0"/>
    <x v="9"/>
    <n v="0.79191999999999996"/>
    <n v="0.79198000000000002"/>
    <n v="0.84"/>
    <n v="0.81598999999999999"/>
    <n v="480.2"/>
  </r>
  <r>
    <x v="10"/>
    <x v="0"/>
    <x v="9"/>
    <n v="0.79191999999999996"/>
    <n v="0.79198000000000002"/>
    <n v="0.84"/>
    <n v="0.81598999999999999"/>
    <n v="480.2"/>
  </r>
  <r>
    <x v="10"/>
    <x v="0"/>
    <x v="9"/>
    <n v="0.79191999999999996"/>
    <n v="0.79198000000000002"/>
    <n v="0.84"/>
    <n v="0.81598999999999999"/>
    <n v="480.2"/>
  </r>
  <r>
    <x v="10"/>
    <x v="1"/>
    <x v="9"/>
    <n v="0.79410000000000003"/>
    <n v="0.79198000000000002"/>
    <n v="0.84"/>
    <n v="0.81598999999999999"/>
    <n v="480.2"/>
  </r>
  <r>
    <x v="10"/>
    <x v="1"/>
    <x v="9"/>
    <n v="0.79410000000000003"/>
    <n v="0.79198000000000002"/>
    <n v="0.84"/>
    <n v="0.81598999999999999"/>
    <n v="480.2"/>
  </r>
  <r>
    <x v="10"/>
    <x v="1"/>
    <x v="9"/>
    <n v="0.79410000000000003"/>
    <n v="0.79198000000000002"/>
    <n v="0.84"/>
    <n v="0.81598999999999999"/>
    <n v="480.2"/>
  </r>
  <r>
    <x v="10"/>
    <x v="1"/>
    <x v="9"/>
    <n v="0.79410000000000003"/>
    <n v="0.79198000000000002"/>
    <n v="0.84"/>
    <n v="0.81598999999999999"/>
    <n v="480.2"/>
  </r>
  <r>
    <x v="10"/>
    <x v="1"/>
    <x v="9"/>
    <n v="0.79410000000000003"/>
    <n v="0.79198000000000002"/>
    <n v="0.84"/>
    <n v="0.81598999999999999"/>
    <n v="480.2"/>
  </r>
  <r>
    <x v="10"/>
    <x v="1"/>
    <x v="9"/>
    <n v="0.79410000000000003"/>
    <n v="0.79198000000000002"/>
    <n v="0.84"/>
    <n v="0.81598999999999999"/>
    <n v="480.2"/>
  </r>
  <r>
    <x v="10"/>
    <x v="1"/>
    <x v="9"/>
    <n v="0.79410000000000003"/>
    <n v="0.79198000000000002"/>
    <n v="0.84"/>
    <n v="0.81598999999999999"/>
    <n v="480.2"/>
  </r>
  <r>
    <x v="10"/>
    <x v="1"/>
    <x v="9"/>
    <n v="0.79410000000000003"/>
    <n v="0.79198000000000002"/>
    <n v="0.84"/>
    <n v="0.81598999999999999"/>
    <n v="480.2"/>
  </r>
  <r>
    <x v="10"/>
    <x v="1"/>
    <x v="9"/>
    <n v="0.79410000000000003"/>
    <n v="0.79198000000000002"/>
    <n v="0.84"/>
    <n v="0.81598999999999999"/>
    <n v="480.2"/>
  </r>
  <r>
    <x v="10"/>
    <x v="1"/>
    <x v="9"/>
    <n v="0.79410000000000003"/>
    <n v="0.79198000000000002"/>
    <n v="0.84"/>
    <n v="0.81598999999999999"/>
    <n v="480.2"/>
  </r>
  <r>
    <x v="10"/>
    <x v="1"/>
    <x v="9"/>
    <n v="0.79410000000000003"/>
    <n v="0.79198000000000002"/>
    <n v="0.84"/>
    <n v="0.81598999999999999"/>
    <n v="480.2"/>
  </r>
  <r>
    <x v="10"/>
    <x v="1"/>
    <x v="9"/>
    <n v="0.79410000000000003"/>
    <n v="0.79198000000000002"/>
    <n v="0.84"/>
    <n v="0.81598999999999999"/>
    <n v="480.2"/>
  </r>
  <r>
    <x v="10"/>
    <x v="1"/>
    <x v="9"/>
    <n v="0.79410000000000003"/>
    <n v="0.79198000000000002"/>
    <n v="0.84"/>
    <n v="0.81598999999999999"/>
    <n v="480.2"/>
  </r>
  <r>
    <x v="10"/>
    <x v="1"/>
    <x v="9"/>
    <n v="0.79410000000000003"/>
    <n v="0.79198000000000002"/>
    <n v="0.84"/>
    <n v="0.81598999999999999"/>
    <n v="480.2"/>
  </r>
  <r>
    <x v="10"/>
    <x v="1"/>
    <x v="9"/>
    <n v="0.79410000000000003"/>
    <n v="0.79198000000000002"/>
    <n v="0.84"/>
    <n v="0.81598999999999999"/>
    <n v="480.2"/>
  </r>
  <r>
    <x v="10"/>
    <x v="1"/>
    <x v="9"/>
    <n v="0.79410000000000003"/>
    <n v="0.79198000000000002"/>
    <n v="0.84"/>
    <n v="0.81598999999999999"/>
    <n v="480.2"/>
  </r>
  <r>
    <x v="10"/>
    <x v="1"/>
    <x v="9"/>
    <n v="0.79410000000000003"/>
    <n v="0.79198000000000002"/>
    <n v="0.84"/>
    <n v="0.81598999999999999"/>
    <n v="480.2"/>
  </r>
  <r>
    <x v="10"/>
    <x v="1"/>
    <x v="9"/>
    <n v="0.79410000000000003"/>
    <n v="0.79198000000000002"/>
    <n v="0.84"/>
    <n v="0.81598999999999999"/>
    <n v="480.2"/>
  </r>
  <r>
    <x v="10"/>
    <x v="1"/>
    <x v="9"/>
    <n v="0.79410000000000003"/>
    <n v="0.79198000000000002"/>
    <n v="0.84"/>
    <n v="0.81598999999999999"/>
    <n v="480.2"/>
  </r>
  <r>
    <x v="10"/>
    <x v="1"/>
    <x v="9"/>
    <n v="0.79410000000000003"/>
    <n v="0.79198000000000002"/>
    <n v="0.84"/>
    <n v="0.81598999999999999"/>
    <n v="480.2"/>
  </r>
  <r>
    <x v="10"/>
    <x v="1"/>
    <x v="9"/>
    <n v="0.79410000000000003"/>
    <n v="0.79198000000000002"/>
    <n v="0.84"/>
    <n v="0.81598999999999999"/>
    <n v="480.2"/>
  </r>
  <r>
    <x v="10"/>
    <x v="1"/>
    <x v="9"/>
    <n v="0.79410000000000003"/>
    <n v="0.79198000000000002"/>
    <n v="0.84"/>
    <n v="0.81598999999999999"/>
    <n v="480.2"/>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3"/>
    <n v="0.93844000000000005"/>
    <n v="0.89344999999999997"/>
    <n v="0.94952999999999999"/>
    <n v="0.92149000000000003"/>
    <n v="560.79999999999995"/>
  </r>
  <r>
    <x v="10"/>
    <x v="1"/>
    <x v="12"/>
    <n v="94.269000000000005"/>
    <n v="90.8"/>
    <n v="96.2"/>
    <n v="93.5"/>
    <n v="540"/>
  </r>
  <r>
    <x v="10"/>
    <x v="1"/>
    <x v="12"/>
    <n v="94.269000000000005"/>
    <n v="90.8"/>
    <n v="96.2"/>
    <n v="93.5"/>
    <n v="540"/>
  </r>
  <r>
    <x v="10"/>
    <x v="1"/>
    <x v="12"/>
    <n v="94.269000000000005"/>
    <n v="90.8"/>
    <n v="96.2"/>
    <n v="93.5"/>
    <n v="540"/>
  </r>
  <r>
    <x v="10"/>
    <x v="1"/>
    <x v="12"/>
    <n v="94.269000000000005"/>
    <n v="90.8"/>
    <n v="96.2"/>
    <n v="93.5"/>
    <n v="540"/>
  </r>
  <r>
    <x v="10"/>
    <x v="1"/>
    <x v="12"/>
    <n v="94.269000000000005"/>
    <n v="90.8"/>
    <n v="96.2"/>
    <n v="93.5"/>
    <n v="540"/>
  </r>
  <r>
    <x v="10"/>
    <x v="1"/>
    <x v="12"/>
    <n v="94.269000000000005"/>
    <n v="90.8"/>
    <n v="96.2"/>
    <n v="93.5"/>
    <n v="540"/>
  </r>
  <r>
    <x v="10"/>
    <x v="1"/>
    <x v="12"/>
    <n v="94.269000000000005"/>
    <n v="90.8"/>
    <n v="96.2"/>
    <n v="93.5"/>
    <n v="540"/>
  </r>
  <r>
    <x v="10"/>
    <x v="1"/>
    <x v="12"/>
    <n v="94.269000000000005"/>
    <n v="90.8"/>
    <n v="96.2"/>
    <n v="93.5"/>
    <n v="540"/>
  </r>
  <r>
    <x v="10"/>
    <x v="1"/>
    <x v="12"/>
    <n v="94.269000000000005"/>
    <n v="90.8"/>
    <n v="96.2"/>
    <n v="93.5"/>
    <n v="540"/>
  </r>
  <r>
    <x v="10"/>
    <x v="1"/>
    <x v="12"/>
    <n v="94.269000000000005"/>
    <n v="90.8"/>
    <n v="96.2"/>
    <n v="93.5"/>
    <n v="540"/>
  </r>
  <r>
    <x v="10"/>
    <x v="1"/>
    <x v="12"/>
    <n v="94.269000000000005"/>
    <n v="90.8"/>
    <n v="96.2"/>
    <n v="93.5"/>
    <n v="540"/>
  </r>
  <r>
    <x v="10"/>
    <x v="1"/>
    <x v="12"/>
    <n v="94.269000000000005"/>
    <n v="90.8"/>
    <n v="96.2"/>
    <n v="93.5"/>
    <n v="540"/>
  </r>
  <r>
    <x v="10"/>
    <x v="1"/>
    <x v="12"/>
    <n v="94.269000000000005"/>
    <n v="90.8"/>
    <n v="96.2"/>
    <n v="93.5"/>
    <n v="540"/>
  </r>
  <r>
    <x v="10"/>
    <x v="1"/>
    <x v="12"/>
    <n v="94.269000000000005"/>
    <n v="90.8"/>
    <n v="96.2"/>
    <n v="93.5"/>
    <n v="540"/>
  </r>
  <r>
    <x v="10"/>
    <x v="1"/>
    <x v="12"/>
    <n v="94.269000000000005"/>
    <n v="90.8"/>
    <n v="96.2"/>
    <n v="93.5"/>
    <n v="540"/>
  </r>
  <r>
    <x v="10"/>
    <x v="1"/>
    <x v="12"/>
    <n v="94.269000000000005"/>
    <n v="90.8"/>
    <n v="96.2"/>
    <n v="93.5"/>
    <n v="540"/>
  </r>
  <r>
    <x v="10"/>
    <x v="1"/>
    <x v="12"/>
    <n v="94.269000000000005"/>
    <n v="90.8"/>
    <n v="96.2"/>
    <n v="93.5"/>
    <n v="540"/>
  </r>
  <r>
    <x v="10"/>
    <x v="1"/>
    <x v="12"/>
    <n v="94.269000000000005"/>
    <n v="90.8"/>
    <n v="96.2"/>
    <n v="93.5"/>
    <n v="540"/>
  </r>
  <r>
    <x v="10"/>
    <x v="1"/>
    <x v="12"/>
    <n v="94.269000000000005"/>
    <n v="90.8"/>
    <n v="96.2"/>
    <n v="93.5"/>
    <n v="540"/>
  </r>
  <r>
    <x v="10"/>
    <x v="1"/>
    <x v="12"/>
    <n v="94.269000000000005"/>
    <n v="90.8"/>
    <n v="96.2"/>
    <n v="93.5"/>
    <n v="540"/>
  </r>
  <r>
    <x v="10"/>
    <x v="1"/>
    <x v="12"/>
    <n v="94.269000000000005"/>
    <n v="90.8"/>
    <n v="96.2"/>
    <n v="93.5"/>
    <n v="540"/>
  </r>
  <r>
    <x v="10"/>
    <x v="1"/>
    <x v="12"/>
    <n v="94.269000000000005"/>
    <n v="90.8"/>
    <n v="96.2"/>
    <n v="93.5"/>
    <n v="540"/>
  </r>
  <r>
    <x v="10"/>
    <x v="1"/>
    <x v="12"/>
    <n v="94.269000000000005"/>
    <n v="90.8"/>
    <n v="96.2"/>
    <n v="93.5"/>
    <n v="540"/>
  </r>
  <r>
    <x v="10"/>
    <x v="1"/>
    <x v="12"/>
    <n v="94.269000000000005"/>
    <n v="90.8"/>
    <n v="96.2"/>
    <n v="93.5"/>
    <n v="540"/>
  </r>
  <r>
    <x v="10"/>
    <x v="1"/>
    <x v="12"/>
    <n v="94.269000000000005"/>
    <n v="90.8"/>
    <n v="96.2"/>
    <n v="93.5"/>
    <n v="540"/>
  </r>
  <r>
    <x v="10"/>
    <x v="1"/>
    <x v="12"/>
    <n v="94.269000000000005"/>
    <n v="90.8"/>
    <n v="96.2"/>
    <n v="93.5"/>
    <n v="540"/>
  </r>
  <r>
    <x v="10"/>
    <x v="1"/>
    <x v="12"/>
    <n v="94.269000000000005"/>
    <n v="90.8"/>
    <n v="96.2"/>
    <n v="93.5"/>
    <n v="540"/>
  </r>
  <r>
    <x v="10"/>
    <x v="1"/>
    <x v="12"/>
    <n v="94.269000000000005"/>
    <n v="90.8"/>
    <n v="96.2"/>
    <n v="93.5"/>
    <n v="540"/>
  </r>
  <r>
    <x v="10"/>
    <x v="1"/>
    <x v="12"/>
    <n v="94.269000000000005"/>
    <n v="90.8"/>
    <n v="96.2"/>
    <n v="93.5"/>
    <n v="540"/>
  </r>
  <r>
    <x v="10"/>
    <x v="1"/>
    <x v="9"/>
    <n v="0.79410000000000003"/>
    <n v="0.79198000000000002"/>
    <n v="0.84"/>
    <n v="0.81598999999999999"/>
    <n v="480.2"/>
  </r>
  <r>
    <x v="10"/>
    <x v="1"/>
    <x v="9"/>
    <n v="0.79410000000000003"/>
    <n v="0.79198000000000002"/>
    <n v="0.84"/>
    <n v="0.81598999999999999"/>
    <n v="480.2"/>
  </r>
  <r>
    <x v="10"/>
    <x v="1"/>
    <x v="9"/>
    <n v="0.79410000000000003"/>
    <n v="0.79198000000000002"/>
    <n v="0.84"/>
    <n v="0.81598999999999999"/>
    <n v="480.2"/>
  </r>
  <r>
    <x v="10"/>
    <x v="1"/>
    <x v="9"/>
    <n v="0.79410000000000003"/>
    <n v="0.79198000000000002"/>
    <n v="0.84"/>
    <n v="0.81598999999999999"/>
    <n v="480.2"/>
  </r>
  <r>
    <x v="10"/>
    <x v="2"/>
    <x v="9"/>
    <n v="0.79137000000000002"/>
    <n v="0.78998000000000002"/>
    <n v="0.84"/>
    <n v="0.81498999999999999"/>
    <n v="500.2"/>
  </r>
  <r>
    <x v="10"/>
    <x v="2"/>
    <x v="9"/>
    <n v="0.79137000000000002"/>
    <n v="0.78998000000000002"/>
    <n v="0.84"/>
    <n v="0.81498999999999999"/>
    <n v="500.2"/>
  </r>
  <r>
    <x v="10"/>
    <x v="2"/>
    <x v="9"/>
    <n v="0.79137000000000002"/>
    <n v="0.78998000000000002"/>
    <n v="0.84"/>
    <n v="0.81498999999999999"/>
    <n v="500.2"/>
  </r>
  <r>
    <x v="10"/>
    <x v="2"/>
    <x v="9"/>
    <n v="0.79137000000000002"/>
    <n v="0.78998000000000002"/>
    <n v="0.84"/>
    <n v="0.81498999999999999"/>
    <n v="500.2"/>
  </r>
  <r>
    <x v="10"/>
    <x v="2"/>
    <x v="9"/>
    <n v="0.79137000000000002"/>
    <n v="0.78998000000000002"/>
    <n v="0.84"/>
    <n v="0.81498999999999999"/>
    <n v="500.2"/>
  </r>
  <r>
    <x v="10"/>
    <x v="2"/>
    <x v="9"/>
    <n v="0.79137000000000002"/>
    <n v="0.78998000000000002"/>
    <n v="0.84"/>
    <n v="0.81498999999999999"/>
    <n v="500.2"/>
  </r>
  <r>
    <x v="10"/>
    <x v="2"/>
    <x v="9"/>
    <n v="0.79137000000000002"/>
    <n v="0.78998000000000002"/>
    <n v="0.84"/>
    <n v="0.81498999999999999"/>
    <n v="500.2"/>
  </r>
  <r>
    <x v="10"/>
    <x v="2"/>
    <x v="9"/>
    <n v="0.79137000000000002"/>
    <n v="0.78998000000000002"/>
    <n v="0.84"/>
    <n v="0.81498999999999999"/>
    <n v="500.2"/>
  </r>
  <r>
    <x v="10"/>
    <x v="2"/>
    <x v="9"/>
    <n v="0.79137000000000002"/>
    <n v="0.78998000000000002"/>
    <n v="0.84"/>
    <n v="0.81498999999999999"/>
    <n v="500.2"/>
  </r>
  <r>
    <x v="10"/>
    <x v="2"/>
    <x v="9"/>
    <n v="0.79137000000000002"/>
    <n v="0.78998000000000002"/>
    <n v="0.84"/>
    <n v="0.81498999999999999"/>
    <n v="500.2"/>
  </r>
  <r>
    <x v="10"/>
    <x v="2"/>
    <x v="9"/>
    <n v="0.79137000000000002"/>
    <n v="0.78998000000000002"/>
    <n v="0.84"/>
    <n v="0.81498999999999999"/>
    <n v="500.2"/>
  </r>
  <r>
    <x v="10"/>
    <x v="2"/>
    <x v="9"/>
    <n v="0.79137000000000002"/>
    <n v="0.78998000000000002"/>
    <n v="0.84"/>
    <n v="0.81498999999999999"/>
    <n v="500.2"/>
  </r>
  <r>
    <x v="10"/>
    <x v="2"/>
    <x v="9"/>
    <n v="0.79137000000000002"/>
    <n v="0.78998000000000002"/>
    <n v="0.84"/>
    <n v="0.81498999999999999"/>
    <n v="500.2"/>
  </r>
  <r>
    <x v="10"/>
    <x v="2"/>
    <x v="9"/>
    <n v="0.79137000000000002"/>
    <n v="0.78998000000000002"/>
    <n v="0.84"/>
    <n v="0.81498999999999999"/>
    <n v="500.2"/>
  </r>
  <r>
    <x v="10"/>
    <x v="2"/>
    <x v="9"/>
    <n v="0.79137000000000002"/>
    <n v="0.78998000000000002"/>
    <n v="0.84"/>
    <n v="0.81498999999999999"/>
    <n v="500.2"/>
  </r>
  <r>
    <x v="10"/>
    <x v="2"/>
    <x v="9"/>
    <n v="0.79137000000000002"/>
    <n v="0.78998000000000002"/>
    <n v="0.84"/>
    <n v="0.81498999999999999"/>
    <n v="500.2"/>
  </r>
  <r>
    <x v="10"/>
    <x v="2"/>
    <x v="9"/>
    <n v="0.79137000000000002"/>
    <n v="0.78998000000000002"/>
    <n v="0.84"/>
    <n v="0.81498999999999999"/>
    <n v="500.2"/>
  </r>
  <r>
    <x v="10"/>
    <x v="2"/>
    <x v="9"/>
    <n v="0.79137000000000002"/>
    <n v="0.78998000000000002"/>
    <n v="0.84"/>
    <n v="0.81498999999999999"/>
    <n v="500.2"/>
  </r>
  <r>
    <x v="10"/>
    <x v="2"/>
    <x v="9"/>
    <n v="0.79137000000000002"/>
    <n v="0.78998000000000002"/>
    <n v="0.84"/>
    <n v="0.81498999999999999"/>
    <n v="500.2"/>
  </r>
  <r>
    <x v="10"/>
    <x v="2"/>
    <x v="9"/>
    <n v="0.79137000000000002"/>
    <n v="0.78998000000000002"/>
    <n v="0.84"/>
    <n v="0.81498999999999999"/>
    <n v="500.2"/>
  </r>
  <r>
    <x v="10"/>
    <x v="2"/>
    <x v="9"/>
    <n v="0.79137000000000002"/>
    <n v="0.78998000000000002"/>
    <n v="0.84"/>
    <n v="0.81498999999999999"/>
    <n v="500.2"/>
  </r>
  <r>
    <x v="10"/>
    <x v="2"/>
    <x v="9"/>
    <n v="0.79137000000000002"/>
    <n v="0.78998000000000002"/>
    <n v="0.84"/>
    <n v="0.81498999999999999"/>
    <n v="500.2"/>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3"/>
    <n v="0.93820999999999999"/>
    <n v="0.89344999999999997"/>
    <n v="0.94952999999999999"/>
    <n v="0.92149000000000003"/>
    <n v="560.79999999999995"/>
  </r>
  <r>
    <x v="10"/>
    <x v="2"/>
    <x v="12"/>
    <n v="94.373999999999995"/>
    <n v="90.8"/>
    <n v="96.2"/>
    <n v="93.5"/>
    <n v="540"/>
  </r>
  <r>
    <x v="10"/>
    <x v="2"/>
    <x v="12"/>
    <n v="94.373999999999995"/>
    <n v="90.8"/>
    <n v="96.2"/>
    <n v="93.5"/>
    <n v="540"/>
  </r>
  <r>
    <x v="10"/>
    <x v="2"/>
    <x v="12"/>
    <n v="94.373999999999995"/>
    <n v="90.8"/>
    <n v="96.2"/>
    <n v="93.5"/>
    <n v="540"/>
  </r>
  <r>
    <x v="10"/>
    <x v="2"/>
    <x v="12"/>
    <n v="94.373999999999995"/>
    <n v="90.8"/>
    <n v="96.2"/>
    <n v="93.5"/>
    <n v="540"/>
  </r>
  <r>
    <x v="10"/>
    <x v="2"/>
    <x v="12"/>
    <n v="94.373999999999995"/>
    <n v="90.8"/>
    <n v="96.2"/>
    <n v="93.5"/>
    <n v="540"/>
  </r>
  <r>
    <x v="10"/>
    <x v="2"/>
    <x v="12"/>
    <n v="94.373999999999995"/>
    <n v="90.8"/>
    <n v="96.2"/>
    <n v="93.5"/>
    <n v="540"/>
  </r>
  <r>
    <x v="10"/>
    <x v="2"/>
    <x v="12"/>
    <n v="94.373999999999995"/>
    <n v="90.8"/>
    <n v="96.2"/>
    <n v="93.5"/>
    <n v="540"/>
  </r>
  <r>
    <x v="10"/>
    <x v="2"/>
    <x v="12"/>
    <n v="94.373999999999995"/>
    <n v="90.8"/>
    <n v="96.2"/>
    <n v="93.5"/>
    <n v="540"/>
  </r>
  <r>
    <x v="10"/>
    <x v="2"/>
    <x v="12"/>
    <n v="94.373999999999995"/>
    <n v="90.8"/>
    <n v="96.2"/>
    <n v="93.5"/>
    <n v="540"/>
  </r>
  <r>
    <x v="10"/>
    <x v="2"/>
    <x v="12"/>
    <n v="94.373999999999995"/>
    <n v="90.8"/>
    <n v="96.2"/>
    <n v="93.5"/>
    <n v="540"/>
  </r>
  <r>
    <x v="10"/>
    <x v="2"/>
    <x v="12"/>
    <n v="94.373999999999995"/>
    <n v="90.8"/>
    <n v="96.2"/>
    <n v="93.5"/>
    <n v="540"/>
  </r>
  <r>
    <x v="10"/>
    <x v="2"/>
    <x v="12"/>
    <n v="94.373999999999995"/>
    <n v="90.8"/>
    <n v="96.2"/>
    <n v="93.5"/>
    <n v="540"/>
  </r>
  <r>
    <x v="10"/>
    <x v="2"/>
    <x v="12"/>
    <n v="94.373999999999995"/>
    <n v="90.8"/>
    <n v="96.2"/>
    <n v="93.5"/>
    <n v="540"/>
  </r>
  <r>
    <x v="10"/>
    <x v="2"/>
    <x v="12"/>
    <n v="94.373999999999995"/>
    <n v="90.8"/>
    <n v="96.2"/>
    <n v="93.5"/>
    <n v="540"/>
  </r>
  <r>
    <x v="10"/>
    <x v="2"/>
    <x v="12"/>
    <n v="94.373999999999995"/>
    <n v="90.8"/>
    <n v="96.2"/>
    <n v="93.5"/>
    <n v="540"/>
  </r>
  <r>
    <x v="10"/>
    <x v="2"/>
    <x v="12"/>
    <n v="94.373999999999995"/>
    <n v="90.8"/>
    <n v="96.2"/>
    <n v="93.5"/>
    <n v="540"/>
  </r>
  <r>
    <x v="10"/>
    <x v="2"/>
    <x v="12"/>
    <n v="94.373999999999995"/>
    <n v="90.8"/>
    <n v="96.2"/>
    <n v="93.5"/>
    <n v="540"/>
  </r>
  <r>
    <x v="10"/>
    <x v="2"/>
    <x v="12"/>
    <n v="94.373999999999995"/>
    <n v="90.8"/>
    <n v="96.2"/>
    <n v="93.5"/>
    <n v="540"/>
  </r>
  <r>
    <x v="10"/>
    <x v="2"/>
    <x v="12"/>
    <n v="94.373999999999995"/>
    <n v="90.8"/>
    <n v="96.2"/>
    <n v="93.5"/>
    <n v="540"/>
  </r>
  <r>
    <x v="10"/>
    <x v="2"/>
    <x v="12"/>
    <n v="94.373999999999995"/>
    <n v="90.8"/>
    <n v="96.2"/>
    <n v="93.5"/>
    <n v="540"/>
  </r>
  <r>
    <x v="10"/>
    <x v="2"/>
    <x v="12"/>
    <n v="94.373999999999995"/>
    <n v="90.8"/>
    <n v="96.2"/>
    <n v="93.5"/>
    <n v="540"/>
  </r>
  <r>
    <x v="10"/>
    <x v="2"/>
    <x v="12"/>
    <n v="94.373999999999995"/>
    <n v="90.8"/>
    <n v="96.2"/>
    <n v="93.5"/>
    <n v="540"/>
  </r>
  <r>
    <x v="10"/>
    <x v="2"/>
    <x v="12"/>
    <n v="94.373999999999995"/>
    <n v="90.8"/>
    <n v="96.2"/>
    <n v="93.5"/>
    <n v="540"/>
  </r>
  <r>
    <x v="10"/>
    <x v="2"/>
    <x v="12"/>
    <n v="94.373999999999995"/>
    <n v="90.8"/>
    <n v="96.2"/>
    <n v="93.5"/>
    <n v="540"/>
  </r>
  <r>
    <x v="10"/>
    <x v="2"/>
    <x v="12"/>
    <n v="94.373999999999995"/>
    <n v="90.8"/>
    <n v="96.2"/>
    <n v="93.5"/>
    <n v="540"/>
  </r>
  <r>
    <x v="10"/>
    <x v="2"/>
    <x v="12"/>
    <n v="94.373999999999995"/>
    <n v="90.8"/>
    <n v="96.2"/>
    <n v="93.5"/>
    <n v="540"/>
  </r>
  <r>
    <x v="10"/>
    <x v="2"/>
    <x v="12"/>
    <n v="94.373999999999995"/>
    <n v="90.8"/>
    <n v="96.2"/>
    <n v="93.5"/>
    <n v="540"/>
  </r>
  <r>
    <x v="10"/>
    <x v="2"/>
    <x v="12"/>
    <n v="94.373999999999995"/>
    <n v="90.8"/>
    <n v="96.2"/>
    <n v="93.5"/>
    <n v="540"/>
  </r>
  <r>
    <x v="10"/>
    <x v="2"/>
    <x v="12"/>
    <n v="94.373999999999995"/>
    <n v="90.8"/>
    <n v="96.2"/>
    <n v="93.5"/>
    <n v="540"/>
  </r>
  <r>
    <x v="10"/>
    <x v="2"/>
    <x v="9"/>
    <n v="0.79137000000000002"/>
    <n v="0.78998000000000002"/>
    <n v="0.84"/>
    <n v="0.81498999999999999"/>
    <n v="500.2"/>
  </r>
  <r>
    <x v="10"/>
    <x v="2"/>
    <x v="9"/>
    <n v="0.79137000000000002"/>
    <n v="0.78998000000000002"/>
    <n v="0.84"/>
    <n v="0.81498999999999999"/>
    <n v="500.2"/>
  </r>
  <r>
    <x v="10"/>
    <x v="2"/>
    <x v="9"/>
    <n v="0.79137000000000002"/>
    <n v="0.78998000000000002"/>
    <n v="0.84"/>
    <n v="0.81498999999999999"/>
    <n v="500.2"/>
  </r>
  <r>
    <x v="10"/>
    <x v="2"/>
    <x v="9"/>
    <n v="0.79137000000000002"/>
    <n v="0.78998000000000002"/>
    <n v="0.84"/>
    <n v="0.81498999999999999"/>
    <n v="500.2"/>
  </r>
  <r>
    <x v="10"/>
    <x v="3"/>
    <x v="9"/>
    <n v="0.79071999999999998"/>
    <n v="0.78796999999999995"/>
    <n v="0.84"/>
    <n v="0.81398499999999996"/>
    <n v="520.29999999999995"/>
  </r>
  <r>
    <x v="10"/>
    <x v="3"/>
    <x v="9"/>
    <n v="0.79071999999999998"/>
    <n v="0.78796999999999995"/>
    <n v="0.84"/>
    <n v="0.81398499999999996"/>
    <n v="520.29999999999995"/>
  </r>
  <r>
    <x v="10"/>
    <x v="3"/>
    <x v="9"/>
    <n v="0.79071999999999998"/>
    <n v="0.78796999999999995"/>
    <n v="0.84"/>
    <n v="0.81398499999999996"/>
    <n v="520.29999999999995"/>
  </r>
  <r>
    <x v="10"/>
    <x v="3"/>
    <x v="9"/>
    <n v="0.79071999999999998"/>
    <n v="0.78796999999999995"/>
    <n v="0.84"/>
    <n v="0.81398499999999996"/>
    <n v="520.29999999999995"/>
  </r>
  <r>
    <x v="10"/>
    <x v="3"/>
    <x v="9"/>
    <n v="0.79071999999999998"/>
    <n v="0.78796999999999995"/>
    <n v="0.84"/>
    <n v="0.81398499999999996"/>
    <n v="520.29999999999995"/>
  </r>
  <r>
    <x v="10"/>
    <x v="3"/>
    <x v="9"/>
    <n v="0.79071999999999998"/>
    <n v="0.78796999999999995"/>
    <n v="0.84"/>
    <n v="0.81398499999999996"/>
    <n v="520.29999999999995"/>
  </r>
  <r>
    <x v="10"/>
    <x v="3"/>
    <x v="9"/>
    <n v="0.79071999999999998"/>
    <n v="0.78796999999999995"/>
    <n v="0.84"/>
    <n v="0.81398499999999996"/>
    <n v="520.29999999999995"/>
  </r>
  <r>
    <x v="10"/>
    <x v="3"/>
    <x v="9"/>
    <n v="0.79071999999999998"/>
    <n v="0.78796999999999995"/>
    <n v="0.84"/>
    <n v="0.81398499999999996"/>
    <n v="520.29999999999995"/>
  </r>
  <r>
    <x v="10"/>
    <x v="3"/>
    <x v="9"/>
    <n v="0.79071999999999998"/>
    <n v="0.78796999999999995"/>
    <n v="0.84"/>
    <n v="0.81398499999999996"/>
    <n v="520.29999999999995"/>
  </r>
  <r>
    <x v="10"/>
    <x v="3"/>
    <x v="9"/>
    <n v="0.79071999999999998"/>
    <n v="0.78796999999999995"/>
    <n v="0.84"/>
    <n v="0.81398499999999996"/>
    <n v="520.29999999999995"/>
  </r>
  <r>
    <x v="10"/>
    <x v="3"/>
    <x v="9"/>
    <n v="0.79071999999999998"/>
    <n v="0.78796999999999995"/>
    <n v="0.84"/>
    <n v="0.81398499999999996"/>
    <n v="520.29999999999995"/>
  </r>
  <r>
    <x v="10"/>
    <x v="3"/>
    <x v="9"/>
    <n v="0.79071999999999998"/>
    <n v="0.78796999999999995"/>
    <n v="0.84"/>
    <n v="0.81398499999999996"/>
    <n v="520.29999999999995"/>
  </r>
  <r>
    <x v="10"/>
    <x v="3"/>
    <x v="9"/>
    <n v="0.79071999999999998"/>
    <n v="0.78796999999999995"/>
    <n v="0.84"/>
    <n v="0.81398499999999996"/>
    <n v="520.29999999999995"/>
  </r>
  <r>
    <x v="10"/>
    <x v="3"/>
    <x v="9"/>
    <n v="0.79071999999999998"/>
    <n v="0.78796999999999995"/>
    <n v="0.84"/>
    <n v="0.81398499999999996"/>
    <n v="520.29999999999995"/>
  </r>
  <r>
    <x v="10"/>
    <x v="3"/>
    <x v="9"/>
    <n v="0.79071999999999998"/>
    <n v="0.78796999999999995"/>
    <n v="0.84"/>
    <n v="0.81398499999999996"/>
    <n v="520.29999999999995"/>
  </r>
  <r>
    <x v="10"/>
    <x v="3"/>
    <x v="9"/>
    <n v="0.79071999999999998"/>
    <n v="0.78796999999999995"/>
    <n v="0.84"/>
    <n v="0.81398499999999996"/>
    <n v="520.29999999999995"/>
  </r>
  <r>
    <x v="10"/>
    <x v="3"/>
    <x v="9"/>
    <n v="0.79071999999999998"/>
    <n v="0.78796999999999995"/>
    <n v="0.84"/>
    <n v="0.81398499999999996"/>
    <n v="520.29999999999995"/>
  </r>
  <r>
    <x v="10"/>
    <x v="3"/>
    <x v="9"/>
    <n v="0.79071999999999998"/>
    <n v="0.78796999999999995"/>
    <n v="0.84"/>
    <n v="0.81398499999999996"/>
    <n v="520.29999999999995"/>
  </r>
  <r>
    <x v="10"/>
    <x v="3"/>
    <x v="9"/>
    <n v="0.79071999999999998"/>
    <n v="0.78796999999999995"/>
    <n v="0.84"/>
    <n v="0.81398499999999996"/>
    <n v="520.29999999999995"/>
  </r>
  <r>
    <x v="10"/>
    <x v="3"/>
    <x v="9"/>
    <n v="0.79071999999999998"/>
    <n v="0.78796999999999995"/>
    <n v="0.84"/>
    <n v="0.81398499999999996"/>
    <n v="520.29999999999995"/>
  </r>
  <r>
    <x v="10"/>
    <x v="3"/>
    <x v="9"/>
    <n v="0.79071999999999998"/>
    <n v="0.78796999999999995"/>
    <n v="0.84"/>
    <n v="0.81398499999999996"/>
    <n v="520.29999999999995"/>
  </r>
  <r>
    <x v="10"/>
    <x v="3"/>
    <x v="9"/>
    <n v="0.79071999999999998"/>
    <n v="0.78796999999999995"/>
    <n v="0.84"/>
    <n v="0.81398499999999996"/>
    <n v="520.29999999999995"/>
  </r>
  <r>
    <x v="10"/>
    <x v="3"/>
    <x v="9"/>
    <n v="0.79071999999999998"/>
    <n v="0.78796999999999995"/>
    <n v="0.84"/>
    <n v="0.81398499999999996"/>
    <n v="520.29999999999995"/>
  </r>
  <r>
    <x v="10"/>
    <x v="3"/>
    <x v="9"/>
    <n v="0.79071999999999998"/>
    <n v="0.78796999999999995"/>
    <n v="0.84"/>
    <n v="0.81398499999999996"/>
    <n v="520.2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3"/>
    <n v="0.93933"/>
    <n v="0.89344999999999997"/>
    <n v="0.94952999999999999"/>
    <n v="0.92149000000000003"/>
    <n v="560.79999999999995"/>
  </r>
  <r>
    <x v="10"/>
    <x v="3"/>
    <x v="12"/>
    <n v="94.061000000000007"/>
    <n v="90.8"/>
    <n v="96.2"/>
    <n v="93.5"/>
    <n v="540"/>
  </r>
  <r>
    <x v="10"/>
    <x v="3"/>
    <x v="12"/>
    <n v="94.061000000000007"/>
    <n v="90.8"/>
    <n v="96.2"/>
    <n v="93.5"/>
    <n v="540"/>
  </r>
  <r>
    <x v="10"/>
    <x v="3"/>
    <x v="12"/>
    <n v="94.061000000000007"/>
    <n v="90.8"/>
    <n v="96.2"/>
    <n v="93.5"/>
    <n v="540"/>
  </r>
  <r>
    <x v="10"/>
    <x v="3"/>
    <x v="12"/>
    <n v="94.061000000000007"/>
    <n v="90.8"/>
    <n v="96.2"/>
    <n v="93.5"/>
    <n v="540"/>
  </r>
  <r>
    <x v="10"/>
    <x v="3"/>
    <x v="12"/>
    <n v="94.061000000000007"/>
    <n v="90.8"/>
    <n v="96.2"/>
    <n v="93.5"/>
    <n v="540"/>
  </r>
  <r>
    <x v="10"/>
    <x v="3"/>
    <x v="12"/>
    <n v="94.061000000000007"/>
    <n v="90.8"/>
    <n v="96.2"/>
    <n v="93.5"/>
    <n v="540"/>
  </r>
  <r>
    <x v="10"/>
    <x v="3"/>
    <x v="12"/>
    <n v="94.061000000000007"/>
    <n v="90.8"/>
    <n v="96.2"/>
    <n v="93.5"/>
    <n v="540"/>
  </r>
  <r>
    <x v="10"/>
    <x v="3"/>
    <x v="12"/>
    <n v="94.061000000000007"/>
    <n v="90.8"/>
    <n v="96.2"/>
    <n v="93.5"/>
    <n v="540"/>
  </r>
  <r>
    <x v="10"/>
    <x v="3"/>
    <x v="12"/>
    <n v="94.061000000000007"/>
    <n v="90.8"/>
    <n v="96.2"/>
    <n v="93.5"/>
    <n v="540"/>
  </r>
  <r>
    <x v="10"/>
    <x v="3"/>
    <x v="12"/>
    <n v="94.061000000000007"/>
    <n v="90.8"/>
    <n v="96.2"/>
    <n v="93.5"/>
    <n v="540"/>
  </r>
  <r>
    <x v="10"/>
    <x v="3"/>
    <x v="12"/>
    <n v="94.061000000000007"/>
    <n v="90.8"/>
    <n v="96.2"/>
    <n v="93.5"/>
    <n v="540"/>
  </r>
  <r>
    <x v="10"/>
    <x v="3"/>
    <x v="12"/>
    <n v="94.061000000000007"/>
    <n v="90.8"/>
    <n v="96.2"/>
    <n v="93.5"/>
    <n v="540"/>
  </r>
  <r>
    <x v="10"/>
    <x v="3"/>
    <x v="12"/>
    <n v="94.061000000000007"/>
    <n v="90.8"/>
    <n v="96.2"/>
    <n v="93.5"/>
    <n v="540"/>
  </r>
  <r>
    <x v="10"/>
    <x v="3"/>
    <x v="12"/>
    <n v="94.061000000000007"/>
    <n v="90.8"/>
    <n v="96.2"/>
    <n v="93.5"/>
    <n v="540"/>
  </r>
  <r>
    <x v="10"/>
    <x v="3"/>
    <x v="12"/>
    <n v="94.061000000000007"/>
    <n v="90.8"/>
    <n v="96.2"/>
    <n v="93.5"/>
    <n v="540"/>
  </r>
  <r>
    <x v="10"/>
    <x v="3"/>
    <x v="12"/>
    <n v="94.061000000000007"/>
    <n v="90.8"/>
    <n v="96.2"/>
    <n v="93.5"/>
    <n v="540"/>
  </r>
  <r>
    <x v="10"/>
    <x v="3"/>
    <x v="12"/>
    <n v="94.061000000000007"/>
    <n v="90.8"/>
    <n v="96.2"/>
    <n v="93.5"/>
    <n v="540"/>
  </r>
  <r>
    <x v="10"/>
    <x v="3"/>
    <x v="12"/>
    <n v="94.061000000000007"/>
    <n v="90.8"/>
    <n v="96.2"/>
    <n v="93.5"/>
    <n v="540"/>
  </r>
  <r>
    <x v="10"/>
    <x v="3"/>
    <x v="12"/>
    <n v="94.061000000000007"/>
    <n v="90.8"/>
    <n v="96.2"/>
    <n v="93.5"/>
    <n v="540"/>
  </r>
  <r>
    <x v="10"/>
    <x v="3"/>
    <x v="12"/>
    <n v="94.061000000000007"/>
    <n v="90.8"/>
    <n v="96.2"/>
    <n v="93.5"/>
    <n v="540"/>
  </r>
  <r>
    <x v="10"/>
    <x v="3"/>
    <x v="12"/>
    <n v="94.061000000000007"/>
    <n v="90.8"/>
    <n v="96.2"/>
    <n v="93.5"/>
    <n v="540"/>
  </r>
  <r>
    <x v="10"/>
    <x v="3"/>
    <x v="12"/>
    <n v="94.061000000000007"/>
    <n v="90.8"/>
    <n v="96.2"/>
    <n v="93.5"/>
    <n v="540"/>
  </r>
  <r>
    <x v="10"/>
    <x v="3"/>
    <x v="12"/>
    <n v="94.061000000000007"/>
    <n v="90.8"/>
    <n v="96.2"/>
    <n v="93.5"/>
    <n v="540"/>
  </r>
  <r>
    <x v="10"/>
    <x v="3"/>
    <x v="12"/>
    <n v="94.061000000000007"/>
    <n v="90.8"/>
    <n v="96.2"/>
    <n v="93.5"/>
    <n v="540"/>
  </r>
  <r>
    <x v="10"/>
    <x v="3"/>
    <x v="12"/>
    <n v="94.061000000000007"/>
    <n v="90.8"/>
    <n v="96.2"/>
    <n v="93.5"/>
    <n v="540"/>
  </r>
  <r>
    <x v="10"/>
    <x v="3"/>
    <x v="12"/>
    <n v="94.061000000000007"/>
    <n v="90.8"/>
    <n v="96.2"/>
    <n v="93.5"/>
    <n v="540"/>
  </r>
  <r>
    <x v="10"/>
    <x v="3"/>
    <x v="12"/>
    <n v="94.061000000000007"/>
    <n v="90.8"/>
    <n v="96.2"/>
    <n v="93.5"/>
    <n v="540"/>
  </r>
  <r>
    <x v="10"/>
    <x v="3"/>
    <x v="12"/>
    <n v="94.061000000000007"/>
    <n v="90.8"/>
    <n v="96.2"/>
    <n v="93.5"/>
    <n v="540"/>
  </r>
  <r>
    <x v="10"/>
    <x v="3"/>
    <x v="12"/>
    <n v="94.061000000000007"/>
    <n v="90.8"/>
    <n v="96.2"/>
    <n v="93.5"/>
    <n v="540"/>
  </r>
  <r>
    <x v="10"/>
    <x v="3"/>
    <x v="9"/>
    <n v="0.79071999999999998"/>
    <n v="0.78796999999999995"/>
    <n v="0.84"/>
    <n v="0.81398499999999996"/>
    <n v="520.29999999999995"/>
  </r>
  <r>
    <x v="10"/>
    <x v="3"/>
    <x v="9"/>
    <n v="0.79071999999999998"/>
    <n v="0.78796999999999995"/>
    <n v="0.84"/>
    <n v="0.81398499999999996"/>
    <n v="520.29999999999995"/>
  </r>
  <r>
    <x v="10"/>
    <x v="3"/>
    <x v="9"/>
    <n v="0.79071999999999998"/>
    <n v="0.78796999999999995"/>
    <n v="0.84"/>
    <n v="0.81398499999999996"/>
    <n v="520.29999999999995"/>
  </r>
  <r>
    <x v="10"/>
    <x v="3"/>
    <x v="9"/>
    <n v="0.79071999999999998"/>
    <n v="0.78796999999999995"/>
    <n v="0.84"/>
    <n v="0.81398499999999996"/>
    <n v="520.2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3"/>
    <n v="0.93084999999999996"/>
    <n v="0.89344999999999997"/>
    <n v="0.94952999999999999"/>
    <n v="0.92149000000000003"/>
    <n v="560.79999999999995"/>
  </r>
  <r>
    <x v="10"/>
    <x v="4"/>
    <x v="12"/>
    <n v="93.96"/>
    <n v="90.8"/>
    <n v="96.2"/>
    <n v="93.5"/>
    <n v="540"/>
  </r>
  <r>
    <x v="10"/>
    <x v="4"/>
    <x v="12"/>
    <n v="93.96"/>
    <n v="90.8"/>
    <n v="96.2"/>
    <n v="93.5"/>
    <n v="540"/>
  </r>
  <r>
    <x v="10"/>
    <x v="4"/>
    <x v="12"/>
    <n v="93.96"/>
    <n v="90.8"/>
    <n v="96.2"/>
    <n v="93.5"/>
    <n v="540"/>
  </r>
  <r>
    <x v="10"/>
    <x v="4"/>
    <x v="12"/>
    <n v="93.96"/>
    <n v="90.8"/>
    <n v="96.2"/>
    <n v="93.5"/>
    <n v="540"/>
  </r>
  <r>
    <x v="10"/>
    <x v="4"/>
    <x v="12"/>
    <n v="93.96"/>
    <n v="90.8"/>
    <n v="96.2"/>
    <n v="93.5"/>
    <n v="540"/>
  </r>
  <r>
    <x v="10"/>
    <x v="4"/>
    <x v="12"/>
    <n v="93.96"/>
    <n v="90.8"/>
    <n v="96.2"/>
    <n v="93.5"/>
    <n v="540"/>
  </r>
  <r>
    <x v="10"/>
    <x v="4"/>
    <x v="12"/>
    <n v="93.96"/>
    <n v="90.8"/>
    <n v="96.2"/>
    <n v="93.5"/>
    <n v="540"/>
  </r>
  <r>
    <x v="10"/>
    <x v="4"/>
    <x v="12"/>
    <n v="93.96"/>
    <n v="90.8"/>
    <n v="96.2"/>
    <n v="93.5"/>
    <n v="540"/>
  </r>
  <r>
    <x v="10"/>
    <x v="4"/>
    <x v="12"/>
    <n v="93.96"/>
    <n v="90.8"/>
    <n v="96.2"/>
    <n v="93.5"/>
    <n v="540"/>
  </r>
  <r>
    <x v="10"/>
    <x v="4"/>
    <x v="12"/>
    <n v="93.96"/>
    <n v="90.8"/>
    <n v="96.2"/>
    <n v="93.5"/>
    <n v="540"/>
  </r>
  <r>
    <x v="10"/>
    <x v="4"/>
    <x v="12"/>
    <n v="93.96"/>
    <n v="90.8"/>
    <n v="96.2"/>
    <n v="93.5"/>
    <n v="540"/>
  </r>
  <r>
    <x v="10"/>
    <x v="4"/>
    <x v="12"/>
    <n v="93.96"/>
    <n v="90.8"/>
    <n v="96.2"/>
    <n v="93.5"/>
    <n v="540"/>
  </r>
  <r>
    <x v="10"/>
    <x v="4"/>
    <x v="12"/>
    <n v="93.96"/>
    <n v="90.8"/>
    <n v="96.2"/>
    <n v="93.5"/>
    <n v="540"/>
  </r>
  <r>
    <x v="10"/>
    <x v="4"/>
    <x v="12"/>
    <n v="93.96"/>
    <n v="90.8"/>
    <n v="96.2"/>
    <n v="93.5"/>
    <n v="540"/>
  </r>
  <r>
    <x v="10"/>
    <x v="4"/>
    <x v="12"/>
    <n v="93.96"/>
    <n v="90.8"/>
    <n v="96.2"/>
    <n v="93.5"/>
    <n v="540"/>
  </r>
  <r>
    <x v="10"/>
    <x v="4"/>
    <x v="12"/>
    <n v="93.96"/>
    <n v="90.8"/>
    <n v="96.2"/>
    <n v="93.5"/>
    <n v="540"/>
  </r>
  <r>
    <x v="10"/>
    <x v="4"/>
    <x v="12"/>
    <n v="93.96"/>
    <n v="90.8"/>
    <n v="96.2"/>
    <n v="93.5"/>
    <n v="540"/>
  </r>
  <r>
    <x v="10"/>
    <x v="4"/>
    <x v="12"/>
    <n v="93.96"/>
    <n v="90.8"/>
    <n v="96.2"/>
    <n v="93.5"/>
    <n v="540"/>
  </r>
  <r>
    <x v="10"/>
    <x v="4"/>
    <x v="12"/>
    <n v="93.96"/>
    <n v="90.8"/>
    <n v="96.2"/>
    <n v="93.5"/>
    <n v="540"/>
  </r>
  <r>
    <x v="10"/>
    <x v="4"/>
    <x v="12"/>
    <n v="93.96"/>
    <n v="90.8"/>
    <n v="96.2"/>
    <n v="93.5"/>
    <n v="540"/>
  </r>
  <r>
    <x v="10"/>
    <x v="4"/>
    <x v="12"/>
    <n v="93.96"/>
    <n v="90.8"/>
    <n v="96.2"/>
    <n v="93.5"/>
    <n v="540"/>
  </r>
  <r>
    <x v="10"/>
    <x v="4"/>
    <x v="12"/>
    <n v="93.96"/>
    <n v="90.8"/>
    <n v="96.2"/>
    <n v="93.5"/>
    <n v="540"/>
  </r>
  <r>
    <x v="10"/>
    <x v="4"/>
    <x v="12"/>
    <n v="93.96"/>
    <n v="90.8"/>
    <n v="96.2"/>
    <n v="93.5"/>
    <n v="540"/>
  </r>
  <r>
    <x v="10"/>
    <x v="4"/>
    <x v="12"/>
    <n v="93.96"/>
    <n v="90.8"/>
    <n v="96.2"/>
    <n v="93.5"/>
    <n v="540"/>
  </r>
  <r>
    <x v="10"/>
    <x v="4"/>
    <x v="12"/>
    <n v="93.96"/>
    <n v="90.8"/>
    <n v="96.2"/>
    <n v="93.5"/>
    <n v="540"/>
  </r>
  <r>
    <x v="10"/>
    <x v="4"/>
    <x v="12"/>
    <n v="93.96"/>
    <n v="90.8"/>
    <n v="96.2"/>
    <n v="93.5"/>
    <n v="540"/>
  </r>
  <r>
    <x v="10"/>
    <x v="4"/>
    <x v="12"/>
    <n v="93.96"/>
    <n v="90.8"/>
    <n v="96.2"/>
    <n v="93.5"/>
    <n v="540"/>
  </r>
  <r>
    <x v="10"/>
    <x v="4"/>
    <x v="12"/>
    <n v="93.96"/>
    <n v="90.8"/>
    <n v="96.2"/>
    <n v="93.5"/>
    <n v="540"/>
  </r>
  <r>
    <x v="10"/>
    <x v="4"/>
    <x v="12"/>
    <n v="93.96"/>
    <n v="90.8"/>
    <n v="96.2"/>
    <n v="93.5"/>
    <n v="540"/>
  </r>
  <r>
    <x v="10"/>
    <x v="4"/>
    <x v="9"/>
    <n v="0.79829000000000006"/>
    <n v="0.78796999999999995"/>
    <n v="0.84"/>
    <n v="0.81398499999999996"/>
    <n v="520.29999999999995"/>
  </r>
  <r>
    <x v="10"/>
    <x v="4"/>
    <x v="9"/>
    <n v="0.79829000000000006"/>
    <n v="0.78796999999999995"/>
    <n v="0.84"/>
    <n v="0.81398499999999996"/>
    <n v="520.29999999999995"/>
  </r>
  <r>
    <x v="10"/>
    <x v="4"/>
    <x v="9"/>
    <n v="0.79829000000000006"/>
    <n v="0.78796999999999995"/>
    <n v="0.84"/>
    <n v="0.81398499999999996"/>
    <n v="520.29999999999995"/>
  </r>
  <r>
    <x v="10"/>
    <x v="4"/>
    <x v="9"/>
    <n v="0.79829000000000006"/>
    <n v="0.78796999999999995"/>
    <n v="0.84"/>
    <n v="0.81398499999999996"/>
    <n v="520.29999999999995"/>
  </r>
  <r>
    <x v="10"/>
    <x v="4"/>
    <x v="9"/>
    <n v="0.79829000000000006"/>
    <n v="0.78796999999999995"/>
    <n v="0.84"/>
    <n v="0.81398499999999996"/>
    <n v="520.29999999999995"/>
  </r>
  <r>
    <x v="10"/>
    <x v="4"/>
    <x v="9"/>
    <n v="0.79829000000000006"/>
    <n v="0.78796999999999995"/>
    <n v="0.84"/>
    <n v="0.81398499999999996"/>
    <n v="520.29999999999995"/>
  </r>
  <r>
    <x v="10"/>
    <x v="4"/>
    <x v="9"/>
    <n v="0.79829000000000006"/>
    <n v="0.78796999999999995"/>
    <n v="0.84"/>
    <n v="0.81398499999999996"/>
    <n v="520.29999999999995"/>
  </r>
  <r>
    <x v="10"/>
    <x v="4"/>
    <x v="9"/>
    <n v="0.79829000000000006"/>
    <n v="0.78796999999999995"/>
    <n v="0.84"/>
    <n v="0.81398499999999996"/>
    <n v="520.29999999999995"/>
  </r>
  <r>
    <x v="10"/>
    <x v="4"/>
    <x v="9"/>
    <n v="0.79829000000000006"/>
    <n v="0.78796999999999995"/>
    <n v="0.84"/>
    <n v="0.81398499999999996"/>
    <n v="520.29999999999995"/>
  </r>
  <r>
    <x v="10"/>
    <x v="4"/>
    <x v="9"/>
    <n v="0.79829000000000006"/>
    <n v="0.78796999999999995"/>
    <n v="0.84"/>
    <n v="0.81398499999999996"/>
    <n v="520.29999999999995"/>
  </r>
  <r>
    <x v="10"/>
    <x v="4"/>
    <x v="9"/>
    <n v="0.79829000000000006"/>
    <n v="0.78796999999999995"/>
    <n v="0.84"/>
    <n v="0.81398499999999996"/>
    <n v="520.29999999999995"/>
  </r>
  <r>
    <x v="10"/>
    <x v="4"/>
    <x v="9"/>
    <n v="0.79829000000000006"/>
    <n v="0.78796999999999995"/>
    <n v="0.84"/>
    <n v="0.81398499999999996"/>
    <n v="520.29999999999995"/>
  </r>
  <r>
    <x v="10"/>
    <x v="4"/>
    <x v="9"/>
    <n v="0.79829000000000006"/>
    <n v="0.78796999999999995"/>
    <n v="0.84"/>
    <n v="0.81398499999999996"/>
    <n v="520.29999999999995"/>
  </r>
  <r>
    <x v="10"/>
    <x v="4"/>
    <x v="9"/>
    <n v="0.79829000000000006"/>
    <n v="0.78796999999999995"/>
    <n v="0.84"/>
    <n v="0.81398499999999996"/>
    <n v="520.29999999999995"/>
  </r>
  <r>
    <x v="10"/>
    <x v="4"/>
    <x v="9"/>
    <n v="0.79829000000000006"/>
    <n v="0.78796999999999995"/>
    <n v="0.84"/>
    <n v="0.81398499999999996"/>
    <n v="520.29999999999995"/>
  </r>
  <r>
    <x v="10"/>
    <x v="4"/>
    <x v="9"/>
    <n v="0.79829000000000006"/>
    <n v="0.78796999999999995"/>
    <n v="0.84"/>
    <n v="0.81398499999999996"/>
    <n v="520.29999999999995"/>
  </r>
  <r>
    <x v="10"/>
    <x v="4"/>
    <x v="9"/>
    <n v="0.79829000000000006"/>
    <n v="0.78796999999999995"/>
    <n v="0.84"/>
    <n v="0.81398499999999996"/>
    <n v="520.29999999999995"/>
  </r>
  <r>
    <x v="10"/>
    <x v="4"/>
    <x v="9"/>
    <n v="0.79829000000000006"/>
    <n v="0.78796999999999995"/>
    <n v="0.84"/>
    <n v="0.81398499999999996"/>
    <n v="520.29999999999995"/>
  </r>
  <r>
    <x v="10"/>
    <x v="4"/>
    <x v="9"/>
    <n v="0.79829000000000006"/>
    <n v="0.78796999999999995"/>
    <n v="0.84"/>
    <n v="0.81398499999999996"/>
    <n v="520.29999999999995"/>
  </r>
  <r>
    <x v="10"/>
    <x v="4"/>
    <x v="9"/>
    <n v="0.79829000000000006"/>
    <n v="0.78796999999999995"/>
    <n v="0.84"/>
    <n v="0.81398499999999996"/>
    <n v="520.29999999999995"/>
  </r>
  <r>
    <x v="10"/>
    <x v="4"/>
    <x v="9"/>
    <n v="0.79829000000000006"/>
    <n v="0.78796999999999995"/>
    <n v="0.84"/>
    <n v="0.81398499999999996"/>
    <n v="520.29999999999995"/>
  </r>
  <r>
    <x v="10"/>
    <x v="4"/>
    <x v="9"/>
    <n v="0.79829000000000006"/>
    <n v="0.78796999999999995"/>
    <n v="0.84"/>
    <n v="0.81398499999999996"/>
    <n v="520.29999999999995"/>
  </r>
  <r>
    <x v="10"/>
    <x v="4"/>
    <x v="9"/>
    <n v="0.79829000000000006"/>
    <n v="0.78796999999999995"/>
    <n v="0.84"/>
    <n v="0.81398499999999996"/>
    <n v="520.29999999999995"/>
  </r>
  <r>
    <x v="10"/>
    <x v="4"/>
    <x v="9"/>
    <n v="0.79829000000000006"/>
    <n v="0.78796999999999995"/>
    <n v="0.84"/>
    <n v="0.81398499999999996"/>
    <n v="520.29999999999995"/>
  </r>
  <r>
    <x v="10"/>
    <x v="4"/>
    <x v="9"/>
    <n v="0.79829000000000006"/>
    <n v="0.78796999999999995"/>
    <n v="0.84"/>
    <n v="0.81398499999999996"/>
    <n v="520.29999999999995"/>
  </r>
  <r>
    <x v="10"/>
    <x v="4"/>
    <x v="9"/>
    <n v="0.79829000000000006"/>
    <n v="0.78796999999999995"/>
    <n v="0.84"/>
    <n v="0.81398499999999996"/>
    <n v="520.29999999999995"/>
  </r>
  <r>
    <x v="10"/>
    <x v="4"/>
    <x v="9"/>
    <n v="0.79829000000000006"/>
    <n v="0.78796999999999995"/>
    <n v="0.84"/>
    <n v="0.81398499999999996"/>
    <n v="520.29999999999995"/>
  </r>
  <r>
    <x v="10"/>
    <x v="4"/>
    <x v="9"/>
    <n v="0.79829000000000006"/>
    <n v="0.78796999999999995"/>
    <n v="0.84"/>
    <n v="0.81398499999999996"/>
    <n v="520.2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5"/>
    <x v="9"/>
    <n v="0.79932999999999998"/>
    <n v="0.78796999999999995"/>
    <n v="0.84"/>
    <n v="0.81398499999999996"/>
    <n v="520.29999999999995"/>
  </r>
  <r>
    <x v="10"/>
    <x v="5"/>
    <x v="9"/>
    <n v="0.79932999999999998"/>
    <n v="0.78796999999999995"/>
    <n v="0.84"/>
    <n v="0.81398499999999996"/>
    <n v="520.29999999999995"/>
  </r>
  <r>
    <x v="10"/>
    <x v="5"/>
    <x v="9"/>
    <n v="0.79932999999999998"/>
    <n v="0.78796999999999995"/>
    <n v="0.84"/>
    <n v="0.81398499999999996"/>
    <n v="520.29999999999995"/>
  </r>
  <r>
    <x v="10"/>
    <x v="5"/>
    <x v="9"/>
    <n v="0.79932999999999998"/>
    <n v="0.78796999999999995"/>
    <n v="0.84"/>
    <n v="0.81398499999999996"/>
    <n v="520.29999999999995"/>
  </r>
  <r>
    <x v="10"/>
    <x v="5"/>
    <x v="9"/>
    <n v="0.79932999999999998"/>
    <n v="0.78796999999999995"/>
    <n v="0.84"/>
    <n v="0.81398499999999996"/>
    <n v="520.29999999999995"/>
  </r>
  <r>
    <x v="10"/>
    <x v="5"/>
    <x v="9"/>
    <n v="0.79932999999999998"/>
    <n v="0.78796999999999995"/>
    <n v="0.84"/>
    <n v="0.81398499999999996"/>
    <n v="520.29999999999995"/>
  </r>
  <r>
    <x v="10"/>
    <x v="5"/>
    <x v="9"/>
    <n v="0.79932999999999998"/>
    <n v="0.78796999999999995"/>
    <n v="0.84"/>
    <n v="0.81398499999999996"/>
    <n v="520.29999999999995"/>
  </r>
  <r>
    <x v="10"/>
    <x v="5"/>
    <x v="9"/>
    <n v="0.79932999999999998"/>
    <n v="0.78796999999999995"/>
    <n v="0.84"/>
    <n v="0.81398499999999996"/>
    <n v="520.29999999999995"/>
  </r>
  <r>
    <x v="10"/>
    <x v="5"/>
    <x v="9"/>
    <n v="0.79932999999999998"/>
    <n v="0.78796999999999995"/>
    <n v="0.84"/>
    <n v="0.81398499999999996"/>
    <n v="520.29999999999995"/>
  </r>
  <r>
    <x v="10"/>
    <x v="5"/>
    <x v="9"/>
    <n v="0.79932999999999998"/>
    <n v="0.78796999999999995"/>
    <n v="0.84"/>
    <n v="0.81398499999999996"/>
    <n v="520.29999999999995"/>
  </r>
  <r>
    <x v="10"/>
    <x v="5"/>
    <x v="9"/>
    <n v="0.79932999999999998"/>
    <n v="0.78796999999999995"/>
    <n v="0.84"/>
    <n v="0.81398499999999996"/>
    <n v="520.29999999999995"/>
  </r>
  <r>
    <x v="10"/>
    <x v="5"/>
    <x v="9"/>
    <n v="0.79932999999999998"/>
    <n v="0.78796999999999995"/>
    <n v="0.84"/>
    <n v="0.81398499999999996"/>
    <n v="520.29999999999995"/>
  </r>
  <r>
    <x v="10"/>
    <x v="5"/>
    <x v="9"/>
    <n v="0.79932999999999998"/>
    <n v="0.78796999999999995"/>
    <n v="0.84"/>
    <n v="0.81398499999999996"/>
    <n v="520.29999999999995"/>
  </r>
  <r>
    <x v="10"/>
    <x v="5"/>
    <x v="9"/>
    <n v="0.79932999999999998"/>
    <n v="0.78796999999999995"/>
    <n v="0.84"/>
    <n v="0.81398499999999996"/>
    <n v="520.29999999999995"/>
  </r>
  <r>
    <x v="10"/>
    <x v="5"/>
    <x v="9"/>
    <n v="0.79932999999999998"/>
    <n v="0.78796999999999995"/>
    <n v="0.84"/>
    <n v="0.81398499999999996"/>
    <n v="520.29999999999995"/>
  </r>
  <r>
    <x v="10"/>
    <x v="5"/>
    <x v="9"/>
    <n v="0.79932999999999998"/>
    <n v="0.78796999999999995"/>
    <n v="0.84"/>
    <n v="0.81398499999999996"/>
    <n v="520.29999999999995"/>
  </r>
  <r>
    <x v="10"/>
    <x v="5"/>
    <x v="9"/>
    <n v="0.79932999999999998"/>
    <n v="0.78796999999999995"/>
    <n v="0.84"/>
    <n v="0.81398499999999996"/>
    <n v="520.29999999999995"/>
  </r>
  <r>
    <x v="10"/>
    <x v="5"/>
    <x v="9"/>
    <n v="0.79932999999999998"/>
    <n v="0.78796999999999995"/>
    <n v="0.84"/>
    <n v="0.81398499999999996"/>
    <n v="520.29999999999995"/>
  </r>
  <r>
    <x v="10"/>
    <x v="5"/>
    <x v="9"/>
    <n v="0.79932999999999998"/>
    <n v="0.78796999999999995"/>
    <n v="0.84"/>
    <n v="0.81398499999999996"/>
    <n v="520.29999999999995"/>
  </r>
  <r>
    <x v="10"/>
    <x v="5"/>
    <x v="9"/>
    <n v="0.79932999999999998"/>
    <n v="0.78796999999999995"/>
    <n v="0.84"/>
    <n v="0.81398499999999996"/>
    <n v="520.29999999999995"/>
  </r>
  <r>
    <x v="10"/>
    <x v="5"/>
    <x v="9"/>
    <n v="0.79932999999999998"/>
    <n v="0.78796999999999995"/>
    <n v="0.84"/>
    <n v="0.81398499999999996"/>
    <n v="520.29999999999995"/>
  </r>
  <r>
    <x v="10"/>
    <x v="5"/>
    <x v="9"/>
    <n v="0.79932999999999998"/>
    <n v="0.78796999999999995"/>
    <n v="0.84"/>
    <n v="0.81398499999999996"/>
    <n v="520.29999999999995"/>
  </r>
  <r>
    <x v="10"/>
    <x v="5"/>
    <x v="9"/>
    <n v="0.79932999999999998"/>
    <n v="0.78796999999999995"/>
    <n v="0.84"/>
    <n v="0.81398499999999996"/>
    <n v="520.29999999999995"/>
  </r>
  <r>
    <x v="10"/>
    <x v="5"/>
    <x v="9"/>
    <n v="0.79932999999999998"/>
    <n v="0.78796999999999995"/>
    <n v="0.84"/>
    <n v="0.81398499999999996"/>
    <n v="520.29999999999995"/>
  </r>
  <r>
    <x v="10"/>
    <x v="5"/>
    <x v="9"/>
    <n v="0.79932999999999998"/>
    <n v="0.78796999999999995"/>
    <n v="0.84"/>
    <n v="0.81398499999999996"/>
    <n v="520.29999999999995"/>
  </r>
  <r>
    <x v="10"/>
    <x v="5"/>
    <x v="9"/>
    <n v="0.79932999999999998"/>
    <n v="0.78796999999999995"/>
    <n v="0.84"/>
    <n v="0.81398499999999996"/>
    <n v="520.29999999999995"/>
  </r>
  <r>
    <x v="10"/>
    <x v="5"/>
    <x v="9"/>
    <n v="0.79932999999999998"/>
    <n v="0.78796999999999995"/>
    <n v="0.84"/>
    <n v="0.81398499999999996"/>
    <n v="520.29999999999995"/>
  </r>
  <r>
    <x v="10"/>
    <x v="5"/>
    <x v="9"/>
    <n v="0.79932999999999998"/>
    <n v="0.78796999999999995"/>
    <n v="0.84"/>
    <n v="0.81398499999999996"/>
    <n v="520.29999999999995"/>
  </r>
  <r>
    <x v="10"/>
    <x v="5"/>
    <x v="12"/>
    <n v="92.953000000000003"/>
    <n v="90.8"/>
    <n v="96.2"/>
    <n v="93.5"/>
    <n v="540"/>
  </r>
  <r>
    <x v="10"/>
    <x v="5"/>
    <x v="12"/>
    <n v="92.953000000000003"/>
    <n v="90.8"/>
    <n v="96.2"/>
    <n v="93.5"/>
    <n v="540"/>
  </r>
  <r>
    <x v="10"/>
    <x v="5"/>
    <x v="12"/>
    <n v="92.953000000000003"/>
    <n v="90.8"/>
    <n v="96.2"/>
    <n v="93.5"/>
    <n v="540"/>
  </r>
  <r>
    <x v="10"/>
    <x v="5"/>
    <x v="12"/>
    <n v="92.953000000000003"/>
    <n v="90.8"/>
    <n v="96.2"/>
    <n v="93.5"/>
    <n v="540"/>
  </r>
  <r>
    <x v="10"/>
    <x v="5"/>
    <x v="12"/>
    <n v="92.953000000000003"/>
    <n v="90.8"/>
    <n v="96.2"/>
    <n v="93.5"/>
    <n v="540"/>
  </r>
  <r>
    <x v="10"/>
    <x v="5"/>
    <x v="12"/>
    <n v="92.953000000000003"/>
    <n v="90.8"/>
    <n v="96.2"/>
    <n v="93.5"/>
    <n v="540"/>
  </r>
  <r>
    <x v="10"/>
    <x v="5"/>
    <x v="12"/>
    <n v="92.953000000000003"/>
    <n v="90.8"/>
    <n v="96.2"/>
    <n v="93.5"/>
    <n v="540"/>
  </r>
  <r>
    <x v="10"/>
    <x v="5"/>
    <x v="12"/>
    <n v="92.953000000000003"/>
    <n v="90.8"/>
    <n v="96.2"/>
    <n v="93.5"/>
    <n v="540"/>
  </r>
  <r>
    <x v="10"/>
    <x v="5"/>
    <x v="12"/>
    <n v="92.953000000000003"/>
    <n v="90.8"/>
    <n v="96.2"/>
    <n v="93.5"/>
    <n v="540"/>
  </r>
  <r>
    <x v="10"/>
    <x v="5"/>
    <x v="12"/>
    <n v="92.953000000000003"/>
    <n v="90.8"/>
    <n v="96.2"/>
    <n v="93.5"/>
    <n v="540"/>
  </r>
  <r>
    <x v="10"/>
    <x v="5"/>
    <x v="12"/>
    <n v="92.953000000000003"/>
    <n v="90.8"/>
    <n v="96.2"/>
    <n v="93.5"/>
    <n v="540"/>
  </r>
  <r>
    <x v="10"/>
    <x v="5"/>
    <x v="12"/>
    <n v="92.953000000000003"/>
    <n v="90.8"/>
    <n v="96.2"/>
    <n v="93.5"/>
    <n v="540"/>
  </r>
  <r>
    <x v="10"/>
    <x v="5"/>
    <x v="12"/>
    <n v="92.953000000000003"/>
    <n v="90.8"/>
    <n v="96.2"/>
    <n v="93.5"/>
    <n v="540"/>
  </r>
  <r>
    <x v="10"/>
    <x v="5"/>
    <x v="12"/>
    <n v="92.953000000000003"/>
    <n v="90.8"/>
    <n v="96.2"/>
    <n v="93.5"/>
    <n v="540"/>
  </r>
  <r>
    <x v="10"/>
    <x v="5"/>
    <x v="12"/>
    <n v="92.953000000000003"/>
    <n v="90.8"/>
    <n v="96.2"/>
    <n v="93.5"/>
    <n v="540"/>
  </r>
  <r>
    <x v="10"/>
    <x v="5"/>
    <x v="12"/>
    <n v="92.953000000000003"/>
    <n v="90.8"/>
    <n v="96.2"/>
    <n v="93.5"/>
    <n v="540"/>
  </r>
  <r>
    <x v="10"/>
    <x v="5"/>
    <x v="12"/>
    <n v="92.953000000000003"/>
    <n v="90.8"/>
    <n v="96.2"/>
    <n v="93.5"/>
    <n v="540"/>
  </r>
  <r>
    <x v="10"/>
    <x v="5"/>
    <x v="12"/>
    <n v="92.953000000000003"/>
    <n v="90.8"/>
    <n v="96.2"/>
    <n v="93.5"/>
    <n v="540"/>
  </r>
  <r>
    <x v="10"/>
    <x v="5"/>
    <x v="12"/>
    <n v="92.953000000000003"/>
    <n v="90.8"/>
    <n v="96.2"/>
    <n v="93.5"/>
    <n v="540"/>
  </r>
  <r>
    <x v="10"/>
    <x v="5"/>
    <x v="12"/>
    <n v="92.953000000000003"/>
    <n v="90.8"/>
    <n v="96.2"/>
    <n v="93.5"/>
    <n v="540"/>
  </r>
  <r>
    <x v="10"/>
    <x v="5"/>
    <x v="12"/>
    <n v="92.953000000000003"/>
    <n v="90.8"/>
    <n v="96.2"/>
    <n v="93.5"/>
    <n v="540"/>
  </r>
  <r>
    <x v="10"/>
    <x v="5"/>
    <x v="12"/>
    <n v="92.953000000000003"/>
    <n v="90.8"/>
    <n v="96.2"/>
    <n v="93.5"/>
    <n v="540"/>
  </r>
  <r>
    <x v="10"/>
    <x v="5"/>
    <x v="12"/>
    <n v="92.953000000000003"/>
    <n v="90.8"/>
    <n v="96.2"/>
    <n v="93.5"/>
    <n v="540"/>
  </r>
  <r>
    <x v="10"/>
    <x v="5"/>
    <x v="12"/>
    <n v="92.953000000000003"/>
    <n v="90.8"/>
    <n v="96.2"/>
    <n v="93.5"/>
    <n v="540"/>
  </r>
  <r>
    <x v="10"/>
    <x v="5"/>
    <x v="12"/>
    <n v="92.953000000000003"/>
    <n v="90.8"/>
    <n v="96.2"/>
    <n v="93.5"/>
    <n v="540"/>
  </r>
  <r>
    <x v="10"/>
    <x v="5"/>
    <x v="12"/>
    <n v="92.953000000000003"/>
    <n v="90.8"/>
    <n v="96.2"/>
    <n v="93.5"/>
    <n v="540"/>
  </r>
  <r>
    <x v="10"/>
    <x v="5"/>
    <x v="12"/>
    <n v="92.953000000000003"/>
    <n v="90.8"/>
    <n v="96.2"/>
    <n v="93.5"/>
    <n v="540"/>
  </r>
  <r>
    <x v="10"/>
    <x v="5"/>
    <x v="12"/>
    <n v="92.953000000000003"/>
    <n v="90.8"/>
    <n v="96.2"/>
    <n v="93.5"/>
    <n v="540"/>
  </r>
  <r>
    <x v="10"/>
    <x v="5"/>
    <x v="12"/>
    <n v="92.953000000000003"/>
    <n v="90.8"/>
    <n v="96.2"/>
    <n v="93.5"/>
    <n v="540"/>
  </r>
  <r>
    <x v="10"/>
    <x v="5"/>
    <x v="13"/>
    <n v="0.92740999999999996"/>
    <n v="0.89344999999999997"/>
    <n v="0.94952999999999999"/>
    <n v="0.92149000000000003"/>
    <n v="560.7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5"/>
    <x v="13"/>
    <n v="0.92740999999999996"/>
    <n v="0.89344999999999997"/>
    <n v="0.94952999999999999"/>
    <n v="0.92149000000000003"/>
    <n v="560.79999999999995"/>
  </r>
  <r>
    <x v="10"/>
    <x v="6"/>
    <x v="13"/>
    <n v="0.93106"/>
    <n v="0.89344999999999997"/>
    <n v="0.94952999999999999"/>
    <n v="0.92149000000000003"/>
    <n v="560.79999999999995"/>
  </r>
  <r>
    <x v="10"/>
    <x v="6"/>
    <x v="13"/>
    <n v="0.93106"/>
    <n v="0.89344999999999997"/>
    <n v="0.94952999999999999"/>
    <n v="0.92149000000000003"/>
    <n v="560.79999999999995"/>
  </r>
  <r>
    <x v="10"/>
    <x v="6"/>
    <x v="13"/>
    <n v="0.93106"/>
    <n v="0.89344999999999997"/>
    <n v="0.94952999999999999"/>
    <n v="0.92149000000000003"/>
    <n v="560.79999999999995"/>
  </r>
  <r>
    <x v="10"/>
    <x v="6"/>
    <x v="13"/>
    <n v="0.93106"/>
    <n v="0.89344999999999997"/>
    <n v="0.94952999999999999"/>
    <n v="0.92149000000000003"/>
    <n v="560.79999999999995"/>
  </r>
  <r>
    <x v="10"/>
    <x v="6"/>
    <x v="13"/>
    <n v="0.93106"/>
    <n v="0.89344999999999997"/>
    <n v="0.94952999999999999"/>
    <n v="0.92149000000000003"/>
    <n v="560.79999999999995"/>
  </r>
  <r>
    <x v="10"/>
    <x v="6"/>
    <x v="13"/>
    <n v="0.93106"/>
    <n v="0.89344999999999997"/>
    <n v="0.94952999999999999"/>
    <n v="0.92149000000000003"/>
    <n v="560.79999999999995"/>
  </r>
  <r>
    <x v="10"/>
    <x v="6"/>
    <x v="13"/>
    <n v="0.93106"/>
    <n v="0.89344999999999997"/>
    <n v="0.94952999999999999"/>
    <n v="0.92149000000000003"/>
    <n v="560.79999999999995"/>
  </r>
  <r>
    <x v="10"/>
    <x v="6"/>
    <x v="13"/>
    <n v="0.93106"/>
    <n v="0.89344999999999997"/>
    <n v="0.94952999999999999"/>
    <n v="0.92149000000000003"/>
    <n v="560.79999999999995"/>
  </r>
  <r>
    <x v="10"/>
    <x v="6"/>
    <x v="13"/>
    <n v="0.93106"/>
    <n v="0.89344999999999997"/>
    <n v="0.94952999999999999"/>
    <n v="0.92149000000000003"/>
    <n v="560.79999999999995"/>
  </r>
  <r>
    <x v="10"/>
    <x v="6"/>
    <x v="13"/>
    <n v="0.93106"/>
    <n v="0.89344999999999997"/>
    <n v="0.94952999999999999"/>
    <n v="0.92149000000000003"/>
    <n v="560.79999999999995"/>
  </r>
  <r>
    <x v="10"/>
    <x v="6"/>
    <x v="13"/>
    <n v="0.93106"/>
    <n v="0.89344999999999997"/>
    <n v="0.94952999999999999"/>
    <n v="0.92149000000000003"/>
    <n v="560.79999999999995"/>
  </r>
  <r>
    <x v="10"/>
    <x v="6"/>
    <x v="13"/>
    <n v="0.93106"/>
    <n v="0.89344999999999997"/>
    <n v="0.94952999999999999"/>
    <n v="0.92149000000000003"/>
    <n v="560.79999999999995"/>
  </r>
  <r>
    <x v="10"/>
    <x v="6"/>
    <x v="13"/>
    <n v="0.93106"/>
    <n v="0.89344999999999997"/>
    <n v="0.94952999999999999"/>
    <n v="0.92149000000000003"/>
    <n v="560.79999999999995"/>
  </r>
  <r>
    <x v="10"/>
    <x v="6"/>
    <x v="13"/>
    <n v="0.93106"/>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7"/>
    <x v="9"/>
    <n v="0.79869000000000001"/>
    <n v="0.78796999999999995"/>
    <n v="0.84"/>
    <n v="0.81398499999999996"/>
    <n v="520.29999999999995"/>
  </r>
  <r>
    <x v="10"/>
    <x v="7"/>
    <x v="9"/>
    <n v="0.79869000000000001"/>
    <n v="0.78796999999999995"/>
    <n v="0.84"/>
    <n v="0.81398499999999996"/>
    <n v="520.29999999999995"/>
  </r>
  <r>
    <x v="10"/>
    <x v="7"/>
    <x v="9"/>
    <n v="0.79869000000000001"/>
    <n v="0.78796999999999995"/>
    <n v="0.84"/>
    <n v="0.81398499999999996"/>
    <n v="520.29999999999995"/>
  </r>
  <r>
    <x v="10"/>
    <x v="7"/>
    <x v="9"/>
    <n v="0.79869000000000001"/>
    <n v="0.78796999999999995"/>
    <n v="0.84"/>
    <n v="0.81398499999999996"/>
    <n v="520.29999999999995"/>
  </r>
  <r>
    <x v="10"/>
    <x v="7"/>
    <x v="9"/>
    <n v="0.79869000000000001"/>
    <n v="0.78796999999999995"/>
    <n v="0.84"/>
    <n v="0.81398499999999996"/>
    <n v="520.29999999999995"/>
  </r>
  <r>
    <x v="10"/>
    <x v="7"/>
    <x v="9"/>
    <n v="0.79869000000000001"/>
    <n v="0.78796999999999995"/>
    <n v="0.84"/>
    <n v="0.81398499999999996"/>
    <n v="520.29999999999995"/>
  </r>
  <r>
    <x v="10"/>
    <x v="7"/>
    <x v="9"/>
    <n v="0.79869000000000001"/>
    <n v="0.78796999999999995"/>
    <n v="0.84"/>
    <n v="0.81398499999999996"/>
    <n v="520.29999999999995"/>
  </r>
  <r>
    <x v="10"/>
    <x v="7"/>
    <x v="9"/>
    <n v="0.79869000000000001"/>
    <n v="0.78796999999999995"/>
    <n v="0.84"/>
    <n v="0.81398499999999996"/>
    <n v="520.29999999999995"/>
  </r>
  <r>
    <x v="10"/>
    <x v="7"/>
    <x v="9"/>
    <n v="0.79869000000000001"/>
    <n v="0.78796999999999995"/>
    <n v="0.84"/>
    <n v="0.81398499999999996"/>
    <n v="520.29999999999995"/>
  </r>
  <r>
    <x v="10"/>
    <x v="7"/>
    <x v="9"/>
    <n v="0.79869000000000001"/>
    <n v="0.78796999999999995"/>
    <n v="0.84"/>
    <n v="0.81398499999999996"/>
    <n v="520.29999999999995"/>
  </r>
  <r>
    <x v="10"/>
    <x v="7"/>
    <x v="9"/>
    <n v="0.79869000000000001"/>
    <n v="0.78796999999999995"/>
    <n v="0.84"/>
    <n v="0.81398499999999996"/>
    <n v="520.29999999999995"/>
  </r>
  <r>
    <x v="10"/>
    <x v="7"/>
    <x v="9"/>
    <n v="0.79869000000000001"/>
    <n v="0.78796999999999995"/>
    <n v="0.84"/>
    <n v="0.81398499999999996"/>
    <n v="520.29999999999995"/>
  </r>
  <r>
    <x v="10"/>
    <x v="7"/>
    <x v="9"/>
    <n v="0.79869000000000001"/>
    <n v="0.78796999999999995"/>
    <n v="0.84"/>
    <n v="0.81398499999999996"/>
    <n v="520.29999999999995"/>
  </r>
  <r>
    <x v="10"/>
    <x v="7"/>
    <x v="9"/>
    <n v="0.79869000000000001"/>
    <n v="0.78796999999999995"/>
    <n v="0.84"/>
    <n v="0.81398499999999996"/>
    <n v="520.29999999999995"/>
  </r>
  <r>
    <x v="10"/>
    <x v="7"/>
    <x v="9"/>
    <n v="0.79869000000000001"/>
    <n v="0.78796999999999995"/>
    <n v="0.84"/>
    <n v="0.81398499999999996"/>
    <n v="520.29999999999995"/>
  </r>
  <r>
    <x v="10"/>
    <x v="7"/>
    <x v="9"/>
    <n v="0.79869000000000001"/>
    <n v="0.78796999999999995"/>
    <n v="0.84"/>
    <n v="0.81398499999999996"/>
    <n v="520.29999999999995"/>
  </r>
  <r>
    <x v="10"/>
    <x v="7"/>
    <x v="9"/>
    <n v="0.79869000000000001"/>
    <n v="0.78796999999999995"/>
    <n v="0.84"/>
    <n v="0.81398499999999996"/>
    <n v="520.29999999999995"/>
  </r>
  <r>
    <x v="10"/>
    <x v="7"/>
    <x v="9"/>
    <n v="0.79869000000000001"/>
    <n v="0.78796999999999995"/>
    <n v="0.84"/>
    <n v="0.81398499999999996"/>
    <n v="520.29999999999995"/>
  </r>
  <r>
    <x v="10"/>
    <x v="7"/>
    <x v="9"/>
    <n v="0.79869000000000001"/>
    <n v="0.78796999999999995"/>
    <n v="0.84"/>
    <n v="0.81398499999999996"/>
    <n v="520.29999999999995"/>
  </r>
  <r>
    <x v="10"/>
    <x v="7"/>
    <x v="9"/>
    <n v="0.79869000000000001"/>
    <n v="0.78796999999999995"/>
    <n v="0.84"/>
    <n v="0.81398499999999996"/>
    <n v="520.29999999999995"/>
  </r>
  <r>
    <x v="10"/>
    <x v="7"/>
    <x v="9"/>
    <n v="0.79869000000000001"/>
    <n v="0.78796999999999995"/>
    <n v="0.84"/>
    <n v="0.81398499999999996"/>
    <n v="520.29999999999995"/>
  </r>
  <r>
    <x v="10"/>
    <x v="7"/>
    <x v="9"/>
    <n v="0.79869000000000001"/>
    <n v="0.78796999999999995"/>
    <n v="0.84"/>
    <n v="0.81398499999999996"/>
    <n v="520.29999999999995"/>
  </r>
  <r>
    <x v="10"/>
    <x v="7"/>
    <x v="9"/>
    <n v="0.79869000000000001"/>
    <n v="0.78796999999999995"/>
    <n v="0.84"/>
    <n v="0.81398499999999996"/>
    <n v="520.29999999999995"/>
  </r>
  <r>
    <x v="10"/>
    <x v="7"/>
    <x v="9"/>
    <n v="0.79869000000000001"/>
    <n v="0.78796999999999995"/>
    <n v="0.84"/>
    <n v="0.81398499999999996"/>
    <n v="520.29999999999995"/>
  </r>
  <r>
    <x v="10"/>
    <x v="7"/>
    <x v="9"/>
    <n v="0.79869000000000001"/>
    <n v="0.78796999999999995"/>
    <n v="0.84"/>
    <n v="0.81398499999999996"/>
    <n v="520.29999999999995"/>
  </r>
  <r>
    <x v="10"/>
    <x v="7"/>
    <x v="9"/>
    <n v="0.79869000000000001"/>
    <n v="0.78796999999999995"/>
    <n v="0.84"/>
    <n v="0.81398499999999996"/>
    <n v="520.29999999999995"/>
  </r>
  <r>
    <x v="10"/>
    <x v="7"/>
    <x v="9"/>
    <n v="0.79869000000000001"/>
    <n v="0.78796999999999995"/>
    <n v="0.84"/>
    <n v="0.81398499999999996"/>
    <n v="520.29999999999995"/>
  </r>
  <r>
    <x v="10"/>
    <x v="7"/>
    <x v="9"/>
    <n v="0.79869000000000001"/>
    <n v="0.78796999999999995"/>
    <n v="0.84"/>
    <n v="0.81398499999999996"/>
    <n v="520.29999999999995"/>
  </r>
  <r>
    <x v="10"/>
    <x v="7"/>
    <x v="12"/>
    <n v="94.902000000000001"/>
    <n v="90.8"/>
    <n v="96.2"/>
    <n v="93.5"/>
    <n v="540"/>
  </r>
  <r>
    <x v="10"/>
    <x v="7"/>
    <x v="12"/>
    <n v="94.902000000000001"/>
    <n v="90.8"/>
    <n v="96.2"/>
    <n v="93.5"/>
    <n v="540"/>
  </r>
  <r>
    <x v="10"/>
    <x v="7"/>
    <x v="12"/>
    <n v="94.902000000000001"/>
    <n v="90.8"/>
    <n v="96.2"/>
    <n v="93.5"/>
    <n v="540"/>
  </r>
  <r>
    <x v="10"/>
    <x v="7"/>
    <x v="12"/>
    <n v="94.902000000000001"/>
    <n v="90.8"/>
    <n v="96.2"/>
    <n v="93.5"/>
    <n v="540"/>
  </r>
  <r>
    <x v="10"/>
    <x v="7"/>
    <x v="12"/>
    <n v="94.902000000000001"/>
    <n v="90.8"/>
    <n v="96.2"/>
    <n v="93.5"/>
    <n v="540"/>
  </r>
  <r>
    <x v="10"/>
    <x v="7"/>
    <x v="12"/>
    <n v="94.902000000000001"/>
    <n v="90.8"/>
    <n v="96.2"/>
    <n v="93.5"/>
    <n v="540"/>
  </r>
  <r>
    <x v="10"/>
    <x v="7"/>
    <x v="12"/>
    <n v="94.902000000000001"/>
    <n v="90.8"/>
    <n v="96.2"/>
    <n v="93.5"/>
    <n v="540"/>
  </r>
  <r>
    <x v="10"/>
    <x v="7"/>
    <x v="12"/>
    <n v="94.902000000000001"/>
    <n v="90.8"/>
    <n v="96.2"/>
    <n v="93.5"/>
    <n v="540"/>
  </r>
  <r>
    <x v="10"/>
    <x v="7"/>
    <x v="12"/>
    <n v="94.902000000000001"/>
    <n v="90.8"/>
    <n v="96.2"/>
    <n v="93.5"/>
    <n v="540"/>
  </r>
  <r>
    <x v="10"/>
    <x v="7"/>
    <x v="12"/>
    <n v="94.902000000000001"/>
    <n v="90.8"/>
    <n v="96.2"/>
    <n v="93.5"/>
    <n v="540"/>
  </r>
  <r>
    <x v="10"/>
    <x v="7"/>
    <x v="12"/>
    <n v="94.902000000000001"/>
    <n v="90.8"/>
    <n v="96.2"/>
    <n v="93.5"/>
    <n v="540"/>
  </r>
  <r>
    <x v="10"/>
    <x v="7"/>
    <x v="12"/>
    <n v="94.902000000000001"/>
    <n v="90.8"/>
    <n v="96.2"/>
    <n v="93.5"/>
    <n v="540"/>
  </r>
  <r>
    <x v="10"/>
    <x v="7"/>
    <x v="12"/>
    <n v="94.902000000000001"/>
    <n v="90.8"/>
    <n v="96.2"/>
    <n v="93.5"/>
    <n v="540"/>
  </r>
  <r>
    <x v="10"/>
    <x v="7"/>
    <x v="12"/>
    <n v="94.902000000000001"/>
    <n v="90.8"/>
    <n v="96.2"/>
    <n v="93.5"/>
    <n v="540"/>
  </r>
  <r>
    <x v="10"/>
    <x v="7"/>
    <x v="12"/>
    <n v="94.902000000000001"/>
    <n v="90.8"/>
    <n v="96.2"/>
    <n v="93.5"/>
    <n v="540"/>
  </r>
  <r>
    <x v="10"/>
    <x v="7"/>
    <x v="12"/>
    <n v="94.902000000000001"/>
    <n v="90.8"/>
    <n v="96.2"/>
    <n v="93.5"/>
    <n v="540"/>
  </r>
  <r>
    <x v="10"/>
    <x v="7"/>
    <x v="12"/>
    <n v="94.902000000000001"/>
    <n v="90.8"/>
    <n v="96.2"/>
    <n v="93.5"/>
    <n v="540"/>
  </r>
  <r>
    <x v="10"/>
    <x v="7"/>
    <x v="12"/>
    <n v="94.902000000000001"/>
    <n v="90.8"/>
    <n v="96.2"/>
    <n v="93.5"/>
    <n v="540"/>
  </r>
  <r>
    <x v="10"/>
    <x v="7"/>
    <x v="12"/>
    <n v="94.902000000000001"/>
    <n v="90.8"/>
    <n v="96.2"/>
    <n v="93.5"/>
    <n v="540"/>
  </r>
  <r>
    <x v="10"/>
    <x v="7"/>
    <x v="12"/>
    <n v="94.902000000000001"/>
    <n v="90.8"/>
    <n v="96.2"/>
    <n v="93.5"/>
    <n v="540"/>
  </r>
  <r>
    <x v="10"/>
    <x v="7"/>
    <x v="12"/>
    <n v="94.902000000000001"/>
    <n v="90.8"/>
    <n v="96.2"/>
    <n v="93.5"/>
    <n v="540"/>
  </r>
  <r>
    <x v="10"/>
    <x v="7"/>
    <x v="12"/>
    <n v="94.902000000000001"/>
    <n v="90.8"/>
    <n v="96.2"/>
    <n v="93.5"/>
    <n v="540"/>
  </r>
  <r>
    <x v="10"/>
    <x v="7"/>
    <x v="12"/>
    <n v="94.902000000000001"/>
    <n v="90.8"/>
    <n v="96.2"/>
    <n v="93.5"/>
    <n v="540"/>
  </r>
  <r>
    <x v="10"/>
    <x v="7"/>
    <x v="12"/>
    <n v="94.902000000000001"/>
    <n v="90.8"/>
    <n v="96.2"/>
    <n v="93.5"/>
    <n v="540"/>
  </r>
  <r>
    <x v="10"/>
    <x v="7"/>
    <x v="12"/>
    <n v="94.902000000000001"/>
    <n v="90.8"/>
    <n v="96.2"/>
    <n v="93.5"/>
    <n v="540"/>
  </r>
  <r>
    <x v="10"/>
    <x v="7"/>
    <x v="12"/>
    <n v="94.902000000000001"/>
    <n v="90.8"/>
    <n v="96.2"/>
    <n v="93.5"/>
    <n v="540"/>
  </r>
  <r>
    <x v="10"/>
    <x v="7"/>
    <x v="12"/>
    <n v="94.902000000000001"/>
    <n v="90.8"/>
    <n v="96.2"/>
    <n v="93.5"/>
    <n v="540"/>
  </r>
  <r>
    <x v="10"/>
    <x v="7"/>
    <x v="12"/>
    <n v="94.902000000000001"/>
    <n v="90.8"/>
    <n v="96.2"/>
    <n v="93.5"/>
    <n v="540"/>
  </r>
  <r>
    <x v="10"/>
    <x v="7"/>
    <x v="12"/>
    <n v="94.902000000000001"/>
    <n v="90.8"/>
    <n v="96.2"/>
    <n v="93.5"/>
    <n v="540"/>
  </r>
  <r>
    <x v="10"/>
    <x v="7"/>
    <x v="13"/>
    <n v="0.93147999999999997"/>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7"/>
    <x v="13"/>
    <n v="0.93147999999999997"/>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9"/>
    <n v="0.79059999999999997"/>
    <n v="0.78796999999999995"/>
    <n v="0.84"/>
    <n v="0.81398499999999996"/>
    <n v="520.29999999999995"/>
  </r>
  <r>
    <x v="10"/>
    <x v="8"/>
    <x v="9"/>
    <n v="0.79059999999999997"/>
    <n v="0.78796999999999995"/>
    <n v="0.84"/>
    <n v="0.81398499999999996"/>
    <n v="520.29999999999995"/>
  </r>
  <r>
    <x v="10"/>
    <x v="8"/>
    <x v="9"/>
    <n v="0.79059999999999997"/>
    <n v="0.78796999999999995"/>
    <n v="0.84"/>
    <n v="0.81398499999999996"/>
    <n v="520.29999999999995"/>
  </r>
  <r>
    <x v="10"/>
    <x v="8"/>
    <x v="9"/>
    <n v="0.79059999999999997"/>
    <n v="0.78796999999999995"/>
    <n v="0.84"/>
    <n v="0.81398499999999996"/>
    <n v="520.29999999999995"/>
  </r>
  <r>
    <x v="10"/>
    <x v="8"/>
    <x v="9"/>
    <n v="0.79059999999999997"/>
    <n v="0.78796999999999995"/>
    <n v="0.84"/>
    <n v="0.81398499999999996"/>
    <n v="520.29999999999995"/>
  </r>
  <r>
    <x v="10"/>
    <x v="8"/>
    <x v="9"/>
    <n v="0.79059999999999997"/>
    <n v="0.78796999999999995"/>
    <n v="0.84"/>
    <n v="0.81398499999999996"/>
    <n v="520.29999999999995"/>
  </r>
  <r>
    <x v="10"/>
    <x v="8"/>
    <x v="9"/>
    <n v="0.79059999999999997"/>
    <n v="0.78796999999999995"/>
    <n v="0.84"/>
    <n v="0.81398499999999996"/>
    <n v="520.29999999999995"/>
  </r>
  <r>
    <x v="10"/>
    <x v="8"/>
    <x v="9"/>
    <n v="0.79059999999999997"/>
    <n v="0.78796999999999995"/>
    <n v="0.84"/>
    <n v="0.81398499999999996"/>
    <n v="520.29999999999995"/>
  </r>
  <r>
    <x v="10"/>
    <x v="8"/>
    <x v="9"/>
    <n v="0.79059999999999997"/>
    <n v="0.78796999999999995"/>
    <n v="0.84"/>
    <n v="0.81398499999999996"/>
    <n v="520.29999999999995"/>
  </r>
  <r>
    <x v="10"/>
    <x v="8"/>
    <x v="9"/>
    <n v="0.79059999999999997"/>
    <n v="0.78796999999999995"/>
    <n v="0.84"/>
    <n v="0.81398499999999996"/>
    <n v="520.29999999999995"/>
  </r>
  <r>
    <x v="10"/>
    <x v="8"/>
    <x v="9"/>
    <n v="0.79059999999999997"/>
    <n v="0.78796999999999995"/>
    <n v="0.84"/>
    <n v="0.81398499999999996"/>
    <n v="520.29999999999995"/>
  </r>
  <r>
    <x v="10"/>
    <x v="8"/>
    <x v="9"/>
    <n v="0.79059999999999997"/>
    <n v="0.78796999999999995"/>
    <n v="0.84"/>
    <n v="0.81398499999999996"/>
    <n v="520.29999999999995"/>
  </r>
  <r>
    <x v="10"/>
    <x v="8"/>
    <x v="9"/>
    <n v="0.79059999999999997"/>
    <n v="0.78796999999999995"/>
    <n v="0.84"/>
    <n v="0.81398499999999996"/>
    <n v="520.29999999999995"/>
  </r>
  <r>
    <x v="10"/>
    <x v="8"/>
    <x v="9"/>
    <n v="0.79059999999999997"/>
    <n v="0.78796999999999995"/>
    <n v="0.84"/>
    <n v="0.81398499999999996"/>
    <n v="520.29999999999995"/>
  </r>
  <r>
    <x v="10"/>
    <x v="8"/>
    <x v="9"/>
    <n v="0.79059999999999997"/>
    <n v="0.78796999999999995"/>
    <n v="0.84"/>
    <n v="0.81398499999999996"/>
    <n v="520.29999999999995"/>
  </r>
  <r>
    <x v="10"/>
    <x v="8"/>
    <x v="9"/>
    <n v="0.79059999999999997"/>
    <n v="0.78796999999999995"/>
    <n v="0.84"/>
    <n v="0.81398499999999996"/>
    <n v="520.29999999999995"/>
  </r>
  <r>
    <x v="10"/>
    <x v="8"/>
    <x v="9"/>
    <n v="0.79059999999999997"/>
    <n v="0.78796999999999995"/>
    <n v="0.84"/>
    <n v="0.81398499999999996"/>
    <n v="520.29999999999995"/>
  </r>
  <r>
    <x v="10"/>
    <x v="8"/>
    <x v="9"/>
    <n v="0.79059999999999997"/>
    <n v="0.78796999999999995"/>
    <n v="0.84"/>
    <n v="0.81398499999999996"/>
    <n v="520.29999999999995"/>
  </r>
  <r>
    <x v="10"/>
    <x v="8"/>
    <x v="9"/>
    <n v="0.79059999999999997"/>
    <n v="0.78796999999999995"/>
    <n v="0.84"/>
    <n v="0.81398499999999996"/>
    <n v="520.29999999999995"/>
  </r>
  <r>
    <x v="10"/>
    <x v="8"/>
    <x v="9"/>
    <n v="0.79059999999999997"/>
    <n v="0.78796999999999995"/>
    <n v="0.84"/>
    <n v="0.81398499999999996"/>
    <n v="520.29999999999995"/>
  </r>
  <r>
    <x v="10"/>
    <x v="8"/>
    <x v="9"/>
    <n v="0.79059999999999997"/>
    <n v="0.78796999999999995"/>
    <n v="0.84"/>
    <n v="0.81398499999999996"/>
    <n v="520.29999999999995"/>
  </r>
  <r>
    <x v="10"/>
    <x v="8"/>
    <x v="9"/>
    <n v="0.79059999999999997"/>
    <n v="0.78796999999999995"/>
    <n v="0.84"/>
    <n v="0.81398499999999996"/>
    <n v="520.29999999999995"/>
  </r>
  <r>
    <x v="10"/>
    <x v="8"/>
    <x v="9"/>
    <n v="0.79059999999999997"/>
    <n v="0.78796999999999995"/>
    <n v="0.84"/>
    <n v="0.81398499999999996"/>
    <n v="520.29999999999995"/>
  </r>
  <r>
    <x v="10"/>
    <x v="8"/>
    <x v="9"/>
    <n v="0.79059999999999997"/>
    <n v="0.78796999999999995"/>
    <n v="0.84"/>
    <n v="0.81398499999999996"/>
    <n v="520.29999999999995"/>
  </r>
  <r>
    <x v="10"/>
    <x v="8"/>
    <x v="9"/>
    <n v="0.79059999999999997"/>
    <n v="0.78796999999999995"/>
    <n v="0.84"/>
    <n v="0.81398499999999996"/>
    <n v="520.29999999999995"/>
  </r>
  <r>
    <x v="10"/>
    <x v="8"/>
    <x v="9"/>
    <n v="0.79059999999999997"/>
    <n v="0.78796999999999995"/>
    <n v="0.84"/>
    <n v="0.81398499999999996"/>
    <n v="520.29999999999995"/>
  </r>
  <r>
    <x v="10"/>
    <x v="8"/>
    <x v="9"/>
    <n v="0.79059999999999997"/>
    <n v="0.78796999999999995"/>
    <n v="0.84"/>
    <n v="0.81398499999999996"/>
    <n v="520.29999999999995"/>
  </r>
  <r>
    <x v="10"/>
    <x v="8"/>
    <x v="9"/>
    <n v="0.79059999999999997"/>
    <n v="0.78796999999999995"/>
    <n v="0.84"/>
    <n v="0.81398499999999996"/>
    <n v="520.29999999999995"/>
  </r>
  <r>
    <x v="10"/>
    <x v="8"/>
    <x v="9"/>
    <n v="0.79059999999999997"/>
    <n v="0.78796999999999995"/>
    <n v="0.84"/>
    <n v="0.81398499999999996"/>
    <n v="520.29999999999995"/>
  </r>
  <r>
    <x v="10"/>
    <x v="8"/>
    <x v="12"/>
    <n v="95.647000000000006"/>
    <n v="90.8"/>
    <n v="96.2"/>
    <n v="93.5"/>
    <n v="540"/>
  </r>
  <r>
    <x v="10"/>
    <x v="8"/>
    <x v="12"/>
    <n v="95.647000000000006"/>
    <n v="90.8"/>
    <n v="96.2"/>
    <n v="93.5"/>
    <n v="540"/>
  </r>
  <r>
    <x v="10"/>
    <x v="8"/>
    <x v="12"/>
    <n v="95.647000000000006"/>
    <n v="90.8"/>
    <n v="96.2"/>
    <n v="93.5"/>
    <n v="540"/>
  </r>
  <r>
    <x v="10"/>
    <x v="8"/>
    <x v="12"/>
    <n v="95.647000000000006"/>
    <n v="90.8"/>
    <n v="96.2"/>
    <n v="93.5"/>
    <n v="540"/>
  </r>
  <r>
    <x v="10"/>
    <x v="8"/>
    <x v="12"/>
    <n v="95.647000000000006"/>
    <n v="90.8"/>
    <n v="96.2"/>
    <n v="93.5"/>
    <n v="540"/>
  </r>
  <r>
    <x v="10"/>
    <x v="8"/>
    <x v="12"/>
    <n v="95.647000000000006"/>
    <n v="90.8"/>
    <n v="96.2"/>
    <n v="93.5"/>
    <n v="540"/>
  </r>
  <r>
    <x v="10"/>
    <x v="8"/>
    <x v="12"/>
    <n v="95.647000000000006"/>
    <n v="90.8"/>
    <n v="96.2"/>
    <n v="93.5"/>
    <n v="540"/>
  </r>
  <r>
    <x v="10"/>
    <x v="8"/>
    <x v="12"/>
    <n v="95.647000000000006"/>
    <n v="90.8"/>
    <n v="96.2"/>
    <n v="93.5"/>
    <n v="540"/>
  </r>
  <r>
    <x v="10"/>
    <x v="8"/>
    <x v="12"/>
    <n v="95.647000000000006"/>
    <n v="90.8"/>
    <n v="96.2"/>
    <n v="93.5"/>
    <n v="540"/>
  </r>
  <r>
    <x v="10"/>
    <x v="8"/>
    <x v="12"/>
    <n v="95.647000000000006"/>
    <n v="90.8"/>
    <n v="96.2"/>
    <n v="93.5"/>
    <n v="540"/>
  </r>
  <r>
    <x v="10"/>
    <x v="8"/>
    <x v="12"/>
    <n v="95.647000000000006"/>
    <n v="90.8"/>
    <n v="96.2"/>
    <n v="93.5"/>
    <n v="540"/>
  </r>
  <r>
    <x v="10"/>
    <x v="8"/>
    <x v="12"/>
    <n v="95.647000000000006"/>
    <n v="90.8"/>
    <n v="96.2"/>
    <n v="93.5"/>
    <n v="540"/>
  </r>
  <r>
    <x v="10"/>
    <x v="8"/>
    <x v="12"/>
    <n v="95.647000000000006"/>
    <n v="90.8"/>
    <n v="96.2"/>
    <n v="93.5"/>
    <n v="540"/>
  </r>
  <r>
    <x v="10"/>
    <x v="8"/>
    <x v="12"/>
    <n v="95.647000000000006"/>
    <n v="90.8"/>
    <n v="96.2"/>
    <n v="93.5"/>
    <n v="540"/>
  </r>
  <r>
    <x v="10"/>
    <x v="8"/>
    <x v="12"/>
    <n v="95.647000000000006"/>
    <n v="90.8"/>
    <n v="96.2"/>
    <n v="93.5"/>
    <n v="540"/>
  </r>
  <r>
    <x v="10"/>
    <x v="8"/>
    <x v="12"/>
    <n v="95.647000000000006"/>
    <n v="90.8"/>
    <n v="96.2"/>
    <n v="93.5"/>
    <n v="540"/>
  </r>
  <r>
    <x v="10"/>
    <x v="8"/>
    <x v="12"/>
    <n v="95.647000000000006"/>
    <n v="90.8"/>
    <n v="96.2"/>
    <n v="93.5"/>
    <n v="540"/>
  </r>
  <r>
    <x v="10"/>
    <x v="8"/>
    <x v="12"/>
    <n v="95.647000000000006"/>
    <n v="90.8"/>
    <n v="96.2"/>
    <n v="93.5"/>
    <n v="540"/>
  </r>
  <r>
    <x v="10"/>
    <x v="8"/>
    <x v="12"/>
    <n v="95.647000000000006"/>
    <n v="90.8"/>
    <n v="96.2"/>
    <n v="93.5"/>
    <n v="540"/>
  </r>
  <r>
    <x v="10"/>
    <x v="8"/>
    <x v="12"/>
    <n v="95.647000000000006"/>
    <n v="90.8"/>
    <n v="96.2"/>
    <n v="93.5"/>
    <n v="540"/>
  </r>
  <r>
    <x v="10"/>
    <x v="8"/>
    <x v="12"/>
    <n v="95.647000000000006"/>
    <n v="90.8"/>
    <n v="96.2"/>
    <n v="93.5"/>
    <n v="540"/>
  </r>
  <r>
    <x v="10"/>
    <x v="8"/>
    <x v="12"/>
    <n v="95.647000000000006"/>
    <n v="90.8"/>
    <n v="96.2"/>
    <n v="93.5"/>
    <n v="540"/>
  </r>
  <r>
    <x v="10"/>
    <x v="8"/>
    <x v="12"/>
    <n v="95.647000000000006"/>
    <n v="90.8"/>
    <n v="96.2"/>
    <n v="93.5"/>
    <n v="540"/>
  </r>
  <r>
    <x v="10"/>
    <x v="8"/>
    <x v="12"/>
    <n v="95.647000000000006"/>
    <n v="90.8"/>
    <n v="96.2"/>
    <n v="93.5"/>
    <n v="540"/>
  </r>
  <r>
    <x v="10"/>
    <x v="8"/>
    <x v="12"/>
    <n v="95.647000000000006"/>
    <n v="90.8"/>
    <n v="96.2"/>
    <n v="93.5"/>
    <n v="540"/>
  </r>
  <r>
    <x v="10"/>
    <x v="8"/>
    <x v="12"/>
    <n v="95.647000000000006"/>
    <n v="90.8"/>
    <n v="96.2"/>
    <n v="93.5"/>
    <n v="540"/>
  </r>
  <r>
    <x v="10"/>
    <x v="8"/>
    <x v="12"/>
    <n v="95.647000000000006"/>
    <n v="90.8"/>
    <n v="96.2"/>
    <n v="93.5"/>
    <n v="540"/>
  </r>
  <r>
    <x v="10"/>
    <x v="8"/>
    <x v="12"/>
    <n v="95.647000000000006"/>
    <n v="90.8"/>
    <n v="96.2"/>
    <n v="93.5"/>
    <n v="540"/>
  </r>
  <r>
    <x v="10"/>
    <x v="8"/>
    <x v="12"/>
    <n v="95.647000000000006"/>
    <n v="90.8"/>
    <n v="96.2"/>
    <n v="93.5"/>
    <n v="540"/>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8"/>
    <x v="13"/>
    <n v="0.93215000000000003"/>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13"/>
    <n v="0.93738999999999995"/>
    <n v="0.89344999999999997"/>
    <n v="0.94952999999999999"/>
    <n v="0.92149000000000003"/>
    <n v="560.7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9"/>
    <n v="0.79308999999999996"/>
    <n v="0.78796999999999995"/>
    <n v="0.84"/>
    <n v="0.81398499999999996"/>
    <n v="520.29999999999995"/>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9"/>
    <x v="12"/>
    <n v="96.522000000000006"/>
    <n v="90.8"/>
    <n v="97"/>
    <n v="93.9"/>
    <n v="620"/>
  </r>
  <r>
    <x v="10"/>
    <x v="10"/>
    <x v="12"/>
    <n v="96.721999999999994"/>
    <n v="90.8"/>
    <n v="97.608999999999995"/>
    <n v="94.204499999999996"/>
    <n v="680.9"/>
  </r>
  <r>
    <x v="10"/>
    <x v="10"/>
    <x v="12"/>
    <n v="96.721999999999994"/>
    <n v="90.8"/>
    <n v="97.608999999999995"/>
    <n v="94.204499999999996"/>
    <n v="680.9"/>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13"/>
    <n v="0.90361999999999998"/>
    <n v="0.89344999999999997"/>
    <n v="0.94952999999999999"/>
    <n v="0.92149000000000003"/>
    <n v="560.7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9"/>
    <n v="0.79615999999999998"/>
    <n v="0.78796999999999995"/>
    <n v="0.84"/>
    <n v="0.81398499999999996"/>
    <n v="520.29999999999995"/>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0"/>
    <x v="12"/>
    <n v="96.721999999999994"/>
    <n v="90.8"/>
    <n v="97.608999999999995"/>
    <n v="94.204499999999996"/>
    <n v="680.9"/>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13"/>
    <n v="0.89236000000000004"/>
    <n v="0.89344999999999997"/>
    <n v="0.94952999999999999"/>
    <n v="0.92149000000000003"/>
    <n v="560.7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9"/>
    <n v="0.78735999999999995"/>
    <n v="0.78197000000000005"/>
    <n v="0.84"/>
    <n v="0.81098499999999996"/>
    <n v="580.29999999999995"/>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1"/>
    <x v="12"/>
    <n v="99.39499999999999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13"/>
    <n v="0.87634000000000001"/>
    <n v="0.87549999999999994"/>
    <n v="0.94952999999999999"/>
    <n v="0.91251499999999997"/>
    <n v="740.3"/>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9"/>
    <n v="0.78019000000000005"/>
    <n v="0.77998000000000001"/>
    <n v="0.84"/>
    <n v="0.80998999999999999"/>
    <n v="600.20000000000005"/>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2"/>
    <x v="12"/>
    <n v="97.903000000000006"/>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13"/>
    <n v="0.86729999999999996"/>
    <n v="0.86751"/>
    <n v="0.94952999999999999"/>
    <n v="0.90851999999999999"/>
    <n v="820.2"/>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9"/>
    <n v="0.78342000000000001"/>
    <n v="0.77998000000000001"/>
    <n v="0.84"/>
    <n v="0.80998999999999999"/>
    <n v="600.20000000000005"/>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3"/>
    <x v="12"/>
    <n v="97.572999999999993"/>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13"/>
    <n v="0.86819999999999997"/>
    <n v="0.86550000000000005"/>
    <n v="0.94952999999999999"/>
    <n v="0.90751499999999996"/>
    <n v="840.3"/>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9"/>
    <n v="0.78527999999999998"/>
    <n v="0.77998000000000001"/>
    <n v="0.84"/>
    <n v="0.80998999999999999"/>
    <n v="600.20000000000005"/>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4"/>
    <x v="12"/>
    <n v="96.081999999999994"/>
    <n v="90.8"/>
    <n v="99.807000000000002"/>
    <n v="95.3035"/>
    <n v="900.7"/>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9"/>
    <n v="0.79274"/>
    <n v="0.77998000000000001"/>
    <n v="0.84"/>
    <n v="0.80998999999999999"/>
    <n v="600.20000000000005"/>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2"/>
    <n v="94.754000000000005"/>
    <n v="90.8"/>
    <n v="99.807000000000002"/>
    <n v="95.3035"/>
    <n v="900.7"/>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5"/>
    <x v="13"/>
    <n v="0.87427999999999995"/>
    <n v="0.86550000000000005"/>
    <n v="0.94952999999999999"/>
    <n v="0.90751499999999996"/>
    <n v="840.3"/>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13"/>
    <n v="0.87870000000000004"/>
    <n v="0.86550000000000005"/>
    <n v="0.94952999999999999"/>
    <n v="0.90751499999999996"/>
    <n v="840.3"/>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9"/>
    <n v="0.78730999999999995"/>
    <n v="0.77998000000000001"/>
    <n v="0.84"/>
    <n v="0.80998999999999999"/>
    <n v="600.20000000000005"/>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6"/>
    <x v="12"/>
    <n v="96.266000000000005"/>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13"/>
    <n v="0.87929999999999997"/>
    <n v="0.86550000000000005"/>
    <n v="0.94952999999999999"/>
    <n v="0.90751499999999996"/>
    <n v="840.3"/>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9"/>
    <n v="0.78259000000000001"/>
    <n v="0.77998000000000001"/>
    <n v="0.84"/>
    <n v="0.80998999999999999"/>
    <n v="600.20000000000005"/>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7"/>
    <x v="12"/>
    <n v="99.656999999999996"/>
    <n v="90.8"/>
    <n v="99.807000000000002"/>
    <n v="95.3035"/>
    <n v="900.7"/>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13"/>
    <n v="0.86329"/>
    <n v="0.86550000000000005"/>
    <n v="0.94952999999999999"/>
    <n v="0.90751499999999996"/>
    <n v="840.3"/>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9"/>
    <n v="0.78434000000000004"/>
    <n v="0.77998000000000001"/>
    <n v="0.84"/>
    <n v="0.80998999999999999"/>
    <n v="600.20000000000005"/>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8"/>
    <x v="12"/>
    <n v="101.11"/>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13"/>
    <n v="0.87426999999999999"/>
    <n v="0.86550000000000005"/>
    <n v="0.94952999999999999"/>
    <n v="0.90751499999999996"/>
    <n v="840.3"/>
  </r>
  <r>
    <x v="10"/>
    <x v="19"/>
    <x v="9"/>
    <n v="0.79903000000000002"/>
    <n v="0.77998000000000001"/>
    <n v="0.84"/>
    <n v="0.80998999999999999"/>
    <n v="600.20000000000005"/>
  </r>
  <r>
    <x v="10"/>
    <x v="19"/>
    <x v="9"/>
    <n v="0.79903000000000002"/>
    <n v="0.77998000000000001"/>
    <n v="0.84"/>
    <n v="0.80998999999999999"/>
    <n v="600.20000000000005"/>
  </r>
  <r>
    <x v="10"/>
    <x v="19"/>
    <x v="9"/>
    <n v="0.79903000000000002"/>
    <n v="0.77998000000000001"/>
    <n v="0.84"/>
    <n v="0.80998999999999999"/>
    <n v="600.20000000000005"/>
  </r>
  <r>
    <x v="10"/>
    <x v="19"/>
    <x v="9"/>
    <n v="0.79903000000000002"/>
    <n v="0.77998000000000001"/>
    <n v="0.84"/>
    <n v="0.80998999999999999"/>
    <n v="600.20000000000005"/>
  </r>
  <r>
    <x v="10"/>
    <x v="19"/>
    <x v="9"/>
    <n v="0.79903000000000002"/>
    <n v="0.77998000000000001"/>
    <n v="0.84"/>
    <n v="0.80998999999999999"/>
    <n v="600.20000000000005"/>
  </r>
  <r>
    <x v="10"/>
    <x v="19"/>
    <x v="9"/>
    <n v="0.79903000000000002"/>
    <n v="0.77998000000000001"/>
    <n v="0.84"/>
    <n v="0.80998999999999999"/>
    <n v="600.20000000000005"/>
  </r>
  <r>
    <x v="10"/>
    <x v="19"/>
    <x v="9"/>
    <n v="0.79903000000000002"/>
    <n v="0.77998000000000001"/>
    <n v="0.84"/>
    <n v="0.80998999999999999"/>
    <n v="600.20000000000005"/>
  </r>
  <r>
    <x v="10"/>
    <x v="19"/>
    <x v="9"/>
    <n v="0.79903000000000002"/>
    <n v="0.77998000000000001"/>
    <n v="0.84"/>
    <n v="0.80998999999999999"/>
    <n v="600.20000000000005"/>
  </r>
  <r>
    <x v="10"/>
    <x v="19"/>
    <x v="9"/>
    <n v="0.79903000000000002"/>
    <n v="0.77998000000000001"/>
    <n v="0.84"/>
    <n v="0.80998999999999999"/>
    <n v="600.20000000000005"/>
  </r>
  <r>
    <x v="10"/>
    <x v="19"/>
    <x v="9"/>
    <n v="0.79903000000000002"/>
    <n v="0.77998000000000001"/>
    <n v="0.84"/>
    <n v="0.80998999999999999"/>
    <n v="600.20000000000005"/>
  </r>
  <r>
    <x v="10"/>
    <x v="19"/>
    <x v="9"/>
    <n v="0.79903000000000002"/>
    <n v="0.77998000000000001"/>
    <n v="0.84"/>
    <n v="0.80998999999999999"/>
    <n v="600.20000000000005"/>
  </r>
  <r>
    <x v="10"/>
    <x v="19"/>
    <x v="9"/>
    <n v="0.79903000000000002"/>
    <n v="0.77998000000000001"/>
    <n v="0.84"/>
    <n v="0.80998999999999999"/>
    <n v="600.20000000000005"/>
  </r>
  <r>
    <x v="10"/>
    <x v="19"/>
    <x v="9"/>
    <n v="0.79903000000000002"/>
    <n v="0.77998000000000001"/>
    <n v="0.84"/>
    <n v="0.80998999999999999"/>
    <n v="600.20000000000005"/>
  </r>
  <r>
    <x v="10"/>
    <x v="19"/>
    <x v="9"/>
    <n v="0.79903000000000002"/>
    <n v="0.77998000000000001"/>
    <n v="0.84"/>
    <n v="0.80998999999999999"/>
    <n v="600.20000000000005"/>
  </r>
  <r>
    <x v="10"/>
    <x v="19"/>
    <x v="9"/>
    <n v="0.79903000000000002"/>
    <n v="0.77998000000000001"/>
    <n v="0.84"/>
    <n v="0.80998999999999999"/>
    <n v="600.20000000000005"/>
  </r>
  <r>
    <x v="10"/>
    <x v="19"/>
    <x v="9"/>
    <n v="0.79903000000000002"/>
    <n v="0.77998000000000001"/>
    <n v="0.84"/>
    <n v="0.80998999999999999"/>
    <n v="600.20000000000005"/>
  </r>
  <r>
    <x v="10"/>
    <x v="19"/>
    <x v="9"/>
    <n v="0.79903000000000002"/>
    <n v="0.77998000000000001"/>
    <n v="0.84"/>
    <n v="0.80998999999999999"/>
    <n v="600.20000000000005"/>
  </r>
  <r>
    <x v="10"/>
    <x v="19"/>
    <x v="9"/>
    <n v="0.79903000000000002"/>
    <n v="0.77998000000000001"/>
    <n v="0.84"/>
    <n v="0.80998999999999999"/>
    <n v="600.20000000000005"/>
  </r>
  <r>
    <x v="10"/>
    <x v="19"/>
    <x v="9"/>
    <n v="0.79903000000000002"/>
    <n v="0.77998000000000001"/>
    <n v="0.84"/>
    <n v="0.80998999999999999"/>
    <n v="600.20000000000005"/>
  </r>
  <r>
    <x v="10"/>
    <x v="19"/>
    <x v="9"/>
    <n v="0.79903000000000002"/>
    <n v="0.77998000000000001"/>
    <n v="0.84"/>
    <n v="0.80998999999999999"/>
    <n v="600.20000000000005"/>
  </r>
  <r>
    <x v="10"/>
    <x v="19"/>
    <x v="9"/>
    <n v="0.79903000000000002"/>
    <n v="0.77998000000000001"/>
    <n v="0.84"/>
    <n v="0.80998999999999999"/>
    <n v="600.20000000000005"/>
  </r>
  <r>
    <x v="10"/>
    <x v="19"/>
    <x v="9"/>
    <n v="0.79903000000000002"/>
    <n v="0.77998000000000001"/>
    <n v="0.84"/>
    <n v="0.80998999999999999"/>
    <n v="600.20000000000005"/>
  </r>
  <r>
    <x v="10"/>
    <x v="19"/>
    <x v="9"/>
    <n v="0.79903000000000002"/>
    <n v="0.77998000000000001"/>
    <n v="0.84"/>
    <n v="0.80998999999999999"/>
    <n v="600.20000000000005"/>
  </r>
  <r>
    <x v="10"/>
    <x v="19"/>
    <x v="9"/>
    <n v="0.79903000000000002"/>
    <n v="0.77998000000000001"/>
    <n v="0.84"/>
    <n v="0.80998999999999999"/>
    <n v="600.20000000000005"/>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19"/>
    <x v="12"/>
    <n v="102.98"/>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13"/>
    <n v="0.86672000000000005"/>
    <n v="0.86550000000000005"/>
    <n v="0.94952999999999999"/>
    <n v="0.90751499999999996"/>
    <n v="840.3"/>
  </r>
  <r>
    <x v="10"/>
    <x v="20"/>
    <x v="9"/>
    <n v="0.79076000000000002"/>
    <n v="0.77998000000000001"/>
    <n v="0.84"/>
    <n v="0.80998999999999999"/>
    <n v="600.20000000000005"/>
  </r>
  <r>
    <x v="10"/>
    <x v="20"/>
    <x v="9"/>
    <n v="0.79076000000000002"/>
    <n v="0.77998000000000001"/>
    <n v="0.84"/>
    <n v="0.80998999999999999"/>
    <n v="600.20000000000005"/>
  </r>
  <r>
    <x v="10"/>
    <x v="20"/>
    <x v="9"/>
    <n v="0.79076000000000002"/>
    <n v="0.77998000000000001"/>
    <n v="0.84"/>
    <n v="0.80998999999999999"/>
    <n v="600.20000000000005"/>
  </r>
  <r>
    <x v="10"/>
    <x v="20"/>
    <x v="9"/>
    <n v="0.79076000000000002"/>
    <n v="0.77998000000000001"/>
    <n v="0.84"/>
    <n v="0.80998999999999999"/>
    <n v="600.20000000000005"/>
  </r>
  <r>
    <x v="10"/>
    <x v="20"/>
    <x v="9"/>
    <n v="0.79076000000000002"/>
    <n v="0.77998000000000001"/>
    <n v="0.84"/>
    <n v="0.80998999999999999"/>
    <n v="600.20000000000005"/>
  </r>
  <r>
    <x v="10"/>
    <x v="20"/>
    <x v="9"/>
    <n v="0.79076000000000002"/>
    <n v="0.77998000000000001"/>
    <n v="0.84"/>
    <n v="0.80998999999999999"/>
    <n v="600.20000000000005"/>
  </r>
  <r>
    <x v="10"/>
    <x v="20"/>
    <x v="9"/>
    <n v="0.79076000000000002"/>
    <n v="0.77998000000000001"/>
    <n v="0.84"/>
    <n v="0.80998999999999999"/>
    <n v="600.20000000000005"/>
  </r>
  <r>
    <x v="10"/>
    <x v="20"/>
    <x v="9"/>
    <n v="0.79076000000000002"/>
    <n v="0.77998000000000001"/>
    <n v="0.84"/>
    <n v="0.80998999999999999"/>
    <n v="600.20000000000005"/>
  </r>
  <r>
    <x v="10"/>
    <x v="20"/>
    <x v="9"/>
    <n v="0.79076000000000002"/>
    <n v="0.77998000000000001"/>
    <n v="0.84"/>
    <n v="0.80998999999999999"/>
    <n v="600.20000000000005"/>
  </r>
  <r>
    <x v="10"/>
    <x v="20"/>
    <x v="9"/>
    <n v="0.79076000000000002"/>
    <n v="0.77998000000000001"/>
    <n v="0.84"/>
    <n v="0.80998999999999999"/>
    <n v="600.20000000000005"/>
  </r>
  <r>
    <x v="10"/>
    <x v="20"/>
    <x v="9"/>
    <n v="0.79076000000000002"/>
    <n v="0.77998000000000001"/>
    <n v="0.84"/>
    <n v="0.80998999999999999"/>
    <n v="600.20000000000005"/>
  </r>
  <r>
    <x v="10"/>
    <x v="20"/>
    <x v="9"/>
    <n v="0.79076000000000002"/>
    <n v="0.77998000000000001"/>
    <n v="0.84"/>
    <n v="0.80998999999999999"/>
    <n v="600.20000000000005"/>
  </r>
  <r>
    <x v="10"/>
    <x v="20"/>
    <x v="9"/>
    <n v="0.79076000000000002"/>
    <n v="0.77998000000000001"/>
    <n v="0.84"/>
    <n v="0.80998999999999999"/>
    <n v="600.20000000000005"/>
  </r>
  <r>
    <x v="10"/>
    <x v="20"/>
    <x v="9"/>
    <n v="0.79076000000000002"/>
    <n v="0.77998000000000001"/>
    <n v="0.84"/>
    <n v="0.80998999999999999"/>
    <n v="600.20000000000005"/>
  </r>
  <r>
    <x v="10"/>
    <x v="20"/>
    <x v="9"/>
    <n v="0.79076000000000002"/>
    <n v="0.77998000000000001"/>
    <n v="0.84"/>
    <n v="0.80998999999999999"/>
    <n v="600.20000000000005"/>
  </r>
  <r>
    <x v="10"/>
    <x v="20"/>
    <x v="9"/>
    <n v="0.79076000000000002"/>
    <n v="0.77998000000000001"/>
    <n v="0.84"/>
    <n v="0.80998999999999999"/>
    <n v="600.20000000000005"/>
  </r>
  <r>
    <x v="10"/>
    <x v="20"/>
    <x v="9"/>
    <n v="0.79076000000000002"/>
    <n v="0.77998000000000001"/>
    <n v="0.84"/>
    <n v="0.80998999999999999"/>
    <n v="600.20000000000005"/>
  </r>
  <r>
    <x v="10"/>
    <x v="20"/>
    <x v="9"/>
    <n v="0.79076000000000002"/>
    <n v="0.77998000000000001"/>
    <n v="0.84"/>
    <n v="0.80998999999999999"/>
    <n v="600.20000000000005"/>
  </r>
  <r>
    <x v="10"/>
    <x v="20"/>
    <x v="9"/>
    <n v="0.79076000000000002"/>
    <n v="0.77998000000000001"/>
    <n v="0.84"/>
    <n v="0.80998999999999999"/>
    <n v="600.20000000000005"/>
  </r>
  <r>
    <x v="10"/>
    <x v="20"/>
    <x v="9"/>
    <n v="0.79076000000000002"/>
    <n v="0.77998000000000001"/>
    <n v="0.84"/>
    <n v="0.80998999999999999"/>
    <n v="600.20000000000005"/>
  </r>
  <r>
    <x v="10"/>
    <x v="20"/>
    <x v="9"/>
    <n v="0.79076000000000002"/>
    <n v="0.77998000000000001"/>
    <n v="0.84"/>
    <n v="0.80998999999999999"/>
    <n v="600.20000000000005"/>
  </r>
  <r>
    <x v="10"/>
    <x v="20"/>
    <x v="9"/>
    <n v="0.79076000000000002"/>
    <n v="0.77998000000000001"/>
    <n v="0.84"/>
    <n v="0.80998999999999999"/>
    <n v="600.20000000000005"/>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0"/>
    <x v="12"/>
    <n v="104.78400000000001"/>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13"/>
    <n v="0.84967000000000004"/>
    <n v="0.86550000000000005"/>
    <n v="0.94952999999999999"/>
    <n v="0.90751499999999996"/>
    <n v="840.3"/>
  </r>
  <r>
    <x v="10"/>
    <x v="21"/>
    <x v="9"/>
    <n v="0.79529000000000005"/>
    <n v="0.77998000000000001"/>
    <n v="0.84"/>
    <n v="0.80998999999999999"/>
    <n v="600.20000000000005"/>
  </r>
  <r>
    <x v="10"/>
    <x v="21"/>
    <x v="9"/>
    <n v="0.79529000000000005"/>
    <n v="0.77998000000000001"/>
    <n v="0.84"/>
    <n v="0.80998999999999999"/>
    <n v="600.20000000000005"/>
  </r>
  <r>
    <x v="10"/>
    <x v="21"/>
    <x v="9"/>
    <n v="0.79529000000000005"/>
    <n v="0.77998000000000001"/>
    <n v="0.84"/>
    <n v="0.80998999999999999"/>
    <n v="600.20000000000005"/>
  </r>
  <r>
    <x v="10"/>
    <x v="21"/>
    <x v="9"/>
    <n v="0.79529000000000005"/>
    <n v="0.77998000000000001"/>
    <n v="0.84"/>
    <n v="0.80998999999999999"/>
    <n v="600.20000000000005"/>
  </r>
  <r>
    <x v="10"/>
    <x v="21"/>
    <x v="9"/>
    <n v="0.79529000000000005"/>
    <n v="0.77998000000000001"/>
    <n v="0.84"/>
    <n v="0.80998999999999999"/>
    <n v="600.20000000000005"/>
  </r>
  <r>
    <x v="10"/>
    <x v="21"/>
    <x v="9"/>
    <n v="0.79529000000000005"/>
    <n v="0.77998000000000001"/>
    <n v="0.84"/>
    <n v="0.80998999999999999"/>
    <n v="600.20000000000005"/>
  </r>
  <r>
    <x v="10"/>
    <x v="21"/>
    <x v="9"/>
    <n v="0.79529000000000005"/>
    <n v="0.77998000000000001"/>
    <n v="0.84"/>
    <n v="0.80998999999999999"/>
    <n v="600.20000000000005"/>
  </r>
  <r>
    <x v="10"/>
    <x v="21"/>
    <x v="9"/>
    <n v="0.79529000000000005"/>
    <n v="0.77998000000000001"/>
    <n v="0.84"/>
    <n v="0.80998999999999999"/>
    <n v="600.20000000000005"/>
  </r>
  <r>
    <x v="10"/>
    <x v="21"/>
    <x v="9"/>
    <n v="0.79529000000000005"/>
    <n v="0.77998000000000001"/>
    <n v="0.84"/>
    <n v="0.80998999999999999"/>
    <n v="600.20000000000005"/>
  </r>
  <r>
    <x v="10"/>
    <x v="21"/>
    <x v="9"/>
    <n v="0.79529000000000005"/>
    <n v="0.77998000000000001"/>
    <n v="0.84"/>
    <n v="0.80998999999999999"/>
    <n v="600.20000000000005"/>
  </r>
  <r>
    <x v="10"/>
    <x v="21"/>
    <x v="9"/>
    <n v="0.79529000000000005"/>
    <n v="0.77998000000000001"/>
    <n v="0.84"/>
    <n v="0.80998999999999999"/>
    <n v="600.20000000000005"/>
  </r>
  <r>
    <x v="10"/>
    <x v="21"/>
    <x v="9"/>
    <n v="0.79529000000000005"/>
    <n v="0.77998000000000001"/>
    <n v="0.84"/>
    <n v="0.80998999999999999"/>
    <n v="600.20000000000005"/>
  </r>
  <r>
    <x v="10"/>
    <x v="21"/>
    <x v="9"/>
    <n v="0.79529000000000005"/>
    <n v="0.77998000000000001"/>
    <n v="0.84"/>
    <n v="0.80998999999999999"/>
    <n v="600.20000000000005"/>
  </r>
  <r>
    <x v="10"/>
    <x v="21"/>
    <x v="9"/>
    <n v="0.79529000000000005"/>
    <n v="0.77998000000000001"/>
    <n v="0.84"/>
    <n v="0.80998999999999999"/>
    <n v="600.20000000000005"/>
  </r>
  <r>
    <x v="10"/>
    <x v="21"/>
    <x v="9"/>
    <n v="0.79529000000000005"/>
    <n v="0.77998000000000001"/>
    <n v="0.84"/>
    <n v="0.80998999999999999"/>
    <n v="600.20000000000005"/>
  </r>
  <r>
    <x v="10"/>
    <x v="21"/>
    <x v="9"/>
    <n v="0.79529000000000005"/>
    <n v="0.77998000000000001"/>
    <n v="0.84"/>
    <n v="0.80998999999999999"/>
    <n v="600.20000000000005"/>
  </r>
  <r>
    <x v="10"/>
    <x v="21"/>
    <x v="9"/>
    <n v="0.79529000000000005"/>
    <n v="0.77998000000000001"/>
    <n v="0.84"/>
    <n v="0.80998999999999999"/>
    <n v="600.20000000000005"/>
  </r>
  <r>
    <x v="10"/>
    <x v="21"/>
    <x v="9"/>
    <n v="0.79529000000000005"/>
    <n v="0.77998000000000001"/>
    <n v="0.84"/>
    <n v="0.80998999999999999"/>
    <n v="600.20000000000005"/>
  </r>
  <r>
    <x v="10"/>
    <x v="21"/>
    <x v="9"/>
    <n v="0.79529000000000005"/>
    <n v="0.77998000000000001"/>
    <n v="0.84"/>
    <n v="0.80998999999999999"/>
    <n v="600.20000000000005"/>
  </r>
  <r>
    <x v="10"/>
    <x v="21"/>
    <x v="9"/>
    <n v="0.79529000000000005"/>
    <n v="0.77998000000000001"/>
    <n v="0.84"/>
    <n v="0.80998999999999999"/>
    <n v="600.20000000000005"/>
  </r>
  <r>
    <x v="10"/>
    <x v="21"/>
    <x v="9"/>
    <n v="0.79529000000000005"/>
    <n v="0.77998000000000001"/>
    <n v="0.84"/>
    <n v="0.80998999999999999"/>
    <n v="600.20000000000005"/>
  </r>
  <r>
    <x v="10"/>
    <x v="21"/>
    <x v="9"/>
    <n v="0.79529000000000005"/>
    <n v="0.77998000000000001"/>
    <n v="0.84"/>
    <n v="0.80998999999999999"/>
    <n v="600.20000000000005"/>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1"/>
    <x v="12"/>
    <n v="103.762"/>
    <n v="90.8"/>
    <n v="100"/>
    <n v="95.4"/>
    <n v="920"/>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9"/>
    <n v="0.78812000000000004"/>
    <n v="0.77998000000000001"/>
    <n v="0.84"/>
    <n v="0.80998999999999999"/>
    <n v="600.20000000000005"/>
  </r>
  <r>
    <x v="10"/>
    <x v="22"/>
    <x v="9"/>
    <n v="0.78812000000000004"/>
    <n v="0.77998000000000001"/>
    <n v="0.84"/>
    <n v="0.80998999999999999"/>
    <n v="600.20000000000005"/>
  </r>
  <r>
    <x v="10"/>
    <x v="22"/>
    <x v="9"/>
    <n v="0.78812000000000004"/>
    <n v="0.77998000000000001"/>
    <n v="0.84"/>
    <n v="0.80998999999999999"/>
    <n v="600.20000000000005"/>
  </r>
  <r>
    <x v="10"/>
    <x v="22"/>
    <x v="9"/>
    <n v="0.78812000000000004"/>
    <n v="0.77998000000000001"/>
    <n v="0.84"/>
    <n v="0.80998999999999999"/>
    <n v="600.20000000000005"/>
  </r>
  <r>
    <x v="10"/>
    <x v="22"/>
    <x v="9"/>
    <n v="0.78812000000000004"/>
    <n v="0.77998000000000001"/>
    <n v="0.84"/>
    <n v="0.80998999999999999"/>
    <n v="600.20000000000005"/>
  </r>
  <r>
    <x v="10"/>
    <x v="22"/>
    <x v="9"/>
    <n v="0.78812000000000004"/>
    <n v="0.77998000000000001"/>
    <n v="0.84"/>
    <n v="0.80998999999999999"/>
    <n v="600.20000000000005"/>
  </r>
  <r>
    <x v="10"/>
    <x v="22"/>
    <x v="9"/>
    <n v="0.78812000000000004"/>
    <n v="0.77998000000000001"/>
    <n v="0.84"/>
    <n v="0.80998999999999999"/>
    <n v="600.20000000000005"/>
  </r>
  <r>
    <x v="10"/>
    <x v="22"/>
    <x v="9"/>
    <n v="0.78812000000000004"/>
    <n v="0.77998000000000001"/>
    <n v="0.84"/>
    <n v="0.80998999999999999"/>
    <n v="600.20000000000005"/>
  </r>
  <r>
    <x v="10"/>
    <x v="22"/>
    <x v="9"/>
    <n v="0.78812000000000004"/>
    <n v="0.77998000000000001"/>
    <n v="0.84"/>
    <n v="0.80998999999999999"/>
    <n v="600.20000000000005"/>
  </r>
  <r>
    <x v="10"/>
    <x v="22"/>
    <x v="9"/>
    <n v="0.78812000000000004"/>
    <n v="0.77998000000000001"/>
    <n v="0.84"/>
    <n v="0.80998999999999999"/>
    <n v="600.20000000000005"/>
  </r>
  <r>
    <x v="10"/>
    <x v="22"/>
    <x v="9"/>
    <n v="0.78812000000000004"/>
    <n v="0.77998000000000001"/>
    <n v="0.84"/>
    <n v="0.80998999999999999"/>
    <n v="600.20000000000005"/>
  </r>
  <r>
    <x v="10"/>
    <x v="22"/>
    <x v="9"/>
    <n v="0.78812000000000004"/>
    <n v="0.77998000000000001"/>
    <n v="0.84"/>
    <n v="0.80998999999999999"/>
    <n v="600.20000000000005"/>
  </r>
  <r>
    <x v="10"/>
    <x v="22"/>
    <x v="9"/>
    <n v="0.78812000000000004"/>
    <n v="0.77998000000000001"/>
    <n v="0.84"/>
    <n v="0.80998999999999999"/>
    <n v="600.20000000000005"/>
  </r>
  <r>
    <x v="10"/>
    <x v="22"/>
    <x v="9"/>
    <n v="0.78812000000000004"/>
    <n v="0.77998000000000001"/>
    <n v="0.84"/>
    <n v="0.80998999999999999"/>
    <n v="600.20000000000005"/>
  </r>
  <r>
    <x v="10"/>
    <x v="22"/>
    <x v="9"/>
    <n v="0.78812000000000004"/>
    <n v="0.77998000000000001"/>
    <n v="0.84"/>
    <n v="0.80998999999999999"/>
    <n v="600.20000000000005"/>
  </r>
  <r>
    <x v="10"/>
    <x v="22"/>
    <x v="9"/>
    <n v="0.78812000000000004"/>
    <n v="0.77998000000000001"/>
    <n v="0.84"/>
    <n v="0.80998999999999999"/>
    <n v="600.20000000000005"/>
  </r>
  <r>
    <x v="10"/>
    <x v="22"/>
    <x v="9"/>
    <n v="0.78812000000000004"/>
    <n v="0.77998000000000001"/>
    <n v="0.84"/>
    <n v="0.80998999999999999"/>
    <n v="600.20000000000005"/>
  </r>
  <r>
    <x v="10"/>
    <x v="22"/>
    <x v="9"/>
    <n v="0.78812000000000004"/>
    <n v="0.77998000000000001"/>
    <n v="0.84"/>
    <n v="0.80998999999999999"/>
    <n v="600.20000000000005"/>
  </r>
  <r>
    <x v="10"/>
    <x v="22"/>
    <x v="9"/>
    <n v="0.78812000000000004"/>
    <n v="0.77998000000000001"/>
    <n v="0.84"/>
    <n v="0.80998999999999999"/>
    <n v="600.20000000000005"/>
  </r>
  <r>
    <x v="10"/>
    <x v="22"/>
    <x v="9"/>
    <n v="0.78812000000000004"/>
    <n v="0.77998000000000001"/>
    <n v="0.84"/>
    <n v="0.80998999999999999"/>
    <n v="600.20000000000005"/>
  </r>
  <r>
    <x v="10"/>
    <x v="22"/>
    <x v="9"/>
    <n v="0.78812000000000004"/>
    <n v="0.77998000000000001"/>
    <n v="0.84"/>
    <n v="0.80998999999999999"/>
    <n v="600.20000000000005"/>
  </r>
  <r>
    <x v="10"/>
    <x v="22"/>
    <x v="9"/>
    <n v="0.78812000000000004"/>
    <n v="0.77998000000000001"/>
    <n v="0.84"/>
    <n v="0.80998999999999999"/>
    <n v="600.20000000000005"/>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2"/>
    <n v="106.188"/>
    <n v="90.8"/>
    <n v="100"/>
    <n v="95.4"/>
    <n v="920"/>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2"/>
    <x v="13"/>
    <n v="0.83113999999999999"/>
    <n v="0.86550000000000005"/>
    <n v="0.94952999999999999"/>
    <n v="0.90751499999999996"/>
    <n v="840.3"/>
  </r>
  <r>
    <x v="10"/>
    <x v="23"/>
    <x v="13"/>
    <n v="0.82399"/>
    <n v="0.86550000000000005"/>
    <n v="0.94952999999999999"/>
    <n v="0.90751499999999996"/>
    <n v="840.3"/>
  </r>
  <r>
    <x v="10"/>
    <x v="23"/>
    <x v="13"/>
    <n v="0.82399"/>
    <n v="0.86550000000000005"/>
    <n v="0.94952999999999999"/>
    <n v="0.90751499999999996"/>
    <n v="840.3"/>
  </r>
  <r>
    <x v="10"/>
    <x v="23"/>
    <x v="13"/>
    <n v="0.82399"/>
    <n v="0.86550000000000005"/>
    <n v="0.94952999999999999"/>
    <n v="0.90751499999999996"/>
    <n v="840.3"/>
  </r>
  <r>
    <x v="10"/>
    <x v="23"/>
    <x v="13"/>
    <n v="0.82399"/>
    <n v="0.86550000000000005"/>
    <n v="0.94952999999999999"/>
    <n v="0.90751499999999996"/>
    <n v="840.3"/>
  </r>
  <r>
    <x v="10"/>
    <x v="23"/>
    <x v="13"/>
    <n v="0.82399"/>
    <n v="0.86550000000000005"/>
    <n v="0.94952999999999999"/>
    <n v="0.90751499999999996"/>
    <n v="840.3"/>
  </r>
  <r>
    <x v="10"/>
    <x v="23"/>
    <x v="13"/>
    <n v="0.82399"/>
    <n v="0.86550000000000005"/>
    <n v="0.94952999999999999"/>
    <n v="0.90751499999999996"/>
    <n v="840.3"/>
  </r>
  <r>
    <x v="10"/>
    <x v="23"/>
    <x v="13"/>
    <n v="0.82399"/>
    <n v="0.86550000000000005"/>
    <n v="0.94952999999999999"/>
    <n v="0.90751499999999996"/>
    <n v="840.3"/>
  </r>
  <r>
    <x v="10"/>
    <x v="23"/>
    <x v="13"/>
    <n v="0.82399"/>
    <n v="0.86550000000000005"/>
    <n v="0.94952999999999999"/>
    <n v="0.90751499999999996"/>
    <n v="840.3"/>
  </r>
  <r>
    <x v="10"/>
    <x v="23"/>
    <x v="13"/>
    <n v="0.82399"/>
    <n v="0.86550000000000005"/>
    <n v="0.94952999999999999"/>
    <n v="0.90751499999999996"/>
    <n v="840.3"/>
  </r>
  <r>
    <x v="10"/>
    <x v="23"/>
    <x v="13"/>
    <n v="0.82399"/>
    <n v="0.86550000000000005"/>
    <n v="0.94952999999999999"/>
    <n v="0.90751499999999996"/>
    <n v="840.3"/>
  </r>
  <r>
    <x v="10"/>
    <x v="23"/>
    <x v="13"/>
    <n v="0.82399"/>
    <n v="0.86550000000000005"/>
    <n v="0.94952999999999999"/>
    <n v="0.90751499999999996"/>
    <n v="840.3"/>
  </r>
  <r>
    <x v="10"/>
    <x v="23"/>
    <x v="13"/>
    <n v="0.82399"/>
    <n v="0.86550000000000005"/>
    <n v="0.94952999999999999"/>
    <n v="0.90751499999999996"/>
    <n v="840.3"/>
  </r>
  <r>
    <x v="10"/>
    <x v="23"/>
    <x v="13"/>
    <n v="0.82399"/>
    <n v="0.86550000000000005"/>
    <n v="0.94952999999999999"/>
    <n v="0.90751499999999996"/>
    <n v="840.3"/>
  </r>
  <r>
    <x v="10"/>
    <x v="23"/>
    <x v="13"/>
    <n v="0.82399"/>
    <n v="0.86550000000000005"/>
    <n v="0.94952999999999999"/>
    <n v="0.90751499999999996"/>
    <n v="840.3"/>
  </r>
  <r>
    <x v="10"/>
    <x v="23"/>
    <x v="13"/>
    <n v="0.82399"/>
    <n v="0.86550000000000005"/>
    <n v="0.94952999999999999"/>
    <n v="0.90751499999999996"/>
    <n v="840.3"/>
  </r>
  <r>
    <x v="10"/>
    <x v="23"/>
    <x v="9"/>
    <n v="0.7923"/>
    <n v="0.77998000000000001"/>
    <n v="0.84"/>
    <n v="0.80998999999999999"/>
    <n v="600.20000000000005"/>
  </r>
  <r>
    <x v="10"/>
    <x v="23"/>
    <x v="9"/>
    <n v="0.7923"/>
    <n v="0.77998000000000001"/>
    <n v="0.84"/>
    <n v="0.80998999999999999"/>
    <n v="600.20000000000005"/>
  </r>
  <r>
    <x v="10"/>
    <x v="23"/>
    <x v="9"/>
    <n v="0.7923"/>
    <n v="0.77998000000000001"/>
    <n v="0.84"/>
    <n v="0.80998999999999999"/>
    <n v="600.20000000000005"/>
  </r>
  <r>
    <x v="10"/>
    <x v="23"/>
    <x v="9"/>
    <n v="0.7923"/>
    <n v="0.77998000000000001"/>
    <n v="0.84"/>
    <n v="0.80998999999999999"/>
    <n v="600.20000000000005"/>
  </r>
  <r>
    <x v="10"/>
    <x v="23"/>
    <x v="9"/>
    <n v="0.7923"/>
    <n v="0.77998000000000001"/>
    <n v="0.84"/>
    <n v="0.80998999999999999"/>
    <n v="600.20000000000005"/>
  </r>
  <r>
    <x v="10"/>
    <x v="23"/>
    <x v="9"/>
    <n v="0.7923"/>
    <n v="0.77998000000000001"/>
    <n v="0.84"/>
    <n v="0.80998999999999999"/>
    <n v="600.20000000000005"/>
  </r>
  <r>
    <x v="10"/>
    <x v="23"/>
    <x v="9"/>
    <n v="0.7923"/>
    <n v="0.77998000000000001"/>
    <n v="0.84"/>
    <n v="0.80998999999999999"/>
    <n v="600.20000000000005"/>
  </r>
  <r>
    <x v="10"/>
    <x v="23"/>
    <x v="9"/>
    <n v="0.7923"/>
    <n v="0.77998000000000001"/>
    <n v="0.84"/>
    <n v="0.80998999999999999"/>
    <n v="600.20000000000005"/>
  </r>
  <r>
    <x v="10"/>
    <x v="23"/>
    <x v="9"/>
    <n v="0.7923"/>
    <n v="0.77998000000000001"/>
    <n v="0.84"/>
    <n v="0.80998999999999999"/>
    <n v="600.20000000000005"/>
  </r>
  <r>
    <x v="10"/>
    <x v="23"/>
    <x v="9"/>
    <n v="0.7923"/>
    <n v="0.77998000000000001"/>
    <n v="0.84"/>
    <n v="0.80998999999999999"/>
    <n v="600.20000000000005"/>
  </r>
  <r>
    <x v="10"/>
    <x v="23"/>
    <x v="9"/>
    <n v="0.7923"/>
    <n v="0.77998000000000001"/>
    <n v="0.84"/>
    <n v="0.80998999999999999"/>
    <n v="600.20000000000005"/>
  </r>
  <r>
    <x v="10"/>
    <x v="23"/>
    <x v="9"/>
    <n v="0.7923"/>
    <n v="0.77998000000000001"/>
    <n v="0.84"/>
    <n v="0.80998999999999999"/>
    <n v="600.20000000000005"/>
  </r>
  <r>
    <x v="10"/>
    <x v="23"/>
    <x v="9"/>
    <n v="0.7923"/>
    <n v="0.77998000000000001"/>
    <n v="0.84"/>
    <n v="0.80998999999999999"/>
    <n v="600.20000000000005"/>
  </r>
  <r>
    <x v="10"/>
    <x v="23"/>
    <x v="9"/>
    <n v="0.7923"/>
    <n v="0.77998000000000001"/>
    <n v="0.84"/>
    <n v="0.80998999999999999"/>
    <n v="600.20000000000005"/>
  </r>
  <r>
    <x v="10"/>
    <x v="23"/>
    <x v="9"/>
    <n v="0.7923"/>
    <n v="0.77998000000000001"/>
    <n v="0.84"/>
    <n v="0.80998999999999999"/>
    <n v="600.20000000000005"/>
  </r>
  <r>
    <x v="10"/>
    <x v="23"/>
    <x v="9"/>
    <n v="0.7923"/>
    <n v="0.77998000000000001"/>
    <n v="0.84"/>
    <n v="0.80998999999999999"/>
    <n v="600.20000000000005"/>
  </r>
  <r>
    <x v="10"/>
    <x v="23"/>
    <x v="9"/>
    <n v="0.7923"/>
    <n v="0.77998000000000001"/>
    <n v="0.84"/>
    <n v="0.80998999999999999"/>
    <n v="600.20000000000005"/>
  </r>
  <r>
    <x v="10"/>
    <x v="23"/>
    <x v="9"/>
    <n v="0.7923"/>
    <n v="0.77998000000000001"/>
    <n v="0.84"/>
    <n v="0.80998999999999999"/>
    <n v="600.20000000000005"/>
  </r>
  <r>
    <x v="10"/>
    <x v="23"/>
    <x v="9"/>
    <n v="0.7923"/>
    <n v="0.77998000000000001"/>
    <n v="0.84"/>
    <n v="0.80998999999999999"/>
    <n v="600.20000000000005"/>
  </r>
  <r>
    <x v="10"/>
    <x v="23"/>
    <x v="9"/>
    <n v="0.7923"/>
    <n v="0.77998000000000001"/>
    <n v="0.84"/>
    <n v="0.80998999999999999"/>
    <n v="600.20000000000005"/>
  </r>
  <r>
    <x v="10"/>
    <x v="23"/>
    <x v="9"/>
    <n v="0.7923"/>
    <n v="0.77998000000000001"/>
    <n v="0.84"/>
    <n v="0.80998999999999999"/>
    <n v="600.20000000000005"/>
  </r>
  <r>
    <x v="10"/>
    <x v="23"/>
    <x v="9"/>
    <n v="0.7923"/>
    <n v="0.77998000000000001"/>
    <n v="0.84"/>
    <n v="0.80998999999999999"/>
    <n v="600.20000000000005"/>
  </r>
  <r>
    <x v="10"/>
    <x v="23"/>
    <x v="12"/>
    <n v="102.483"/>
    <n v="90.8"/>
    <n v="100"/>
    <n v="95.4"/>
    <n v="920"/>
  </r>
  <r>
    <x v="10"/>
    <x v="23"/>
    <x v="12"/>
    <n v="102.483"/>
    <n v="90.8"/>
    <n v="100"/>
    <n v="95.4"/>
    <n v="920"/>
  </r>
  <r>
    <x v="10"/>
    <x v="23"/>
    <x v="12"/>
    <n v="102.483"/>
    <n v="90.8"/>
    <n v="100"/>
    <n v="95.4"/>
    <n v="920"/>
  </r>
  <r>
    <x v="10"/>
    <x v="23"/>
    <x v="12"/>
    <n v="102.483"/>
    <n v="90.8"/>
    <n v="100"/>
    <n v="95.4"/>
    <n v="920"/>
  </r>
  <r>
    <x v="10"/>
    <x v="23"/>
    <x v="12"/>
    <n v="102.483"/>
    <n v="90.8"/>
    <n v="100"/>
    <n v="95.4"/>
    <n v="920"/>
  </r>
  <r>
    <x v="10"/>
    <x v="23"/>
    <x v="12"/>
    <n v="102.483"/>
    <n v="90.8"/>
    <n v="100"/>
    <n v="95.4"/>
    <n v="920"/>
  </r>
  <r>
    <x v="10"/>
    <x v="23"/>
    <x v="12"/>
    <n v="102.483"/>
    <n v="90.8"/>
    <n v="100"/>
    <n v="95.4"/>
    <n v="920"/>
  </r>
  <r>
    <x v="10"/>
    <x v="23"/>
    <x v="12"/>
    <n v="102.483"/>
    <n v="90.8"/>
    <n v="100"/>
    <n v="95.4"/>
    <n v="920"/>
  </r>
  <r>
    <x v="10"/>
    <x v="23"/>
    <x v="12"/>
    <n v="102.483"/>
    <n v="90.8"/>
    <n v="100"/>
    <n v="95.4"/>
    <n v="920"/>
  </r>
  <r>
    <x v="10"/>
    <x v="23"/>
    <x v="12"/>
    <n v="102.483"/>
    <n v="90.8"/>
    <n v="100"/>
    <n v="95.4"/>
    <n v="920"/>
  </r>
  <r>
    <x v="10"/>
    <x v="23"/>
    <x v="12"/>
    <n v="102.483"/>
    <n v="90.8"/>
    <n v="100"/>
    <n v="95.4"/>
    <n v="920"/>
  </r>
  <r>
    <x v="10"/>
    <x v="23"/>
    <x v="12"/>
    <n v="102.483"/>
    <n v="90.8"/>
    <n v="100"/>
    <n v="95.4"/>
    <n v="920"/>
  </r>
  <r>
    <x v="10"/>
    <x v="23"/>
    <x v="12"/>
    <n v="102.483"/>
    <n v="90.8"/>
    <n v="100"/>
    <n v="95.4"/>
    <n v="920"/>
  </r>
  <r>
    <x v="10"/>
    <x v="23"/>
    <x v="12"/>
    <n v="102.483"/>
    <n v="90.8"/>
    <n v="100"/>
    <n v="95.4"/>
    <n v="920"/>
  </r>
  <r>
    <x v="10"/>
    <x v="23"/>
    <x v="12"/>
    <n v="102.483"/>
    <n v="90.8"/>
    <n v="100"/>
    <n v="95.4"/>
    <n v="920"/>
  </r>
  <r>
    <x v="10"/>
    <x v="23"/>
    <x v="12"/>
    <n v="102.483"/>
    <n v="90.8"/>
    <n v="100"/>
    <n v="95.4"/>
    <n v="920"/>
  </r>
  <r>
    <x v="10"/>
    <x v="23"/>
    <x v="12"/>
    <n v="102.483"/>
    <n v="90.8"/>
    <n v="100"/>
    <n v="95.4"/>
    <n v="920"/>
  </r>
  <r>
    <x v="10"/>
    <x v="23"/>
    <x v="12"/>
    <n v="102.483"/>
    <n v="90.8"/>
    <n v="100"/>
    <n v="95.4"/>
    <n v="920"/>
  </r>
  <r>
    <x v="10"/>
    <x v="23"/>
    <x v="12"/>
    <n v="102.483"/>
    <n v="90.8"/>
    <n v="100"/>
    <n v="95.4"/>
    <n v="920"/>
  </r>
  <r>
    <x v="10"/>
    <x v="23"/>
    <x v="12"/>
    <n v="102.483"/>
    <n v="90.8"/>
    <n v="100"/>
    <n v="95.4"/>
    <n v="920"/>
  </r>
  <r>
    <x v="10"/>
    <x v="23"/>
    <x v="12"/>
    <n v="102.483"/>
    <n v="90.8"/>
    <n v="100"/>
    <n v="95.4"/>
    <n v="920"/>
  </r>
  <r>
    <x v="10"/>
    <x v="23"/>
    <x v="12"/>
    <n v="102.483"/>
    <n v="90.8"/>
    <n v="100"/>
    <n v="95.4"/>
    <n v="920"/>
  </r>
  <r>
    <x v="10"/>
    <x v="23"/>
    <x v="12"/>
    <n v="102.483"/>
    <n v="90.8"/>
    <n v="100"/>
    <n v="95.4"/>
    <n v="920"/>
  </r>
  <r>
    <x v="10"/>
    <x v="23"/>
    <x v="12"/>
    <n v="102.483"/>
    <n v="90.8"/>
    <n v="100"/>
    <n v="95.4"/>
    <n v="920"/>
  </r>
  <r>
    <x v="10"/>
    <x v="23"/>
    <x v="12"/>
    <n v="102.483"/>
    <n v="90.8"/>
    <n v="100"/>
    <n v="95.4"/>
    <n v="920"/>
  </r>
  <r>
    <x v="10"/>
    <x v="23"/>
    <x v="12"/>
    <n v="102.483"/>
    <n v="90.8"/>
    <n v="100"/>
    <n v="95.4"/>
    <n v="920"/>
  </r>
  <r>
    <x v="10"/>
    <x v="23"/>
    <x v="12"/>
    <n v="102.483"/>
    <n v="90.8"/>
    <n v="100"/>
    <n v="95.4"/>
    <n v="920"/>
  </r>
  <r>
    <x v="10"/>
    <x v="23"/>
    <x v="12"/>
    <n v="102.483"/>
    <n v="90.8"/>
    <n v="100"/>
    <n v="95.4"/>
    <n v="920"/>
  </r>
  <r>
    <x v="10"/>
    <x v="23"/>
    <x v="12"/>
    <n v="102.483"/>
    <n v="90.8"/>
    <n v="100"/>
    <n v="95.4"/>
    <n v="920"/>
  </r>
  <r>
    <x v="10"/>
    <x v="23"/>
    <x v="12"/>
    <n v="102.483"/>
    <n v="90.8"/>
    <n v="100"/>
    <n v="95.4"/>
    <n v="920"/>
  </r>
  <r>
    <x v="10"/>
    <x v="23"/>
    <x v="13"/>
    <n v="0.82399"/>
    <n v="0.86550000000000005"/>
    <n v="0.94952999999999999"/>
    <n v="0.90751499999999996"/>
    <n v="840.3"/>
  </r>
  <r>
    <x v="10"/>
    <x v="23"/>
    <x v="13"/>
    <n v="0.82399"/>
    <n v="0.86550000000000005"/>
    <n v="0.94952999999999999"/>
    <n v="0.90751499999999996"/>
    <n v="840.3"/>
  </r>
  <r>
    <x v="10"/>
    <x v="23"/>
    <x v="13"/>
    <n v="0.82399"/>
    <n v="0.86550000000000005"/>
    <n v="0.94952999999999999"/>
    <n v="0.90751499999999996"/>
    <n v="840.3"/>
  </r>
  <r>
    <x v="10"/>
    <x v="23"/>
    <x v="13"/>
    <n v="0.82399"/>
    <n v="0.86550000000000005"/>
    <n v="0.94952999999999999"/>
    <n v="0.90751499999999996"/>
    <n v="840.3"/>
  </r>
  <r>
    <x v="10"/>
    <x v="23"/>
    <x v="13"/>
    <n v="0.82399"/>
    <n v="0.86550000000000005"/>
    <n v="0.94952999999999999"/>
    <n v="0.90751499999999996"/>
    <n v="840.3"/>
  </r>
  <r>
    <x v="10"/>
    <x v="23"/>
    <x v="13"/>
    <n v="0.82399"/>
    <n v="0.86550000000000005"/>
    <n v="0.94952999999999999"/>
    <n v="0.90751499999999996"/>
    <n v="840.3"/>
  </r>
  <r>
    <x v="10"/>
    <x v="23"/>
    <x v="13"/>
    <n v="0.82399"/>
    <n v="0.86550000000000005"/>
    <n v="0.94952999999999999"/>
    <n v="0.90751499999999996"/>
    <n v="840.3"/>
  </r>
  <r>
    <x v="10"/>
    <x v="23"/>
    <x v="13"/>
    <n v="0.82399"/>
    <n v="0.86550000000000005"/>
    <n v="0.94952999999999999"/>
    <n v="0.90751499999999996"/>
    <n v="840.3"/>
  </r>
  <r>
    <x v="10"/>
    <x v="23"/>
    <x v="13"/>
    <n v="0.82399"/>
    <n v="0.86550000000000005"/>
    <n v="0.94952999999999999"/>
    <n v="0.90751499999999996"/>
    <n v="840.3"/>
  </r>
  <r>
    <x v="10"/>
    <x v="23"/>
    <x v="13"/>
    <n v="0.82399"/>
    <n v="0.86550000000000005"/>
    <n v="0.94952999999999999"/>
    <n v="0.90751499999999996"/>
    <n v="840.3"/>
  </r>
  <r>
    <x v="10"/>
    <x v="23"/>
    <x v="13"/>
    <n v="0.82399"/>
    <n v="0.86550000000000005"/>
    <n v="0.94952999999999999"/>
    <n v="0.90751499999999996"/>
    <n v="840.3"/>
  </r>
  <r>
    <x v="10"/>
    <x v="23"/>
    <x v="13"/>
    <n v="0.82399"/>
    <n v="0.86550000000000005"/>
    <n v="0.94952999999999999"/>
    <n v="0.90751499999999996"/>
    <n v="840.3"/>
  </r>
  <r>
    <x v="10"/>
    <x v="24"/>
    <x v="13"/>
    <n v="0.82230000000000003"/>
    <n v="0.86550000000000005"/>
    <n v="0.94952999999999999"/>
    <n v="0.90751499999999996"/>
    <n v="840.3"/>
  </r>
  <r>
    <x v="10"/>
    <x v="24"/>
    <x v="13"/>
    <n v="0.82230000000000003"/>
    <n v="0.86550000000000005"/>
    <n v="0.94952999999999999"/>
    <n v="0.90751499999999996"/>
    <n v="840.3"/>
  </r>
  <r>
    <x v="10"/>
    <x v="24"/>
    <x v="13"/>
    <n v="0.82230000000000003"/>
    <n v="0.86550000000000005"/>
    <n v="0.94952999999999999"/>
    <n v="0.90751499999999996"/>
    <n v="840.3"/>
  </r>
  <r>
    <x v="10"/>
    <x v="24"/>
    <x v="13"/>
    <n v="0.82230000000000003"/>
    <n v="0.86550000000000005"/>
    <n v="0.94952999999999999"/>
    <n v="0.90751499999999996"/>
    <n v="840.3"/>
  </r>
  <r>
    <x v="10"/>
    <x v="24"/>
    <x v="13"/>
    <n v="0.82230000000000003"/>
    <n v="0.86550000000000005"/>
    <n v="0.94952999999999999"/>
    <n v="0.90751499999999996"/>
    <n v="840.3"/>
  </r>
  <r>
    <x v="10"/>
    <x v="24"/>
    <x v="13"/>
    <n v="0.82230000000000003"/>
    <n v="0.86550000000000005"/>
    <n v="0.94952999999999999"/>
    <n v="0.90751499999999996"/>
    <n v="840.3"/>
  </r>
  <r>
    <x v="10"/>
    <x v="24"/>
    <x v="13"/>
    <n v="0.82230000000000003"/>
    <n v="0.86550000000000005"/>
    <n v="0.94952999999999999"/>
    <n v="0.90751499999999996"/>
    <n v="840.3"/>
  </r>
  <r>
    <x v="10"/>
    <x v="24"/>
    <x v="13"/>
    <n v="0.82230000000000003"/>
    <n v="0.86550000000000005"/>
    <n v="0.94952999999999999"/>
    <n v="0.90751499999999996"/>
    <n v="840.3"/>
  </r>
  <r>
    <x v="10"/>
    <x v="24"/>
    <x v="13"/>
    <n v="0.82230000000000003"/>
    <n v="0.86550000000000005"/>
    <n v="0.94952999999999999"/>
    <n v="0.90751499999999996"/>
    <n v="840.3"/>
  </r>
  <r>
    <x v="10"/>
    <x v="24"/>
    <x v="13"/>
    <n v="0.82230000000000003"/>
    <n v="0.86550000000000005"/>
    <n v="0.94952999999999999"/>
    <n v="0.90751499999999996"/>
    <n v="840.3"/>
  </r>
  <r>
    <x v="11"/>
    <x v="46"/>
    <x v="0"/>
    <m/>
    <n v="1.9717"/>
    <n v="1.9743999999999999"/>
    <n v="1.97305"/>
    <n v="27"/>
  </r>
  <r>
    <x v="11"/>
    <x v="46"/>
    <x v="0"/>
    <m/>
    <n v="1.9717"/>
    <n v="1.9743999999999999"/>
    <n v="1.97305"/>
    <n v="27"/>
  </r>
  <r>
    <x v="11"/>
    <x v="46"/>
    <x v="10"/>
    <m/>
    <n v="0.87738000000000005"/>
    <n v="0.87817000000000001"/>
    <n v="0.87777499999999997"/>
    <n v="7.9"/>
  </r>
  <r>
    <x v="11"/>
    <x v="46"/>
    <x v="10"/>
    <m/>
    <n v="0.87738000000000005"/>
    <n v="0.87817000000000001"/>
    <n v="0.87777499999999997"/>
    <n v="7.9"/>
  </r>
  <r>
    <x v="11"/>
    <x v="46"/>
    <x v="10"/>
    <m/>
    <n v="0.87738000000000005"/>
    <n v="0.87817000000000001"/>
    <n v="0.87777499999999997"/>
    <n v="7.9"/>
  </r>
  <r>
    <x v="11"/>
    <x v="46"/>
    <x v="10"/>
    <m/>
    <n v="0.87738000000000005"/>
    <n v="0.87817000000000001"/>
    <n v="0.87777499999999997"/>
    <n v="7.9"/>
  </r>
  <r>
    <x v="11"/>
    <x v="46"/>
    <x v="12"/>
    <m/>
    <n v="93.081000000000003"/>
    <n v="93.16"/>
    <n v="93.120500000000007"/>
    <n v="7.9"/>
  </r>
  <r>
    <x v="11"/>
    <x v="46"/>
    <x v="12"/>
    <m/>
    <n v="93.081000000000003"/>
    <n v="93.16"/>
    <n v="93.120500000000007"/>
    <n v="7.9"/>
  </r>
  <r>
    <x v="11"/>
    <x v="46"/>
    <x v="12"/>
    <m/>
    <n v="93.081000000000003"/>
    <n v="93.16"/>
    <n v="93.120500000000007"/>
    <n v="7.9"/>
  </r>
  <r>
    <x v="11"/>
    <x v="46"/>
    <x v="12"/>
    <m/>
    <n v="93.081000000000003"/>
    <n v="93.16"/>
    <n v="93.120500000000007"/>
    <n v="7.9"/>
  </r>
  <r>
    <x v="11"/>
    <x v="46"/>
    <x v="12"/>
    <m/>
    <n v="93.081000000000003"/>
    <n v="93.16"/>
    <n v="93.120500000000007"/>
    <n v="7.9"/>
  </r>
  <r>
    <x v="11"/>
    <x v="46"/>
    <x v="12"/>
    <m/>
    <n v="93.081000000000003"/>
    <n v="93.16"/>
    <n v="93.120500000000007"/>
    <n v="7.9"/>
  </r>
  <r>
    <x v="11"/>
    <x v="46"/>
    <x v="12"/>
    <m/>
    <n v="93.081000000000003"/>
    <n v="93.16"/>
    <n v="93.120500000000007"/>
    <n v="7.9"/>
  </r>
  <r>
    <x v="11"/>
    <x v="46"/>
    <x v="3"/>
    <m/>
    <n v="1.3874299999999999"/>
    <n v="1.3877900000000001"/>
    <n v="1.38761"/>
    <n v="3.6"/>
  </r>
  <r>
    <x v="11"/>
    <x v="46"/>
    <x v="3"/>
    <m/>
    <n v="1.3874299999999999"/>
    <n v="1.3877900000000001"/>
    <n v="1.38761"/>
    <n v="3.6"/>
  </r>
  <r>
    <x v="11"/>
    <x v="46"/>
    <x v="3"/>
    <m/>
    <n v="1.3874299999999999"/>
    <n v="1.3877900000000001"/>
    <n v="1.38761"/>
    <n v="3.6"/>
  </r>
  <r>
    <x v="11"/>
    <x v="46"/>
    <x v="3"/>
    <m/>
    <n v="1.3874299999999999"/>
    <n v="1.3877900000000001"/>
    <n v="1.38761"/>
    <n v="3.6"/>
  </r>
  <r>
    <x v="11"/>
    <x v="46"/>
    <x v="0"/>
    <m/>
    <n v="1.9717"/>
    <n v="1.9743999999999999"/>
    <n v="1.97305"/>
    <n v="27"/>
  </r>
  <r>
    <x v="11"/>
    <x v="46"/>
    <x v="0"/>
    <m/>
    <n v="1.9717"/>
    <n v="1.9743999999999999"/>
    <n v="1.97305"/>
    <n v="27"/>
  </r>
  <r>
    <x v="11"/>
    <x v="46"/>
    <x v="0"/>
    <m/>
    <n v="1.9717"/>
    <n v="1.9743999999999999"/>
    <n v="1.97305"/>
    <n v="27"/>
  </r>
  <r>
    <x v="11"/>
    <x v="46"/>
    <x v="0"/>
    <m/>
    <n v="1.9717"/>
    <n v="1.9743999999999999"/>
    <n v="1.97305"/>
    <n v="27"/>
  </r>
  <r>
    <x v="11"/>
    <x v="47"/>
    <x v="3"/>
    <m/>
    <n v="1.3874299999999999"/>
    <n v="1.39151"/>
    <n v="1.38947"/>
    <n v="40.799999999999997"/>
  </r>
  <r>
    <x v="11"/>
    <x v="47"/>
    <x v="10"/>
    <m/>
    <n v="0.87195999999999996"/>
    <n v="0.87817000000000001"/>
    <n v="0.87506499999999998"/>
    <n v="62.1"/>
  </r>
  <r>
    <x v="11"/>
    <x v="47"/>
    <x v="3"/>
    <m/>
    <n v="1.3874299999999999"/>
    <n v="1.39151"/>
    <n v="1.38947"/>
    <n v="40.799999999999997"/>
  </r>
  <r>
    <x v="11"/>
    <x v="47"/>
    <x v="3"/>
    <m/>
    <n v="1.3874299999999999"/>
    <n v="1.39151"/>
    <n v="1.38947"/>
    <n v="40.799999999999997"/>
  </r>
  <r>
    <x v="11"/>
    <x v="47"/>
    <x v="3"/>
    <m/>
    <n v="1.3874299999999999"/>
    <n v="1.39151"/>
    <n v="1.38947"/>
    <n v="40.799999999999997"/>
  </r>
  <r>
    <x v="11"/>
    <x v="47"/>
    <x v="12"/>
    <m/>
    <n v="91.227000000000004"/>
    <n v="93.16"/>
    <n v="92.1935"/>
    <n v="193.3"/>
  </r>
  <r>
    <x v="11"/>
    <x v="47"/>
    <x v="10"/>
    <m/>
    <n v="0.87195999999999996"/>
    <n v="0.87817000000000001"/>
    <n v="0.87506499999999998"/>
    <n v="62.1"/>
  </r>
  <r>
    <x v="11"/>
    <x v="47"/>
    <x v="10"/>
    <m/>
    <n v="0.87195999999999996"/>
    <n v="0.87817000000000001"/>
    <n v="0.87506499999999998"/>
    <n v="62.1"/>
  </r>
  <r>
    <x v="11"/>
    <x v="47"/>
    <x v="10"/>
    <m/>
    <n v="0.87195999999999996"/>
    <n v="0.87817000000000001"/>
    <n v="0.87506499999999998"/>
    <n v="62.1"/>
  </r>
  <r>
    <x v="11"/>
    <x v="47"/>
    <x v="10"/>
    <m/>
    <n v="0.87195999999999996"/>
    <n v="0.87817000000000001"/>
    <n v="0.87506499999999998"/>
    <n v="62.1"/>
  </r>
  <r>
    <x v="11"/>
    <x v="47"/>
    <x v="10"/>
    <m/>
    <n v="0.87195999999999996"/>
    <n v="0.87817000000000001"/>
    <n v="0.87506499999999998"/>
    <n v="62.1"/>
  </r>
  <r>
    <x v="11"/>
    <x v="47"/>
    <x v="10"/>
    <m/>
    <n v="0.87195999999999996"/>
    <n v="0.87817000000000001"/>
    <n v="0.87506499999999998"/>
    <n v="62.1"/>
  </r>
  <r>
    <x v="11"/>
    <x v="47"/>
    <x v="12"/>
    <m/>
    <n v="91.227000000000004"/>
    <n v="93.16"/>
    <n v="92.1935"/>
    <n v="193.3"/>
  </r>
  <r>
    <x v="11"/>
    <x v="47"/>
    <x v="12"/>
    <m/>
    <n v="91.227000000000004"/>
    <n v="93.16"/>
    <n v="92.1935"/>
    <n v="193.3"/>
  </r>
  <r>
    <x v="11"/>
    <x v="47"/>
    <x v="12"/>
    <m/>
    <n v="91.227000000000004"/>
    <n v="93.16"/>
    <n v="92.1935"/>
    <n v="193.3"/>
  </r>
  <r>
    <x v="11"/>
    <x v="47"/>
    <x v="12"/>
    <m/>
    <n v="91.227000000000004"/>
    <n v="93.16"/>
    <n v="92.1935"/>
    <n v="193.3"/>
  </r>
  <r>
    <x v="11"/>
    <x v="47"/>
    <x v="12"/>
    <m/>
    <n v="91.227000000000004"/>
    <n v="93.16"/>
    <n v="92.1935"/>
    <n v="193.3"/>
  </r>
  <r>
    <x v="11"/>
    <x v="47"/>
    <x v="12"/>
    <m/>
    <n v="91.227000000000004"/>
    <n v="93.16"/>
    <n v="92.1935"/>
    <n v="193.3"/>
  </r>
  <r>
    <x v="11"/>
    <x v="47"/>
    <x v="12"/>
    <m/>
    <n v="91.227000000000004"/>
    <n v="93.16"/>
    <n v="92.1935"/>
    <n v="193.3"/>
  </r>
  <r>
    <x v="11"/>
    <x v="47"/>
    <x v="12"/>
    <m/>
    <n v="91.227000000000004"/>
    <n v="93.16"/>
    <n v="92.1935"/>
    <n v="193.3"/>
  </r>
  <r>
    <x v="11"/>
    <x v="47"/>
    <x v="12"/>
    <m/>
    <n v="91.227000000000004"/>
    <n v="93.16"/>
    <n v="92.1935"/>
    <n v="193.3"/>
  </r>
  <r>
    <x v="11"/>
    <x v="47"/>
    <x v="12"/>
    <m/>
    <n v="91.227000000000004"/>
    <n v="93.16"/>
    <n v="92.1935"/>
    <n v="193.3"/>
  </r>
  <r>
    <x v="11"/>
    <x v="47"/>
    <x v="12"/>
    <m/>
    <n v="91.227000000000004"/>
    <n v="93.16"/>
    <n v="92.1935"/>
    <n v="193.3"/>
  </r>
  <r>
    <x v="11"/>
    <x v="47"/>
    <x v="0"/>
    <m/>
    <n v="1.95038"/>
    <n v="1.9743999999999999"/>
    <n v="1.9623900000000001"/>
    <n v="240.2"/>
  </r>
  <r>
    <x v="11"/>
    <x v="47"/>
    <x v="0"/>
    <m/>
    <n v="1.95038"/>
    <n v="1.9743999999999999"/>
    <n v="1.9623900000000001"/>
    <n v="240.2"/>
  </r>
  <r>
    <x v="11"/>
    <x v="47"/>
    <x v="0"/>
    <m/>
    <n v="1.95038"/>
    <n v="1.9743999999999999"/>
    <n v="1.9623900000000001"/>
    <n v="240.2"/>
  </r>
  <r>
    <x v="11"/>
    <x v="47"/>
    <x v="0"/>
    <m/>
    <n v="1.95038"/>
    <n v="1.9743999999999999"/>
    <n v="1.9623900000000001"/>
    <n v="240.2"/>
  </r>
  <r>
    <x v="11"/>
    <x v="47"/>
    <x v="0"/>
    <m/>
    <n v="1.95038"/>
    <n v="1.9743999999999999"/>
    <n v="1.9623900000000001"/>
    <n v="240.2"/>
  </r>
  <r>
    <x v="11"/>
    <x v="47"/>
    <x v="0"/>
    <m/>
    <n v="1.95038"/>
    <n v="1.9743999999999999"/>
    <n v="1.9623900000000001"/>
    <n v="240.2"/>
  </r>
  <r>
    <x v="11"/>
    <x v="47"/>
    <x v="0"/>
    <m/>
    <n v="1.95038"/>
    <n v="1.9743999999999999"/>
    <n v="1.9623900000000001"/>
    <n v="240.2"/>
  </r>
  <r>
    <x v="11"/>
    <x v="47"/>
    <x v="0"/>
    <m/>
    <n v="1.95038"/>
    <n v="1.9743999999999999"/>
    <n v="1.9623900000000001"/>
    <n v="240.2"/>
  </r>
  <r>
    <x v="11"/>
    <x v="47"/>
    <x v="0"/>
    <m/>
    <n v="1.95038"/>
    <n v="1.9743999999999999"/>
    <n v="1.9623900000000001"/>
    <n v="240.2"/>
  </r>
  <r>
    <x v="11"/>
    <x v="47"/>
    <x v="0"/>
    <m/>
    <n v="1.95038"/>
    <n v="1.9743999999999999"/>
    <n v="1.9623900000000001"/>
    <n v="240.2"/>
  </r>
  <r>
    <x v="11"/>
    <x v="47"/>
    <x v="0"/>
    <m/>
    <n v="1.95038"/>
    <n v="1.9743999999999999"/>
    <n v="1.9623900000000001"/>
    <n v="240.2"/>
  </r>
  <r>
    <x v="11"/>
    <x v="47"/>
    <x v="12"/>
    <m/>
    <n v="91.227000000000004"/>
    <n v="93.16"/>
    <n v="92.1935"/>
    <n v="193.3"/>
  </r>
  <r>
    <x v="11"/>
    <x v="47"/>
    <x v="12"/>
    <m/>
    <n v="91.227000000000004"/>
    <n v="93.16"/>
    <n v="92.1935"/>
    <n v="193.3"/>
  </r>
  <r>
    <x v="11"/>
    <x v="47"/>
    <x v="12"/>
    <m/>
    <n v="91.227000000000004"/>
    <n v="93.16"/>
    <n v="92.1935"/>
    <n v="193.3"/>
  </r>
  <r>
    <x v="11"/>
    <x v="47"/>
    <x v="12"/>
    <m/>
    <n v="91.227000000000004"/>
    <n v="93.16"/>
    <n v="92.1935"/>
    <n v="193.3"/>
  </r>
  <r>
    <x v="11"/>
    <x v="47"/>
    <x v="3"/>
    <m/>
    <n v="1.3874299999999999"/>
    <n v="1.39151"/>
    <n v="1.38947"/>
    <n v="40.799999999999997"/>
  </r>
  <r>
    <x v="11"/>
    <x v="48"/>
    <x v="10"/>
    <m/>
    <n v="0.87195999999999996"/>
    <n v="0.88327999999999995"/>
    <n v="0.87761999999999996"/>
    <n v="113.2"/>
  </r>
  <r>
    <x v="11"/>
    <x v="48"/>
    <x v="10"/>
    <m/>
    <n v="0.87195999999999996"/>
    <n v="0.88327999999999995"/>
    <n v="0.87761999999999996"/>
    <n v="113.2"/>
  </r>
  <r>
    <x v="11"/>
    <x v="48"/>
    <x v="10"/>
    <m/>
    <n v="0.87195999999999996"/>
    <n v="0.88327999999999995"/>
    <n v="0.87761999999999996"/>
    <n v="113.2"/>
  </r>
  <r>
    <x v="11"/>
    <x v="48"/>
    <x v="10"/>
    <m/>
    <n v="0.87195999999999996"/>
    <n v="0.88327999999999995"/>
    <n v="0.87761999999999996"/>
    <n v="113.2"/>
  </r>
  <r>
    <x v="11"/>
    <x v="48"/>
    <x v="10"/>
    <m/>
    <n v="0.87195999999999996"/>
    <n v="0.88327999999999995"/>
    <n v="0.87761999999999996"/>
    <n v="113.2"/>
  </r>
  <r>
    <x v="11"/>
    <x v="48"/>
    <x v="10"/>
    <m/>
    <n v="0.87195999999999996"/>
    <n v="0.88327999999999995"/>
    <n v="0.87761999999999996"/>
    <n v="113.2"/>
  </r>
  <r>
    <x v="11"/>
    <x v="48"/>
    <x v="0"/>
    <m/>
    <n v="1.93"/>
    <n v="1.9743999999999999"/>
    <n v="1.9521999999999999"/>
    <n v="444"/>
  </r>
  <r>
    <x v="11"/>
    <x v="48"/>
    <x v="0"/>
    <m/>
    <n v="1.93"/>
    <n v="1.9743999999999999"/>
    <n v="1.9521999999999999"/>
    <n v="444"/>
  </r>
  <r>
    <x v="11"/>
    <x v="48"/>
    <x v="0"/>
    <m/>
    <n v="1.93"/>
    <n v="1.9743999999999999"/>
    <n v="1.9521999999999999"/>
    <n v="444"/>
  </r>
  <r>
    <x v="11"/>
    <x v="48"/>
    <x v="0"/>
    <m/>
    <n v="1.93"/>
    <n v="1.9743999999999999"/>
    <n v="1.9521999999999999"/>
    <n v="444"/>
  </r>
  <r>
    <x v="11"/>
    <x v="48"/>
    <x v="0"/>
    <m/>
    <n v="1.93"/>
    <n v="1.9743999999999999"/>
    <n v="1.9521999999999999"/>
    <n v="444"/>
  </r>
  <r>
    <x v="11"/>
    <x v="48"/>
    <x v="0"/>
    <m/>
    <n v="1.93"/>
    <n v="1.9743999999999999"/>
    <n v="1.9521999999999999"/>
    <n v="444"/>
  </r>
  <r>
    <x v="11"/>
    <x v="48"/>
    <x v="0"/>
    <m/>
    <n v="1.93"/>
    <n v="1.9743999999999999"/>
    <n v="1.9521999999999999"/>
    <n v="444"/>
  </r>
  <r>
    <x v="11"/>
    <x v="48"/>
    <x v="0"/>
    <m/>
    <n v="1.93"/>
    <n v="1.9743999999999999"/>
    <n v="1.9521999999999999"/>
    <n v="444"/>
  </r>
  <r>
    <x v="11"/>
    <x v="48"/>
    <x v="0"/>
    <m/>
    <n v="1.93"/>
    <n v="1.9743999999999999"/>
    <n v="1.9521999999999999"/>
    <n v="444"/>
  </r>
  <r>
    <x v="11"/>
    <x v="48"/>
    <x v="0"/>
    <m/>
    <n v="1.93"/>
    <n v="1.9743999999999999"/>
    <n v="1.9521999999999999"/>
    <n v="444"/>
  </r>
  <r>
    <x v="11"/>
    <x v="48"/>
    <x v="0"/>
    <m/>
    <n v="1.93"/>
    <n v="1.9743999999999999"/>
    <n v="1.9521999999999999"/>
    <n v="444"/>
  </r>
  <r>
    <x v="11"/>
    <x v="48"/>
    <x v="0"/>
    <m/>
    <n v="1.93"/>
    <n v="1.9743999999999999"/>
    <n v="1.9521999999999999"/>
    <n v="444"/>
  </r>
  <r>
    <x v="11"/>
    <x v="48"/>
    <x v="0"/>
    <m/>
    <n v="1.93"/>
    <n v="1.9743999999999999"/>
    <n v="1.9521999999999999"/>
    <n v="444"/>
  </r>
  <r>
    <x v="11"/>
    <x v="48"/>
    <x v="0"/>
    <m/>
    <n v="1.93"/>
    <n v="1.9743999999999999"/>
    <n v="1.9521999999999999"/>
    <n v="444"/>
  </r>
  <r>
    <x v="11"/>
    <x v="48"/>
    <x v="0"/>
    <m/>
    <n v="1.93"/>
    <n v="1.9743999999999999"/>
    <n v="1.9521999999999999"/>
    <n v="444"/>
  </r>
  <r>
    <x v="11"/>
    <x v="48"/>
    <x v="0"/>
    <m/>
    <n v="1.93"/>
    <n v="1.9743999999999999"/>
    <n v="1.9521999999999999"/>
    <n v="444"/>
  </r>
  <r>
    <x v="11"/>
    <x v="48"/>
    <x v="0"/>
    <m/>
    <n v="1.93"/>
    <n v="1.9743999999999999"/>
    <n v="1.9521999999999999"/>
    <n v="444"/>
  </r>
  <r>
    <x v="11"/>
    <x v="48"/>
    <x v="3"/>
    <m/>
    <n v="1.3791800000000001"/>
    <n v="1.39151"/>
    <n v="1.385345"/>
    <n v="123.3"/>
  </r>
  <r>
    <x v="11"/>
    <x v="48"/>
    <x v="3"/>
    <m/>
    <n v="1.3791800000000001"/>
    <n v="1.39151"/>
    <n v="1.385345"/>
    <n v="123.3"/>
  </r>
  <r>
    <x v="11"/>
    <x v="48"/>
    <x v="3"/>
    <m/>
    <n v="1.3791800000000001"/>
    <n v="1.39151"/>
    <n v="1.385345"/>
    <n v="123.3"/>
  </r>
  <r>
    <x v="11"/>
    <x v="48"/>
    <x v="3"/>
    <m/>
    <n v="1.3791800000000001"/>
    <n v="1.39151"/>
    <n v="1.385345"/>
    <n v="123.3"/>
  </r>
  <r>
    <x v="11"/>
    <x v="48"/>
    <x v="3"/>
    <m/>
    <n v="1.3791800000000001"/>
    <n v="1.39151"/>
    <n v="1.385345"/>
    <n v="123.3"/>
  </r>
  <r>
    <x v="11"/>
    <x v="48"/>
    <x v="3"/>
    <m/>
    <n v="1.3791800000000001"/>
    <n v="1.39151"/>
    <n v="1.385345"/>
    <n v="123.3"/>
  </r>
  <r>
    <x v="11"/>
    <x v="48"/>
    <x v="3"/>
    <m/>
    <n v="1.3791800000000001"/>
    <n v="1.39151"/>
    <n v="1.385345"/>
    <n v="123.3"/>
  </r>
  <r>
    <x v="11"/>
    <x v="48"/>
    <x v="3"/>
    <m/>
    <n v="1.3791800000000001"/>
    <n v="1.39151"/>
    <n v="1.385345"/>
    <n v="123.3"/>
  </r>
  <r>
    <x v="11"/>
    <x v="48"/>
    <x v="12"/>
    <m/>
    <n v="91.099000000000004"/>
    <n v="93.16"/>
    <n v="92.129499999999993"/>
    <n v="206.1"/>
  </r>
  <r>
    <x v="11"/>
    <x v="48"/>
    <x v="12"/>
    <m/>
    <n v="91.099000000000004"/>
    <n v="93.16"/>
    <n v="92.129499999999993"/>
    <n v="206.1"/>
  </r>
  <r>
    <x v="11"/>
    <x v="48"/>
    <x v="12"/>
    <m/>
    <n v="91.099000000000004"/>
    <n v="93.16"/>
    <n v="92.129499999999993"/>
    <n v="206.1"/>
  </r>
  <r>
    <x v="11"/>
    <x v="48"/>
    <x v="12"/>
    <m/>
    <n v="91.099000000000004"/>
    <n v="93.16"/>
    <n v="92.129499999999993"/>
    <n v="206.1"/>
  </r>
  <r>
    <x v="11"/>
    <x v="48"/>
    <x v="12"/>
    <m/>
    <n v="91.099000000000004"/>
    <n v="93.16"/>
    <n v="92.129499999999993"/>
    <n v="206.1"/>
  </r>
  <r>
    <x v="11"/>
    <x v="48"/>
    <x v="12"/>
    <m/>
    <n v="91.099000000000004"/>
    <n v="93.16"/>
    <n v="92.129499999999993"/>
    <n v="206.1"/>
  </r>
  <r>
    <x v="11"/>
    <x v="48"/>
    <x v="12"/>
    <m/>
    <n v="91.099000000000004"/>
    <n v="93.16"/>
    <n v="92.129499999999993"/>
    <n v="206.1"/>
  </r>
  <r>
    <x v="11"/>
    <x v="48"/>
    <x v="12"/>
    <m/>
    <n v="91.099000000000004"/>
    <n v="93.16"/>
    <n v="92.129499999999993"/>
    <n v="206.1"/>
  </r>
  <r>
    <x v="11"/>
    <x v="48"/>
    <x v="12"/>
    <m/>
    <n v="91.099000000000004"/>
    <n v="93.16"/>
    <n v="92.129499999999993"/>
    <n v="206.1"/>
  </r>
  <r>
    <x v="11"/>
    <x v="48"/>
    <x v="12"/>
    <m/>
    <n v="91.099000000000004"/>
    <n v="93.16"/>
    <n v="92.129499999999993"/>
    <n v="206.1"/>
  </r>
  <r>
    <x v="11"/>
    <x v="48"/>
    <x v="12"/>
    <m/>
    <n v="91.099000000000004"/>
    <n v="93.16"/>
    <n v="92.129499999999993"/>
    <n v="206.1"/>
  </r>
  <r>
    <x v="11"/>
    <x v="48"/>
    <x v="12"/>
    <m/>
    <n v="91.099000000000004"/>
    <n v="93.16"/>
    <n v="92.129499999999993"/>
    <n v="206.1"/>
  </r>
  <r>
    <x v="11"/>
    <x v="48"/>
    <x v="12"/>
    <m/>
    <n v="91.099000000000004"/>
    <n v="93.16"/>
    <n v="92.129499999999993"/>
    <n v="206.1"/>
  </r>
  <r>
    <x v="11"/>
    <x v="48"/>
    <x v="12"/>
    <m/>
    <n v="91.099000000000004"/>
    <n v="93.16"/>
    <n v="92.129499999999993"/>
    <n v="206.1"/>
  </r>
  <r>
    <x v="11"/>
    <x v="48"/>
    <x v="12"/>
    <m/>
    <n v="91.099000000000004"/>
    <n v="93.16"/>
    <n v="92.129499999999993"/>
    <n v="206.1"/>
  </r>
  <r>
    <x v="11"/>
    <x v="48"/>
    <x v="12"/>
    <m/>
    <n v="91.099000000000004"/>
    <n v="93.16"/>
    <n v="92.129499999999993"/>
    <n v="206.1"/>
  </r>
  <r>
    <x v="11"/>
    <x v="48"/>
    <x v="12"/>
    <m/>
    <n v="91.099000000000004"/>
    <n v="93.16"/>
    <n v="92.129499999999993"/>
    <n v="206.1"/>
  </r>
  <r>
    <x v="11"/>
    <x v="48"/>
    <x v="12"/>
    <m/>
    <n v="91.099000000000004"/>
    <n v="93.16"/>
    <n v="92.129499999999993"/>
    <n v="206.1"/>
  </r>
  <r>
    <x v="11"/>
    <x v="48"/>
    <x v="10"/>
    <m/>
    <n v="0.87195999999999996"/>
    <n v="0.88327999999999995"/>
    <n v="0.87761999999999996"/>
    <n v="113.2"/>
  </r>
  <r>
    <x v="11"/>
    <x v="48"/>
    <x v="10"/>
    <m/>
    <n v="0.87195999999999996"/>
    <n v="0.88327999999999995"/>
    <n v="0.87761999999999996"/>
    <n v="113.2"/>
  </r>
  <r>
    <x v="11"/>
    <x v="48"/>
    <x v="10"/>
    <m/>
    <n v="0.87195999999999996"/>
    <n v="0.88327999999999995"/>
    <n v="0.87761999999999996"/>
    <n v="113.2"/>
  </r>
  <r>
    <x v="11"/>
    <x v="48"/>
    <x v="10"/>
    <m/>
    <n v="0.87195999999999996"/>
    <n v="0.88327999999999995"/>
    <n v="0.87761999999999996"/>
    <n v="113.2"/>
  </r>
  <r>
    <x v="11"/>
    <x v="49"/>
    <x v="10"/>
    <m/>
    <n v="0.87195999999999996"/>
    <n v="0.88710999999999995"/>
    <n v="0.87953499999999996"/>
    <n v="151.5"/>
  </r>
  <r>
    <x v="11"/>
    <x v="49"/>
    <x v="10"/>
    <m/>
    <n v="0.87195999999999996"/>
    <n v="0.88710999999999995"/>
    <n v="0.87953499999999996"/>
    <n v="151.5"/>
  </r>
  <r>
    <x v="11"/>
    <x v="49"/>
    <x v="10"/>
    <m/>
    <n v="0.87195999999999996"/>
    <n v="0.88710999999999995"/>
    <n v="0.87953499999999996"/>
    <n v="151.5"/>
  </r>
  <r>
    <x v="11"/>
    <x v="49"/>
    <x v="10"/>
    <m/>
    <n v="0.87195999999999996"/>
    <n v="0.88710999999999995"/>
    <n v="0.87953499999999996"/>
    <n v="151.5"/>
  </r>
  <r>
    <x v="11"/>
    <x v="49"/>
    <x v="10"/>
    <m/>
    <n v="0.87195999999999996"/>
    <n v="0.88710999999999995"/>
    <n v="0.87953499999999996"/>
    <n v="151.5"/>
  </r>
  <r>
    <x v="11"/>
    <x v="49"/>
    <x v="10"/>
    <m/>
    <n v="0.87195999999999996"/>
    <n v="0.88710999999999995"/>
    <n v="0.87953499999999996"/>
    <n v="151.5"/>
  </r>
  <r>
    <x v="11"/>
    <x v="49"/>
    <x v="10"/>
    <m/>
    <n v="0.87195999999999996"/>
    <n v="0.88710999999999995"/>
    <n v="0.87953499999999996"/>
    <n v="151.5"/>
  </r>
  <r>
    <x v="11"/>
    <x v="49"/>
    <x v="10"/>
    <m/>
    <n v="0.87195999999999996"/>
    <n v="0.88710999999999995"/>
    <n v="0.87953499999999996"/>
    <n v="151.5"/>
  </r>
  <r>
    <x v="11"/>
    <x v="49"/>
    <x v="10"/>
    <m/>
    <n v="0.87195999999999996"/>
    <n v="0.88710999999999995"/>
    <n v="0.87953499999999996"/>
    <n v="151.5"/>
  </r>
  <r>
    <x v="11"/>
    <x v="49"/>
    <x v="10"/>
    <m/>
    <n v="0.87195999999999996"/>
    <n v="0.88710999999999995"/>
    <n v="0.87953499999999996"/>
    <n v="151.5"/>
  </r>
  <r>
    <x v="11"/>
    <x v="49"/>
    <x v="10"/>
    <m/>
    <n v="0.87195999999999996"/>
    <n v="0.88710999999999995"/>
    <n v="0.87953499999999996"/>
    <n v="151.5"/>
  </r>
  <r>
    <x v="11"/>
    <x v="49"/>
    <x v="0"/>
    <m/>
    <n v="1.9189400000000001"/>
    <n v="1.9743999999999999"/>
    <n v="1.9466699999999999"/>
    <n v="554.6"/>
  </r>
  <r>
    <x v="11"/>
    <x v="49"/>
    <x v="0"/>
    <m/>
    <n v="1.9189400000000001"/>
    <n v="1.9743999999999999"/>
    <n v="1.9466699999999999"/>
    <n v="554.6"/>
  </r>
  <r>
    <x v="11"/>
    <x v="49"/>
    <x v="0"/>
    <m/>
    <n v="1.9189400000000001"/>
    <n v="1.9743999999999999"/>
    <n v="1.9466699999999999"/>
    <n v="554.6"/>
  </r>
  <r>
    <x v="11"/>
    <x v="49"/>
    <x v="0"/>
    <m/>
    <n v="1.9189400000000001"/>
    <n v="1.9743999999999999"/>
    <n v="1.9466699999999999"/>
    <n v="554.6"/>
  </r>
  <r>
    <x v="11"/>
    <x v="49"/>
    <x v="0"/>
    <m/>
    <n v="1.9189400000000001"/>
    <n v="1.9743999999999999"/>
    <n v="1.9466699999999999"/>
    <n v="554.6"/>
  </r>
  <r>
    <x v="11"/>
    <x v="49"/>
    <x v="0"/>
    <m/>
    <n v="1.9189400000000001"/>
    <n v="1.9743999999999999"/>
    <n v="1.9466699999999999"/>
    <n v="554.6"/>
  </r>
  <r>
    <x v="11"/>
    <x v="49"/>
    <x v="0"/>
    <m/>
    <n v="1.9189400000000001"/>
    <n v="1.9743999999999999"/>
    <n v="1.9466699999999999"/>
    <n v="554.6"/>
  </r>
  <r>
    <x v="11"/>
    <x v="49"/>
    <x v="0"/>
    <m/>
    <n v="1.9189400000000001"/>
    <n v="1.9743999999999999"/>
    <n v="1.9466699999999999"/>
    <n v="554.6"/>
  </r>
  <r>
    <x v="11"/>
    <x v="49"/>
    <x v="0"/>
    <m/>
    <n v="1.9189400000000001"/>
    <n v="1.9743999999999999"/>
    <n v="1.9466699999999999"/>
    <n v="554.6"/>
  </r>
  <r>
    <x v="11"/>
    <x v="49"/>
    <x v="0"/>
    <m/>
    <n v="1.9189400000000001"/>
    <n v="1.9743999999999999"/>
    <n v="1.9466699999999999"/>
    <n v="554.6"/>
  </r>
  <r>
    <x v="11"/>
    <x v="49"/>
    <x v="0"/>
    <m/>
    <n v="1.9189400000000001"/>
    <n v="1.9743999999999999"/>
    <n v="1.9466699999999999"/>
    <n v="554.6"/>
  </r>
  <r>
    <x v="11"/>
    <x v="49"/>
    <x v="0"/>
    <m/>
    <n v="1.9189400000000001"/>
    <n v="1.9743999999999999"/>
    <n v="1.9466699999999999"/>
    <n v="554.6"/>
  </r>
  <r>
    <x v="11"/>
    <x v="49"/>
    <x v="0"/>
    <m/>
    <n v="1.9189400000000001"/>
    <n v="1.9743999999999999"/>
    <n v="1.9466699999999999"/>
    <n v="554.6"/>
  </r>
  <r>
    <x v="11"/>
    <x v="49"/>
    <x v="0"/>
    <m/>
    <n v="1.9189400000000001"/>
    <n v="1.9743999999999999"/>
    <n v="1.9466699999999999"/>
    <n v="554.6"/>
  </r>
  <r>
    <x v="11"/>
    <x v="49"/>
    <x v="0"/>
    <m/>
    <n v="1.9189400000000001"/>
    <n v="1.9743999999999999"/>
    <n v="1.9466699999999999"/>
    <n v="554.6"/>
  </r>
  <r>
    <x v="11"/>
    <x v="49"/>
    <x v="0"/>
    <m/>
    <n v="1.9189400000000001"/>
    <n v="1.9743999999999999"/>
    <n v="1.9466699999999999"/>
    <n v="554.6"/>
  </r>
  <r>
    <x v="11"/>
    <x v="49"/>
    <x v="0"/>
    <m/>
    <n v="1.9189400000000001"/>
    <n v="1.9743999999999999"/>
    <n v="1.9466699999999999"/>
    <n v="554.6"/>
  </r>
  <r>
    <x v="11"/>
    <x v="49"/>
    <x v="0"/>
    <m/>
    <n v="1.9189400000000001"/>
    <n v="1.9743999999999999"/>
    <n v="1.9466699999999999"/>
    <n v="554.6"/>
  </r>
  <r>
    <x v="11"/>
    <x v="49"/>
    <x v="0"/>
    <m/>
    <n v="1.9189400000000001"/>
    <n v="1.9743999999999999"/>
    <n v="1.9466699999999999"/>
    <n v="554.6"/>
  </r>
  <r>
    <x v="11"/>
    <x v="49"/>
    <x v="3"/>
    <m/>
    <n v="1.3750500000000001"/>
    <n v="1.39151"/>
    <n v="1.3832800000000001"/>
    <n v="164.6"/>
  </r>
  <r>
    <x v="11"/>
    <x v="49"/>
    <x v="3"/>
    <m/>
    <n v="1.3750500000000001"/>
    <n v="1.39151"/>
    <n v="1.3832800000000001"/>
    <n v="164.6"/>
  </r>
  <r>
    <x v="11"/>
    <x v="49"/>
    <x v="3"/>
    <m/>
    <n v="1.3750500000000001"/>
    <n v="1.39151"/>
    <n v="1.3832800000000001"/>
    <n v="164.6"/>
  </r>
  <r>
    <x v="11"/>
    <x v="49"/>
    <x v="3"/>
    <m/>
    <n v="1.3750500000000001"/>
    <n v="1.39151"/>
    <n v="1.3832800000000001"/>
    <n v="164.6"/>
  </r>
  <r>
    <x v="11"/>
    <x v="49"/>
    <x v="3"/>
    <m/>
    <n v="1.3750500000000001"/>
    <n v="1.39151"/>
    <n v="1.3832800000000001"/>
    <n v="164.6"/>
  </r>
  <r>
    <x v="11"/>
    <x v="49"/>
    <x v="3"/>
    <m/>
    <n v="1.3750500000000001"/>
    <n v="1.39151"/>
    <n v="1.3832800000000001"/>
    <n v="164.6"/>
  </r>
  <r>
    <x v="11"/>
    <x v="49"/>
    <x v="3"/>
    <m/>
    <n v="1.3750500000000001"/>
    <n v="1.39151"/>
    <n v="1.3832800000000001"/>
    <n v="164.6"/>
  </r>
  <r>
    <x v="11"/>
    <x v="49"/>
    <x v="3"/>
    <m/>
    <n v="1.3750500000000001"/>
    <n v="1.39151"/>
    <n v="1.3832800000000001"/>
    <n v="164.6"/>
  </r>
  <r>
    <x v="11"/>
    <x v="49"/>
    <x v="3"/>
    <m/>
    <n v="1.3750500000000001"/>
    <n v="1.39151"/>
    <n v="1.3832800000000001"/>
    <n v="164.6"/>
  </r>
  <r>
    <x v="11"/>
    <x v="49"/>
    <x v="12"/>
    <m/>
    <n v="91.099000000000004"/>
    <n v="93.16"/>
    <n v="92.129499999999993"/>
    <n v="206.1"/>
  </r>
  <r>
    <x v="11"/>
    <x v="49"/>
    <x v="12"/>
    <m/>
    <n v="91.099000000000004"/>
    <n v="93.16"/>
    <n v="92.129499999999993"/>
    <n v="206.1"/>
  </r>
  <r>
    <x v="11"/>
    <x v="49"/>
    <x v="12"/>
    <m/>
    <n v="91.099000000000004"/>
    <n v="93.16"/>
    <n v="92.129499999999993"/>
    <n v="206.1"/>
  </r>
  <r>
    <x v="11"/>
    <x v="49"/>
    <x v="12"/>
    <m/>
    <n v="91.099000000000004"/>
    <n v="93.16"/>
    <n v="92.129499999999993"/>
    <n v="206.1"/>
  </r>
  <r>
    <x v="11"/>
    <x v="49"/>
    <x v="12"/>
    <m/>
    <n v="91.099000000000004"/>
    <n v="93.16"/>
    <n v="92.129499999999993"/>
    <n v="206.1"/>
  </r>
  <r>
    <x v="11"/>
    <x v="49"/>
    <x v="12"/>
    <m/>
    <n v="91.099000000000004"/>
    <n v="93.16"/>
    <n v="92.129499999999993"/>
    <n v="206.1"/>
  </r>
  <r>
    <x v="11"/>
    <x v="49"/>
    <x v="12"/>
    <m/>
    <n v="91.099000000000004"/>
    <n v="93.16"/>
    <n v="92.129499999999993"/>
    <n v="206.1"/>
  </r>
  <r>
    <x v="11"/>
    <x v="49"/>
    <x v="12"/>
    <m/>
    <n v="91.099000000000004"/>
    <n v="93.16"/>
    <n v="92.129499999999993"/>
    <n v="206.1"/>
  </r>
  <r>
    <x v="11"/>
    <x v="49"/>
    <x v="12"/>
    <m/>
    <n v="91.099000000000004"/>
    <n v="93.16"/>
    <n v="92.129499999999993"/>
    <n v="206.1"/>
  </r>
  <r>
    <x v="11"/>
    <x v="49"/>
    <x v="12"/>
    <m/>
    <n v="91.099000000000004"/>
    <n v="93.16"/>
    <n v="92.129499999999993"/>
    <n v="206.1"/>
  </r>
  <r>
    <x v="11"/>
    <x v="49"/>
    <x v="12"/>
    <m/>
    <n v="91.099000000000004"/>
    <n v="93.16"/>
    <n v="92.129499999999993"/>
    <n v="206.1"/>
  </r>
  <r>
    <x v="11"/>
    <x v="49"/>
    <x v="12"/>
    <m/>
    <n v="91.099000000000004"/>
    <n v="93.16"/>
    <n v="92.129499999999993"/>
    <n v="206.1"/>
  </r>
  <r>
    <x v="11"/>
    <x v="49"/>
    <x v="12"/>
    <m/>
    <n v="91.099000000000004"/>
    <n v="93.16"/>
    <n v="92.129499999999993"/>
    <n v="206.1"/>
  </r>
  <r>
    <x v="11"/>
    <x v="49"/>
    <x v="12"/>
    <m/>
    <n v="91.099000000000004"/>
    <n v="93.16"/>
    <n v="92.129499999999993"/>
    <n v="206.1"/>
  </r>
  <r>
    <x v="11"/>
    <x v="49"/>
    <x v="12"/>
    <m/>
    <n v="91.099000000000004"/>
    <n v="93.16"/>
    <n v="92.129499999999993"/>
    <n v="206.1"/>
  </r>
  <r>
    <x v="11"/>
    <x v="49"/>
    <x v="12"/>
    <m/>
    <n v="91.099000000000004"/>
    <n v="93.16"/>
    <n v="92.129499999999993"/>
    <n v="206.1"/>
  </r>
  <r>
    <x v="11"/>
    <x v="49"/>
    <x v="12"/>
    <m/>
    <n v="91.099000000000004"/>
    <n v="93.16"/>
    <n v="92.129499999999993"/>
    <n v="206.1"/>
  </r>
  <r>
    <x v="11"/>
    <x v="49"/>
    <x v="12"/>
    <m/>
    <n v="91.099000000000004"/>
    <n v="93.16"/>
    <n v="92.129499999999993"/>
    <n v="206.1"/>
  </r>
  <r>
    <x v="11"/>
    <x v="50"/>
    <x v="10"/>
    <m/>
    <n v="0.87195999999999996"/>
    <n v="0.89266000000000001"/>
    <n v="0.88231000000000004"/>
    <n v="207"/>
  </r>
  <r>
    <x v="11"/>
    <x v="50"/>
    <x v="12"/>
    <m/>
    <n v="91.099000000000004"/>
    <n v="94.122"/>
    <n v="92.610500000000002"/>
    <n v="302.3"/>
  </r>
  <r>
    <x v="11"/>
    <x v="50"/>
    <x v="12"/>
    <m/>
    <n v="91.099000000000004"/>
    <n v="94.122"/>
    <n v="92.610500000000002"/>
    <n v="302.3"/>
  </r>
  <r>
    <x v="11"/>
    <x v="50"/>
    <x v="12"/>
    <m/>
    <n v="91.099000000000004"/>
    <n v="94.122"/>
    <n v="92.610500000000002"/>
    <n v="302.3"/>
  </r>
  <r>
    <x v="11"/>
    <x v="50"/>
    <x v="12"/>
    <m/>
    <n v="91.099000000000004"/>
    <n v="94.122"/>
    <n v="92.610500000000002"/>
    <n v="302.3"/>
  </r>
  <r>
    <x v="11"/>
    <x v="50"/>
    <x v="12"/>
    <m/>
    <n v="91.099000000000004"/>
    <n v="94.122"/>
    <n v="92.610500000000002"/>
    <n v="302.3"/>
  </r>
  <r>
    <x v="11"/>
    <x v="50"/>
    <x v="12"/>
    <m/>
    <n v="91.099000000000004"/>
    <n v="94.122"/>
    <n v="92.610500000000002"/>
    <n v="302.3"/>
  </r>
  <r>
    <x v="11"/>
    <x v="50"/>
    <x v="12"/>
    <m/>
    <n v="91.099000000000004"/>
    <n v="94.122"/>
    <n v="92.610500000000002"/>
    <n v="302.3"/>
  </r>
  <r>
    <x v="11"/>
    <x v="50"/>
    <x v="12"/>
    <m/>
    <n v="91.099000000000004"/>
    <n v="94.122"/>
    <n v="92.610500000000002"/>
    <n v="302.3"/>
  </r>
  <r>
    <x v="11"/>
    <x v="50"/>
    <x v="12"/>
    <m/>
    <n v="91.099000000000004"/>
    <n v="94.122"/>
    <n v="92.610500000000002"/>
    <n v="302.3"/>
  </r>
  <r>
    <x v="11"/>
    <x v="50"/>
    <x v="12"/>
    <m/>
    <n v="91.099000000000004"/>
    <n v="94.122"/>
    <n v="92.610500000000002"/>
    <n v="302.3"/>
  </r>
  <r>
    <x v="11"/>
    <x v="50"/>
    <x v="12"/>
    <m/>
    <n v="91.099000000000004"/>
    <n v="94.122"/>
    <n v="92.610500000000002"/>
    <n v="302.3"/>
  </r>
  <r>
    <x v="11"/>
    <x v="50"/>
    <x v="12"/>
    <m/>
    <n v="91.099000000000004"/>
    <n v="94.122"/>
    <n v="92.610500000000002"/>
    <n v="302.3"/>
  </r>
  <r>
    <x v="11"/>
    <x v="50"/>
    <x v="12"/>
    <m/>
    <n v="91.099000000000004"/>
    <n v="94.122"/>
    <n v="92.610500000000002"/>
    <n v="302.3"/>
  </r>
  <r>
    <x v="11"/>
    <x v="50"/>
    <x v="12"/>
    <m/>
    <n v="91.099000000000004"/>
    <n v="94.122"/>
    <n v="92.610500000000002"/>
    <n v="302.3"/>
  </r>
  <r>
    <x v="11"/>
    <x v="50"/>
    <x v="12"/>
    <m/>
    <n v="91.099000000000004"/>
    <n v="94.122"/>
    <n v="92.610500000000002"/>
    <n v="302.3"/>
  </r>
  <r>
    <x v="11"/>
    <x v="50"/>
    <x v="12"/>
    <m/>
    <n v="91.099000000000004"/>
    <n v="94.122"/>
    <n v="92.610500000000002"/>
    <n v="302.3"/>
  </r>
  <r>
    <x v="11"/>
    <x v="50"/>
    <x v="12"/>
    <m/>
    <n v="91.099000000000004"/>
    <n v="94.122"/>
    <n v="92.610500000000002"/>
    <n v="302.3"/>
  </r>
  <r>
    <x v="11"/>
    <x v="50"/>
    <x v="12"/>
    <m/>
    <n v="91.099000000000004"/>
    <n v="94.122"/>
    <n v="92.610500000000002"/>
    <n v="302.3"/>
  </r>
  <r>
    <x v="11"/>
    <x v="50"/>
    <x v="12"/>
    <m/>
    <n v="91.099000000000004"/>
    <n v="94.122"/>
    <n v="92.610500000000002"/>
    <n v="302.3"/>
  </r>
  <r>
    <x v="11"/>
    <x v="50"/>
    <x v="12"/>
    <m/>
    <n v="91.099000000000004"/>
    <n v="94.122"/>
    <n v="92.610500000000002"/>
    <n v="302.3"/>
  </r>
  <r>
    <x v="11"/>
    <x v="50"/>
    <x v="12"/>
    <m/>
    <n v="91.099000000000004"/>
    <n v="94.122"/>
    <n v="92.610500000000002"/>
    <n v="302.3"/>
  </r>
  <r>
    <x v="11"/>
    <x v="50"/>
    <x v="12"/>
    <m/>
    <n v="91.099000000000004"/>
    <n v="94.122"/>
    <n v="92.610500000000002"/>
    <n v="302.3"/>
  </r>
  <r>
    <x v="11"/>
    <x v="50"/>
    <x v="3"/>
    <m/>
    <n v="1.3700699999999999"/>
    <n v="1.39151"/>
    <n v="1.38079"/>
    <n v="214.4"/>
  </r>
  <r>
    <x v="11"/>
    <x v="50"/>
    <x v="3"/>
    <m/>
    <n v="1.3700699999999999"/>
    <n v="1.39151"/>
    <n v="1.38079"/>
    <n v="214.4"/>
  </r>
  <r>
    <x v="11"/>
    <x v="50"/>
    <x v="3"/>
    <m/>
    <n v="1.3700699999999999"/>
    <n v="1.39151"/>
    <n v="1.38079"/>
    <n v="214.4"/>
  </r>
  <r>
    <x v="11"/>
    <x v="50"/>
    <x v="3"/>
    <m/>
    <n v="1.3700699999999999"/>
    <n v="1.39151"/>
    <n v="1.38079"/>
    <n v="214.4"/>
  </r>
  <r>
    <x v="11"/>
    <x v="50"/>
    <x v="3"/>
    <m/>
    <n v="1.3700699999999999"/>
    <n v="1.39151"/>
    <n v="1.38079"/>
    <n v="214.4"/>
  </r>
  <r>
    <x v="11"/>
    <x v="50"/>
    <x v="3"/>
    <m/>
    <n v="1.3700699999999999"/>
    <n v="1.39151"/>
    <n v="1.38079"/>
    <n v="214.4"/>
  </r>
  <r>
    <x v="11"/>
    <x v="50"/>
    <x v="3"/>
    <m/>
    <n v="1.3700699999999999"/>
    <n v="1.39151"/>
    <n v="1.38079"/>
    <n v="214.4"/>
  </r>
  <r>
    <x v="11"/>
    <x v="50"/>
    <x v="3"/>
    <m/>
    <n v="1.3700699999999999"/>
    <n v="1.39151"/>
    <n v="1.38079"/>
    <n v="214.4"/>
  </r>
  <r>
    <x v="11"/>
    <x v="50"/>
    <x v="3"/>
    <m/>
    <n v="1.3700699999999999"/>
    <n v="1.39151"/>
    <n v="1.38079"/>
    <n v="214.4"/>
  </r>
  <r>
    <x v="11"/>
    <x v="50"/>
    <x v="3"/>
    <m/>
    <n v="1.3700699999999999"/>
    <n v="1.39151"/>
    <n v="1.38079"/>
    <n v="214.4"/>
  </r>
  <r>
    <x v="11"/>
    <x v="50"/>
    <x v="0"/>
    <m/>
    <n v="1.9189400000000001"/>
    <n v="1.9743999999999999"/>
    <n v="1.9466699999999999"/>
    <n v="554.6"/>
  </r>
  <r>
    <x v="11"/>
    <x v="50"/>
    <x v="0"/>
    <m/>
    <n v="1.9189400000000001"/>
    <n v="1.9743999999999999"/>
    <n v="1.9466699999999999"/>
    <n v="554.6"/>
  </r>
  <r>
    <x v="11"/>
    <x v="50"/>
    <x v="0"/>
    <m/>
    <n v="1.9189400000000001"/>
    <n v="1.9743999999999999"/>
    <n v="1.9466699999999999"/>
    <n v="554.6"/>
  </r>
  <r>
    <x v="11"/>
    <x v="50"/>
    <x v="0"/>
    <m/>
    <n v="1.9189400000000001"/>
    <n v="1.9743999999999999"/>
    <n v="1.9466699999999999"/>
    <n v="554.6"/>
  </r>
  <r>
    <x v="11"/>
    <x v="50"/>
    <x v="0"/>
    <m/>
    <n v="1.9189400000000001"/>
    <n v="1.9743999999999999"/>
    <n v="1.9466699999999999"/>
    <n v="554.6"/>
  </r>
  <r>
    <x v="11"/>
    <x v="50"/>
    <x v="0"/>
    <m/>
    <n v="1.9189400000000001"/>
    <n v="1.9743999999999999"/>
    <n v="1.9466699999999999"/>
    <n v="554.6"/>
  </r>
  <r>
    <x v="11"/>
    <x v="50"/>
    <x v="0"/>
    <m/>
    <n v="1.9189400000000001"/>
    <n v="1.9743999999999999"/>
    <n v="1.9466699999999999"/>
    <n v="554.6"/>
  </r>
  <r>
    <x v="11"/>
    <x v="50"/>
    <x v="0"/>
    <m/>
    <n v="1.9189400000000001"/>
    <n v="1.9743999999999999"/>
    <n v="1.9466699999999999"/>
    <n v="554.6"/>
  </r>
  <r>
    <x v="11"/>
    <x v="50"/>
    <x v="0"/>
    <m/>
    <n v="1.9189400000000001"/>
    <n v="1.9743999999999999"/>
    <n v="1.9466699999999999"/>
    <n v="554.6"/>
  </r>
  <r>
    <x v="11"/>
    <x v="50"/>
    <x v="0"/>
    <m/>
    <n v="1.9189400000000001"/>
    <n v="1.9743999999999999"/>
    <n v="1.9466699999999999"/>
    <n v="554.6"/>
  </r>
  <r>
    <x v="11"/>
    <x v="50"/>
    <x v="0"/>
    <m/>
    <n v="1.9189400000000001"/>
    <n v="1.9743999999999999"/>
    <n v="1.9466699999999999"/>
    <n v="554.6"/>
  </r>
  <r>
    <x v="11"/>
    <x v="50"/>
    <x v="0"/>
    <m/>
    <n v="1.9189400000000001"/>
    <n v="1.9743999999999999"/>
    <n v="1.9466699999999999"/>
    <n v="554.6"/>
  </r>
  <r>
    <x v="11"/>
    <x v="50"/>
    <x v="0"/>
    <m/>
    <n v="1.9189400000000001"/>
    <n v="1.9743999999999999"/>
    <n v="1.9466699999999999"/>
    <n v="554.6"/>
  </r>
  <r>
    <x v="11"/>
    <x v="50"/>
    <x v="0"/>
    <m/>
    <n v="1.9189400000000001"/>
    <n v="1.9743999999999999"/>
    <n v="1.9466699999999999"/>
    <n v="554.6"/>
  </r>
  <r>
    <x v="11"/>
    <x v="50"/>
    <x v="0"/>
    <m/>
    <n v="1.9189400000000001"/>
    <n v="1.9743999999999999"/>
    <n v="1.9466699999999999"/>
    <n v="554.6"/>
  </r>
  <r>
    <x v="11"/>
    <x v="50"/>
    <x v="0"/>
    <m/>
    <n v="1.9189400000000001"/>
    <n v="1.9743999999999999"/>
    <n v="1.9466699999999999"/>
    <n v="554.6"/>
  </r>
  <r>
    <x v="11"/>
    <x v="50"/>
    <x v="0"/>
    <m/>
    <n v="1.9189400000000001"/>
    <n v="1.9743999999999999"/>
    <n v="1.9466699999999999"/>
    <n v="554.6"/>
  </r>
  <r>
    <x v="11"/>
    <x v="50"/>
    <x v="0"/>
    <m/>
    <n v="1.9189400000000001"/>
    <n v="1.9743999999999999"/>
    <n v="1.9466699999999999"/>
    <n v="554.6"/>
  </r>
  <r>
    <x v="11"/>
    <x v="50"/>
    <x v="0"/>
    <m/>
    <n v="1.9189400000000001"/>
    <n v="1.9743999999999999"/>
    <n v="1.9466699999999999"/>
    <n v="554.6"/>
  </r>
  <r>
    <x v="11"/>
    <x v="50"/>
    <x v="10"/>
    <m/>
    <n v="0.87195999999999996"/>
    <n v="0.89266000000000001"/>
    <n v="0.88231000000000004"/>
    <n v="207"/>
  </r>
  <r>
    <x v="11"/>
    <x v="50"/>
    <x v="10"/>
    <m/>
    <n v="0.87195999999999996"/>
    <n v="0.89266000000000001"/>
    <n v="0.88231000000000004"/>
    <n v="207"/>
  </r>
  <r>
    <x v="11"/>
    <x v="50"/>
    <x v="10"/>
    <m/>
    <n v="0.87195999999999996"/>
    <n v="0.89266000000000001"/>
    <n v="0.88231000000000004"/>
    <n v="207"/>
  </r>
  <r>
    <x v="11"/>
    <x v="50"/>
    <x v="10"/>
    <m/>
    <n v="0.87195999999999996"/>
    <n v="0.89266000000000001"/>
    <n v="0.88231000000000004"/>
    <n v="207"/>
  </r>
  <r>
    <x v="11"/>
    <x v="50"/>
    <x v="10"/>
    <m/>
    <n v="0.87195999999999996"/>
    <n v="0.89266000000000001"/>
    <n v="0.88231000000000004"/>
    <n v="207"/>
  </r>
  <r>
    <x v="11"/>
    <x v="50"/>
    <x v="10"/>
    <m/>
    <n v="0.87195999999999996"/>
    <n v="0.89266000000000001"/>
    <n v="0.88231000000000004"/>
    <n v="207"/>
  </r>
  <r>
    <x v="11"/>
    <x v="50"/>
    <x v="10"/>
    <m/>
    <n v="0.87195999999999996"/>
    <n v="0.89266000000000001"/>
    <n v="0.88231000000000004"/>
    <n v="207"/>
  </r>
  <r>
    <x v="11"/>
    <x v="50"/>
    <x v="10"/>
    <m/>
    <n v="0.87195999999999996"/>
    <n v="0.89266000000000001"/>
    <n v="0.88231000000000004"/>
    <n v="207"/>
  </r>
  <r>
    <x v="11"/>
    <x v="50"/>
    <x v="10"/>
    <m/>
    <n v="0.87195999999999996"/>
    <n v="0.89266000000000001"/>
    <n v="0.88231000000000004"/>
    <n v="207"/>
  </r>
  <r>
    <x v="11"/>
    <x v="50"/>
    <x v="10"/>
    <m/>
    <n v="0.87195999999999996"/>
    <n v="0.89266000000000001"/>
    <n v="0.88231000000000004"/>
    <n v="207"/>
  </r>
  <r>
    <x v="11"/>
    <x v="50"/>
    <x v="10"/>
    <m/>
    <n v="0.87195999999999996"/>
    <n v="0.89266000000000001"/>
    <n v="0.88231000000000004"/>
    <n v="207"/>
  </r>
  <r>
    <x v="11"/>
    <x v="50"/>
    <x v="10"/>
    <m/>
    <n v="0.87195999999999996"/>
    <n v="0.89266000000000001"/>
    <n v="0.88231000000000004"/>
    <n v="207"/>
  </r>
  <r>
    <x v="11"/>
    <x v="50"/>
    <x v="10"/>
    <m/>
    <n v="0.87195999999999996"/>
    <n v="0.89266000000000001"/>
    <n v="0.88231000000000004"/>
    <n v="207"/>
  </r>
  <r>
    <x v="11"/>
    <x v="51"/>
    <x v="10"/>
    <m/>
    <n v="0.87195999999999996"/>
    <n v="0.89266000000000001"/>
    <n v="0.88231000000000004"/>
    <n v="207"/>
  </r>
  <r>
    <x v="11"/>
    <x v="51"/>
    <x v="12"/>
    <m/>
    <n v="91.099000000000004"/>
    <n v="94.122"/>
    <n v="92.610500000000002"/>
    <n v="302.3"/>
  </r>
  <r>
    <x v="11"/>
    <x v="51"/>
    <x v="12"/>
    <m/>
    <n v="91.099000000000004"/>
    <n v="94.122"/>
    <n v="92.610500000000002"/>
    <n v="302.3"/>
  </r>
  <r>
    <x v="11"/>
    <x v="51"/>
    <x v="12"/>
    <m/>
    <n v="91.099000000000004"/>
    <n v="94.122"/>
    <n v="92.610500000000002"/>
    <n v="302.3"/>
  </r>
  <r>
    <x v="11"/>
    <x v="51"/>
    <x v="12"/>
    <m/>
    <n v="91.099000000000004"/>
    <n v="94.122"/>
    <n v="92.610500000000002"/>
    <n v="302.3"/>
  </r>
  <r>
    <x v="11"/>
    <x v="51"/>
    <x v="12"/>
    <m/>
    <n v="91.099000000000004"/>
    <n v="94.122"/>
    <n v="92.610500000000002"/>
    <n v="302.3"/>
  </r>
  <r>
    <x v="11"/>
    <x v="51"/>
    <x v="12"/>
    <m/>
    <n v="91.099000000000004"/>
    <n v="94.122"/>
    <n v="92.610500000000002"/>
    <n v="302.3"/>
  </r>
  <r>
    <x v="11"/>
    <x v="51"/>
    <x v="12"/>
    <m/>
    <n v="91.099000000000004"/>
    <n v="94.122"/>
    <n v="92.610500000000002"/>
    <n v="302.3"/>
  </r>
  <r>
    <x v="11"/>
    <x v="51"/>
    <x v="12"/>
    <m/>
    <n v="91.099000000000004"/>
    <n v="94.122"/>
    <n v="92.610500000000002"/>
    <n v="302.3"/>
  </r>
  <r>
    <x v="11"/>
    <x v="51"/>
    <x v="12"/>
    <m/>
    <n v="91.099000000000004"/>
    <n v="94.122"/>
    <n v="92.610500000000002"/>
    <n v="302.3"/>
  </r>
  <r>
    <x v="11"/>
    <x v="51"/>
    <x v="12"/>
    <m/>
    <n v="91.099000000000004"/>
    <n v="94.122"/>
    <n v="92.610500000000002"/>
    <n v="302.3"/>
  </r>
  <r>
    <x v="11"/>
    <x v="51"/>
    <x v="12"/>
    <m/>
    <n v="91.099000000000004"/>
    <n v="94.122"/>
    <n v="92.610500000000002"/>
    <n v="302.3"/>
  </r>
  <r>
    <x v="11"/>
    <x v="51"/>
    <x v="12"/>
    <m/>
    <n v="91.099000000000004"/>
    <n v="94.122"/>
    <n v="92.610500000000002"/>
    <n v="302.3"/>
  </r>
  <r>
    <x v="11"/>
    <x v="51"/>
    <x v="12"/>
    <m/>
    <n v="91.099000000000004"/>
    <n v="94.122"/>
    <n v="92.610500000000002"/>
    <n v="302.3"/>
  </r>
  <r>
    <x v="11"/>
    <x v="51"/>
    <x v="12"/>
    <m/>
    <n v="91.099000000000004"/>
    <n v="94.122"/>
    <n v="92.610500000000002"/>
    <n v="302.3"/>
  </r>
  <r>
    <x v="11"/>
    <x v="51"/>
    <x v="12"/>
    <m/>
    <n v="91.099000000000004"/>
    <n v="94.122"/>
    <n v="92.610500000000002"/>
    <n v="302.3"/>
  </r>
  <r>
    <x v="11"/>
    <x v="51"/>
    <x v="12"/>
    <m/>
    <n v="91.099000000000004"/>
    <n v="94.122"/>
    <n v="92.610500000000002"/>
    <n v="302.3"/>
  </r>
  <r>
    <x v="11"/>
    <x v="51"/>
    <x v="12"/>
    <m/>
    <n v="91.099000000000004"/>
    <n v="94.122"/>
    <n v="92.610500000000002"/>
    <n v="302.3"/>
  </r>
  <r>
    <x v="11"/>
    <x v="51"/>
    <x v="12"/>
    <m/>
    <n v="91.099000000000004"/>
    <n v="94.122"/>
    <n v="92.610500000000002"/>
    <n v="302.3"/>
  </r>
  <r>
    <x v="11"/>
    <x v="51"/>
    <x v="12"/>
    <m/>
    <n v="91.099000000000004"/>
    <n v="94.122"/>
    <n v="92.610500000000002"/>
    <n v="302.3"/>
  </r>
  <r>
    <x v="11"/>
    <x v="51"/>
    <x v="12"/>
    <m/>
    <n v="91.099000000000004"/>
    <n v="94.122"/>
    <n v="92.610500000000002"/>
    <n v="302.3"/>
  </r>
  <r>
    <x v="11"/>
    <x v="51"/>
    <x v="12"/>
    <m/>
    <n v="91.099000000000004"/>
    <n v="94.122"/>
    <n v="92.610500000000002"/>
    <n v="302.3"/>
  </r>
  <r>
    <x v="11"/>
    <x v="51"/>
    <x v="12"/>
    <m/>
    <n v="91.099000000000004"/>
    <n v="94.122"/>
    <n v="92.610500000000002"/>
    <n v="302.3"/>
  </r>
  <r>
    <x v="11"/>
    <x v="51"/>
    <x v="3"/>
    <m/>
    <n v="1.3700699999999999"/>
    <n v="1.39151"/>
    <n v="1.38079"/>
    <n v="214.4"/>
  </r>
  <r>
    <x v="11"/>
    <x v="51"/>
    <x v="3"/>
    <m/>
    <n v="1.3700699999999999"/>
    <n v="1.39151"/>
    <n v="1.38079"/>
    <n v="214.4"/>
  </r>
  <r>
    <x v="11"/>
    <x v="51"/>
    <x v="3"/>
    <m/>
    <n v="1.3700699999999999"/>
    <n v="1.39151"/>
    <n v="1.38079"/>
    <n v="214.4"/>
  </r>
  <r>
    <x v="11"/>
    <x v="51"/>
    <x v="3"/>
    <m/>
    <n v="1.3700699999999999"/>
    <n v="1.39151"/>
    <n v="1.38079"/>
    <n v="214.4"/>
  </r>
  <r>
    <x v="11"/>
    <x v="51"/>
    <x v="3"/>
    <m/>
    <n v="1.3700699999999999"/>
    <n v="1.39151"/>
    <n v="1.38079"/>
    <n v="214.4"/>
  </r>
  <r>
    <x v="11"/>
    <x v="51"/>
    <x v="3"/>
    <m/>
    <n v="1.3700699999999999"/>
    <n v="1.39151"/>
    <n v="1.38079"/>
    <n v="214.4"/>
  </r>
  <r>
    <x v="11"/>
    <x v="51"/>
    <x v="3"/>
    <m/>
    <n v="1.3700699999999999"/>
    <n v="1.39151"/>
    <n v="1.38079"/>
    <n v="214.4"/>
  </r>
  <r>
    <x v="11"/>
    <x v="51"/>
    <x v="3"/>
    <m/>
    <n v="1.3700699999999999"/>
    <n v="1.39151"/>
    <n v="1.38079"/>
    <n v="214.4"/>
  </r>
  <r>
    <x v="11"/>
    <x v="51"/>
    <x v="3"/>
    <m/>
    <n v="1.3700699999999999"/>
    <n v="1.39151"/>
    <n v="1.38079"/>
    <n v="214.4"/>
  </r>
  <r>
    <x v="11"/>
    <x v="51"/>
    <x v="3"/>
    <m/>
    <n v="1.3700699999999999"/>
    <n v="1.39151"/>
    <n v="1.38079"/>
    <n v="214.4"/>
  </r>
  <r>
    <x v="11"/>
    <x v="51"/>
    <x v="0"/>
    <m/>
    <n v="1.9189400000000001"/>
    <n v="1.9743999999999999"/>
    <n v="1.9466699999999999"/>
    <n v="554.6"/>
  </r>
  <r>
    <x v="11"/>
    <x v="51"/>
    <x v="0"/>
    <m/>
    <n v="1.9189400000000001"/>
    <n v="1.9743999999999999"/>
    <n v="1.9466699999999999"/>
    <n v="554.6"/>
  </r>
  <r>
    <x v="11"/>
    <x v="51"/>
    <x v="0"/>
    <m/>
    <n v="1.9189400000000001"/>
    <n v="1.9743999999999999"/>
    <n v="1.9466699999999999"/>
    <n v="554.6"/>
  </r>
  <r>
    <x v="11"/>
    <x v="51"/>
    <x v="0"/>
    <m/>
    <n v="1.9189400000000001"/>
    <n v="1.9743999999999999"/>
    <n v="1.9466699999999999"/>
    <n v="554.6"/>
  </r>
  <r>
    <x v="11"/>
    <x v="51"/>
    <x v="0"/>
    <m/>
    <n v="1.9189400000000001"/>
    <n v="1.9743999999999999"/>
    <n v="1.9466699999999999"/>
    <n v="554.6"/>
  </r>
  <r>
    <x v="11"/>
    <x v="51"/>
    <x v="0"/>
    <m/>
    <n v="1.9189400000000001"/>
    <n v="1.9743999999999999"/>
    <n v="1.9466699999999999"/>
    <n v="554.6"/>
  </r>
  <r>
    <x v="11"/>
    <x v="51"/>
    <x v="0"/>
    <m/>
    <n v="1.9189400000000001"/>
    <n v="1.9743999999999999"/>
    <n v="1.9466699999999999"/>
    <n v="554.6"/>
  </r>
  <r>
    <x v="11"/>
    <x v="51"/>
    <x v="0"/>
    <m/>
    <n v="1.9189400000000001"/>
    <n v="1.9743999999999999"/>
    <n v="1.9466699999999999"/>
    <n v="554.6"/>
  </r>
  <r>
    <x v="11"/>
    <x v="51"/>
    <x v="0"/>
    <m/>
    <n v="1.9189400000000001"/>
    <n v="1.9743999999999999"/>
    <n v="1.9466699999999999"/>
    <n v="554.6"/>
  </r>
  <r>
    <x v="11"/>
    <x v="51"/>
    <x v="0"/>
    <m/>
    <n v="1.9189400000000001"/>
    <n v="1.9743999999999999"/>
    <n v="1.9466699999999999"/>
    <n v="554.6"/>
  </r>
  <r>
    <x v="11"/>
    <x v="51"/>
    <x v="0"/>
    <m/>
    <n v="1.9189400000000001"/>
    <n v="1.9743999999999999"/>
    <n v="1.9466699999999999"/>
    <n v="554.6"/>
  </r>
  <r>
    <x v="11"/>
    <x v="51"/>
    <x v="0"/>
    <m/>
    <n v="1.9189400000000001"/>
    <n v="1.9743999999999999"/>
    <n v="1.9466699999999999"/>
    <n v="554.6"/>
  </r>
  <r>
    <x v="11"/>
    <x v="51"/>
    <x v="0"/>
    <m/>
    <n v="1.9189400000000001"/>
    <n v="1.9743999999999999"/>
    <n v="1.9466699999999999"/>
    <n v="554.6"/>
  </r>
  <r>
    <x v="11"/>
    <x v="51"/>
    <x v="0"/>
    <m/>
    <n v="1.9189400000000001"/>
    <n v="1.9743999999999999"/>
    <n v="1.9466699999999999"/>
    <n v="554.6"/>
  </r>
  <r>
    <x v="11"/>
    <x v="51"/>
    <x v="0"/>
    <m/>
    <n v="1.9189400000000001"/>
    <n v="1.9743999999999999"/>
    <n v="1.9466699999999999"/>
    <n v="554.6"/>
  </r>
  <r>
    <x v="11"/>
    <x v="51"/>
    <x v="0"/>
    <m/>
    <n v="1.9189400000000001"/>
    <n v="1.9743999999999999"/>
    <n v="1.9466699999999999"/>
    <n v="554.6"/>
  </r>
  <r>
    <x v="11"/>
    <x v="51"/>
    <x v="0"/>
    <m/>
    <n v="1.9189400000000001"/>
    <n v="1.9743999999999999"/>
    <n v="1.9466699999999999"/>
    <n v="554.6"/>
  </r>
  <r>
    <x v="11"/>
    <x v="51"/>
    <x v="0"/>
    <m/>
    <n v="1.9189400000000001"/>
    <n v="1.9743999999999999"/>
    <n v="1.9466699999999999"/>
    <n v="554.6"/>
  </r>
  <r>
    <x v="11"/>
    <x v="51"/>
    <x v="0"/>
    <m/>
    <n v="1.9189400000000001"/>
    <n v="1.9743999999999999"/>
    <n v="1.9466699999999999"/>
    <n v="554.6"/>
  </r>
  <r>
    <x v="11"/>
    <x v="51"/>
    <x v="10"/>
    <m/>
    <n v="0.87195999999999996"/>
    <n v="0.89266000000000001"/>
    <n v="0.88231000000000004"/>
    <n v="207"/>
  </r>
  <r>
    <x v="11"/>
    <x v="51"/>
    <x v="10"/>
    <m/>
    <n v="0.87195999999999996"/>
    <n v="0.89266000000000001"/>
    <n v="0.88231000000000004"/>
    <n v="207"/>
  </r>
  <r>
    <x v="11"/>
    <x v="51"/>
    <x v="10"/>
    <m/>
    <n v="0.87195999999999996"/>
    <n v="0.89266000000000001"/>
    <n v="0.88231000000000004"/>
    <n v="207"/>
  </r>
  <r>
    <x v="11"/>
    <x v="51"/>
    <x v="10"/>
    <m/>
    <n v="0.87195999999999996"/>
    <n v="0.89266000000000001"/>
    <n v="0.88231000000000004"/>
    <n v="207"/>
  </r>
  <r>
    <x v="11"/>
    <x v="51"/>
    <x v="10"/>
    <m/>
    <n v="0.87195999999999996"/>
    <n v="0.89266000000000001"/>
    <n v="0.88231000000000004"/>
    <n v="207"/>
  </r>
  <r>
    <x v="11"/>
    <x v="51"/>
    <x v="10"/>
    <m/>
    <n v="0.87195999999999996"/>
    <n v="0.89266000000000001"/>
    <n v="0.88231000000000004"/>
    <n v="207"/>
  </r>
  <r>
    <x v="11"/>
    <x v="51"/>
    <x v="10"/>
    <m/>
    <n v="0.87195999999999996"/>
    <n v="0.89266000000000001"/>
    <n v="0.88231000000000004"/>
    <n v="207"/>
  </r>
  <r>
    <x v="11"/>
    <x v="51"/>
    <x v="10"/>
    <m/>
    <n v="0.87195999999999996"/>
    <n v="0.89266000000000001"/>
    <n v="0.88231000000000004"/>
    <n v="207"/>
  </r>
  <r>
    <x v="11"/>
    <x v="51"/>
    <x v="10"/>
    <m/>
    <n v="0.87195999999999996"/>
    <n v="0.89266000000000001"/>
    <n v="0.88231000000000004"/>
    <n v="207"/>
  </r>
  <r>
    <x v="11"/>
    <x v="51"/>
    <x v="10"/>
    <m/>
    <n v="0.87195999999999996"/>
    <n v="0.89266000000000001"/>
    <n v="0.88231000000000004"/>
    <n v="207"/>
  </r>
  <r>
    <x v="11"/>
    <x v="51"/>
    <x v="10"/>
    <m/>
    <n v="0.87195999999999996"/>
    <n v="0.89266000000000001"/>
    <n v="0.88231000000000004"/>
    <n v="207"/>
  </r>
  <r>
    <x v="11"/>
    <x v="51"/>
    <x v="10"/>
    <m/>
    <n v="0.87195999999999996"/>
    <n v="0.89266000000000001"/>
    <n v="0.88231000000000004"/>
    <n v="207"/>
  </r>
  <r>
    <x v="11"/>
    <x v="51"/>
    <x v="10"/>
    <m/>
    <n v="0.87195999999999996"/>
    <n v="0.89266000000000001"/>
    <n v="0.88231000000000004"/>
    <n v="207"/>
  </r>
  <r>
    <x v="11"/>
    <x v="53"/>
    <x v="12"/>
    <m/>
    <n v="91.099000000000004"/>
    <n v="94.122"/>
    <n v="92.610500000000002"/>
    <n v="302.3"/>
  </r>
  <r>
    <x v="11"/>
    <x v="53"/>
    <x v="12"/>
    <m/>
    <n v="91.099000000000004"/>
    <n v="94.122"/>
    <n v="92.610500000000002"/>
    <n v="302.3"/>
  </r>
  <r>
    <x v="11"/>
    <x v="53"/>
    <x v="12"/>
    <m/>
    <n v="91.099000000000004"/>
    <n v="94.122"/>
    <n v="92.610500000000002"/>
    <n v="302.3"/>
  </r>
  <r>
    <x v="11"/>
    <x v="53"/>
    <x v="0"/>
    <m/>
    <n v="1.9189400000000001"/>
    <n v="1.9743999999999999"/>
    <n v="1.9466699999999999"/>
    <n v="554.6"/>
  </r>
  <r>
    <x v="11"/>
    <x v="53"/>
    <x v="0"/>
    <m/>
    <n v="1.9189400000000001"/>
    <n v="1.9743999999999999"/>
    <n v="1.9466699999999999"/>
    <n v="554.6"/>
  </r>
  <r>
    <x v="11"/>
    <x v="53"/>
    <x v="10"/>
    <m/>
    <n v="0.87195999999999996"/>
    <n v="0.89266000000000001"/>
    <n v="0.88231000000000004"/>
    <n v="207"/>
  </r>
  <r>
    <x v="11"/>
    <x v="54"/>
    <x v="12"/>
    <m/>
    <n v="91.099000000000004"/>
    <n v="94.122"/>
    <n v="92.610500000000002"/>
    <n v="302.3"/>
  </r>
  <r>
    <x v="11"/>
    <x v="54"/>
    <x v="12"/>
    <m/>
    <n v="91.099000000000004"/>
    <n v="94.122"/>
    <n v="92.610500000000002"/>
    <n v="302.3"/>
  </r>
  <r>
    <x v="11"/>
    <x v="54"/>
    <x v="12"/>
    <m/>
    <n v="91.099000000000004"/>
    <n v="94.122"/>
    <n v="92.610500000000002"/>
    <n v="302.3"/>
  </r>
  <r>
    <x v="11"/>
    <x v="54"/>
    <x v="12"/>
    <m/>
    <n v="91.099000000000004"/>
    <n v="94.122"/>
    <n v="92.610500000000002"/>
    <n v="302.3"/>
  </r>
  <r>
    <x v="11"/>
    <x v="54"/>
    <x v="12"/>
    <m/>
    <n v="91.099000000000004"/>
    <n v="94.122"/>
    <n v="92.610500000000002"/>
    <n v="302.3"/>
  </r>
  <r>
    <x v="11"/>
    <x v="54"/>
    <x v="12"/>
    <m/>
    <n v="91.099000000000004"/>
    <n v="94.122"/>
    <n v="92.610500000000002"/>
    <n v="302.3"/>
  </r>
  <r>
    <x v="11"/>
    <x v="54"/>
    <x v="12"/>
    <m/>
    <n v="91.099000000000004"/>
    <n v="94.122"/>
    <n v="92.610500000000002"/>
    <n v="302.3"/>
  </r>
  <r>
    <x v="11"/>
    <x v="54"/>
    <x v="12"/>
    <m/>
    <n v="91.099000000000004"/>
    <n v="94.122"/>
    <n v="92.610500000000002"/>
    <n v="302.3"/>
  </r>
  <r>
    <x v="11"/>
    <x v="54"/>
    <x v="12"/>
    <m/>
    <n v="91.099000000000004"/>
    <n v="94.122"/>
    <n v="92.610500000000002"/>
    <n v="302.3"/>
  </r>
  <r>
    <x v="11"/>
    <x v="54"/>
    <x v="3"/>
    <m/>
    <n v="1.3700699999999999"/>
    <n v="1.39151"/>
    <n v="1.38079"/>
    <n v="214.4"/>
  </r>
  <r>
    <x v="11"/>
    <x v="54"/>
    <x v="3"/>
    <m/>
    <n v="1.3700699999999999"/>
    <n v="1.39151"/>
    <n v="1.38079"/>
    <n v="214.4"/>
  </r>
  <r>
    <x v="11"/>
    <x v="54"/>
    <x v="3"/>
    <m/>
    <n v="1.3700699999999999"/>
    <n v="1.39151"/>
    <n v="1.38079"/>
    <n v="214.4"/>
  </r>
  <r>
    <x v="11"/>
    <x v="54"/>
    <x v="3"/>
    <m/>
    <n v="1.3700699999999999"/>
    <n v="1.39151"/>
    <n v="1.38079"/>
    <n v="214.4"/>
  </r>
  <r>
    <x v="11"/>
    <x v="54"/>
    <x v="3"/>
    <m/>
    <n v="1.3700699999999999"/>
    <n v="1.39151"/>
    <n v="1.38079"/>
    <n v="214.4"/>
  </r>
  <r>
    <x v="11"/>
    <x v="54"/>
    <x v="0"/>
    <m/>
    <n v="1.9189400000000001"/>
    <n v="1.9743999999999999"/>
    <n v="1.9466699999999999"/>
    <n v="554.6"/>
  </r>
  <r>
    <x v="11"/>
    <x v="54"/>
    <x v="0"/>
    <m/>
    <n v="1.9189400000000001"/>
    <n v="1.9743999999999999"/>
    <n v="1.9466699999999999"/>
    <n v="554.6"/>
  </r>
  <r>
    <x v="11"/>
    <x v="54"/>
    <x v="0"/>
    <m/>
    <n v="1.9189400000000001"/>
    <n v="1.9743999999999999"/>
    <n v="1.9466699999999999"/>
    <n v="554.6"/>
  </r>
  <r>
    <x v="11"/>
    <x v="54"/>
    <x v="0"/>
    <m/>
    <n v="1.9189400000000001"/>
    <n v="1.9743999999999999"/>
    <n v="1.9466699999999999"/>
    <n v="554.6"/>
  </r>
  <r>
    <x v="11"/>
    <x v="54"/>
    <x v="0"/>
    <m/>
    <n v="1.9189400000000001"/>
    <n v="1.9743999999999999"/>
    <n v="1.9466699999999999"/>
    <n v="554.6"/>
  </r>
  <r>
    <x v="11"/>
    <x v="54"/>
    <x v="0"/>
    <m/>
    <n v="1.9189400000000001"/>
    <n v="1.9743999999999999"/>
    <n v="1.9466699999999999"/>
    <n v="554.6"/>
  </r>
  <r>
    <x v="11"/>
    <x v="54"/>
    <x v="0"/>
    <m/>
    <n v="1.9189400000000001"/>
    <n v="1.9743999999999999"/>
    <n v="1.9466699999999999"/>
    <n v="554.6"/>
  </r>
  <r>
    <x v="11"/>
    <x v="54"/>
    <x v="0"/>
    <m/>
    <n v="1.9189400000000001"/>
    <n v="1.9743999999999999"/>
    <n v="1.9466699999999999"/>
    <n v="554.6"/>
  </r>
  <r>
    <x v="11"/>
    <x v="54"/>
    <x v="0"/>
    <m/>
    <n v="1.9189400000000001"/>
    <n v="1.9743999999999999"/>
    <n v="1.9466699999999999"/>
    <n v="554.6"/>
  </r>
  <r>
    <x v="11"/>
    <x v="54"/>
    <x v="10"/>
    <m/>
    <n v="0.87195999999999996"/>
    <n v="0.89266000000000001"/>
    <n v="0.88231000000000004"/>
    <n v="207"/>
  </r>
  <r>
    <x v="11"/>
    <x v="54"/>
    <x v="10"/>
    <m/>
    <n v="0.87195999999999996"/>
    <n v="0.89266000000000001"/>
    <n v="0.88231000000000004"/>
    <n v="207"/>
  </r>
  <r>
    <x v="11"/>
    <x v="54"/>
    <x v="10"/>
    <m/>
    <n v="0.87195999999999996"/>
    <n v="0.89266000000000001"/>
    <n v="0.88231000000000004"/>
    <n v="207"/>
  </r>
  <r>
    <x v="11"/>
    <x v="54"/>
    <x v="10"/>
    <m/>
    <n v="0.87195999999999996"/>
    <n v="0.89266000000000001"/>
    <n v="0.88231000000000004"/>
    <n v="207"/>
  </r>
  <r>
    <x v="11"/>
    <x v="54"/>
    <x v="10"/>
    <m/>
    <n v="0.87195999999999996"/>
    <n v="0.89266000000000001"/>
    <n v="0.88231000000000004"/>
    <n v="207"/>
  </r>
  <r>
    <x v="11"/>
    <x v="54"/>
    <x v="10"/>
    <m/>
    <n v="0.87195999999999996"/>
    <n v="0.89266000000000001"/>
    <n v="0.88231000000000004"/>
    <n v="207"/>
  </r>
  <r>
    <x v="11"/>
    <x v="55"/>
    <x v="12"/>
    <m/>
    <n v="91.099000000000004"/>
    <n v="94.122"/>
    <n v="92.610500000000002"/>
    <n v="302.3"/>
  </r>
  <r>
    <x v="11"/>
    <x v="55"/>
    <x v="12"/>
    <m/>
    <n v="91.099000000000004"/>
    <n v="94.122"/>
    <n v="92.610500000000002"/>
    <n v="302.3"/>
  </r>
  <r>
    <x v="11"/>
    <x v="55"/>
    <x v="12"/>
    <m/>
    <n v="91.099000000000004"/>
    <n v="94.122"/>
    <n v="92.610500000000002"/>
    <n v="302.3"/>
  </r>
  <r>
    <x v="11"/>
    <x v="55"/>
    <x v="12"/>
    <m/>
    <n v="91.099000000000004"/>
    <n v="94.122"/>
    <n v="92.610500000000002"/>
    <n v="302.3"/>
  </r>
  <r>
    <x v="11"/>
    <x v="55"/>
    <x v="12"/>
    <m/>
    <n v="91.099000000000004"/>
    <n v="94.122"/>
    <n v="92.610500000000002"/>
    <n v="302.3"/>
  </r>
  <r>
    <x v="11"/>
    <x v="55"/>
    <x v="12"/>
    <m/>
    <n v="91.099000000000004"/>
    <n v="94.122"/>
    <n v="92.610500000000002"/>
    <n v="302.3"/>
  </r>
  <r>
    <x v="11"/>
    <x v="55"/>
    <x v="12"/>
    <m/>
    <n v="91.099000000000004"/>
    <n v="94.122"/>
    <n v="92.610500000000002"/>
    <n v="302.3"/>
  </r>
  <r>
    <x v="11"/>
    <x v="55"/>
    <x v="12"/>
    <m/>
    <n v="91.099000000000004"/>
    <n v="94.122"/>
    <n v="92.610500000000002"/>
    <n v="302.3"/>
  </r>
  <r>
    <x v="11"/>
    <x v="55"/>
    <x v="12"/>
    <m/>
    <n v="91.099000000000004"/>
    <n v="94.122"/>
    <n v="92.610500000000002"/>
    <n v="302.3"/>
  </r>
  <r>
    <x v="11"/>
    <x v="55"/>
    <x v="12"/>
    <m/>
    <n v="91.099000000000004"/>
    <n v="94.122"/>
    <n v="92.610500000000002"/>
    <n v="302.3"/>
  </r>
  <r>
    <x v="11"/>
    <x v="55"/>
    <x v="3"/>
    <m/>
    <n v="1.3700699999999999"/>
    <n v="1.39151"/>
    <n v="1.38079"/>
    <n v="214.4"/>
  </r>
  <r>
    <x v="11"/>
    <x v="55"/>
    <x v="3"/>
    <m/>
    <n v="1.3700699999999999"/>
    <n v="1.39151"/>
    <n v="1.38079"/>
    <n v="214.4"/>
  </r>
  <r>
    <x v="11"/>
    <x v="55"/>
    <x v="3"/>
    <m/>
    <n v="1.3700699999999999"/>
    <n v="1.39151"/>
    <n v="1.38079"/>
    <n v="214.4"/>
  </r>
  <r>
    <x v="11"/>
    <x v="55"/>
    <x v="3"/>
    <m/>
    <n v="1.3700699999999999"/>
    <n v="1.39151"/>
    <n v="1.38079"/>
    <n v="214.4"/>
  </r>
  <r>
    <x v="11"/>
    <x v="55"/>
    <x v="3"/>
    <m/>
    <n v="1.3700699999999999"/>
    <n v="1.39151"/>
    <n v="1.38079"/>
    <n v="214.4"/>
  </r>
  <r>
    <x v="11"/>
    <x v="55"/>
    <x v="3"/>
    <m/>
    <n v="1.3700699999999999"/>
    <n v="1.39151"/>
    <n v="1.38079"/>
    <n v="214.4"/>
  </r>
  <r>
    <x v="11"/>
    <x v="55"/>
    <x v="3"/>
    <m/>
    <n v="1.3700699999999999"/>
    <n v="1.39151"/>
    <n v="1.38079"/>
    <n v="214.4"/>
  </r>
  <r>
    <x v="11"/>
    <x v="55"/>
    <x v="3"/>
    <m/>
    <n v="1.3700699999999999"/>
    <n v="1.39151"/>
    <n v="1.38079"/>
    <n v="214.4"/>
  </r>
  <r>
    <x v="11"/>
    <x v="55"/>
    <x v="3"/>
    <m/>
    <n v="1.3700699999999999"/>
    <n v="1.39151"/>
    <n v="1.38079"/>
    <n v="214.4"/>
  </r>
  <r>
    <x v="11"/>
    <x v="55"/>
    <x v="0"/>
    <m/>
    <n v="1.9189400000000001"/>
    <n v="1.9743999999999999"/>
    <n v="1.9466699999999999"/>
    <n v="554.6"/>
  </r>
  <r>
    <x v="11"/>
    <x v="55"/>
    <x v="0"/>
    <m/>
    <n v="1.9189400000000001"/>
    <n v="1.9743999999999999"/>
    <n v="1.9466699999999999"/>
    <n v="554.6"/>
  </r>
  <r>
    <x v="11"/>
    <x v="55"/>
    <x v="0"/>
    <m/>
    <n v="1.9189400000000001"/>
    <n v="1.9743999999999999"/>
    <n v="1.9466699999999999"/>
    <n v="554.6"/>
  </r>
  <r>
    <x v="11"/>
    <x v="55"/>
    <x v="0"/>
    <m/>
    <n v="1.9189400000000001"/>
    <n v="1.9743999999999999"/>
    <n v="1.9466699999999999"/>
    <n v="554.6"/>
  </r>
  <r>
    <x v="11"/>
    <x v="55"/>
    <x v="0"/>
    <m/>
    <n v="1.9189400000000001"/>
    <n v="1.9743999999999999"/>
    <n v="1.9466699999999999"/>
    <n v="554.6"/>
  </r>
  <r>
    <x v="11"/>
    <x v="55"/>
    <x v="0"/>
    <m/>
    <n v="1.9189400000000001"/>
    <n v="1.9743999999999999"/>
    <n v="1.9466699999999999"/>
    <n v="554.6"/>
  </r>
  <r>
    <x v="11"/>
    <x v="55"/>
    <x v="0"/>
    <m/>
    <n v="1.9189400000000001"/>
    <n v="1.9743999999999999"/>
    <n v="1.9466699999999999"/>
    <n v="554.6"/>
  </r>
  <r>
    <x v="11"/>
    <x v="55"/>
    <x v="0"/>
    <m/>
    <n v="1.9189400000000001"/>
    <n v="1.9743999999999999"/>
    <n v="1.9466699999999999"/>
    <n v="554.6"/>
  </r>
  <r>
    <x v="11"/>
    <x v="55"/>
    <x v="0"/>
    <m/>
    <n v="1.9189400000000001"/>
    <n v="1.9743999999999999"/>
    <n v="1.9466699999999999"/>
    <n v="554.6"/>
  </r>
  <r>
    <x v="11"/>
    <x v="55"/>
    <x v="0"/>
    <m/>
    <n v="1.9189400000000001"/>
    <n v="1.9743999999999999"/>
    <n v="1.9466699999999999"/>
    <n v="554.6"/>
  </r>
  <r>
    <x v="11"/>
    <x v="55"/>
    <x v="0"/>
    <m/>
    <n v="1.9189400000000001"/>
    <n v="1.9743999999999999"/>
    <n v="1.9466699999999999"/>
    <n v="554.6"/>
  </r>
  <r>
    <x v="11"/>
    <x v="55"/>
    <x v="0"/>
    <m/>
    <n v="1.9189400000000001"/>
    <n v="1.9743999999999999"/>
    <n v="1.9466699999999999"/>
    <n v="554.6"/>
  </r>
  <r>
    <x v="11"/>
    <x v="55"/>
    <x v="10"/>
    <m/>
    <n v="0.87195999999999996"/>
    <n v="0.89266000000000001"/>
    <n v="0.88231000000000004"/>
    <n v="207"/>
  </r>
  <r>
    <x v="11"/>
    <x v="55"/>
    <x v="10"/>
    <m/>
    <n v="0.87195999999999996"/>
    <n v="0.89266000000000001"/>
    <n v="0.88231000000000004"/>
    <n v="207"/>
  </r>
  <r>
    <x v="11"/>
    <x v="55"/>
    <x v="10"/>
    <m/>
    <n v="0.87195999999999996"/>
    <n v="0.89266000000000001"/>
    <n v="0.88231000000000004"/>
    <n v="207"/>
  </r>
  <r>
    <x v="11"/>
    <x v="55"/>
    <x v="10"/>
    <m/>
    <n v="0.87195999999999996"/>
    <n v="0.89266000000000001"/>
    <n v="0.88231000000000004"/>
    <n v="207"/>
  </r>
  <r>
    <x v="11"/>
    <x v="55"/>
    <x v="10"/>
    <m/>
    <n v="0.87195999999999996"/>
    <n v="0.89266000000000001"/>
    <n v="0.88231000000000004"/>
    <n v="207"/>
  </r>
  <r>
    <x v="11"/>
    <x v="55"/>
    <x v="10"/>
    <m/>
    <n v="0.87195999999999996"/>
    <n v="0.89266000000000001"/>
    <n v="0.88231000000000004"/>
    <n v="207"/>
  </r>
  <r>
    <x v="11"/>
    <x v="55"/>
    <x v="10"/>
    <m/>
    <n v="0.87195999999999996"/>
    <n v="0.89266000000000001"/>
    <n v="0.88231000000000004"/>
    <n v="207"/>
  </r>
  <r>
    <x v="11"/>
    <x v="55"/>
    <x v="10"/>
    <m/>
    <n v="0.87195999999999996"/>
    <n v="0.89266000000000001"/>
    <n v="0.88231000000000004"/>
    <n v="207"/>
  </r>
  <r>
    <x v="11"/>
    <x v="55"/>
    <x v="10"/>
    <m/>
    <n v="0.87195999999999996"/>
    <n v="0.89266000000000001"/>
    <n v="0.88231000000000004"/>
    <n v="207"/>
  </r>
  <r>
    <x v="11"/>
    <x v="55"/>
    <x v="10"/>
    <m/>
    <n v="0.87195999999999996"/>
    <n v="0.89266000000000001"/>
    <n v="0.88231000000000004"/>
    <n v="207"/>
  </r>
  <r>
    <x v="11"/>
    <x v="56"/>
    <x v="12"/>
    <m/>
    <n v="91.099000000000004"/>
    <n v="94.122"/>
    <n v="92.610500000000002"/>
    <n v="302.3"/>
  </r>
  <r>
    <x v="11"/>
    <x v="56"/>
    <x v="12"/>
    <m/>
    <n v="91.099000000000004"/>
    <n v="94.122"/>
    <n v="92.610500000000002"/>
    <n v="302.3"/>
  </r>
  <r>
    <x v="11"/>
    <x v="56"/>
    <x v="12"/>
    <m/>
    <n v="91.099000000000004"/>
    <n v="94.122"/>
    <n v="92.610500000000002"/>
    <n v="302.3"/>
  </r>
  <r>
    <x v="11"/>
    <x v="56"/>
    <x v="12"/>
    <m/>
    <n v="91.099000000000004"/>
    <n v="94.122"/>
    <n v="92.610500000000002"/>
    <n v="302.3"/>
  </r>
  <r>
    <x v="11"/>
    <x v="56"/>
    <x v="12"/>
    <m/>
    <n v="91.099000000000004"/>
    <n v="94.122"/>
    <n v="92.610500000000002"/>
    <n v="302.3"/>
  </r>
  <r>
    <x v="11"/>
    <x v="56"/>
    <x v="12"/>
    <m/>
    <n v="91.099000000000004"/>
    <n v="94.122"/>
    <n v="92.610500000000002"/>
    <n v="302.3"/>
  </r>
  <r>
    <x v="11"/>
    <x v="56"/>
    <x v="12"/>
    <m/>
    <n v="91.099000000000004"/>
    <n v="94.122"/>
    <n v="92.610500000000002"/>
    <n v="302.3"/>
  </r>
  <r>
    <x v="11"/>
    <x v="56"/>
    <x v="12"/>
    <m/>
    <n v="91.099000000000004"/>
    <n v="94.122"/>
    <n v="92.610500000000002"/>
    <n v="302.3"/>
  </r>
  <r>
    <x v="11"/>
    <x v="56"/>
    <x v="12"/>
    <m/>
    <n v="91.099000000000004"/>
    <n v="94.122"/>
    <n v="92.610500000000002"/>
    <n v="302.3"/>
  </r>
  <r>
    <x v="11"/>
    <x v="56"/>
    <x v="12"/>
    <m/>
    <n v="91.099000000000004"/>
    <n v="94.122"/>
    <n v="92.610500000000002"/>
    <n v="302.3"/>
  </r>
  <r>
    <x v="11"/>
    <x v="56"/>
    <x v="3"/>
    <m/>
    <n v="1.3692599999999999"/>
    <n v="1.39151"/>
    <n v="1.380385"/>
    <n v="222.5"/>
  </r>
  <r>
    <x v="11"/>
    <x v="56"/>
    <x v="3"/>
    <m/>
    <n v="1.3692599999999999"/>
    <n v="1.39151"/>
    <n v="1.380385"/>
    <n v="222.5"/>
  </r>
  <r>
    <x v="11"/>
    <x v="56"/>
    <x v="3"/>
    <m/>
    <n v="1.3692599999999999"/>
    <n v="1.39151"/>
    <n v="1.380385"/>
    <n v="222.5"/>
  </r>
  <r>
    <x v="11"/>
    <x v="56"/>
    <x v="3"/>
    <m/>
    <n v="1.3692599999999999"/>
    <n v="1.39151"/>
    <n v="1.380385"/>
    <n v="222.5"/>
  </r>
  <r>
    <x v="11"/>
    <x v="56"/>
    <x v="3"/>
    <m/>
    <n v="1.3692599999999999"/>
    <n v="1.39151"/>
    <n v="1.380385"/>
    <n v="222.5"/>
  </r>
  <r>
    <x v="11"/>
    <x v="56"/>
    <x v="3"/>
    <m/>
    <n v="1.3692599999999999"/>
    <n v="1.39151"/>
    <n v="1.380385"/>
    <n v="222.5"/>
  </r>
  <r>
    <x v="11"/>
    <x v="56"/>
    <x v="3"/>
    <m/>
    <n v="1.3692599999999999"/>
    <n v="1.39151"/>
    <n v="1.380385"/>
    <n v="222.5"/>
  </r>
  <r>
    <x v="11"/>
    <x v="56"/>
    <x v="3"/>
    <m/>
    <n v="1.3692599999999999"/>
    <n v="1.39151"/>
    <n v="1.380385"/>
    <n v="222.5"/>
  </r>
  <r>
    <x v="11"/>
    <x v="56"/>
    <x v="3"/>
    <m/>
    <n v="1.3692599999999999"/>
    <n v="1.39151"/>
    <n v="1.380385"/>
    <n v="222.5"/>
  </r>
  <r>
    <x v="11"/>
    <x v="56"/>
    <x v="3"/>
    <m/>
    <n v="1.3692599999999999"/>
    <n v="1.39151"/>
    <n v="1.380385"/>
    <n v="222.5"/>
  </r>
  <r>
    <x v="11"/>
    <x v="56"/>
    <x v="3"/>
    <m/>
    <n v="1.3692599999999999"/>
    <n v="1.39151"/>
    <n v="1.380385"/>
    <n v="222.5"/>
  </r>
  <r>
    <x v="11"/>
    <x v="56"/>
    <x v="3"/>
    <m/>
    <n v="1.3692599999999999"/>
    <n v="1.39151"/>
    <n v="1.380385"/>
    <n v="222.5"/>
  </r>
  <r>
    <x v="11"/>
    <x v="56"/>
    <x v="0"/>
    <m/>
    <n v="1.9189400000000001"/>
    <n v="1.9743999999999999"/>
    <n v="1.9466699999999999"/>
    <n v="554.6"/>
  </r>
  <r>
    <x v="11"/>
    <x v="56"/>
    <x v="0"/>
    <m/>
    <n v="1.9189400000000001"/>
    <n v="1.9743999999999999"/>
    <n v="1.9466699999999999"/>
    <n v="554.6"/>
  </r>
  <r>
    <x v="11"/>
    <x v="56"/>
    <x v="0"/>
    <m/>
    <n v="1.9189400000000001"/>
    <n v="1.9743999999999999"/>
    <n v="1.9466699999999999"/>
    <n v="554.6"/>
  </r>
  <r>
    <x v="11"/>
    <x v="56"/>
    <x v="0"/>
    <m/>
    <n v="1.9189400000000001"/>
    <n v="1.9743999999999999"/>
    <n v="1.9466699999999999"/>
    <n v="554.6"/>
  </r>
  <r>
    <x v="11"/>
    <x v="56"/>
    <x v="0"/>
    <m/>
    <n v="1.9189400000000001"/>
    <n v="1.9743999999999999"/>
    <n v="1.9466699999999999"/>
    <n v="554.6"/>
  </r>
  <r>
    <x v="11"/>
    <x v="56"/>
    <x v="0"/>
    <m/>
    <n v="1.9189400000000001"/>
    <n v="1.9743999999999999"/>
    <n v="1.9466699999999999"/>
    <n v="554.6"/>
  </r>
  <r>
    <x v="11"/>
    <x v="56"/>
    <x v="0"/>
    <m/>
    <n v="1.9189400000000001"/>
    <n v="1.9743999999999999"/>
    <n v="1.9466699999999999"/>
    <n v="554.6"/>
  </r>
  <r>
    <x v="11"/>
    <x v="56"/>
    <x v="0"/>
    <m/>
    <n v="1.9189400000000001"/>
    <n v="1.9743999999999999"/>
    <n v="1.9466699999999999"/>
    <n v="554.6"/>
  </r>
  <r>
    <x v="11"/>
    <x v="56"/>
    <x v="0"/>
    <m/>
    <n v="1.9189400000000001"/>
    <n v="1.9743999999999999"/>
    <n v="1.9466699999999999"/>
    <n v="554.6"/>
  </r>
  <r>
    <x v="11"/>
    <x v="56"/>
    <x v="0"/>
    <m/>
    <n v="1.9189400000000001"/>
    <n v="1.9743999999999999"/>
    <n v="1.9466699999999999"/>
    <n v="554.6"/>
  </r>
  <r>
    <x v="11"/>
    <x v="56"/>
    <x v="0"/>
    <m/>
    <n v="1.9189400000000001"/>
    <n v="1.9743999999999999"/>
    <n v="1.9466699999999999"/>
    <n v="554.6"/>
  </r>
  <r>
    <x v="11"/>
    <x v="56"/>
    <x v="0"/>
    <m/>
    <n v="1.9189400000000001"/>
    <n v="1.9743999999999999"/>
    <n v="1.9466699999999999"/>
    <n v="554.6"/>
  </r>
  <r>
    <x v="11"/>
    <x v="56"/>
    <x v="0"/>
    <m/>
    <n v="1.9189400000000001"/>
    <n v="1.9743999999999999"/>
    <n v="1.9466699999999999"/>
    <n v="554.6"/>
  </r>
  <r>
    <x v="11"/>
    <x v="56"/>
    <x v="10"/>
    <m/>
    <n v="0.87195999999999996"/>
    <n v="0.89295000000000002"/>
    <n v="0.88245499999999999"/>
    <n v="209.9"/>
  </r>
  <r>
    <x v="11"/>
    <x v="56"/>
    <x v="10"/>
    <m/>
    <n v="0.87195999999999996"/>
    <n v="0.89295000000000002"/>
    <n v="0.88245499999999999"/>
    <n v="209.9"/>
  </r>
  <r>
    <x v="11"/>
    <x v="56"/>
    <x v="10"/>
    <m/>
    <n v="0.87195999999999996"/>
    <n v="0.89295000000000002"/>
    <n v="0.88245499999999999"/>
    <n v="209.9"/>
  </r>
  <r>
    <x v="11"/>
    <x v="56"/>
    <x v="10"/>
    <m/>
    <n v="0.87195999999999996"/>
    <n v="0.89295000000000002"/>
    <n v="0.88245499999999999"/>
    <n v="209.9"/>
  </r>
  <r>
    <x v="11"/>
    <x v="56"/>
    <x v="10"/>
    <m/>
    <n v="0.87195999999999996"/>
    <n v="0.89295000000000002"/>
    <n v="0.88245499999999999"/>
    <n v="209.9"/>
  </r>
  <r>
    <x v="11"/>
    <x v="56"/>
    <x v="10"/>
    <m/>
    <n v="0.87195999999999996"/>
    <n v="0.89295000000000002"/>
    <n v="0.88245499999999999"/>
    <n v="209.9"/>
  </r>
  <r>
    <x v="11"/>
    <x v="56"/>
    <x v="10"/>
    <m/>
    <n v="0.87195999999999996"/>
    <n v="0.89295000000000002"/>
    <n v="0.88245499999999999"/>
    <n v="209.9"/>
  </r>
  <r>
    <x v="11"/>
    <x v="56"/>
    <x v="10"/>
    <m/>
    <n v="0.87195999999999996"/>
    <n v="0.89295000000000002"/>
    <n v="0.88245499999999999"/>
    <n v="209.9"/>
  </r>
  <r>
    <x v="11"/>
    <x v="56"/>
    <x v="10"/>
    <m/>
    <n v="0.87195999999999996"/>
    <n v="0.89295000000000002"/>
    <n v="0.88245499999999999"/>
    <n v="209.9"/>
  </r>
  <r>
    <x v="11"/>
    <x v="56"/>
    <x v="10"/>
    <m/>
    <n v="0.87195999999999996"/>
    <n v="0.89295000000000002"/>
    <n v="0.88245499999999999"/>
    <n v="209.9"/>
  </r>
  <r>
    <x v="11"/>
    <x v="56"/>
    <x v="10"/>
    <m/>
    <n v="0.87195999999999996"/>
    <n v="0.89295000000000002"/>
    <n v="0.88245499999999999"/>
    <n v="209.9"/>
  </r>
  <r>
    <x v="11"/>
    <x v="56"/>
    <x v="10"/>
    <m/>
    <n v="0.87195999999999996"/>
    <n v="0.89295000000000002"/>
    <n v="0.88245499999999999"/>
    <n v="209.9"/>
  </r>
  <r>
    <x v="11"/>
    <x v="56"/>
    <x v="10"/>
    <m/>
    <n v="0.87195999999999996"/>
    <n v="0.89295000000000002"/>
    <n v="0.88245499999999999"/>
    <n v="209.9"/>
  </r>
  <r>
    <x v="11"/>
    <x v="56"/>
    <x v="10"/>
    <m/>
    <n v="0.87195999999999996"/>
    <n v="0.89295000000000002"/>
    <n v="0.88245499999999999"/>
    <n v="209.9"/>
  </r>
  <r>
    <x v="11"/>
    <x v="57"/>
    <x v="12"/>
    <m/>
    <n v="91.099000000000004"/>
    <n v="94.122"/>
    <n v="92.610500000000002"/>
    <n v="302.3"/>
  </r>
  <r>
    <x v="11"/>
    <x v="57"/>
    <x v="12"/>
    <m/>
    <n v="91.099000000000004"/>
    <n v="94.122"/>
    <n v="92.610500000000002"/>
    <n v="302.3"/>
  </r>
  <r>
    <x v="11"/>
    <x v="57"/>
    <x v="12"/>
    <m/>
    <n v="91.099000000000004"/>
    <n v="94.122"/>
    <n v="92.610500000000002"/>
    <n v="302.3"/>
  </r>
  <r>
    <x v="11"/>
    <x v="57"/>
    <x v="12"/>
    <m/>
    <n v="91.099000000000004"/>
    <n v="94.122"/>
    <n v="92.610500000000002"/>
    <n v="302.3"/>
  </r>
  <r>
    <x v="11"/>
    <x v="57"/>
    <x v="12"/>
    <m/>
    <n v="91.099000000000004"/>
    <n v="94.122"/>
    <n v="92.610500000000002"/>
    <n v="302.3"/>
  </r>
  <r>
    <x v="11"/>
    <x v="57"/>
    <x v="12"/>
    <m/>
    <n v="91.099000000000004"/>
    <n v="94.122"/>
    <n v="92.610500000000002"/>
    <n v="302.3"/>
  </r>
  <r>
    <x v="11"/>
    <x v="57"/>
    <x v="12"/>
    <m/>
    <n v="91.099000000000004"/>
    <n v="94.122"/>
    <n v="92.610500000000002"/>
    <n v="302.3"/>
  </r>
  <r>
    <x v="11"/>
    <x v="57"/>
    <x v="12"/>
    <m/>
    <n v="91.099000000000004"/>
    <n v="94.122"/>
    <n v="92.610500000000002"/>
    <n v="302.3"/>
  </r>
  <r>
    <x v="11"/>
    <x v="57"/>
    <x v="12"/>
    <m/>
    <n v="91.099000000000004"/>
    <n v="94.122"/>
    <n v="92.610500000000002"/>
    <n v="302.3"/>
  </r>
  <r>
    <x v="11"/>
    <x v="57"/>
    <x v="12"/>
    <m/>
    <n v="91.099000000000004"/>
    <n v="94.122"/>
    <n v="92.610500000000002"/>
    <n v="302.3"/>
  </r>
  <r>
    <x v="11"/>
    <x v="57"/>
    <x v="3"/>
    <m/>
    <n v="1.3627100000000001"/>
    <n v="1.39151"/>
    <n v="1.3771100000000001"/>
    <n v="288"/>
  </r>
  <r>
    <x v="11"/>
    <x v="57"/>
    <x v="3"/>
    <m/>
    <n v="1.3627100000000001"/>
    <n v="1.39151"/>
    <n v="1.3771100000000001"/>
    <n v="288"/>
  </r>
  <r>
    <x v="11"/>
    <x v="57"/>
    <x v="3"/>
    <m/>
    <n v="1.3627100000000001"/>
    <n v="1.39151"/>
    <n v="1.3771100000000001"/>
    <n v="288"/>
  </r>
  <r>
    <x v="11"/>
    <x v="57"/>
    <x v="3"/>
    <m/>
    <n v="1.3627100000000001"/>
    <n v="1.39151"/>
    <n v="1.3771100000000001"/>
    <n v="288"/>
  </r>
  <r>
    <x v="11"/>
    <x v="57"/>
    <x v="3"/>
    <m/>
    <n v="1.3627100000000001"/>
    <n v="1.39151"/>
    <n v="1.3771100000000001"/>
    <n v="288"/>
  </r>
  <r>
    <x v="11"/>
    <x v="57"/>
    <x v="3"/>
    <m/>
    <n v="1.3627100000000001"/>
    <n v="1.39151"/>
    <n v="1.3771100000000001"/>
    <n v="288"/>
  </r>
  <r>
    <x v="11"/>
    <x v="57"/>
    <x v="3"/>
    <m/>
    <n v="1.3627100000000001"/>
    <n v="1.39151"/>
    <n v="1.3771100000000001"/>
    <n v="288"/>
  </r>
  <r>
    <x v="11"/>
    <x v="57"/>
    <x v="3"/>
    <m/>
    <n v="1.3627100000000001"/>
    <n v="1.39151"/>
    <n v="1.3771100000000001"/>
    <n v="288"/>
  </r>
  <r>
    <x v="11"/>
    <x v="57"/>
    <x v="3"/>
    <m/>
    <n v="1.3627100000000001"/>
    <n v="1.39151"/>
    <n v="1.3771100000000001"/>
    <n v="288"/>
  </r>
  <r>
    <x v="11"/>
    <x v="57"/>
    <x v="3"/>
    <m/>
    <n v="1.3627100000000001"/>
    <n v="1.39151"/>
    <n v="1.3771100000000001"/>
    <n v="288"/>
  </r>
  <r>
    <x v="11"/>
    <x v="57"/>
    <x v="3"/>
    <m/>
    <n v="1.3627100000000001"/>
    <n v="1.39151"/>
    <n v="1.3771100000000001"/>
    <n v="288"/>
  </r>
  <r>
    <x v="11"/>
    <x v="57"/>
    <x v="3"/>
    <m/>
    <n v="1.3627100000000001"/>
    <n v="1.39151"/>
    <n v="1.3771100000000001"/>
    <n v="288"/>
  </r>
  <r>
    <x v="11"/>
    <x v="57"/>
    <x v="3"/>
    <m/>
    <n v="1.3627100000000001"/>
    <n v="1.39151"/>
    <n v="1.3771100000000001"/>
    <n v="288"/>
  </r>
  <r>
    <x v="11"/>
    <x v="57"/>
    <x v="3"/>
    <m/>
    <n v="1.3627100000000001"/>
    <n v="1.39151"/>
    <n v="1.3771100000000001"/>
    <n v="288"/>
  </r>
  <r>
    <x v="11"/>
    <x v="57"/>
    <x v="0"/>
    <m/>
    <n v="1.9189400000000001"/>
    <n v="1.9743999999999999"/>
    <n v="1.9466699999999999"/>
    <n v="554.6"/>
  </r>
  <r>
    <x v="11"/>
    <x v="57"/>
    <x v="0"/>
    <m/>
    <n v="1.9189400000000001"/>
    <n v="1.9743999999999999"/>
    <n v="1.9466699999999999"/>
    <n v="554.6"/>
  </r>
  <r>
    <x v="11"/>
    <x v="57"/>
    <x v="0"/>
    <m/>
    <n v="1.9189400000000001"/>
    <n v="1.9743999999999999"/>
    <n v="1.9466699999999999"/>
    <n v="554.6"/>
  </r>
  <r>
    <x v="11"/>
    <x v="57"/>
    <x v="0"/>
    <m/>
    <n v="1.9189400000000001"/>
    <n v="1.9743999999999999"/>
    <n v="1.9466699999999999"/>
    <n v="554.6"/>
  </r>
  <r>
    <x v="11"/>
    <x v="57"/>
    <x v="0"/>
    <m/>
    <n v="1.9189400000000001"/>
    <n v="1.9743999999999999"/>
    <n v="1.9466699999999999"/>
    <n v="554.6"/>
  </r>
  <r>
    <x v="11"/>
    <x v="57"/>
    <x v="0"/>
    <m/>
    <n v="1.9189400000000001"/>
    <n v="1.9743999999999999"/>
    <n v="1.9466699999999999"/>
    <n v="554.6"/>
  </r>
  <r>
    <x v="11"/>
    <x v="57"/>
    <x v="0"/>
    <m/>
    <n v="1.9189400000000001"/>
    <n v="1.9743999999999999"/>
    <n v="1.9466699999999999"/>
    <n v="554.6"/>
  </r>
  <r>
    <x v="11"/>
    <x v="57"/>
    <x v="0"/>
    <m/>
    <n v="1.9189400000000001"/>
    <n v="1.9743999999999999"/>
    <n v="1.9466699999999999"/>
    <n v="554.6"/>
  </r>
  <r>
    <x v="11"/>
    <x v="57"/>
    <x v="0"/>
    <m/>
    <n v="1.9189400000000001"/>
    <n v="1.9743999999999999"/>
    <n v="1.9466699999999999"/>
    <n v="554.6"/>
  </r>
  <r>
    <x v="11"/>
    <x v="57"/>
    <x v="0"/>
    <m/>
    <n v="1.9189400000000001"/>
    <n v="1.9743999999999999"/>
    <n v="1.9466699999999999"/>
    <n v="554.6"/>
  </r>
  <r>
    <x v="11"/>
    <x v="57"/>
    <x v="0"/>
    <m/>
    <n v="1.9189400000000001"/>
    <n v="1.9743999999999999"/>
    <n v="1.9466699999999999"/>
    <n v="554.6"/>
  </r>
  <r>
    <x v="11"/>
    <x v="57"/>
    <x v="0"/>
    <m/>
    <n v="1.9189400000000001"/>
    <n v="1.9743999999999999"/>
    <n v="1.9466699999999999"/>
    <n v="554.6"/>
  </r>
  <r>
    <x v="11"/>
    <x v="57"/>
    <x v="0"/>
    <m/>
    <n v="1.9189400000000001"/>
    <n v="1.9743999999999999"/>
    <n v="1.9466699999999999"/>
    <n v="554.6"/>
  </r>
  <r>
    <x v="11"/>
    <x v="57"/>
    <x v="10"/>
    <m/>
    <n v="0.87195999999999996"/>
    <n v="0.89609000000000005"/>
    <n v="0.88402499999999995"/>
    <n v="241.3"/>
  </r>
  <r>
    <x v="11"/>
    <x v="57"/>
    <x v="10"/>
    <m/>
    <n v="0.87195999999999996"/>
    <n v="0.89609000000000005"/>
    <n v="0.88402499999999995"/>
    <n v="241.3"/>
  </r>
  <r>
    <x v="11"/>
    <x v="57"/>
    <x v="10"/>
    <m/>
    <n v="0.87195999999999996"/>
    <n v="0.89609000000000005"/>
    <n v="0.88402499999999995"/>
    <n v="241.3"/>
  </r>
  <r>
    <x v="11"/>
    <x v="57"/>
    <x v="10"/>
    <m/>
    <n v="0.87195999999999996"/>
    <n v="0.89609000000000005"/>
    <n v="0.88402499999999995"/>
    <n v="241.3"/>
  </r>
  <r>
    <x v="11"/>
    <x v="57"/>
    <x v="10"/>
    <m/>
    <n v="0.87195999999999996"/>
    <n v="0.89609000000000005"/>
    <n v="0.88402499999999995"/>
    <n v="241.3"/>
  </r>
  <r>
    <x v="11"/>
    <x v="57"/>
    <x v="10"/>
    <m/>
    <n v="0.87195999999999996"/>
    <n v="0.89609000000000005"/>
    <n v="0.88402499999999995"/>
    <n v="241.3"/>
  </r>
  <r>
    <x v="11"/>
    <x v="57"/>
    <x v="10"/>
    <m/>
    <n v="0.87195999999999996"/>
    <n v="0.89609000000000005"/>
    <n v="0.88402499999999995"/>
    <n v="241.3"/>
  </r>
  <r>
    <x v="11"/>
    <x v="57"/>
    <x v="10"/>
    <m/>
    <n v="0.87195999999999996"/>
    <n v="0.89609000000000005"/>
    <n v="0.88402499999999995"/>
    <n v="241.3"/>
  </r>
  <r>
    <x v="11"/>
    <x v="57"/>
    <x v="10"/>
    <m/>
    <n v="0.87195999999999996"/>
    <n v="0.89609000000000005"/>
    <n v="0.88402499999999995"/>
    <n v="241.3"/>
  </r>
  <r>
    <x v="11"/>
    <x v="57"/>
    <x v="10"/>
    <m/>
    <n v="0.87195999999999996"/>
    <n v="0.89609000000000005"/>
    <n v="0.88402499999999995"/>
    <n v="241.3"/>
  </r>
  <r>
    <x v="11"/>
    <x v="57"/>
    <x v="10"/>
    <m/>
    <n v="0.87195999999999996"/>
    <n v="0.89609000000000005"/>
    <n v="0.88402499999999995"/>
    <n v="241.3"/>
  </r>
  <r>
    <x v="11"/>
    <x v="57"/>
    <x v="10"/>
    <m/>
    <n v="0.87195999999999996"/>
    <n v="0.89609000000000005"/>
    <n v="0.88402499999999995"/>
    <n v="241.3"/>
  </r>
  <r>
    <x v="11"/>
    <x v="57"/>
    <x v="10"/>
    <m/>
    <n v="0.87195999999999996"/>
    <n v="0.89609000000000005"/>
    <n v="0.88402499999999995"/>
    <n v="241.3"/>
  </r>
  <r>
    <x v="11"/>
    <x v="57"/>
    <x v="10"/>
    <m/>
    <n v="0.87195999999999996"/>
    <n v="0.89609000000000005"/>
    <n v="0.88402499999999995"/>
    <n v="241.3"/>
  </r>
  <r>
    <x v="11"/>
    <x v="57"/>
    <x v="10"/>
    <m/>
    <n v="0.87195999999999996"/>
    <n v="0.89609000000000005"/>
    <n v="0.88402499999999995"/>
    <n v="241.3"/>
  </r>
  <r>
    <x v="11"/>
    <x v="58"/>
    <x v="12"/>
    <m/>
    <n v="91.099000000000004"/>
    <n v="94.122"/>
    <n v="92.610500000000002"/>
    <n v="302.3"/>
  </r>
  <r>
    <x v="11"/>
    <x v="58"/>
    <x v="12"/>
    <m/>
    <n v="91.099000000000004"/>
    <n v="94.122"/>
    <n v="92.610500000000002"/>
    <n v="302.3"/>
  </r>
  <r>
    <x v="11"/>
    <x v="58"/>
    <x v="12"/>
    <m/>
    <n v="91.099000000000004"/>
    <n v="94.122"/>
    <n v="92.610500000000002"/>
    <n v="302.3"/>
  </r>
  <r>
    <x v="11"/>
    <x v="58"/>
    <x v="12"/>
    <m/>
    <n v="91.099000000000004"/>
    <n v="94.122"/>
    <n v="92.610500000000002"/>
    <n v="302.3"/>
  </r>
  <r>
    <x v="11"/>
    <x v="58"/>
    <x v="12"/>
    <m/>
    <n v="91.099000000000004"/>
    <n v="94.122"/>
    <n v="92.610500000000002"/>
    <n v="302.3"/>
  </r>
  <r>
    <x v="11"/>
    <x v="58"/>
    <x v="12"/>
    <m/>
    <n v="91.099000000000004"/>
    <n v="94.122"/>
    <n v="92.610500000000002"/>
    <n v="302.3"/>
  </r>
  <r>
    <x v="11"/>
    <x v="58"/>
    <x v="12"/>
    <m/>
    <n v="91.099000000000004"/>
    <n v="94.122"/>
    <n v="92.610500000000002"/>
    <n v="302.3"/>
  </r>
  <r>
    <x v="11"/>
    <x v="58"/>
    <x v="12"/>
    <m/>
    <n v="91.099000000000004"/>
    <n v="94.122"/>
    <n v="92.610500000000002"/>
    <n v="302.3"/>
  </r>
  <r>
    <x v="11"/>
    <x v="58"/>
    <x v="12"/>
    <m/>
    <n v="91.099000000000004"/>
    <n v="94.122"/>
    <n v="92.610500000000002"/>
    <n v="302.3"/>
  </r>
  <r>
    <x v="11"/>
    <x v="58"/>
    <x v="12"/>
    <m/>
    <n v="91.099000000000004"/>
    <n v="94.122"/>
    <n v="92.610500000000002"/>
    <n v="302.3"/>
  </r>
  <r>
    <x v="11"/>
    <x v="58"/>
    <x v="3"/>
    <m/>
    <n v="1.3627100000000001"/>
    <n v="1.39151"/>
    <n v="1.3771100000000001"/>
    <n v="288"/>
  </r>
  <r>
    <x v="11"/>
    <x v="58"/>
    <x v="3"/>
    <m/>
    <n v="1.3627100000000001"/>
    <n v="1.39151"/>
    <n v="1.3771100000000001"/>
    <n v="288"/>
  </r>
  <r>
    <x v="11"/>
    <x v="58"/>
    <x v="3"/>
    <m/>
    <n v="1.3627100000000001"/>
    <n v="1.39151"/>
    <n v="1.3771100000000001"/>
    <n v="288"/>
  </r>
  <r>
    <x v="11"/>
    <x v="58"/>
    <x v="3"/>
    <m/>
    <n v="1.3627100000000001"/>
    <n v="1.39151"/>
    <n v="1.3771100000000001"/>
    <n v="288"/>
  </r>
  <r>
    <x v="11"/>
    <x v="58"/>
    <x v="3"/>
    <m/>
    <n v="1.3627100000000001"/>
    <n v="1.39151"/>
    <n v="1.3771100000000001"/>
    <n v="288"/>
  </r>
  <r>
    <x v="11"/>
    <x v="58"/>
    <x v="3"/>
    <m/>
    <n v="1.3627100000000001"/>
    <n v="1.39151"/>
    <n v="1.3771100000000001"/>
    <n v="288"/>
  </r>
  <r>
    <x v="11"/>
    <x v="58"/>
    <x v="3"/>
    <m/>
    <n v="1.3627100000000001"/>
    <n v="1.39151"/>
    <n v="1.3771100000000001"/>
    <n v="288"/>
  </r>
  <r>
    <x v="11"/>
    <x v="58"/>
    <x v="3"/>
    <m/>
    <n v="1.3627100000000001"/>
    <n v="1.39151"/>
    <n v="1.3771100000000001"/>
    <n v="288"/>
  </r>
  <r>
    <x v="11"/>
    <x v="58"/>
    <x v="3"/>
    <m/>
    <n v="1.3627100000000001"/>
    <n v="1.39151"/>
    <n v="1.3771100000000001"/>
    <n v="288"/>
  </r>
  <r>
    <x v="11"/>
    <x v="58"/>
    <x v="3"/>
    <m/>
    <n v="1.3627100000000001"/>
    <n v="1.39151"/>
    <n v="1.3771100000000001"/>
    <n v="288"/>
  </r>
  <r>
    <x v="11"/>
    <x v="58"/>
    <x v="3"/>
    <m/>
    <n v="1.3627100000000001"/>
    <n v="1.39151"/>
    <n v="1.3771100000000001"/>
    <n v="288"/>
  </r>
  <r>
    <x v="11"/>
    <x v="58"/>
    <x v="3"/>
    <m/>
    <n v="1.3627100000000001"/>
    <n v="1.39151"/>
    <n v="1.3771100000000001"/>
    <n v="288"/>
  </r>
  <r>
    <x v="11"/>
    <x v="58"/>
    <x v="3"/>
    <m/>
    <n v="1.3627100000000001"/>
    <n v="1.39151"/>
    <n v="1.3771100000000001"/>
    <n v="288"/>
  </r>
  <r>
    <x v="11"/>
    <x v="58"/>
    <x v="3"/>
    <m/>
    <n v="1.3627100000000001"/>
    <n v="1.39151"/>
    <n v="1.3771100000000001"/>
    <n v="288"/>
  </r>
  <r>
    <x v="11"/>
    <x v="58"/>
    <x v="0"/>
    <m/>
    <n v="1.9189400000000001"/>
    <n v="1.9743999999999999"/>
    <n v="1.9466699999999999"/>
    <n v="554.6"/>
  </r>
  <r>
    <x v="11"/>
    <x v="58"/>
    <x v="0"/>
    <m/>
    <n v="1.9189400000000001"/>
    <n v="1.9743999999999999"/>
    <n v="1.9466699999999999"/>
    <n v="554.6"/>
  </r>
  <r>
    <x v="11"/>
    <x v="58"/>
    <x v="0"/>
    <m/>
    <n v="1.9189400000000001"/>
    <n v="1.9743999999999999"/>
    <n v="1.9466699999999999"/>
    <n v="554.6"/>
  </r>
  <r>
    <x v="11"/>
    <x v="58"/>
    <x v="0"/>
    <m/>
    <n v="1.9189400000000001"/>
    <n v="1.9743999999999999"/>
    <n v="1.9466699999999999"/>
    <n v="554.6"/>
  </r>
  <r>
    <x v="11"/>
    <x v="58"/>
    <x v="0"/>
    <m/>
    <n v="1.9189400000000001"/>
    <n v="1.9743999999999999"/>
    <n v="1.9466699999999999"/>
    <n v="554.6"/>
  </r>
  <r>
    <x v="11"/>
    <x v="58"/>
    <x v="0"/>
    <m/>
    <n v="1.9189400000000001"/>
    <n v="1.9743999999999999"/>
    <n v="1.9466699999999999"/>
    <n v="554.6"/>
  </r>
  <r>
    <x v="11"/>
    <x v="58"/>
    <x v="0"/>
    <m/>
    <n v="1.9189400000000001"/>
    <n v="1.9743999999999999"/>
    <n v="1.9466699999999999"/>
    <n v="554.6"/>
  </r>
  <r>
    <x v="11"/>
    <x v="58"/>
    <x v="0"/>
    <m/>
    <n v="1.9189400000000001"/>
    <n v="1.9743999999999999"/>
    <n v="1.9466699999999999"/>
    <n v="554.6"/>
  </r>
  <r>
    <x v="11"/>
    <x v="58"/>
    <x v="0"/>
    <m/>
    <n v="1.9189400000000001"/>
    <n v="1.9743999999999999"/>
    <n v="1.9466699999999999"/>
    <n v="554.6"/>
  </r>
  <r>
    <x v="11"/>
    <x v="58"/>
    <x v="0"/>
    <m/>
    <n v="1.9189400000000001"/>
    <n v="1.9743999999999999"/>
    <n v="1.9466699999999999"/>
    <n v="554.6"/>
  </r>
  <r>
    <x v="11"/>
    <x v="58"/>
    <x v="0"/>
    <m/>
    <n v="1.9189400000000001"/>
    <n v="1.9743999999999999"/>
    <n v="1.9466699999999999"/>
    <n v="554.6"/>
  </r>
  <r>
    <x v="11"/>
    <x v="58"/>
    <x v="0"/>
    <m/>
    <n v="1.9189400000000001"/>
    <n v="1.9743999999999999"/>
    <n v="1.9466699999999999"/>
    <n v="554.6"/>
  </r>
  <r>
    <x v="11"/>
    <x v="58"/>
    <x v="0"/>
    <m/>
    <n v="1.9189400000000001"/>
    <n v="1.9743999999999999"/>
    <n v="1.9466699999999999"/>
    <n v="554.6"/>
  </r>
  <r>
    <x v="11"/>
    <x v="58"/>
    <x v="0"/>
    <m/>
    <n v="1.9189400000000001"/>
    <n v="1.9743999999999999"/>
    <n v="1.9466699999999999"/>
    <n v="554.6"/>
  </r>
  <r>
    <x v="11"/>
    <x v="58"/>
    <x v="10"/>
    <m/>
    <n v="0.87195999999999996"/>
    <n v="0.89609000000000005"/>
    <n v="0.88402499999999995"/>
    <n v="241.3"/>
  </r>
  <r>
    <x v="11"/>
    <x v="58"/>
    <x v="10"/>
    <m/>
    <n v="0.87195999999999996"/>
    <n v="0.89609000000000005"/>
    <n v="0.88402499999999995"/>
    <n v="241.3"/>
  </r>
  <r>
    <x v="11"/>
    <x v="58"/>
    <x v="10"/>
    <m/>
    <n v="0.87195999999999996"/>
    <n v="0.89609000000000005"/>
    <n v="0.88402499999999995"/>
    <n v="241.3"/>
  </r>
  <r>
    <x v="11"/>
    <x v="58"/>
    <x v="10"/>
    <m/>
    <n v="0.87195999999999996"/>
    <n v="0.89609000000000005"/>
    <n v="0.88402499999999995"/>
    <n v="241.3"/>
  </r>
  <r>
    <x v="11"/>
    <x v="58"/>
    <x v="10"/>
    <m/>
    <n v="0.87195999999999996"/>
    <n v="0.89609000000000005"/>
    <n v="0.88402499999999995"/>
    <n v="241.3"/>
  </r>
  <r>
    <x v="11"/>
    <x v="58"/>
    <x v="10"/>
    <m/>
    <n v="0.87195999999999996"/>
    <n v="0.89609000000000005"/>
    <n v="0.88402499999999995"/>
    <n v="241.3"/>
  </r>
  <r>
    <x v="11"/>
    <x v="58"/>
    <x v="10"/>
    <m/>
    <n v="0.87195999999999996"/>
    <n v="0.89609000000000005"/>
    <n v="0.88402499999999995"/>
    <n v="241.3"/>
  </r>
  <r>
    <x v="11"/>
    <x v="58"/>
    <x v="10"/>
    <m/>
    <n v="0.87195999999999996"/>
    <n v="0.89609000000000005"/>
    <n v="0.88402499999999995"/>
    <n v="241.3"/>
  </r>
  <r>
    <x v="11"/>
    <x v="58"/>
    <x v="10"/>
    <m/>
    <n v="0.87195999999999996"/>
    <n v="0.89609000000000005"/>
    <n v="0.88402499999999995"/>
    <n v="241.3"/>
  </r>
  <r>
    <x v="11"/>
    <x v="58"/>
    <x v="10"/>
    <m/>
    <n v="0.87195999999999996"/>
    <n v="0.89609000000000005"/>
    <n v="0.88402499999999995"/>
    <n v="241.3"/>
  </r>
  <r>
    <x v="11"/>
    <x v="58"/>
    <x v="10"/>
    <m/>
    <n v="0.87195999999999996"/>
    <n v="0.89609000000000005"/>
    <n v="0.88402499999999995"/>
    <n v="241.3"/>
  </r>
  <r>
    <x v="11"/>
    <x v="58"/>
    <x v="10"/>
    <m/>
    <n v="0.87195999999999996"/>
    <n v="0.89609000000000005"/>
    <n v="0.88402499999999995"/>
    <n v="241.3"/>
  </r>
  <r>
    <x v="11"/>
    <x v="58"/>
    <x v="10"/>
    <m/>
    <n v="0.87195999999999996"/>
    <n v="0.89609000000000005"/>
    <n v="0.88402499999999995"/>
    <n v="241.3"/>
  </r>
  <r>
    <x v="11"/>
    <x v="58"/>
    <x v="10"/>
    <m/>
    <n v="0.87195999999999996"/>
    <n v="0.89609000000000005"/>
    <n v="0.88402499999999995"/>
    <n v="241.3"/>
  </r>
  <r>
    <x v="11"/>
    <x v="58"/>
    <x v="10"/>
    <m/>
    <n v="0.87195999999999996"/>
    <n v="0.89609000000000005"/>
    <n v="0.88402499999999995"/>
    <n v="241.3"/>
  </r>
  <r>
    <x v="11"/>
    <x v="58"/>
    <x v="10"/>
    <m/>
    <n v="0.87195999999999996"/>
    <n v="0.89609000000000005"/>
    <n v="0.88402499999999995"/>
    <n v="241.3"/>
  </r>
  <r>
    <x v="11"/>
    <x v="59"/>
    <x v="12"/>
    <m/>
    <n v="91.099000000000004"/>
    <n v="94.122"/>
    <n v="92.610500000000002"/>
    <n v="302.3"/>
  </r>
  <r>
    <x v="11"/>
    <x v="59"/>
    <x v="12"/>
    <m/>
    <n v="91.099000000000004"/>
    <n v="94.122"/>
    <n v="92.610500000000002"/>
    <n v="302.3"/>
  </r>
  <r>
    <x v="11"/>
    <x v="59"/>
    <x v="12"/>
    <m/>
    <n v="91.099000000000004"/>
    <n v="94.122"/>
    <n v="92.610500000000002"/>
    <n v="302.3"/>
  </r>
  <r>
    <x v="11"/>
    <x v="59"/>
    <x v="12"/>
    <m/>
    <n v="91.099000000000004"/>
    <n v="94.122"/>
    <n v="92.610500000000002"/>
    <n v="302.3"/>
  </r>
  <r>
    <x v="11"/>
    <x v="59"/>
    <x v="12"/>
    <m/>
    <n v="91.099000000000004"/>
    <n v="94.122"/>
    <n v="92.610500000000002"/>
    <n v="302.3"/>
  </r>
  <r>
    <x v="11"/>
    <x v="59"/>
    <x v="12"/>
    <m/>
    <n v="91.099000000000004"/>
    <n v="94.122"/>
    <n v="92.610500000000002"/>
    <n v="302.3"/>
  </r>
  <r>
    <x v="11"/>
    <x v="59"/>
    <x v="12"/>
    <m/>
    <n v="91.099000000000004"/>
    <n v="94.122"/>
    <n v="92.610500000000002"/>
    <n v="302.3"/>
  </r>
  <r>
    <x v="11"/>
    <x v="59"/>
    <x v="12"/>
    <m/>
    <n v="91.099000000000004"/>
    <n v="94.122"/>
    <n v="92.610500000000002"/>
    <n v="302.3"/>
  </r>
  <r>
    <x v="11"/>
    <x v="59"/>
    <x v="12"/>
    <m/>
    <n v="91.099000000000004"/>
    <n v="94.122"/>
    <n v="92.610500000000002"/>
    <n v="302.3"/>
  </r>
  <r>
    <x v="11"/>
    <x v="59"/>
    <x v="12"/>
    <m/>
    <n v="91.099000000000004"/>
    <n v="94.122"/>
    <n v="92.610500000000002"/>
    <n v="302.3"/>
  </r>
  <r>
    <x v="11"/>
    <x v="59"/>
    <x v="3"/>
    <m/>
    <n v="1.3520000000000001"/>
    <n v="1.397"/>
    <n v="1.3745000000000001"/>
    <n v="450"/>
  </r>
  <r>
    <x v="11"/>
    <x v="59"/>
    <x v="3"/>
    <m/>
    <n v="1.3520000000000001"/>
    <n v="1.397"/>
    <n v="1.3745000000000001"/>
    <n v="450"/>
  </r>
  <r>
    <x v="11"/>
    <x v="59"/>
    <x v="3"/>
    <m/>
    <n v="1.3520000000000001"/>
    <n v="1.397"/>
    <n v="1.3745000000000001"/>
    <n v="450"/>
  </r>
  <r>
    <x v="11"/>
    <x v="59"/>
    <x v="3"/>
    <m/>
    <n v="1.3520000000000001"/>
    <n v="1.397"/>
    <n v="1.3745000000000001"/>
    <n v="450"/>
  </r>
  <r>
    <x v="11"/>
    <x v="59"/>
    <x v="3"/>
    <m/>
    <n v="1.3520000000000001"/>
    <n v="1.397"/>
    <n v="1.3745000000000001"/>
    <n v="450"/>
  </r>
  <r>
    <x v="11"/>
    <x v="59"/>
    <x v="3"/>
    <m/>
    <n v="1.3520000000000001"/>
    <n v="1.397"/>
    <n v="1.3745000000000001"/>
    <n v="450"/>
  </r>
  <r>
    <x v="11"/>
    <x v="59"/>
    <x v="3"/>
    <m/>
    <n v="1.3520000000000001"/>
    <n v="1.397"/>
    <n v="1.3745000000000001"/>
    <n v="450"/>
  </r>
  <r>
    <x v="11"/>
    <x v="59"/>
    <x v="3"/>
    <m/>
    <n v="1.3520000000000001"/>
    <n v="1.397"/>
    <n v="1.3745000000000001"/>
    <n v="450"/>
  </r>
  <r>
    <x v="11"/>
    <x v="59"/>
    <x v="3"/>
    <m/>
    <n v="1.3520000000000001"/>
    <n v="1.397"/>
    <n v="1.3745000000000001"/>
    <n v="450"/>
  </r>
  <r>
    <x v="11"/>
    <x v="59"/>
    <x v="3"/>
    <m/>
    <n v="1.3520000000000001"/>
    <n v="1.397"/>
    <n v="1.3745000000000001"/>
    <n v="450"/>
  </r>
  <r>
    <x v="11"/>
    <x v="59"/>
    <x v="3"/>
    <m/>
    <n v="1.3520000000000001"/>
    <n v="1.397"/>
    <n v="1.3745000000000001"/>
    <n v="450"/>
  </r>
  <r>
    <x v="11"/>
    <x v="59"/>
    <x v="3"/>
    <m/>
    <n v="1.3520000000000001"/>
    <n v="1.397"/>
    <n v="1.3745000000000001"/>
    <n v="450"/>
  </r>
  <r>
    <x v="11"/>
    <x v="59"/>
    <x v="3"/>
    <m/>
    <n v="1.3520000000000001"/>
    <n v="1.397"/>
    <n v="1.3745000000000001"/>
    <n v="450"/>
  </r>
  <r>
    <x v="11"/>
    <x v="59"/>
    <x v="3"/>
    <m/>
    <n v="1.3520000000000001"/>
    <n v="1.397"/>
    <n v="1.3745000000000001"/>
    <n v="450"/>
  </r>
  <r>
    <x v="11"/>
    <x v="59"/>
    <x v="3"/>
    <m/>
    <n v="1.3520000000000001"/>
    <n v="1.397"/>
    <n v="1.3745000000000001"/>
    <n v="450"/>
  </r>
  <r>
    <x v="11"/>
    <x v="59"/>
    <x v="3"/>
    <m/>
    <n v="1.3520000000000001"/>
    <n v="1.397"/>
    <n v="1.3745000000000001"/>
    <n v="450"/>
  </r>
  <r>
    <x v="11"/>
    <x v="59"/>
    <x v="3"/>
    <m/>
    <n v="1.3520000000000001"/>
    <n v="1.397"/>
    <n v="1.3745000000000001"/>
    <n v="450"/>
  </r>
  <r>
    <x v="11"/>
    <x v="59"/>
    <x v="0"/>
    <m/>
    <n v="1.9189400000000001"/>
    <n v="1.994"/>
    <n v="1.9564699999999999"/>
    <n v="750.6"/>
  </r>
  <r>
    <x v="11"/>
    <x v="59"/>
    <x v="0"/>
    <m/>
    <n v="1.9189400000000001"/>
    <n v="1.994"/>
    <n v="1.9564699999999999"/>
    <n v="750.6"/>
  </r>
  <r>
    <x v="11"/>
    <x v="59"/>
    <x v="0"/>
    <m/>
    <n v="1.9189400000000001"/>
    <n v="1.994"/>
    <n v="1.9564699999999999"/>
    <n v="750.6"/>
  </r>
  <r>
    <x v="11"/>
    <x v="59"/>
    <x v="0"/>
    <m/>
    <n v="1.9189400000000001"/>
    <n v="1.994"/>
    <n v="1.9564699999999999"/>
    <n v="750.6"/>
  </r>
  <r>
    <x v="11"/>
    <x v="59"/>
    <x v="0"/>
    <m/>
    <n v="1.9189400000000001"/>
    <n v="1.994"/>
    <n v="1.9564699999999999"/>
    <n v="750.6"/>
  </r>
  <r>
    <x v="11"/>
    <x v="59"/>
    <x v="0"/>
    <m/>
    <n v="1.9189400000000001"/>
    <n v="1.994"/>
    <n v="1.9564699999999999"/>
    <n v="750.6"/>
  </r>
  <r>
    <x v="11"/>
    <x v="59"/>
    <x v="0"/>
    <m/>
    <n v="1.9189400000000001"/>
    <n v="1.994"/>
    <n v="1.9564699999999999"/>
    <n v="750.6"/>
  </r>
  <r>
    <x v="11"/>
    <x v="59"/>
    <x v="0"/>
    <m/>
    <n v="1.9189400000000001"/>
    <n v="1.994"/>
    <n v="1.9564699999999999"/>
    <n v="750.6"/>
  </r>
  <r>
    <x v="11"/>
    <x v="59"/>
    <x v="0"/>
    <m/>
    <n v="1.9189400000000001"/>
    <n v="1.994"/>
    <n v="1.9564699999999999"/>
    <n v="750.6"/>
  </r>
  <r>
    <x v="11"/>
    <x v="59"/>
    <x v="0"/>
    <m/>
    <n v="1.9189400000000001"/>
    <n v="1.994"/>
    <n v="1.9564699999999999"/>
    <n v="750.6"/>
  </r>
  <r>
    <x v="11"/>
    <x v="59"/>
    <x v="0"/>
    <m/>
    <n v="1.9189400000000001"/>
    <n v="1.994"/>
    <n v="1.9564699999999999"/>
    <n v="750.6"/>
  </r>
  <r>
    <x v="11"/>
    <x v="59"/>
    <x v="0"/>
    <m/>
    <n v="1.9189400000000001"/>
    <n v="1.994"/>
    <n v="1.9564699999999999"/>
    <n v="750.6"/>
  </r>
  <r>
    <x v="11"/>
    <x v="59"/>
    <x v="0"/>
    <m/>
    <n v="1.9189400000000001"/>
    <n v="1.994"/>
    <n v="1.9564699999999999"/>
    <n v="750.6"/>
  </r>
  <r>
    <x v="11"/>
    <x v="59"/>
    <x v="0"/>
    <m/>
    <n v="1.9189400000000001"/>
    <n v="1.994"/>
    <n v="1.9564699999999999"/>
    <n v="750.6"/>
  </r>
  <r>
    <x v="11"/>
    <x v="59"/>
    <x v="0"/>
    <m/>
    <n v="1.9189400000000001"/>
    <n v="1.994"/>
    <n v="1.9564699999999999"/>
    <n v="750.6"/>
  </r>
  <r>
    <x v="11"/>
    <x v="59"/>
    <x v="0"/>
    <m/>
    <n v="1.9189400000000001"/>
    <n v="1.994"/>
    <n v="1.9564699999999999"/>
    <n v="750.6"/>
  </r>
  <r>
    <x v="11"/>
    <x v="59"/>
    <x v="0"/>
    <m/>
    <n v="1.9189400000000001"/>
    <n v="1.994"/>
    <n v="1.9564699999999999"/>
    <n v="750.6"/>
  </r>
  <r>
    <x v="11"/>
    <x v="59"/>
    <x v="0"/>
    <m/>
    <n v="1.9189400000000001"/>
    <n v="1.994"/>
    <n v="1.9564699999999999"/>
    <n v="750.6"/>
  </r>
  <r>
    <x v="11"/>
    <x v="59"/>
    <x v="10"/>
    <m/>
    <n v="0.87092000000000003"/>
    <n v="0.90300000000000002"/>
    <n v="0.88695999999999997"/>
    <n v="320.8"/>
  </r>
  <r>
    <x v="11"/>
    <x v="59"/>
    <x v="10"/>
    <m/>
    <n v="0.87092000000000003"/>
    <n v="0.90300000000000002"/>
    <n v="0.88695999999999997"/>
    <n v="320.8"/>
  </r>
  <r>
    <x v="11"/>
    <x v="59"/>
    <x v="10"/>
    <m/>
    <n v="0.87092000000000003"/>
    <n v="0.90300000000000002"/>
    <n v="0.88695999999999997"/>
    <n v="320.8"/>
  </r>
  <r>
    <x v="11"/>
    <x v="59"/>
    <x v="10"/>
    <m/>
    <n v="0.87092000000000003"/>
    <n v="0.90300000000000002"/>
    <n v="0.88695999999999997"/>
    <n v="320.8"/>
  </r>
  <r>
    <x v="11"/>
    <x v="59"/>
    <x v="10"/>
    <m/>
    <n v="0.87092000000000003"/>
    <n v="0.90300000000000002"/>
    <n v="0.88695999999999997"/>
    <n v="320.8"/>
  </r>
  <r>
    <x v="11"/>
    <x v="59"/>
    <x v="10"/>
    <m/>
    <n v="0.87092000000000003"/>
    <n v="0.90300000000000002"/>
    <n v="0.88695999999999997"/>
    <n v="320.8"/>
  </r>
  <r>
    <x v="11"/>
    <x v="59"/>
    <x v="10"/>
    <m/>
    <n v="0.87092000000000003"/>
    <n v="0.90300000000000002"/>
    <n v="0.88695999999999997"/>
    <n v="320.8"/>
  </r>
  <r>
    <x v="11"/>
    <x v="59"/>
    <x v="10"/>
    <m/>
    <n v="0.87092000000000003"/>
    <n v="0.90300000000000002"/>
    <n v="0.88695999999999997"/>
    <n v="320.8"/>
  </r>
  <r>
    <x v="11"/>
    <x v="59"/>
    <x v="10"/>
    <m/>
    <n v="0.87092000000000003"/>
    <n v="0.90300000000000002"/>
    <n v="0.88695999999999997"/>
    <n v="320.8"/>
  </r>
  <r>
    <x v="11"/>
    <x v="59"/>
    <x v="10"/>
    <m/>
    <n v="0.87092000000000003"/>
    <n v="0.90300000000000002"/>
    <n v="0.88695999999999997"/>
    <n v="320.8"/>
  </r>
  <r>
    <x v="11"/>
    <x v="59"/>
    <x v="10"/>
    <m/>
    <n v="0.87092000000000003"/>
    <n v="0.90300000000000002"/>
    <n v="0.88695999999999997"/>
    <n v="320.8"/>
  </r>
  <r>
    <x v="11"/>
    <x v="59"/>
    <x v="10"/>
    <m/>
    <n v="0.87092000000000003"/>
    <n v="0.90300000000000002"/>
    <n v="0.88695999999999997"/>
    <n v="320.8"/>
  </r>
  <r>
    <x v="11"/>
    <x v="59"/>
    <x v="10"/>
    <m/>
    <n v="0.87092000000000003"/>
    <n v="0.90300000000000002"/>
    <n v="0.88695999999999997"/>
    <n v="320.8"/>
  </r>
  <r>
    <x v="11"/>
    <x v="59"/>
    <x v="10"/>
    <m/>
    <n v="0.87092000000000003"/>
    <n v="0.90300000000000002"/>
    <n v="0.88695999999999997"/>
    <n v="320.8"/>
  </r>
  <r>
    <x v="11"/>
    <x v="59"/>
    <x v="10"/>
    <m/>
    <n v="0.87092000000000003"/>
    <n v="0.90300000000000002"/>
    <n v="0.88695999999999997"/>
    <n v="320.8"/>
  </r>
  <r>
    <x v="11"/>
    <x v="59"/>
    <x v="10"/>
    <m/>
    <n v="0.87092000000000003"/>
    <n v="0.90300000000000002"/>
    <n v="0.88695999999999997"/>
    <n v="320.8"/>
  </r>
  <r>
    <x v="11"/>
    <x v="59"/>
    <x v="10"/>
    <m/>
    <n v="0.87092000000000003"/>
    <n v="0.90300000000000002"/>
    <n v="0.88695999999999997"/>
    <n v="320.8"/>
  </r>
  <r>
    <x v="11"/>
    <x v="59"/>
    <x v="10"/>
    <m/>
    <n v="0.87092000000000003"/>
    <n v="0.90300000000000002"/>
    <n v="0.88695999999999997"/>
    <n v="320.8"/>
  </r>
  <r>
    <x v="11"/>
    <x v="25"/>
    <x v="12"/>
    <m/>
    <n v="91.099000000000004"/>
    <n v="94.122"/>
    <n v="92.610500000000002"/>
    <n v="302.3"/>
  </r>
  <r>
    <x v="11"/>
    <x v="25"/>
    <x v="12"/>
    <m/>
    <n v="91.099000000000004"/>
    <n v="94.122"/>
    <n v="92.610500000000002"/>
    <n v="302.3"/>
  </r>
  <r>
    <x v="11"/>
    <x v="25"/>
    <x v="12"/>
    <m/>
    <n v="91.099000000000004"/>
    <n v="94.122"/>
    <n v="92.610500000000002"/>
    <n v="302.3"/>
  </r>
  <r>
    <x v="11"/>
    <x v="25"/>
    <x v="12"/>
    <m/>
    <n v="91.099000000000004"/>
    <n v="94.122"/>
    <n v="92.610500000000002"/>
    <n v="302.3"/>
  </r>
  <r>
    <x v="11"/>
    <x v="25"/>
    <x v="12"/>
    <m/>
    <n v="91.099000000000004"/>
    <n v="94.122"/>
    <n v="92.610500000000002"/>
    <n v="302.3"/>
  </r>
  <r>
    <x v="11"/>
    <x v="25"/>
    <x v="12"/>
    <m/>
    <n v="91.099000000000004"/>
    <n v="94.122"/>
    <n v="92.610500000000002"/>
    <n v="302.3"/>
  </r>
  <r>
    <x v="11"/>
    <x v="25"/>
    <x v="12"/>
    <m/>
    <n v="91.099000000000004"/>
    <n v="94.122"/>
    <n v="92.610500000000002"/>
    <n v="302.3"/>
  </r>
  <r>
    <x v="11"/>
    <x v="25"/>
    <x v="12"/>
    <m/>
    <n v="91.099000000000004"/>
    <n v="94.122"/>
    <n v="92.610500000000002"/>
    <n v="302.3"/>
  </r>
  <r>
    <x v="11"/>
    <x v="25"/>
    <x v="12"/>
    <m/>
    <n v="91.099000000000004"/>
    <n v="94.122"/>
    <n v="92.610500000000002"/>
    <n v="302.3"/>
  </r>
  <r>
    <x v="11"/>
    <x v="25"/>
    <x v="12"/>
    <m/>
    <n v="91.099000000000004"/>
    <n v="94.122"/>
    <n v="92.610500000000002"/>
    <n v="302.3"/>
  </r>
  <r>
    <x v="11"/>
    <x v="25"/>
    <x v="3"/>
    <m/>
    <n v="1.3520000000000001"/>
    <n v="1.397"/>
    <n v="1.3745000000000001"/>
    <n v="450"/>
  </r>
  <r>
    <x v="11"/>
    <x v="25"/>
    <x v="3"/>
    <m/>
    <n v="1.3520000000000001"/>
    <n v="1.397"/>
    <n v="1.3745000000000001"/>
    <n v="450"/>
  </r>
  <r>
    <x v="11"/>
    <x v="25"/>
    <x v="3"/>
    <m/>
    <n v="1.3520000000000001"/>
    <n v="1.397"/>
    <n v="1.3745000000000001"/>
    <n v="450"/>
  </r>
  <r>
    <x v="11"/>
    <x v="25"/>
    <x v="3"/>
    <m/>
    <n v="1.3520000000000001"/>
    <n v="1.397"/>
    <n v="1.3745000000000001"/>
    <n v="450"/>
  </r>
  <r>
    <x v="11"/>
    <x v="25"/>
    <x v="3"/>
    <m/>
    <n v="1.3520000000000001"/>
    <n v="1.397"/>
    <n v="1.3745000000000001"/>
    <n v="450"/>
  </r>
  <r>
    <x v="11"/>
    <x v="25"/>
    <x v="3"/>
    <m/>
    <n v="1.3520000000000001"/>
    <n v="1.397"/>
    <n v="1.3745000000000001"/>
    <n v="450"/>
  </r>
  <r>
    <x v="11"/>
    <x v="25"/>
    <x v="3"/>
    <m/>
    <n v="1.3520000000000001"/>
    <n v="1.397"/>
    <n v="1.3745000000000001"/>
    <n v="450"/>
  </r>
  <r>
    <x v="11"/>
    <x v="25"/>
    <x v="3"/>
    <m/>
    <n v="1.3520000000000001"/>
    <n v="1.397"/>
    <n v="1.3745000000000001"/>
    <n v="450"/>
  </r>
  <r>
    <x v="11"/>
    <x v="25"/>
    <x v="3"/>
    <m/>
    <n v="1.3520000000000001"/>
    <n v="1.397"/>
    <n v="1.3745000000000001"/>
    <n v="450"/>
  </r>
  <r>
    <x v="11"/>
    <x v="25"/>
    <x v="3"/>
    <m/>
    <n v="1.3520000000000001"/>
    <n v="1.397"/>
    <n v="1.3745000000000001"/>
    <n v="450"/>
  </r>
  <r>
    <x v="11"/>
    <x v="25"/>
    <x v="3"/>
    <m/>
    <n v="1.3520000000000001"/>
    <n v="1.397"/>
    <n v="1.3745000000000001"/>
    <n v="450"/>
  </r>
  <r>
    <x v="11"/>
    <x v="25"/>
    <x v="3"/>
    <m/>
    <n v="1.3520000000000001"/>
    <n v="1.397"/>
    <n v="1.3745000000000001"/>
    <n v="450"/>
  </r>
  <r>
    <x v="11"/>
    <x v="25"/>
    <x v="3"/>
    <m/>
    <n v="1.3520000000000001"/>
    <n v="1.397"/>
    <n v="1.3745000000000001"/>
    <n v="450"/>
  </r>
  <r>
    <x v="11"/>
    <x v="25"/>
    <x v="3"/>
    <m/>
    <n v="1.3520000000000001"/>
    <n v="1.397"/>
    <n v="1.3745000000000001"/>
    <n v="450"/>
  </r>
  <r>
    <x v="11"/>
    <x v="25"/>
    <x v="3"/>
    <m/>
    <n v="1.3520000000000001"/>
    <n v="1.397"/>
    <n v="1.3745000000000001"/>
    <n v="450"/>
  </r>
  <r>
    <x v="11"/>
    <x v="25"/>
    <x v="3"/>
    <m/>
    <n v="1.3520000000000001"/>
    <n v="1.397"/>
    <n v="1.3745000000000001"/>
    <n v="450"/>
  </r>
  <r>
    <x v="11"/>
    <x v="25"/>
    <x v="3"/>
    <m/>
    <n v="1.3520000000000001"/>
    <n v="1.397"/>
    <n v="1.3745000000000001"/>
    <n v="450"/>
  </r>
  <r>
    <x v="11"/>
    <x v="25"/>
    <x v="0"/>
    <m/>
    <n v="1.9189400000000001"/>
    <n v="1.994"/>
    <n v="1.9564699999999999"/>
    <n v="750.6"/>
  </r>
  <r>
    <x v="11"/>
    <x v="25"/>
    <x v="0"/>
    <m/>
    <n v="1.9189400000000001"/>
    <n v="1.994"/>
    <n v="1.9564699999999999"/>
    <n v="750.6"/>
  </r>
  <r>
    <x v="11"/>
    <x v="25"/>
    <x v="0"/>
    <m/>
    <n v="1.9189400000000001"/>
    <n v="1.994"/>
    <n v="1.9564699999999999"/>
    <n v="750.6"/>
  </r>
  <r>
    <x v="11"/>
    <x v="25"/>
    <x v="0"/>
    <m/>
    <n v="1.9189400000000001"/>
    <n v="1.994"/>
    <n v="1.9564699999999999"/>
    <n v="750.6"/>
  </r>
  <r>
    <x v="11"/>
    <x v="25"/>
    <x v="0"/>
    <m/>
    <n v="1.9189400000000001"/>
    <n v="1.994"/>
    <n v="1.9564699999999999"/>
    <n v="750.6"/>
  </r>
  <r>
    <x v="11"/>
    <x v="25"/>
    <x v="0"/>
    <m/>
    <n v="1.9189400000000001"/>
    <n v="1.994"/>
    <n v="1.9564699999999999"/>
    <n v="750.6"/>
  </r>
  <r>
    <x v="11"/>
    <x v="25"/>
    <x v="0"/>
    <m/>
    <n v="1.9189400000000001"/>
    <n v="1.994"/>
    <n v="1.9564699999999999"/>
    <n v="750.6"/>
  </r>
  <r>
    <x v="11"/>
    <x v="25"/>
    <x v="0"/>
    <m/>
    <n v="1.9189400000000001"/>
    <n v="1.994"/>
    <n v="1.9564699999999999"/>
    <n v="750.6"/>
  </r>
  <r>
    <x v="11"/>
    <x v="25"/>
    <x v="0"/>
    <m/>
    <n v="1.9189400000000001"/>
    <n v="1.994"/>
    <n v="1.9564699999999999"/>
    <n v="750.6"/>
  </r>
  <r>
    <x v="11"/>
    <x v="25"/>
    <x v="0"/>
    <m/>
    <n v="1.9189400000000001"/>
    <n v="1.994"/>
    <n v="1.9564699999999999"/>
    <n v="750.6"/>
  </r>
  <r>
    <x v="11"/>
    <x v="25"/>
    <x v="0"/>
    <m/>
    <n v="1.9189400000000001"/>
    <n v="1.994"/>
    <n v="1.9564699999999999"/>
    <n v="750.6"/>
  </r>
  <r>
    <x v="11"/>
    <x v="25"/>
    <x v="0"/>
    <m/>
    <n v="1.9189400000000001"/>
    <n v="1.994"/>
    <n v="1.9564699999999999"/>
    <n v="750.6"/>
  </r>
  <r>
    <x v="11"/>
    <x v="25"/>
    <x v="0"/>
    <m/>
    <n v="1.9189400000000001"/>
    <n v="1.994"/>
    <n v="1.9564699999999999"/>
    <n v="750.6"/>
  </r>
  <r>
    <x v="11"/>
    <x v="25"/>
    <x v="0"/>
    <m/>
    <n v="1.9189400000000001"/>
    <n v="1.994"/>
    <n v="1.9564699999999999"/>
    <n v="750.6"/>
  </r>
  <r>
    <x v="11"/>
    <x v="25"/>
    <x v="0"/>
    <m/>
    <n v="1.9189400000000001"/>
    <n v="1.994"/>
    <n v="1.9564699999999999"/>
    <n v="750.6"/>
  </r>
  <r>
    <x v="11"/>
    <x v="25"/>
    <x v="0"/>
    <m/>
    <n v="1.9189400000000001"/>
    <n v="1.994"/>
    <n v="1.9564699999999999"/>
    <n v="750.6"/>
  </r>
  <r>
    <x v="11"/>
    <x v="25"/>
    <x v="0"/>
    <m/>
    <n v="1.9189400000000001"/>
    <n v="1.994"/>
    <n v="1.9564699999999999"/>
    <n v="750.6"/>
  </r>
  <r>
    <x v="11"/>
    <x v="25"/>
    <x v="0"/>
    <m/>
    <n v="1.9189400000000001"/>
    <n v="1.994"/>
    <n v="1.9564699999999999"/>
    <n v="750.6"/>
  </r>
  <r>
    <x v="11"/>
    <x v="25"/>
    <x v="10"/>
    <m/>
    <n v="0.87092000000000003"/>
    <n v="0.90300000000000002"/>
    <n v="0.88695999999999997"/>
    <n v="320.8"/>
  </r>
  <r>
    <x v="11"/>
    <x v="25"/>
    <x v="10"/>
    <m/>
    <n v="0.87092000000000003"/>
    <n v="0.90300000000000002"/>
    <n v="0.88695999999999997"/>
    <n v="320.8"/>
  </r>
  <r>
    <x v="11"/>
    <x v="25"/>
    <x v="10"/>
    <m/>
    <n v="0.87092000000000003"/>
    <n v="0.90300000000000002"/>
    <n v="0.88695999999999997"/>
    <n v="320.8"/>
  </r>
  <r>
    <x v="11"/>
    <x v="25"/>
    <x v="10"/>
    <m/>
    <n v="0.87092000000000003"/>
    <n v="0.90300000000000002"/>
    <n v="0.88695999999999997"/>
    <n v="320.8"/>
  </r>
  <r>
    <x v="11"/>
    <x v="25"/>
    <x v="10"/>
    <m/>
    <n v="0.87092000000000003"/>
    <n v="0.90300000000000002"/>
    <n v="0.88695999999999997"/>
    <n v="320.8"/>
  </r>
  <r>
    <x v="11"/>
    <x v="25"/>
    <x v="10"/>
    <m/>
    <n v="0.87092000000000003"/>
    <n v="0.90300000000000002"/>
    <n v="0.88695999999999997"/>
    <n v="320.8"/>
  </r>
  <r>
    <x v="11"/>
    <x v="25"/>
    <x v="10"/>
    <m/>
    <n v="0.87092000000000003"/>
    <n v="0.90300000000000002"/>
    <n v="0.88695999999999997"/>
    <n v="320.8"/>
  </r>
  <r>
    <x v="11"/>
    <x v="25"/>
    <x v="10"/>
    <m/>
    <n v="0.87092000000000003"/>
    <n v="0.90300000000000002"/>
    <n v="0.88695999999999997"/>
    <n v="320.8"/>
  </r>
  <r>
    <x v="11"/>
    <x v="25"/>
    <x v="10"/>
    <m/>
    <n v="0.87092000000000003"/>
    <n v="0.90300000000000002"/>
    <n v="0.88695999999999997"/>
    <n v="320.8"/>
  </r>
  <r>
    <x v="11"/>
    <x v="25"/>
    <x v="10"/>
    <m/>
    <n v="0.87092000000000003"/>
    <n v="0.90300000000000002"/>
    <n v="0.88695999999999997"/>
    <n v="320.8"/>
  </r>
  <r>
    <x v="11"/>
    <x v="25"/>
    <x v="10"/>
    <m/>
    <n v="0.87092000000000003"/>
    <n v="0.90300000000000002"/>
    <n v="0.88695999999999997"/>
    <n v="320.8"/>
  </r>
  <r>
    <x v="11"/>
    <x v="25"/>
    <x v="10"/>
    <m/>
    <n v="0.87092000000000003"/>
    <n v="0.90300000000000002"/>
    <n v="0.88695999999999997"/>
    <n v="320.8"/>
  </r>
  <r>
    <x v="11"/>
    <x v="25"/>
    <x v="10"/>
    <m/>
    <n v="0.87092000000000003"/>
    <n v="0.90300000000000002"/>
    <n v="0.88695999999999997"/>
    <n v="320.8"/>
  </r>
  <r>
    <x v="11"/>
    <x v="25"/>
    <x v="10"/>
    <m/>
    <n v="0.87092000000000003"/>
    <n v="0.90300000000000002"/>
    <n v="0.88695999999999997"/>
    <n v="320.8"/>
  </r>
  <r>
    <x v="11"/>
    <x v="25"/>
    <x v="10"/>
    <m/>
    <n v="0.87092000000000003"/>
    <n v="0.90300000000000002"/>
    <n v="0.88695999999999997"/>
    <n v="320.8"/>
  </r>
  <r>
    <x v="11"/>
    <x v="25"/>
    <x v="10"/>
    <m/>
    <n v="0.87092000000000003"/>
    <n v="0.90300000000000002"/>
    <n v="0.88695999999999997"/>
    <n v="320.8"/>
  </r>
  <r>
    <x v="11"/>
    <x v="25"/>
    <x v="10"/>
    <m/>
    <n v="0.87092000000000003"/>
    <n v="0.90300000000000002"/>
    <n v="0.88695999999999997"/>
    <n v="320.8"/>
  </r>
  <r>
    <x v="11"/>
    <x v="25"/>
    <x v="10"/>
    <m/>
    <n v="0.87092000000000003"/>
    <n v="0.90300000000000002"/>
    <n v="0.88695999999999997"/>
    <n v="320.8"/>
  </r>
  <r>
    <x v="11"/>
    <x v="60"/>
    <x v="10"/>
    <n v="0.89490999999999998"/>
    <n v="0.87092000000000003"/>
    <n v="0.90300000000000002"/>
    <n v="0.88695999999999997"/>
    <n v="320.8"/>
  </r>
  <r>
    <x v="11"/>
    <x v="60"/>
    <x v="10"/>
    <n v="0.89490999999999998"/>
    <n v="0.87092000000000003"/>
    <n v="0.90300000000000002"/>
    <n v="0.88695999999999997"/>
    <n v="320.8"/>
  </r>
  <r>
    <x v="11"/>
    <x v="60"/>
    <x v="10"/>
    <n v="0.89490999999999998"/>
    <n v="0.87092000000000003"/>
    <n v="0.90300000000000002"/>
    <n v="0.88695999999999997"/>
    <n v="320.8"/>
  </r>
  <r>
    <x v="11"/>
    <x v="60"/>
    <x v="10"/>
    <n v="0.89490999999999998"/>
    <n v="0.87092000000000003"/>
    <n v="0.90300000000000002"/>
    <n v="0.88695999999999997"/>
    <n v="320.8"/>
  </r>
  <r>
    <x v="11"/>
    <x v="60"/>
    <x v="10"/>
    <n v="0.89490999999999998"/>
    <n v="0.87092000000000003"/>
    <n v="0.90300000000000002"/>
    <n v="0.88695999999999997"/>
    <n v="320.8"/>
  </r>
  <r>
    <x v="11"/>
    <x v="60"/>
    <x v="12"/>
    <n v="94.78"/>
    <n v="91.099000000000004"/>
    <n v="95"/>
    <n v="93.049499999999995"/>
    <n v="390.1"/>
  </r>
  <r>
    <x v="11"/>
    <x v="60"/>
    <x v="12"/>
    <n v="94.78"/>
    <n v="91.099000000000004"/>
    <n v="95"/>
    <n v="93.049499999999995"/>
    <n v="390.1"/>
  </r>
  <r>
    <x v="11"/>
    <x v="60"/>
    <x v="12"/>
    <n v="94.78"/>
    <n v="91.099000000000004"/>
    <n v="95"/>
    <n v="93.049499999999995"/>
    <n v="390.1"/>
  </r>
  <r>
    <x v="11"/>
    <x v="60"/>
    <x v="12"/>
    <n v="94.78"/>
    <n v="91.099000000000004"/>
    <n v="95"/>
    <n v="93.049499999999995"/>
    <n v="390.1"/>
  </r>
  <r>
    <x v="11"/>
    <x v="60"/>
    <x v="12"/>
    <n v="94.78"/>
    <n v="91.099000000000004"/>
    <n v="95"/>
    <n v="93.049499999999995"/>
    <n v="390.1"/>
  </r>
  <r>
    <x v="11"/>
    <x v="60"/>
    <x v="12"/>
    <n v="94.78"/>
    <n v="91.099000000000004"/>
    <n v="95"/>
    <n v="93.049499999999995"/>
    <n v="390.1"/>
  </r>
  <r>
    <x v="11"/>
    <x v="60"/>
    <x v="12"/>
    <n v="94.78"/>
    <n v="91.099000000000004"/>
    <n v="95"/>
    <n v="93.049499999999995"/>
    <n v="390.1"/>
  </r>
  <r>
    <x v="11"/>
    <x v="60"/>
    <x v="12"/>
    <n v="94.78"/>
    <n v="91.099000000000004"/>
    <n v="95"/>
    <n v="93.049499999999995"/>
    <n v="390.1"/>
  </r>
  <r>
    <x v="11"/>
    <x v="60"/>
    <x v="12"/>
    <n v="94.78"/>
    <n v="91.099000000000004"/>
    <n v="95"/>
    <n v="93.049499999999995"/>
    <n v="390.1"/>
  </r>
  <r>
    <x v="11"/>
    <x v="60"/>
    <x v="12"/>
    <n v="94.78"/>
    <n v="91.099000000000004"/>
    <n v="95"/>
    <n v="93.049499999999995"/>
    <n v="390.1"/>
  </r>
  <r>
    <x v="11"/>
    <x v="60"/>
    <x v="12"/>
    <n v="94.78"/>
    <n v="91.099000000000004"/>
    <n v="95"/>
    <n v="93.049499999999995"/>
    <n v="390.1"/>
  </r>
  <r>
    <x v="11"/>
    <x v="60"/>
    <x v="12"/>
    <n v="94.78"/>
    <n v="91.099000000000004"/>
    <n v="95"/>
    <n v="93.049499999999995"/>
    <n v="390.1"/>
  </r>
  <r>
    <x v="11"/>
    <x v="60"/>
    <x v="12"/>
    <n v="94.78"/>
    <n v="91.099000000000004"/>
    <n v="95"/>
    <n v="93.049499999999995"/>
    <n v="390.1"/>
  </r>
  <r>
    <x v="11"/>
    <x v="60"/>
    <x v="12"/>
    <n v="94.78"/>
    <n v="91.099000000000004"/>
    <n v="95"/>
    <n v="93.049499999999995"/>
    <n v="390.1"/>
  </r>
  <r>
    <x v="11"/>
    <x v="60"/>
    <x v="12"/>
    <n v="94.78"/>
    <n v="91.099000000000004"/>
    <n v="95"/>
    <n v="93.049499999999995"/>
    <n v="390.1"/>
  </r>
  <r>
    <x v="11"/>
    <x v="60"/>
    <x v="3"/>
    <n v="1.35991"/>
    <n v="1.3520000000000001"/>
    <n v="1.397"/>
    <n v="1.3745000000000001"/>
    <n v="450"/>
  </r>
  <r>
    <x v="11"/>
    <x v="60"/>
    <x v="3"/>
    <n v="1.35991"/>
    <n v="1.3520000000000001"/>
    <n v="1.397"/>
    <n v="1.3745000000000001"/>
    <n v="450"/>
  </r>
  <r>
    <x v="11"/>
    <x v="60"/>
    <x v="3"/>
    <n v="1.35991"/>
    <n v="1.3520000000000001"/>
    <n v="1.397"/>
    <n v="1.3745000000000001"/>
    <n v="450"/>
  </r>
  <r>
    <x v="11"/>
    <x v="60"/>
    <x v="3"/>
    <n v="1.35991"/>
    <n v="1.3520000000000001"/>
    <n v="1.397"/>
    <n v="1.3745000000000001"/>
    <n v="450"/>
  </r>
  <r>
    <x v="11"/>
    <x v="60"/>
    <x v="3"/>
    <n v="1.35991"/>
    <n v="1.3520000000000001"/>
    <n v="1.397"/>
    <n v="1.3745000000000001"/>
    <n v="450"/>
  </r>
  <r>
    <x v="11"/>
    <x v="60"/>
    <x v="3"/>
    <n v="1.35991"/>
    <n v="1.3520000000000001"/>
    <n v="1.397"/>
    <n v="1.3745000000000001"/>
    <n v="450"/>
  </r>
  <r>
    <x v="11"/>
    <x v="60"/>
    <x v="3"/>
    <n v="1.35991"/>
    <n v="1.3520000000000001"/>
    <n v="1.397"/>
    <n v="1.3745000000000001"/>
    <n v="450"/>
  </r>
  <r>
    <x v="11"/>
    <x v="60"/>
    <x v="3"/>
    <n v="1.35991"/>
    <n v="1.3520000000000001"/>
    <n v="1.397"/>
    <n v="1.3745000000000001"/>
    <n v="450"/>
  </r>
  <r>
    <x v="11"/>
    <x v="60"/>
    <x v="3"/>
    <n v="1.35991"/>
    <n v="1.3520000000000001"/>
    <n v="1.397"/>
    <n v="1.3745000000000001"/>
    <n v="450"/>
  </r>
  <r>
    <x v="11"/>
    <x v="60"/>
    <x v="3"/>
    <n v="1.35991"/>
    <n v="1.3520000000000001"/>
    <n v="1.397"/>
    <n v="1.3745000000000001"/>
    <n v="450"/>
  </r>
  <r>
    <x v="11"/>
    <x v="60"/>
    <x v="3"/>
    <n v="1.35991"/>
    <n v="1.3520000000000001"/>
    <n v="1.397"/>
    <n v="1.3745000000000001"/>
    <n v="450"/>
  </r>
  <r>
    <x v="11"/>
    <x v="60"/>
    <x v="3"/>
    <n v="1.35991"/>
    <n v="1.3520000000000001"/>
    <n v="1.397"/>
    <n v="1.3745000000000001"/>
    <n v="450"/>
  </r>
  <r>
    <x v="11"/>
    <x v="60"/>
    <x v="3"/>
    <n v="1.35991"/>
    <n v="1.3520000000000001"/>
    <n v="1.397"/>
    <n v="1.3745000000000001"/>
    <n v="450"/>
  </r>
  <r>
    <x v="11"/>
    <x v="60"/>
    <x v="3"/>
    <n v="1.35991"/>
    <n v="1.3520000000000001"/>
    <n v="1.397"/>
    <n v="1.3745000000000001"/>
    <n v="450"/>
  </r>
  <r>
    <x v="11"/>
    <x v="60"/>
    <x v="3"/>
    <n v="1.35991"/>
    <n v="1.3520000000000001"/>
    <n v="1.397"/>
    <n v="1.3745000000000001"/>
    <n v="450"/>
  </r>
  <r>
    <x v="11"/>
    <x v="60"/>
    <x v="3"/>
    <n v="1.35991"/>
    <n v="1.3520000000000001"/>
    <n v="1.397"/>
    <n v="1.3745000000000001"/>
    <n v="450"/>
  </r>
  <r>
    <x v="11"/>
    <x v="60"/>
    <x v="3"/>
    <n v="1.35991"/>
    <n v="1.3520000000000001"/>
    <n v="1.397"/>
    <n v="1.3745000000000001"/>
    <n v="450"/>
  </r>
  <r>
    <x v="11"/>
    <x v="60"/>
    <x v="0"/>
    <n v="1.9552499999999999"/>
    <n v="1.9189400000000001"/>
    <n v="1.994"/>
    <n v="1.9564699999999999"/>
    <n v="750.6"/>
  </r>
  <r>
    <x v="11"/>
    <x v="60"/>
    <x v="0"/>
    <n v="1.9552499999999999"/>
    <n v="1.9189400000000001"/>
    <n v="1.994"/>
    <n v="1.9564699999999999"/>
    <n v="750.6"/>
  </r>
  <r>
    <x v="11"/>
    <x v="60"/>
    <x v="0"/>
    <n v="1.9552499999999999"/>
    <n v="1.9189400000000001"/>
    <n v="1.994"/>
    <n v="1.9564699999999999"/>
    <n v="750.6"/>
  </r>
  <r>
    <x v="11"/>
    <x v="60"/>
    <x v="0"/>
    <n v="1.9552499999999999"/>
    <n v="1.9189400000000001"/>
    <n v="1.994"/>
    <n v="1.9564699999999999"/>
    <n v="750.6"/>
  </r>
  <r>
    <x v="11"/>
    <x v="60"/>
    <x v="0"/>
    <n v="1.9552499999999999"/>
    <n v="1.9189400000000001"/>
    <n v="1.994"/>
    <n v="1.9564699999999999"/>
    <n v="750.6"/>
  </r>
  <r>
    <x v="11"/>
    <x v="60"/>
    <x v="0"/>
    <n v="1.9552499999999999"/>
    <n v="1.9189400000000001"/>
    <n v="1.994"/>
    <n v="1.9564699999999999"/>
    <n v="750.6"/>
  </r>
  <r>
    <x v="11"/>
    <x v="60"/>
    <x v="0"/>
    <n v="1.9552499999999999"/>
    <n v="1.9189400000000001"/>
    <n v="1.994"/>
    <n v="1.9564699999999999"/>
    <n v="750.6"/>
  </r>
  <r>
    <x v="11"/>
    <x v="60"/>
    <x v="0"/>
    <n v="1.9552499999999999"/>
    <n v="1.9189400000000001"/>
    <n v="1.994"/>
    <n v="1.9564699999999999"/>
    <n v="750.6"/>
  </r>
  <r>
    <x v="11"/>
    <x v="60"/>
    <x v="0"/>
    <n v="1.9552499999999999"/>
    <n v="1.9189400000000001"/>
    <n v="1.994"/>
    <n v="1.9564699999999999"/>
    <n v="750.6"/>
  </r>
  <r>
    <x v="11"/>
    <x v="60"/>
    <x v="0"/>
    <n v="1.9552499999999999"/>
    <n v="1.9189400000000001"/>
    <n v="1.994"/>
    <n v="1.9564699999999999"/>
    <n v="750.6"/>
  </r>
  <r>
    <x v="11"/>
    <x v="60"/>
    <x v="0"/>
    <n v="1.9552499999999999"/>
    <n v="1.9189400000000001"/>
    <n v="1.994"/>
    <n v="1.9564699999999999"/>
    <n v="750.6"/>
  </r>
  <r>
    <x v="11"/>
    <x v="60"/>
    <x v="0"/>
    <n v="1.9552499999999999"/>
    <n v="1.9189400000000001"/>
    <n v="1.994"/>
    <n v="1.9564699999999999"/>
    <n v="750.6"/>
  </r>
  <r>
    <x v="11"/>
    <x v="60"/>
    <x v="0"/>
    <n v="1.9552499999999999"/>
    <n v="1.9189400000000001"/>
    <n v="1.994"/>
    <n v="1.9564699999999999"/>
    <n v="750.6"/>
  </r>
  <r>
    <x v="11"/>
    <x v="60"/>
    <x v="0"/>
    <n v="1.9552499999999999"/>
    <n v="1.9189400000000001"/>
    <n v="1.994"/>
    <n v="1.9564699999999999"/>
    <n v="750.6"/>
  </r>
  <r>
    <x v="11"/>
    <x v="60"/>
    <x v="0"/>
    <n v="1.9552499999999999"/>
    <n v="1.9189400000000001"/>
    <n v="1.994"/>
    <n v="1.9564699999999999"/>
    <n v="750.6"/>
  </r>
  <r>
    <x v="11"/>
    <x v="60"/>
    <x v="0"/>
    <n v="1.9552499999999999"/>
    <n v="1.9189400000000001"/>
    <n v="1.994"/>
    <n v="1.9564699999999999"/>
    <n v="750.6"/>
  </r>
  <r>
    <x v="11"/>
    <x v="60"/>
    <x v="0"/>
    <n v="1.9552499999999999"/>
    <n v="1.9189400000000001"/>
    <n v="1.994"/>
    <n v="1.9564699999999999"/>
    <n v="750.6"/>
  </r>
  <r>
    <x v="11"/>
    <x v="60"/>
    <x v="0"/>
    <n v="1.9552499999999999"/>
    <n v="1.9189400000000001"/>
    <n v="1.994"/>
    <n v="1.9564699999999999"/>
    <n v="750.6"/>
  </r>
  <r>
    <x v="11"/>
    <x v="60"/>
    <x v="0"/>
    <n v="1.9552499999999999"/>
    <n v="1.9189400000000001"/>
    <n v="1.994"/>
    <n v="1.9564699999999999"/>
    <n v="750.6"/>
  </r>
  <r>
    <x v="11"/>
    <x v="60"/>
    <x v="10"/>
    <n v="0.89490999999999998"/>
    <n v="0.87092000000000003"/>
    <n v="0.90300000000000002"/>
    <n v="0.88695999999999997"/>
    <n v="320.8"/>
  </r>
  <r>
    <x v="11"/>
    <x v="60"/>
    <x v="10"/>
    <n v="0.89490999999999998"/>
    <n v="0.87092000000000003"/>
    <n v="0.90300000000000002"/>
    <n v="0.88695999999999997"/>
    <n v="320.8"/>
  </r>
  <r>
    <x v="11"/>
    <x v="60"/>
    <x v="10"/>
    <n v="0.89490999999999998"/>
    <n v="0.87092000000000003"/>
    <n v="0.90300000000000002"/>
    <n v="0.88695999999999997"/>
    <n v="320.8"/>
  </r>
  <r>
    <x v="11"/>
    <x v="60"/>
    <x v="10"/>
    <n v="0.89490999999999998"/>
    <n v="0.87092000000000003"/>
    <n v="0.90300000000000002"/>
    <n v="0.88695999999999997"/>
    <n v="320.8"/>
  </r>
  <r>
    <x v="11"/>
    <x v="60"/>
    <x v="10"/>
    <n v="0.89490999999999998"/>
    <n v="0.87092000000000003"/>
    <n v="0.90300000000000002"/>
    <n v="0.88695999999999997"/>
    <n v="320.8"/>
  </r>
  <r>
    <x v="11"/>
    <x v="60"/>
    <x v="10"/>
    <n v="0.89490999999999998"/>
    <n v="0.87092000000000003"/>
    <n v="0.90300000000000002"/>
    <n v="0.88695999999999997"/>
    <n v="320.8"/>
  </r>
  <r>
    <x v="11"/>
    <x v="60"/>
    <x v="10"/>
    <n v="0.89490999999999998"/>
    <n v="0.87092000000000003"/>
    <n v="0.90300000000000002"/>
    <n v="0.88695999999999997"/>
    <n v="320.8"/>
  </r>
  <r>
    <x v="11"/>
    <x v="60"/>
    <x v="10"/>
    <n v="0.89490999999999998"/>
    <n v="0.87092000000000003"/>
    <n v="0.90300000000000002"/>
    <n v="0.88695999999999997"/>
    <n v="320.8"/>
  </r>
  <r>
    <x v="11"/>
    <x v="60"/>
    <x v="10"/>
    <n v="0.89490999999999998"/>
    <n v="0.87092000000000003"/>
    <n v="0.90300000000000002"/>
    <n v="0.88695999999999997"/>
    <n v="320.8"/>
  </r>
  <r>
    <x v="11"/>
    <x v="60"/>
    <x v="10"/>
    <n v="0.89490999999999998"/>
    <n v="0.87092000000000003"/>
    <n v="0.90300000000000002"/>
    <n v="0.88695999999999997"/>
    <n v="320.8"/>
  </r>
  <r>
    <x v="11"/>
    <x v="60"/>
    <x v="10"/>
    <n v="0.89490999999999998"/>
    <n v="0.87092000000000003"/>
    <n v="0.90300000000000002"/>
    <n v="0.88695999999999997"/>
    <n v="320.8"/>
  </r>
  <r>
    <x v="11"/>
    <x v="60"/>
    <x v="10"/>
    <n v="0.89490999999999998"/>
    <n v="0.87092000000000003"/>
    <n v="0.90300000000000002"/>
    <n v="0.88695999999999997"/>
    <n v="320.8"/>
  </r>
  <r>
    <x v="11"/>
    <x v="60"/>
    <x v="10"/>
    <n v="0.89490999999999998"/>
    <n v="0.87092000000000003"/>
    <n v="0.90300000000000002"/>
    <n v="0.88695999999999997"/>
    <n v="320.8"/>
  </r>
  <r>
    <x v="11"/>
    <x v="26"/>
    <x v="10"/>
    <n v="0.89068999999999998"/>
    <n v="0.87092000000000003"/>
    <n v="0.90300000000000002"/>
    <n v="0.88695999999999997"/>
    <n v="320.8"/>
  </r>
  <r>
    <x v="11"/>
    <x v="26"/>
    <x v="10"/>
    <n v="0.89068999999999998"/>
    <n v="0.87092000000000003"/>
    <n v="0.90300000000000002"/>
    <n v="0.88695999999999997"/>
    <n v="320.8"/>
  </r>
  <r>
    <x v="11"/>
    <x v="26"/>
    <x v="10"/>
    <n v="0.89068999999999998"/>
    <n v="0.87092000000000003"/>
    <n v="0.90300000000000002"/>
    <n v="0.88695999999999997"/>
    <n v="320.8"/>
  </r>
  <r>
    <x v="11"/>
    <x v="26"/>
    <x v="10"/>
    <n v="0.89068999999999998"/>
    <n v="0.87092000000000003"/>
    <n v="0.90300000000000002"/>
    <n v="0.88695999999999997"/>
    <n v="320.8"/>
  </r>
  <r>
    <x v="11"/>
    <x v="26"/>
    <x v="10"/>
    <n v="0.89068999999999998"/>
    <n v="0.87092000000000003"/>
    <n v="0.90300000000000002"/>
    <n v="0.88695999999999997"/>
    <n v="320.8"/>
  </r>
  <r>
    <x v="11"/>
    <x v="26"/>
    <x v="12"/>
    <n v="95.022000000000006"/>
    <n v="91.099000000000004"/>
    <n v="95.2"/>
    <n v="93.149500000000003"/>
    <n v="410.1"/>
  </r>
  <r>
    <x v="11"/>
    <x v="26"/>
    <x v="12"/>
    <n v="95.022000000000006"/>
    <n v="91.099000000000004"/>
    <n v="95.2"/>
    <n v="93.149500000000003"/>
    <n v="410.1"/>
  </r>
  <r>
    <x v="11"/>
    <x v="26"/>
    <x v="12"/>
    <n v="95.022000000000006"/>
    <n v="91.099000000000004"/>
    <n v="95.2"/>
    <n v="93.149500000000003"/>
    <n v="410.1"/>
  </r>
  <r>
    <x v="11"/>
    <x v="26"/>
    <x v="12"/>
    <n v="95.022000000000006"/>
    <n v="91.099000000000004"/>
    <n v="95.2"/>
    <n v="93.149500000000003"/>
    <n v="410.1"/>
  </r>
  <r>
    <x v="11"/>
    <x v="26"/>
    <x v="12"/>
    <n v="95.022000000000006"/>
    <n v="91.099000000000004"/>
    <n v="95.2"/>
    <n v="93.149500000000003"/>
    <n v="410.1"/>
  </r>
  <r>
    <x v="11"/>
    <x v="26"/>
    <x v="12"/>
    <n v="95.022000000000006"/>
    <n v="91.099000000000004"/>
    <n v="95.2"/>
    <n v="93.149500000000003"/>
    <n v="410.1"/>
  </r>
  <r>
    <x v="11"/>
    <x v="26"/>
    <x v="12"/>
    <n v="95.022000000000006"/>
    <n v="91.099000000000004"/>
    <n v="95.2"/>
    <n v="93.149500000000003"/>
    <n v="410.1"/>
  </r>
  <r>
    <x v="11"/>
    <x v="26"/>
    <x v="12"/>
    <n v="95.022000000000006"/>
    <n v="91.099000000000004"/>
    <n v="95.2"/>
    <n v="93.149500000000003"/>
    <n v="410.1"/>
  </r>
  <r>
    <x v="11"/>
    <x v="26"/>
    <x v="12"/>
    <n v="95.022000000000006"/>
    <n v="91.099000000000004"/>
    <n v="95.2"/>
    <n v="93.149500000000003"/>
    <n v="410.1"/>
  </r>
  <r>
    <x v="11"/>
    <x v="26"/>
    <x v="12"/>
    <n v="95.022000000000006"/>
    <n v="91.099000000000004"/>
    <n v="95.2"/>
    <n v="93.149500000000003"/>
    <n v="410.1"/>
  </r>
  <r>
    <x v="11"/>
    <x v="26"/>
    <x v="12"/>
    <n v="95.022000000000006"/>
    <n v="91.099000000000004"/>
    <n v="95.2"/>
    <n v="93.149500000000003"/>
    <n v="410.1"/>
  </r>
  <r>
    <x v="11"/>
    <x v="26"/>
    <x v="12"/>
    <n v="95.022000000000006"/>
    <n v="91.099000000000004"/>
    <n v="95.2"/>
    <n v="93.149500000000003"/>
    <n v="410.1"/>
  </r>
  <r>
    <x v="11"/>
    <x v="26"/>
    <x v="12"/>
    <n v="95.022000000000006"/>
    <n v="91.099000000000004"/>
    <n v="95.2"/>
    <n v="93.149500000000003"/>
    <n v="410.1"/>
  </r>
  <r>
    <x v="11"/>
    <x v="26"/>
    <x v="12"/>
    <n v="95.022000000000006"/>
    <n v="91.099000000000004"/>
    <n v="95.2"/>
    <n v="93.149500000000003"/>
    <n v="410.1"/>
  </r>
  <r>
    <x v="11"/>
    <x v="26"/>
    <x v="12"/>
    <n v="95.022000000000006"/>
    <n v="91.099000000000004"/>
    <n v="95.2"/>
    <n v="93.149500000000003"/>
    <n v="410.1"/>
  </r>
  <r>
    <x v="11"/>
    <x v="26"/>
    <x v="12"/>
    <n v="95.022000000000006"/>
    <n v="91.099000000000004"/>
    <n v="95.2"/>
    <n v="93.149500000000003"/>
    <n v="410.1"/>
  </r>
  <r>
    <x v="11"/>
    <x v="26"/>
    <x v="3"/>
    <n v="1.36459"/>
    <n v="1.3520000000000001"/>
    <n v="1.397"/>
    <n v="1.3745000000000001"/>
    <n v="450"/>
  </r>
  <r>
    <x v="11"/>
    <x v="26"/>
    <x v="3"/>
    <n v="1.36459"/>
    <n v="1.3520000000000001"/>
    <n v="1.397"/>
    <n v="1.3745000000000001"/>
    <n v="450"/>
  </r>
  <r>
    <x v="11"/>
    <x v="26"/>
    <x v="3"/>
    <n v="1.36459"/>
    <n v="1.3520000000000001"/>
    <n v="1.397"/>
    <n v="1.3745000000000001"/>
    <n v="450"/>
  </r>
  <r>
    <x v="11"/>
    <x v="26"/>
    <x v="3"/>
    <n v="1.36459"/>
    <n v="1.3520000000000001"/>
    <n v="1.397"/>
    <n v="1.3745000000000001"/>
    <n v="450"/>
  </r>
  <r>
    <x v="11"/>
    <x v="26"/>
    <x v="3"/>
    <n v="1.36459"/>
    <n v="1.3520000000000001"/>
    <n v="1.397"/>
    <n v="1.3745000000000001"/>
    <n v="450"/>
  </r>
  <r>
    <x v="11"/>
    <x v="26"/>
    <x v="3"/>
    <n v="1.36459"/>
    <n v="1.3520000000000001"/>
    <n v="1.397"/>
    <n v="1.3745000000000001"/>
    <n v="450"/>
  </r>
  <r>
    <x v="11"/>
    <x v="26"/>
    <x v="3"/>
    <n v="1.36459"/>
    <n v="1.3520000000000001"/>
    <n v="1.397"/>
    <n v="1.3745000000000001"/>
    <n v="450"/>
  </r>
  <r>
    <x v="11"/>
    <x v="26"/>
    <x v="3"/>
    <n v="1.36459"/>
    <n v="1.3520000000000001"/>
    <n v="1.397"/>
    <n v="1.3745000000000001"/>
    <n v="450"/>
  </r>
  <r>
    <x v="11"/>
    <x v="26"/>
    <x v="3"/>
    <n v="1.36459"/>
    <n v="1.3520000000000001"/>
    <n v="1.397"/>
    <n v="1.3745000000000001"/>
    <n v="450"/>
  </r>
  <r>
    <x v="11"/>
    <x v="26"/>
    <x v="3"/>
    <n v="1.36459"/>
    <n v="1.3520000000000001"/>
    <n v="1.397"/>
    <n v="1.3745000000000001"/>
    <n v="450"/>
  </r>
  <r>
    <x v="11"/>
    <x v="26"/>
    <x v="3"/>
    <n v="1.36459"/>
    <n v="1.3520000000000001"/>
    <n v="1.397"/>
    <n v="1.3745000000000001"/>
    <n v="450"/>
  </r>
  <r>
    <x v="11"/>
    <x v="26"/>
    <x v="3"/>
    <n v="1.36459"/>
    <n v="1.3520000000000001"/>
    <n v="1.397"/>
    <n v="1.3745000000000001"/>
    <n v="450"/>
  </r>
  <r>
    <x v="11"/>
    <x v="26"/>
    <x v="3"/>
    <n v="1.36459"/>
    <n v="1.3520000000000001"/>
    <n v="1.397"/>
    <n v="1.3745000000000001"/>
    <n v="450"/>
  </r>
  <r>
    <x v="11"/>
    <x v="26"/>
    <x v="3"/>
    <n v="1.36459"/>
    <n v="1.3520000000000001"/>
    <n v="1.397"/>
    <n v="1.3745000000000001"/>
    <n v="450"/>
  </r>
  <r>
    <x v="11"/>
    <x v="26"/>
    <x v="3"/>
    <n v="1.36459"/>
    <n v="1.3520000000000001"/>
    <n v="1.397"/>
    <n v="1.3745000000000001"/>
    <n v="450"/>
  </r>
  <r>
    <x v="11"/>
    <x v="26"/>
    <x v="3"/>
    <n v="1.36459"/>
    <n v="1.3520000000000001"/>
    <n v="1.397"/>
    <n v="1.3745000000000001"/>
    <n v="450"/>
  </r>
  <r>
    <x v="11"/>
    <x v="26"/>
    <x v="3"/>
    <n v="1.36459"/>
    <n v="1.3520000000000001"/>
    <n v="1.397"/>
    <n v="1.3745000000000001"/>
    <n v="450"/>
  </r>
  <r>
    <x v="11"/>
    <x v="26"/>
    <x v="0"/>
    <n v="1.93953"/>
    <n v="1.9189400000000001"/>
    <n v="1.994"/>
    <n v="1.9564699999999999"/>
    <n v="750.6"/>
  </r>
  <r>
    <x v="11"/>
    <x v="26"/>
    <x v="0"/>
    <n v="1.93953"/>
    <n v="1.9189400000000001"/>
    <n v="1.994"/>
    <n v="1.9564699999999999"/>
    <n v="750.6"/>
  </r>
  <r>
    <x v="11"/>
    <x v="26"/>
    <x v="0"/>
    <n v="1.93953"/>
    <n v="1.9189400000000001"/>
    <n v="1.994"/>
    <n v="1.9564699999999999"/>
    <n v="750.6"/>
  </r>
  <r>
    <x v="11"/>
    <x v="26"/>
    <x v="0"/>
    <n v="1.93953"/>
    <n v="1.9189400000000001"/>
    <n v="1.994"/>
    <n v="1.9564699999999999"/>
    <n v="750.6"/>
  </r>
  <r>
    <x v="11"/>
    <x v="26"/>
    <x v="0"/>
    <n v="1.93953"/>
    <n v="1.9189400000000001"/>
    <n v="1.994"/>
    <n v="1.9564699999999999"/>
    <n v="750.6"/>
  </r>
  <r>
    <x v="11"/>
    <x v="26"/>
    <x v="0"/>
    <n v="1.93953"/>
    <n v="1.9189400000000001"/>
    <n v="1.994"/>
    <n v="1.9564699999999999"/>
    <n v="750.6"/>
  </r>
  <r>
    <x v="11"/>
    <x v="26"/>
    <x v="0"/>
    <n v="1.93953"/>
    <n v="1.9189400000000001"/>
    <n v="1.994"/>
    <n v="1.9564699999999999"/>
    <n v="750.6"/>
  </r>
  <r>
    <x v="11"/>
    <x v="26"/>
    <x v="0"/>
    <n v="1.93953"/>
    <n v="1.9189400000000001"/>
    <n v="1.994"/>
    <n v="1.9564699999999999"/>
    <n v="750.6"/>
  </r>
  <r>
    <x v="11"/>
    <x v="26"/>
    <x v="0"/>
    <n v="1.93953"/>
    <n v="1.9189400000000001"/>
    <n v="1.994"/>
    <n v="1.9564699999999999"/>
    <n v="750.6"/>
  </r>
  <r>
    <x v="11"/>
    <x v="26"/>
    <x v="0"/>
    <n v="1.93953"/>
    <n v="1.9189400000000001"/>
    <n v="1.994"/>
    <n v="1.9564699999999999"/>
    <n v="750.6"/>
  </r>
  <r>
    <x v="11"/>
    <x v="26"/>
    <x v="0"/>
    <n v="1.93953"/>
    <n v="1.9189400000000001"/>
    <n v="1.994"/>
    <n v="1.9564699999999999"/>
    <n v="750.6"/>
  </r>
  <r>
    <x v="11"/>
    <x v="26"/>
    <x v="0"/>
    <n v="1.93953"/>
    <n v="1.9189400000000001"/>
    <n v="1.994"/>
    <n v="1.9564699999999999"/>
    <n v="750.6"/>
  </r>
  <r>
    <x v="11"/>
    <x v="26"/>
    <x v="0"/>
    <n v="1.93953"/>
    <n v="1.9189400000000001"/>
    <n v="1.994"/>
    <n v="1.9564699999999999"/>
    <n v="750.6"/>
  </r>
  <r>
    <x v="11"/>
    <x v="26"/>
    <x v="0"/>
    <n v="1.93953"/>
    <n v="1.9189400000000001"/>
    <n v="1.994"/>
    <n v="1.9564699999999999"/>
    <n v="750.6"/>
  </r>
  <r>
    <x v="11"/>
    <x v="26"/>
    <x v="0"/>
    <n v="1.93953"/>
    <n v="1.9189400000000001"/>
    <n v="1.994"/>
    <n v="1.9564699999999999"/>
    <n v="750.6"/>
  </r>
  <r>
    <x v="11"/>
    <x v="26"/>
    <x v="0"/>
    <n v="1.93953"/>
    <n v="1.9189400000000001"/>
    <n v="1.994"/>
    <n v="1.9564699999999999"/>
    <n v="750.6"/>
  </r>
  <r>
    <x v="11"/>
    <x v="26"/>
    <x v="0"/>
    <n v="1.93953"/>
    <n v="1.9189400000000001"/>
    <n v="1.994"/>
    <n v="1.9564699999999999"/>
    <n v="750.6"/>
  </r>
  <r>
    <x v="11"/>
    <x v="26"/>
    <x v="0"/>
    <n v="1.93953"/>
    <n v="1.9189400000000001"/>
    <n v="1.994"/>
    <n v="1.9564699999999999"/>
    <n v="750.6"/>
  </r>
  <r>
    <x v="11"/>
    <x v="26"/>
    <x v="10"/>
    <n v="0.89068999999999998"/>
    <n v="0.87092000000000003"/>
    <n v="0.90300000000000002"/>
    <n v="0.88695999999999997"/>
    <n v="320.8"/>
  </r>
  <r>
    <x v="11"/>
    <x v="26"/>
    <x v="10"/>
    <n v="0.89068999999999998"/>
    <n v="0.87092000000000003"/>
    <n v="0.90300000000000002"/>
    <n v="0.88695999999999997"/>
    <n v="320.8"/>
  </r>
  <r>
    <x v="11"/>
    <x v="26"/>
    <x v="10"/>
    <n v="0.89068999999999998"/>
    <n v="0.87092000000000003"/>
    <n v="0.90300000000000002"/>
    <n v="0.88695999999999997"/>
    <n v="320.8"/>
  </r>
  <r>
    <x v="11"/>
    <x v="26"/>
    <x v="10"/>
    <n v="0.89068999999999998"/>
    <n v="0.87092000000000003"/>
    <n v="0.90300000000000002"/>
    <n v="0.88695999999999997"/>
    <n v="320.8"/>
  </r>
  <r>
    <x v="11"/>
    <x v="26"/>
    <x v="10"/>
    <n v="0.89068999999999998"/>
    <n v="0.87092000000000003"/>
    <n v="0.90300000000000002"/>
    <n v="0.88695999999999997"/>
    <n v="320.8"/>
  </r>
  <r>
    <x v="11"/>
    <x v="26"/>
    <x v="10"/>
    <n v="0.89068999999999998"/>
    <n v="0.87092000000000003"/>
    <n v="0.90300000000000002"/>
    <n v="0.88695999999999997"/>
    <n v="320.8"/>
  </r>
  <r>
    <x v="11"/>
    <x v="26"/>
    <x v="10"/>
    <n v="0.89068999999999998"/>
    <n v="0.87092000000000003"/>
    <n v="0.90300000000000002"/>
    <n v="0.88695999999999997"/>
    <n v="320.8"/>
  </r>
  <r>
    <x v="11"/>
    <x v="26"/>
    <x v="10"/>
    <n v="0.89068999999999998"/>
    <n v="0.87092000000000003"/>
    <n v="0.90300000000000002"/>
    <n v="0.88695999999999997"/>
    <n v="320.8"/>
  </r>
  <r>
    <x v="11"/>
    <x v="26"/>
    <x v="10"/>
    <n v="0.89068999999999998"/>
    <n v="0.87092000000000003"/>
    <n v="0.90300000000000002"/>
    <n v="0.88695999999999997"/>
    <n v="320.8"/>
  </r>
  <r>
    <x v="11"/>
    <x v="26"/>
    <x v="10"/>
    <n v="0.89068999999999998"/>
    <n v="0.87092000000000003"/>
    <n v="0.90300000000000002"/>
    <n v="0.88695999999999997"/>
    <n v="320.8"/>
  </r>
  <r>
    <x v="11"/>
    <x v="26"/>
    <x v="10"/>
    <n v="0.89068999999999998"/>
    <n v="0.87092000000000003"/>
    <n v="0.90300000000000002"/>
    <n v="0.88695999999999997"/>
    <n v="320.8"/>
  </r>
  <r>
    <x v="11"/>
    <x v="26"/>
    <x v="10"/>
    <n v="0.89068999999999998"/>
    <n v="0.87092000000000003"/>
    <n v="0.90300000000000002"/>
    <n v="0.88695999999999997"/>
    <n v="320.8"/>
  </r>
  <r>
    <x v="11"/>
    <x v="26"/>
    <x v="10"/>
    <n v="0.89068999999999998"/>
    <n v="0.87092000000000003"/>
    <n v="0.90300000000000002"/>
    <n v="0.88695999999999997"/>
    <n v="320.8"/>
  </r>
  <r>
    <x v="11"/>
    <x v="0"/>
    <x v="10"/>
    <n v="0.89363999999999999"/>
    <n v="0.87092000000000003"/>
    <n v="0.90300000000000002"/>
    <n v="0.88695999999999997"/>
    <n v="320.8"/>
  </r>
  <r>
    <x v="11"/>
    <x v="0"/>
    <x v="10"/>
    <n v="0.89363999999999999"/>
    <n v="0.87092000000000003"/>
    <n v="0.90300000000000002"/>
    <n v="0.88695999999999997"/>
    <n v="320.8"/>
  </r>
  <r>
    <x v="11"/>
    <x v="0"/>
    <x v="10"/>
    <n v="0.89363999999999999"/>
    <n v="0.87092000000000003"/>
    <n v="0.90300000000000002"/>
    <n v="0.88695999999999997"/>
    <n v="320.8"/>
  </r>
  <r>
    <x v="11"/>
    <x v="0"/>
    <x v="10"/>
    <n v="0.89363999999999999"/>
    <n v="0.87092000000000003"/>
    <n v="0.90300000000000002"/>
    <n v="0.88695999999999997"/>
    <n v="320.8"/>
  </r>
  <r>
    <x v="11"/>
    <x v="0"/>
    <x v="10"/>
    <n v="0.89363999999999999"/>
    <n v="0.87092000000000003"/>
    <n v="0.90300000000000002"/>
    <n v="0.88695999999999997"/>
    <n v="320.8"/>
  </r>
  <r>
    <x v="11"/>
    <x v="0"/>
    <x v="10"/>
    <n v="0.89363999999999999"/>
    <n v="0.87092000000000003"/>
    <n v="0.90300000000000002"/>
    <n v="0.88695999999999997"/>
    <n v="320.8"/>
  </r>
  <r>
    <x v="11"/>
    <x v="0"/>
    <x v="10"/>
    <n v="0.89363999999999999"/>
    <n v="0.87092000000000003"/>
    <n v="0.90300000000000002"/>
    <n v="0.88695999999999997"/>
    <n v="320.8"/>
  </r>
  <r>
    <x v="11"/>
    <x v="0"/>
    <x v="10"/>
    <n v="0.89363999999999999"/>
    <n v="0.87092000000000003"/>
    <n v="0.90300000000000002"/>
    <n v="0.88695999999999997"/>
    <n v="320.8"/>
  </r>
  <r>
    <x v="11"/>
    <x v="0"/>
    <x v="10"/>
    <n v="0.89363999999999999"/>
    <n v="0.87092000000000003"/>
    <n v="0.90300000000000002"/>
    <n v="0.88695999999999997"/>
    <n v="320.8"/>
  </r>
  <r>
    <x v="11"/>
    <x v="0"/>
    <x v="12"/>
    <n v="95.784000000000006"/>
    <n v="91.099000000000004"/>
    <n v="96.2"/>
    <n v="93.649500000000003"/>
    <n v="510.1"/>
  </r>
  <r>
    <x v="11"/>
    <x v="0"/>
    <x v="12"/>
    <n v="95.784000000000006"/>
    <n v="91.099000000000004"/>
    <n v="96.2"/>
    <n v="93.649500000000003"/>
    <n v="510.1"/>
  </r>
  <r>
    <x v="11"/>
    <x v="0"/>
    <x v="12"/>
    <n v="95.784000000000006"/>
    <n v="91.099000000000004"/>
    <n v="96.2"/>
    <n v="93.649500000000003"/>
    <n v="510.1"/>
  </r>
  <r>
    <x v="11"/>
    <x v="0"/>
    <x v="12"/>
    <n v="95.784000000000006"/>
    <n v="91.099000000000004"/>
    <n v="96.2"/>
    <n v="93.649500000000003"/>
    <n v="510.1"/>
  </r>
  <r>
    <x v="11"/>
    <x v="0"/>
    <x v="12"/>
    <n v="95.784000000000006"/>
    <n v="91.099000000000004"/>
    <n v="96.2"/>
    <n v="93.649500000000003"/>
    <n v="510.1"/>
  </r>
  <r>
    <x v="11"/>
    <x v="0"/>
    <x v="12"/>
    <n v="95.784000000000006"/>
    <n v="91.099000000000004"/>
    <n v="96.2"/>
    <n v="93.649500000000003"/>
    <n v="510.1"/>
  </r>
  <r>
    <x v="11"/>
    <x v="0"/>
    <x v="12"/>
    <n v="95.784000000000006"/>
    <n v="91.099000000000004"/>
    <n v="96.2"/>
    <n v="93.649500000000003"/>
    <n v="510.1"/>
  </r>
  <r>
    <x v="11"/>
    <x v="0"/>
    <x v="12"/>
    <n v="95.784000000000006"/>
    <n v="91.099000000000004"/>
    <n v="96.2"/>
    <n v="93.649500000000003"/>
    <n v="510.1"/>
  </r>
  <r>
    <x v="11"/>
    <x v="0"/>
    <x v="12"/>
    <n v="95.784000000000006"/>
    <n v="91.099000000000004"/>
    <n v="96.2"/>
    <n v="93.649500000000003"/>
    <n v="510.1"/>
  </r>
  <r>
    <x v="11"/>
    <x v="0"/>
    <x v="12"/>
    <n v="95.784000000000006"/>
    <n v="91.099000000000004"/>
    <n v="96.2"/>
    <n v="93.649500000000003"/>
    <n v="510.1"/>
  </r>
  <r>
    <x v="11"/>
    <x v="0"/>
    <x v="12"/>
    <n v="95.784000000000006"/>
    <n v="91.099000000000004"/>
    <n v="96.2"/>
    <n v="93.649500000000003"/>
    <n v="510.1"/>
  </r>
  <r>
    <x v="11"/>
    <x v="0"/>
    <x v="12"/>
    <n v="95.784000000000006"/>
    <n v="91.099000000000004"/>
    <n v="96.2"/>
    <n v="93.649500000000003"/>
    <n v="510.1"/>
  </r>
  <r>
    <x v="11"/>
    <x v="0"/>
    <x v="12"/>
    <n v="95.784000000000006"/>
    <n v="91.099000000000004"/>
    <n v="96.2"/>
    <n v="93.649500000000003"/>
    <n v="510.1"/>
  </r>
  <r>
    <x v="11"/>
    <x v="0"/>
    <x v="12"/>
    <n v="95.784000000000006"/>
    <n v="91.099000000000004"/>
    <n v="96.2"/>
    <n v="93.649500000000003"/>
    <n v="510.1"/>
  </r>
  <r>
    <x v="11"/>
    <x v="0"/>
    <x v="12"/>
    <n v="95.784000000000006"/>
    <n v="91.099000000000004"/>
    <n v="96.2"/>
    <n v="93.649500000000003"/>
    <n v="510.1"/>
  </r>
  <r>
    <x v="11"/>
    <x v="0"/>
    <x v="12"/>
    <n v="95.784000000000006"/>
    <n v="91.099000000000004"/>
    <n v="96.2"/>
    <n v="93.649500000000003"/>
    <n v="510.1"/>
  </r>
  <r>
    <x v="11"/>
    <x v="0"/>
    <x v="12"/>
    <n v="95.784000000000006"/>
    <n v="91.099000000000004"/>
    <n v="96.2"/>
    <n v="93.649500000000003"/>
    <n v="510.1"/>
  </r>
  <r>
    <x v="11"/>
    <x v="0"/>
    <x v="12"/>
    <n v="95.784000000000006"/>
    <n v="91.099000000000004"/>
    <n v="96.2"/>
    <n v="93.649500000000003"/>
    <n v="510.1"/>
  </r>
  <r>
    <x v="11"/>
    <x v="0"/>
    <x v="12"/>
    <n v="95.784000000000006"/>
    <n v="91.099000000000004"/>
    <n v="96.2"/>
    <n v="93.649500000000003"/>
    <n v="510.1"/>
  </r>
  <r>
    <x v="11"/>
    <x v="0"/>
    <x v="12"/>
    <n v="95.784000000000006"/>
    <n v="91.099000000000004"/>
    <n v="96.2"/>
    <n v="93.649500000000003"/>
    <n v="510.1"/>
  </r>
  <r>
    <x v="11"/>
    <x v="0"/>
    <x v="12"/>
    <n v="95.784000000000006"/>
    <n v="91.099000000000004"/>
    <n v="96.2"/>
    <n v="93.649500000000003"/>
    <n v="510.1"/>
  </r>
  <r>
    <x v="11"/>
    <x v="0"/>
    <x v="3"/>
    <n v="1.35934"/>
    <n v="1.3520000000000001"/>
    <n v="1.397"/>
    <n v="1.3745000000000001"/>
    <n v="450"/>
  </r>
  <r>
    <x v="11"/>
    <x v="0"/>
    <x v="3"/>
    <n v="1.35934"/>
    <n v="1.3520000000000001"/>
    <n v="1.397"/>
    <n v="1.3745000000000001"/>
    <n v="450"/>
  </r>
  <r>
    <x v="11"/>
    <x v="0"/>
    <x v="3"/>
    <n v="1.35934"/>
    <n v="1.3520000000000001"/>
    <n v="1.397"/>
    <n v="1.3745000000000001"/>
    <n v="450"/>
  </r>
  <r>
    <x v="11"/>
    <x v="0"/>
    <x v="3"/>
    <n v="1.35934"/>
    <n v="1.3520000000000001"/>
    <n v="1.397"/>
    <n v="1.3745000000000001"/>
    <n v="450"/>
  </r>
  <r>
    <x v="11"/>
    <x v="0"/>
    <x v="3"/>
    <n v="1.35934"/>
    <n v="1.3520000000000001"/>
    <n v="1.397"/>
    <n v="1.3745000000000001"/>
    <n v="450"/>
  </r>
  <r>
    <x v="11"/>
    <x v="0"/>
    <x v="3"/>
    <n v="1.35934"/>
    <n v="1.3520000000000001"/>
    <n v="1.397"/>
    <n v="1.3745000000000001"/>
    <n v="450"/>
  </r>
  <r>
    <x v="11"/>
    <x v="0"/>
    <x v="3"/>
    <n v="1.35934"/>
    <n v="1.3520000000000001"/>
    <n v="1.397"/>
    <n v="1.3745000000000001"/>
    <n v="450"/>
  </r>
  <r>
    <x v="11"/>
    <x v="0"/>
    <x v="3"/>
    <n v="1.35934"/>
    <n v="1.3520000000000001"/>
    <n v="1.397"/>
    <n v="1.3745000000000001"/>
    <n v="450"/>
  </r>
  <r>
    <x v="11"/>
    <x v="0"/>
    <x v="3"/>
    <n v="1.35934"/>
    <n v="1.3520000000000001"/>
    <n v="1.397"/>
    <n v="1.3745000000000001"/>
    <n v="450"/>
  </r>
  <r>
    <x v="11"/>
    <x v="0"/>
    <x v="3"/>
    <n v="1.35934"/>
    <n v="1.3520000000000001"/>
    <n v="1.397"/>
    <n v="1.3745000000000001"/>
    <n v="450"/>
  </r>
  <r>
    <x v="11"/>
    <x v="0"/>
    <x v="3"/>
    <n v="1.35934"/>
    <n v="1.3520000000000001"/>
    <n v="1.397"/>
    <n v="1.3745000000000001"/>
    <n v="450"/>
  </r>
  <r>
    <x v="11"/>
    <x v="0"/>
    <x v="3"/>
    <n v="1.35934"/>
    <n v="1.3520000000000001"/>
    <n v="1.397"/>
    <n v="1.3745000000000001"/>
    <n v="450"/>
  </r>
  <r>
    <x v="11"/>
    <x v="0"/>
    <x v="3"/>
    <n v="1.35934"/>
    <n v="1.3520000000000001"/>
    <n v="1.397"/>
    <n v="1.3745000000000001"/>
    <n v="450"/>
  </r>
  <r>
    <x v="11"/>
    <x v="0"/>
    <x v="3"/>
    <n v="1.35934"/>
    <n v="1.3520000000000001"/>
    <n v="1.397"/>
    <n v="1.3745000000000001"/>
    <n v="450"/>
  </r>
  <r>
    <x v="11"/>
    <x v="0"/>
    <x v="3"/>
    <n v="1.35934"/>
    <n v="1.3520000000000001"/>
    <n v="1.397"/>
    <n v="1.3745000000000001"/>
    <n v="450"/>
  </r>
  <r>
    <x v="11"/>
    <x v="0"/>
    <x v="3"/>
    <n v="1.35934"/>
    <n v="1.3520000000000001"/>
    <n v="1.397"/>
    <n v="1.3745000000000001"/>
    <n v="450"/>
  </r>
  <r>
    <x v="11"/>
    <x v="0"/>
    <x v="0"/>
    <n v="1.96217"/>
    <n v="1.9189400000000001"/>
    <n v="1.994"/>
    <n v="1.9564699999999999"/>
    <n v="750.6"/>
  </r>
  <r>
    <x v="11"/>
    <x v="0"/>
    <x v="0"/>
    <n v="1.96217"/>
    <n v="1.9189400000000001"/>
    <n v="1.994"/>
    <n v="1.9564699999999999"/>
    <n v="750.6"/>
  </r>
  <r>
    <x v="11"/>
    <x v="0"/>
    <x v="0"/>
    <n v="1.96217"/>
    <n v="1.9189400000000001"/>
    <n v="1.994"/>
    <n v="1.9564699999999999"/>
    <n v="750.6"/>
  </r>
  <r>
    <x v="11"/>
    <x v="0"/>
    <x v="0"/>
    <n v="1.96217"/>
    <n v="1.9189400000000001"/>
    <n v="1.994"/>
    <n v="1.9564699999999999"/>
    <n v="750.6"/>
  </r>
  <r>
    <x v="11"/>
    <x v="0"/>
    <x v="0"/>
    <n v="1.96217"/>
    <n v="1.9189400000000001"/>
    <n v="1.994"/>
    <n v="1.9564699999999999"/>
    <n v="750.6"/>
  </r>
  <r>
    <x v="11"/>
    <x v="0"/>
    <x v="0"/>
    <n v="1.96217"/>
    <n v="1.9189400000000001"/>
    <n v="1.994"/>
    <n v="1.9564699999999999"/>
    <n v="750.6"/>
  </r>
  <r>
    <x v="11"/>
    <x v="0"/>
    <x v="0"/>
    <n v="1.96217"/>
    <n v="1.9189400000000001"/>
    <n v="1.994"/>
    <n v="1.9564699999999999"/>
    <n v="750.6"/>
  </r>
  <r>
    <x v="11"/>
    <x v="0"/>
    <x v="0"/>
    <n v="1.96217"/>
    <n v="1.9189400000000001"/>
    <n v="1.994"/>
    <n v="1.9564699999999999"/>
    <n v="750.6"/>
  </r>
  <r>
    <x v="11"/>
    <x v="0"/>
    <x v="0"/>
    <n v="1.96217"/>
    <n v="1.9189400000000001"/>
    <n v="1.994"/>
    <n v="1.9564699999999999"/>
    <n v="750.6"/>
  </r>
  <r>
    <x v="11"/>
    <x v="0"/>
    <x v="0"/>
    <n v="1.96217"/>
    <n v="1.9189400000000001"/>
    <n v="1.994"/>
    <n v="1.9564699999999999"/>
    <n v="750.6"/>
  </r>
  <r>
    <x v="11"/>
    <x v="0"/>
    <x v="0"/>
    <n v="1.96217"/>
    <n v="1.9189400000000001"/>
    <n v="1.994"/>
    <n v="1.9564699999999999"/>
    <n v="750.6"/>
  </r>
  <r>
    <x v="11"/>
    <x v="0"/>
    <x v="0"/>
    <n v="1.96217"/>
    <n v="1.9189400000000001"/>
    <n v="1.994"/>
    <n v="1.9564699999999999"/>
    <n v="750.6"/>
  </r>
  <r>
    <x v="11"/>
    <x v="0"/>
    <x v="0"/>
    <n v="1.96217"/>
    <n v="1.9189400000000001"/>
    <n v="1.994"/>
    <n v="1.9564699999999999"/>
    <n v="750.6"/>
  </r>
  <r>
    <x v="11"/>
    <x v="0"/>
    <x v="0"/>
    <n v="1.96217"/>
    <n v="1.9189400000000001"/>
    <n v="1.994"/>
    <n v="1.9564699999999999"/>
    <n v="750.6"/>
  </r>
  <r>
    <x v="11"/>
    <x v="0"/>
    <x v="0"/>
    <n v="1.96217"/>
    <n v="1.9189400000000001"/>
    <n v="1.994"/>
    <n v="1.9564699999999999"/>
    <n v="750.6"/>
  </r>
  <r>
    <x v="11"/>
    <x v="0"/>
    <x v="0"/>
    <n v="1.96217"/>
    <n v="1.9189400000000001"/>
    <n v="1.994"/>
    <n v="1.9564699999999999"/>
    <n v="750.6"/>
  </r>
  <r>
    <x v="11"/>
    <x v="0"/>
    <x v="0"/>
    <n v="1.96217"/>
    <n v="1.9189400000000001"/>
    <n v="1.994"/>
    <n v="1.9564699999999999"/>
    <n v="750.6"/>
  </r>
  <r>
    <x v="11"/>
    <x v="0"/>
    <x v="0"/>
    <n v="1.96217"/>
    <n v="1.9189400000000001"/>
    <n v="1.994"/>
    <n v="1.9564699999999999"/>
    <n v="750.6"/>
  </r>
  <r>
    <x v="11"/>
    <x v="0"/>
    <x v="10"/>
    <n v="0.89363999999999999"/>
    <n v="0.87092000000000003"/>
    <n v="0.90300000000000002"/>
    <n v="0.88695999999999997"/>
    <n v="320.8"/>
  </r>
  <r>
    <x v="11"/>
    <x v="0"/>
    <x v="10"/>
    <n v="0.89363999999999999"/>
    <n v="0.87092000000000003"/>
    <n v="0.90300000000000002"/>
    <n v="0.88695999999999997"/>
    <n v="320.8"/>
  </r>
  <r>
    <x v="11"/>
    <x v="0"/>
    <x v="10"/>
    <n v="0.89363999999999999"/>
    <n v="0.87092000000000003"/>
    <n v="0.90300000000000002"/>
    <n v="0.88695999999999997"/>
    <n v="320.8"/>
  </r>
  <r>
    <x v="11"/>
    <x v="0"/>
    <x v="10"/>
    <n v="0.89363999999999999"/>
    <n v="0.87092000000000003"/>
    <n v="0.90300000000000002"/>
    <n v="0.88695999999999997"/>
    <n v="320.8"/>
  </r>
  <r>
    <x v="11"/>
    <x v="0"/>
    <x v="10"/>
    <n v="0.89363999999999999"/>
    <n v="0.87092000000000003"/>
    <n v="0.90300000000000002"/>
    <n v="0.88695999999999997"/>
    <n v="320.8"/>
  </r>
  <r>
    <x v="11"/>
    <x v="0"/>
    <x v="10"/>
    <n v="0.89363999999999999"/>
    <n v="0.87092000000000003"/>
    <n v="0.90300000000000002"/>
    <n v="0.88695999999999997"/>
    <n v="320.8"/>
  </r>
  <r>
    <x v="11"/>
    <x v="0"/>
    <x v="10"/>
    <n v="0.89363999999999999"/>
    <n v="0.87092000000000003"/>
    <n v="0.90300000000000002"/>
    <n v="0.88695999999999997"/>
    <n v="320.8"/>
  </r>
  <r>
    <x v="11"/>
    <x v="0"/>
    <x v="10"/>
    <n v="0.89363999999999999"/>
    <n v="0.87092000000000003"/>
    <n v="0.90300000000000002"/>
    <n v="0.88695999999999997"/>
    <n v="320.8"/>
  </r>
  <r>
    <x v="11"/>
    <x v="0"/>
    <x v="10"/>
    <n v="0.89363999999999999"/>
    <n v="0.87092000000000003"/>
    <n v="0.90300000000000002"/>
    <n v="0.88695999999999997"/>
    <n v="320.8"/>
  </r>
  <r>
    <x v="11"/>
    <x v="1"/>
    <x v="10"/>
    <n v="0.89192000000000005"/>
    <n v="0.87092000000000003"/>
    <n v="0.90300000000000002"/>
    <n v="0.88695999999999997"/>
    <n v="320.8"/>
  </r>
  <r>
    <x v="11"/>
    <x v="1"/>
    <x v="10"/>
    <n v="0.89192000000000005"/>
    <n v="0.87092000000000003"/>
    <n v="0.90300000000000002"/>
    <n v="0.88695999999999997"/>
    <n v="320.8"/>
  </r>
  <r>
    <x v="11"/>
    <x v="1"/>
    <x v="10"/>
    <n v="0.89192000000000005"/>
    <n v="0.87092000000000003"/>
    <n v="0.90300000000000002"/>
    <n v="0.88695999999999997"/>
    <n v="320.8"/>
  </r>
  <r>
    <x v="11"/>
    <x v="1"/>
    <x v="10"/>
    <n v="0.89192000000000005"/>
    <n v="0.87092000000000003"/>
    <n v="0.90300000000000002"/>
    <n v="0.88695999999999997"/>
    <n v="320.8"/>
  </r>
  <r>
    <x v="11"/>
    <x v="1"/>
    <x v="10"/>
    <n v="0.89192000000000005"/>
    <n v="0.87092000000000003"/>
    <n v="0.90300000000000002"/>
    <n v="0.88695999999999997"/>
    <n v="320.8"/>
  </r>
  <r>
    <x v="11"/>
    <x v="1"/>
    <x v="10"/>
    <n v="0.89192000000000005"/>
    <n v="0.87092000000000003"/>
    <n v="0.90300000000000002"/>
    <n v="0.88695999999999997"/>
    <n v="320.8"/>
  </r>
  <r>
    <x v="11"/>
    <x v="1"/>
    <x v="10"/>
    <n v="0.89192000000000005"/>
    <n v="0.87092000000000003"/>
    <n v="0.90300000000000002"/>
    <n v="0.88695999999999997"/>
    <n v="320.8"/>
  </r>
  <r>
    <x v="11"/>
    <x v="1"/>
    <x v="10"/>
    <n v="0.89192000000000005"/>
    <n v="0.87092000000000003"/>
    <n v="0.90300000000000002"/>
    <n v="0.88695999999999997"/>
    <n v="320.8"/>
  </r>
  <r>
    <x v="11"/>
    <x v="1"/>
    <x v="10"/>
    <n v="0.89192000000000005"/>
    <n v="0.87092000000000003"/>
    <n v="0.90300000000000002"/>
    <n v="0.88695999999999997"/>
    <n v="320.8"/>
  </r>
  <r>
    <x v="11"/>
    <x v="1"/>
    <x v="10"/>
    <n v="0.89192000000000005"/>
    <n v="0.87092000000000003"/>
    <n v="0.90300000000000002"/>
    <n v="0.88695999999999997"/>
    <n v="320.8"/>
  </r>
  <r>
    <x v="11"/>
    <x v="1"/>
    <x v="10"/>
    <n v="0.89192000000000005"/>
    <n v="0.87092000000000003"/>
    <n v="0.90300000000000002"/>
    <n v="0.88695999999999997"/>
    <n v="320.8"/>
  </r>
  <r>
    <x v="11"/>
    <x v="1"/>
    <x v="12"/>
    <n v="94.269000000000005"/>
    <n v="91.099000000000004"/>
    <n v="96.2"/>
    <n v="93.649500000000003"/>
    <n v="510.1"/>
  </r>
  <r>
    <x v="11"/>
    <x v="1"/>
    <x v="12"/>
    <n v="94.269000000000005"/>
    <n v="91.099000000000004"/>
    <n v="96.2"/>
    <n v="93.649500000000003"/>
    <n v="510.1"/>
  </r>
  <r>
    <x v="11"/>
    <x v="1"/>
    <x v="12"/>
    <n v="94.269000000000005"/>
    <n v="91.099000000000004"/>
    <n v="96.2"/>
    <n v="93.649500000000003"/>
    <n v="510.1"/>
  </r>
  <r>
    <x v="11"/>
    <x v="1"/>
    <x v="12"/>
    <n v="94.269000000000005"/>
    <n v="91.099000000000004"/>
    <n v="96.2"/>
    <n v="93.649500000000003"/>
    <n v="510.1"/>
  </r>
  <r>
    <x v="11"/>
    <x v="1"/>
    <x v="12"/>
    <n v="94.269000000000005"/>
    <n v="91.099000000000004"/>
    <n v="96.2"/>
    <n v="93.649500000000003"/>
    <n v="510.1"/>
  </r>
  <r>
    <x v="11"/>
    <x v="1"/>
    <x v="12"/>
    <n v="94.269000000000005"/>
    <n v="91.099000000000004"/>
    <n v="96.2"/>
    <n v="93.649500000000003"/>
    <n v="510.1"/>
  </r>
  <r>
    <x v="11"/>
    <x v="1"/>
    <x v="12"/>
    <n v="94.269000000000005"/>
    <n v="91.099000000000004"/>
    <n v="96.2"/>
    <n v="93.649500000000003"/>
    <n v="510.1"/>
  </r>
  <r>
    <x v="11"/>
    <x v="1"/>
    <x v="12"/>
    <n v="94.269000000000005"/>
    <n v="91.099000000000004"/>
    <n v="96.2"/>
    <n v="93.649500000000003"/>
    <n v="510.1"/>
  </r>
  <r>
    <x v="11"/>
    <x v="1"/>
    <x v="12"/>
    <n v="94.269000000000005"/>
    <n v="91.099000000000004"/>
    <n v="96.2"/>
    <n v="93.649500000000003"/>
    <n v="510.1"/>
  </r>
  <r>
    <x v="11"/>
    <x v="1"/>
    <x v="12"/>
    <n v="94.269000000000005"/>
    <n v="91.099000000000004"/>
    <n v="96.2"/>
    <n v="93.649500000000003"/>
    <n v="510.1"/>
  </r>
  <r>
    <x v="11"/>
    <x v="1"/>
    <x v="12"/>
    <n v="94.269000000000005"/>
    <n v="91.099000000000004"/>
    <n v="96.2"/>
    <n v="93.649500000000003"/>
    <n v="510.1"/>
  </r>
  <r>
    <x v="11"/>
    <x v="1"/>
    <x v="12"/>
    <n v="94.269000000000005"/>
    <n v="91.099000000000004"/>
    <n v="96.2"/>
    <n v="93.649500000000003"/>
    <n v="510.1"/>
  </r>
  <r>
    <x v="11"/>
    <x v="1"/>
    <x v="12"/>
    <n v="94.269000000000005"/>
    <n v="91.099000000000004"/>
    <n v="96.2"/>
    <n v="93.649500000000003"/>
    <n v="510.1"/>
  </r>
  <r>
    <x v="11"/>
    <x v="1"/>
    <x v="12"/>
    <n v="94.269000000000005"/>
    <n v="91.099000000000004"/>
    <n v="96.2"/>
    <n v="93.649500000000003"/>
    <n v="510.1"/>
  </r>
  <r>
    <x v="11"/>
    <x v="1"/>
    <x v="12"/>
    <n v="94.269000000000005"/>
    <n v="91.099000000000004"/>
    <n v="96.2"/>
    <n v="93.649500000000003"/>
    <n v="510.1"/>
  </r>
  <r>
    <x v="11"/>
    <x v="1"/>
    <x v="12"/>
    <n v="94.269000000000005"/>
    <n v="91.099000000000004"/>
    <n v="96.2"/>
    <n v="93.649500000000003"/>
    <n v="510.1"/>
  </r>
  <r>
    <x v="11"/>
    <x v="1"/>
    <x v="12"/>
    <n v="94.269000000000005"/>
    <n v="91.099000000000004"/>
    <n v="96.2"/>
    <n v="93.649500000000003"/>
    <n v="510.1"/>
  </r>
  <r>
    <x v="11"/>
    <x v="1"/>
    <x v="12"/>
    <n v="94.269000000000005"/>
    <n v="91.099000000000004"/>
    <n v="96.2"/>
    <n v="93.649500000000003"/>
    <n v="510.1"/>
  </r>
  <r>
    <x v="11"/>
    <x v="1"/>
    <x v="12"/>
    <n v="94.269000000000005"/>
    <n v="91.099000000000004"/>
    <n v="96.2"/>
    <n v="93.649500000000003"/>
    <n v="510.1"/>
  </r>
  <r>
    <x v="11"/>
    <x v="1"/>
    <x v="12"/>
    <n v="94.269000000000005"/>
    <n v="91.099000000000004"/>
    <n v="96.2"/>
    <n v="93.649500000000003"/>
    <n v="510.1"/>
  </r>
  <r>
    <x v="11"/>
    <x v="1"/>
    <x v="12"/>
    <n v="94.269000000000005"/>
    <n v="91.099000000000004"/>
    <n v="96.2"/>
    <n v="93.649500000000003"/>
    <n v="510.1"/>
  </r>
  <r>
    <x v="11"/>
    <x v="1"/>
    <x v="3"/>
    <n v="1.36012"/>
    <n v="1.3520000000000001"/>
    <n v="1.397"/>
    <n v="1.3745000000000001"/>
    <n v="450"/>
  </r>
  <r>
    <x v="11"/>
    <x v="1"/>
    <x v="3"/>
    <n v="1.36012"/>
    <n v="1.3520000000000001"/>
    <n v="1.397"/>
    <n v="1.3745000000000001"/>
    <n v="450"/>
  </r>
  <r>
    <x v="11"/>
    <x v="1"/>
    <x v="3"/>
    <n v="1.36012"/>
    <n v="1.3520000000000001"/>
    <n v="1.397"/>
    <n v="1.3745000000000001"/>
    <n v="450"/>
  </r>
  <r>
    <x v="11"/>
    <x v="1"/>
    <x v="3"/>
    <n v="1.36012"/>
    <n v="1.3520000000000001"/>
    <n v="1.397"/>
    <n v="1.3745000000000001"/>
    <n v="450"/>
  </r>
  <r>
    <x v="11"/>
    <x v="1"/>
    <x v="3"/>
    <n v="1.36012"/>
    <n v="1.3520000000000001"/>
    <n v="1.397"/>
    <n v="1.3745000000000001"/>
    <n v="450"/>
  </r>
  <r>
    <x v="11"/>
    <x v="1"/>
    <x v="3"/>
    <n v="1.36012"/>
    <n v="1.3520000000000001"/>
    <n v="1.397"/>
    <n v="1.3745000000000001"/>
    <n v="450"/>
  </r>
  <r>
    <x v="11"/>
    <x v="1"/>
    <x v="3"/>
    <n v="1.36012"/>
    <n v="1.3520000000000001"/>
    <n v="1.397"/>
    <n v="1.3745000000000001"/>
    <n v="450"/>
  </r>
  <r>
    <x v="11"/>
    <x v="1"/>
    <x v="3"/>
    <n v="1.36012"/>
    <n v="1.3520000000000001"/>
    <n v="1.397"/>
    <n v="1.3745000000000001"/>
    <n v="450"/>
  </r>
  <r>
    <x v="11"/>
    <x v="1"/>
    <x v="3"/>
    <n v="1.36012"/>
    <n v="1.3520000000000001"/>
    <n v="1.397"/>
    <n v="1.3745000000000001"/>
    <n v="450"/>
  </r>
  <r>
    <x v="11"/>
    <x v="1"/>
    <x v="3"/>
    <n v="1.36012"/>
    <n v="1.3520000000000001"/>
    <n v="1.397"/>
    <n v="1.3745000000000001"/>
    <n v="450"/>
  </r>
  <r>
    <x v="11"/>
    <x v="1"/>
    <x v="3"/>
    <n v="1.36012"/>
    <n v="1.3520000000000001"/>
    <n v="1.397"/>
    <n v="1.3745000000000001"/>
    <n v="450"/>
  </r>
  <r>
    <x v="11"/>
    <x v="1"/>
    <x v="3"/>
    <n v="1.36012"/>
    <n v="1.3520000000000001"/>
    <n v="1.397"/>
    <n v="1.3745000000000001"/>
    <n v="450"/>
  </r>
  <r>
    <x v="11"/>
    <x v="1"/>
    <x v="3"/>
    <n v="1.36012"/>
    <n v="1.3520000000000001"/>
    <n v="1.397"/>
    <n v="1.3745000000000001"/>
    <n v="450"/>
  </r>
  <r>
    <x v="11"/>
    <x v="1"/>
    <x v="3"/>
    <n v="1.36012"/>
    <n v="1.3520000000000001"/>
    <n v="1.397"/>
    <n v="1.3745000000000001"/>
    <n v="450"/>
  </r>
  <r>
    <x v="11"/>
    <x v="1"/>
    <x v="3"/>
    <n v="1.36012"/>
    <n v="1.3520000000000001"/>
    <n v="1.397"/>
    <n v="1.3745000000000001"/>
    <n v="450"/>
  </r>
  <r>
    <x v="11"/>
    <x v="1"/>
    <x v="3"/>
    <n v="1.36012"/>
    <n v="1.3520000000000001"/>
    <n v="1.397"/>
    <n v="1.3745000000000001"/>
    <n v="450"/>
  </r>
  <r>
    <x v="11"/>
    <x v="1"/>
    <x v="3"/>
    <n v="1.36012"/>
    <n v="1.3520000000000001"/>
    <n v="1.397"/>
    <n v="1.3745000000000001"/>
    <n v="450"/>
  </r>
  <r>
    <x v="11"/>
    <x v="1"/>
    <x v="0"/>
    <n v="1.94255"/>
    <n v="1.9189400000000001"/>
    <n v="1.994"/>
    <n v="1.9564699999999999"/>
    <n v="750.6"/>
  </r>
  <r>
    <x v="11"/>
    <x v="1"/>
    <x v="0"/>
    <n v="1.94255"/>
    <n v="1.9189400000000001"/>
    <n v="1.994"/>
    <n v="1.9564699999999999"/>
    <n v="750.6"/>
  </r>
  <r>
    <x v="11"/>
    <x v="1"/>
    <x v="0"/>
    <n v="1.94255"/>
    <n v="1.9189400000000001"/>
    <n v="1.994"/>
    <n v="1.9564699999999999"/>
    <n v="750.6"/>
  </r>
  <r>
    <x v="11"/>
    <x v="1"/>
    <x v="0"/>
    <n v="1.94255"/>
    <n v="1.9189400000000001"/>
    <n v="1.994"/>
    <n v="1.9564699999999999"/>
    <n v="750.6"/>
  </r>
  <r>
    <x v="11"/>
    <x v="1"/>
    <x v="0"/>
    <n v="1.94255"/>
    <n v="1.9189400000000001"/>
    <n v="1.994"/>
    <n v="1.9564699999999999"/>
    <n v="750.6"/>
  </r>
  <r>
    <x v="11"/>
    <x v="1"/>
    <x v="0"/>
    <n v="1.94255"/>
    <n v="1.9189400000000001"/>
    <n v="1.994"/>
    <n v="1.9564699999999999"/>
    <n v="750.6"/>
  </r>
  <r>
    <x v="11"/>
    <x v="1"/>
    <x v="0"/>
    <n v="1.94255"/>
    <n v="1.9189400000000001"/>
    <n v="1.994"/>
    <n v="1.9564699999999999"/>
    <n v="750.6"/>
  </r>
  <r>
    <x v="11"/>
    <x v="1"/>
    <x v="0"/>
    <n v="1.94255"/>
    <n v="1.9189400000000001"/>
    <n v="1.994"/>
    <n v="1.9564699999999999"/>
    <n v="750.6"/>
  </r>
  <r>
    <x v="11"/>
    <x v="1"/>
    <x v="0"/>
    <n v="1.94255"/>
    <n v="1.9189400000000001"/>
    <n v="1.994"/>
    <n v="1.9564699999999999"/>
    <n v="750.6"/>
  </r>
  <r>
    <x v="11"/>
    <x v="1"/>
    <x v="0"/>
    <n v="1.94255"/>
    <n v="1.9189400000000001"/>
    <n v="1.994"/>
    <n v="1.9564699999999999"/>
    <n v="750.6"/>
  </r>
  <r>
    <x v="11"/>
    <x v="1"/>
    <x v="0"/>
    <n v="1.94255"/>
    <n v="1.9189400000000001"/>
    <n v="1.994"/>
    <n v="1.9564699999999999"/>
    <n v="750.6"/>
  </r>
  <r>
    <x v="11"/>
    <x v="1"/>
    <x v="0"/>
    <n v="1.94255"/>
    <n v="1.9189400000000001"/>
    <n v="1.994"/>
    <n v="1.9564699999999999"/>
    <n v="750.6"/>
  </r>
  <r>
    <x v="11"/>
    <x v="1"/>
    <x v="0"/>
    <n v="1.94255"/>
    <n v="1.9189400000000001"/>
    <n v="1.994"/>
    <n v="1.9564699999999999"/>
    <n v="750.6"/>
  </r>
  <r>
    <x v="11"/>
    <x v="1"/>
    <x v="0"/>
    <n v="1.94255"/>
    <n v="1.9189400000000001"/>
    <n v="1.994"/>
    <n v="1.9564699999999999"/>
    <n v="750.6"/>
  </r>
  <r>
    <x v="11"/>
    <x v="1"/>
    <x v="0"/>
    <n v="1.94255"/>
    <n v="1.9189400000000001"/>
    <n v="1.994"/>
    <n v="1.9564699999999999"/>
    <n v="750.6"/>
  </r>
  <r>
    <x v="11"/>
    <x v="1"/>
    <x v="0"/>
    <n v="1.94255"/>
    <n v="1.9189400000000001"/>
    <n v="1.994"/>
    <n v="1.9564699999999999"/>
    <n v="750.6"/>
  </r>
  <r>
    <x v="11"/>
    <x v="1"/>
    <x v="0"/>
    <n v="1.94255"/>
    <n v="1.9189400000000001"/>
    <n v="1.994"/>
    <n v="1.9564699999999999"/>
    <n v="750.6"/>
  </r>
  <r>
    <x v="11"/>
    <x v="1"/>
    <x v="0"/>
    <n v="1.94255"/>
    <n v="1.9189400000000001"/>
    <n v="1.994"/>
    <n v="1.9564699999999999"/>
    <n v="750.6"/>
  </r>
  <r>
    <x v="11"/>
    <x v="1"/>
    <x v="10"/>
    <n v="0.89192000000000005"/>
    <n v="0.87092000000000003"/>
    <n v="0.90300000000000002"/>
    <n v="0.88695999999999997"/>
    <n v="320.8"/>
  </r>
  <r>
    <x v="11"/>
    <x v="1"/>
    <x v="10"/>
    <n v="0.89192000000000005"/>
    <n v="0.87092000000000003"/>
    <n v="0.90300000000000002"/>
    <n v="0.88695999999999997"/>
    <n v="320.8"/>
  </r>
  <r>
    <x v="11"/>
    <x v="1"/>
    <x v="10"/>
    <n v="0.89192000000000005"/>
    <n v="0.87092000000000003"/>
    <n v="0.90300000000000002"/>
    <n v="0.88695999999999997"/>
    <n v="320.8"/>
  </r>
  <r>
    <x v="11"/>
    <x v="1"/>
    <x v="10"/>
    <n v="0.89192000000000005"/>
    <n v="0.87092000000000003"/>
    <n v="0.90300000000000002"/>
    <n v="0.88695999999999997"/>
    <n v="320.8"/>
  </r>
  <r>
    <x v="11"/>
    <x v="1"/>
    <x v="10"/>
    <n v="0.89192000000000005"/>
    <n v="0.87092000000000003"/>
    <n v="0.90300000000000002"/>
    <n v="0.88695999999999997"/>
    <n v="320.8"/>
  </r>
  <r>
    <x v="11"/>
    <x v="1"/>
    <x v="10"/>
    <n v="0.89192000000000005"/>
    <n v="0.87092000000000003"/>
    <n v="0.90300000000000002"/>
    <n v="0.88695999999999997"/>
    <n v="320.8"/>
  </r>
  <r>
    <x v="11"/>
    <x v="1"/>
    <x v="10"/>
    <n v="0.89192000000000005"/>
    <n v="0.87092000000000003"/>
    <n v="0.90300000000000002"/>
    <n v="0.88695999999999997"/>
    <n v="320.8"/>
  </r>
  <r>
    <x v="11"/>
    <x v="1"/>
    <x v="10"/>
    <n v="0.89192000000000005"/>
    <n v="0.87092000000000003"/>
    <n v="0.90300000000000002"/>
    <n v="0.88695999999999997"/>
    <n v="320.8"/>
  </r>
  <r>
    <x v="11"/>
    <x v="2"/>
    <x v="10"/>
    <n v="0.89785000000000004"/>
    <n v="0.87092000000000003"/>
    <n v="0.90300000000000002"/>
    <n v="0.88695999999999997"/>
    <n v="320.8"/>
  </r>
  <r>
    <x v="11"/>
    <x v="2"/>
    <x v="10"/>
    <n v="0.89785000000000004"/>
    <n v="0.87092000000000003"/>
    <n v="0.90300000000000002"/>
    <n v="0.88695999999999997"/>
    <n v="320.8"/>
  </r>
  <r>
    <x v="11"/>
    <x v="2"/>
    <x v="10"/>
    <n v="0.89785000000000004"/>
    <n v="0.87092000000000003"/>
    <n v="0.90300000000000002"/>
    <n v="0.88695999999999997"/>
    <n v="320.8"/>
  </r>
  <r>
    <x v="11"/>
    <x v="2"/>
    <x v="10"/>
    <n v="0.89785000000000004"/>
    <n v="0.87092000000000003"/>
    <n v="0.90300000000000002"/>
    <n v="0.88695999999999997"/>
    <n v="320.8"/>
  </r>
  <r>
    <x v="11"/>
    <x v="2"/>
    <x v="10"/>
    <n v="0.89785000000000004"/>
    <n v="0.87092000000000003"/>
    <n v="0.90300000000000002"/>
    <n v="0.88695999999999997"/>
    <n v="320.8"/>
  </r>
  <r>
    <x v="11"/>
    <x v="2"/>
    <x v="10"/>
    <n v="0.89785000000000004"/>
    <n v="0.87092000000000003"/>
    <n v="0.90300000000000002"/>
    <n v="0.88695999999999997"/>
    <n v="320.8"/>
  </r>
  <r>
    <x v="11"/>
    <x v="2"/>
    <x v="10"/>
    <n v="0.89785000000000004"/>
    <n v="0.87092000000000003"/>
    <n v="0.90300000000000002"/>
    <n v="0.88695999999999997"/>
    <n v="320.8"/>
  </r>
  <r>
    <x v="11"/>
    <x v="2"/>
    <x v="10"/>
    <n v="0.89785000000000004"/>
    <n v="0.87092000000000003"/>
    <n v="0.90300000000000002"/>
    <n v="0.88695999999999997"/>
    <n v="320.8"/>
  </r>
  <r>
    <x v="11"/>
    <x v="2"/>
    <x v="10"/>
    <n v="0.89785000000000004"/>
    <n v="0.87092000000000003"/>
    <n v="0.90300000000000002"/>
    <n v="0.88695999999999997"/>
    <n v="320.8"/>
  </r>
  <r>
    <x v="11"/>
    <x v="2"/>
    <x v="10"/>
    <n v="0.89785000000000004"/>
    <n v="0.87092000000000003"/>
    <n v="0.90300000000000002"/>
    <n v="0.88695999999999997"/>
    <n v="320.8"/>
  </r>
  <r>
    <x v="11"/>
    <x v="2"/>
    <x v="10"/>
    <n v="0.89785000000000004"/>
    <n v="0.87092000000000003"/>
    <n v="0.90300000000000002"/>
    <n v="0.88695999999999997"/>
    <n v="320.8"/>
  </r>
  <r>
    <x v="11"/>
    <x v="2"/>
    <x v="10"/>
    <n v="0.89785000000000004"/>
    <n v="0.87092000000000003"/>
    <n v="0.90300000000000002"/>
    <n v="0.88695999999999997"/>
    <n v="320.8"/>
  </r>
  <r>
    <x v="11"/>
    <x v="2"/>
    <x v="10"/>
    <n v="0.89785000000000004"/>
    <n v="0.87092000000000003"/>
    <n v="0.90300000000000002"/>
    <n v="0.88695999999999997"/>
    <n v="320.8"/>
  </r>
  <r>
    <x v="11"/>
    <x v="2"/>
    <x v="10"/>
    <n v="0.89785000000000004"/>
    <n v="0.87092000000000003"/>
    <n v="0.90300000000000002"/>
    <n v="0.88695999999999997"/>
    <n v="320.8"/>
  </r>
  <r>
    <x v="11"/>
    <x v="2"/>
    <x v="12"/>
    <n v="94.373999999999995"/>
    <n v="91.099000000000004"/>
    <n v="96.2"/>
    <n v="93.649500000000003"/>
    <n v="510.1"/>
  </r>
  <r>
    <x v="11"/>
    <x v="2"/>
    <x v="12"/>
    <n v="94.373999999999995"/>
    <n v="91.099000000000004"/>
    <n v="96.2"/>
    <n v="93.649500000000003"/>
    <n v="510.1"/>
  </r>
  <r>
    <x v="11"/>
    <x v="2"/>
    <x v="12"/>
    <n v="94.373999999999995"/>
    <n v="91.099000000000004"/>
    <n v="96.2"/>
    <n v="93.649500000000003"/>
    <n v="510.1"/>
  </r>
  <r>
    <x v="11"/>
    <x v="2"/>
    <x v="12"/>
    <n v="94.373999999999995"/>
    <n v="91.099000000000004"/>
    <n v="96.2"/>
    <n v="93.649500000000003"/>
    <n v="510.1"/>
  </r>
  <r>
    <x v="11"/>
    <x v="2"/>
    <x v="12"/>
    <n v="94.373999999999995"/>
    <n v="91.099000000000004"/>
    <n v="96.2"/>
    <n v="93.649500000000003"/>
    <n v="510.1"/>
  </r>
  <r>
    <x v="11"/>
    <x v="2"/>
    <x v="12"/>
    <n v="94.373999999999995"/>
    <n v="91.099000000000004"/>
    <n v="96.2"/>
    <n v="93.649500000000003"/>
    <n v="510.1"/>
  </r>
  <r>
    <x v="11"/>
    <x v="2"/>
    <x v="12"/>
    <n v="94.373999999999995"/>
    <n v="91.099000000000004"/>
    <n v="96.2"/>
    <n v="93.649500000000003"/>
    <n v="510.1"/>
  </r>
  <r>
    <x v="11"/>
    <x v="2"/>
    <x v="12"/>
    <n v="94.373999999999995"/>
    <n v="91.099000000000004"/>
    <n v="96.2"/>
    <n v="93.649500000000003"/>
    <n v="510.1"/>
  </r>
  <r>
    <x v="11"/>
    <x v="2"/>
    <x v="12"/>
    <n v="94.373999999999995"/>
    <n v="91.099000000000004"/>
    <n v="96.2"/>
    <n v="93.649500000000003"/>
    <n v="510.1"/>
  </r>
  <r>
    <x v="11"/>
    <x v="2"/>
    <x v="12"/>
    <n v="94.373999999999995"/>
    <n v="91.099000000000004"/>
    <n v="96.2"/>
    <n v="93.649500000000003"/>
    <n v="510.1"/>
  </r>
  <r>
    <x v="11"/>
    <x v="2"/>
    <x v="12"/>
    <n v="94.373999999999995"/>
    <n v="91.099000000000004"/>
    <n v="96.2"/>
    <n v="93.649500000000003"/>
    <n v="510.1"/>
  </r>
  <r>
    <x v="11"/>
    <x v="2"/>
    <x v="12"/>
    <n v="94.373999999999995"/>
    <n v="91.099000000000004"/>
    <n v="96.2"/>
    <n v="93.649500000000003"/>
    <n v="510.1"/>
  </r>
  <r>
    <x v="11"/>
    <x v="2"/>
    <x v="12"/>
    <n v="94.373999999999995"/>
    <n v="91.099000000000004"/>
    <n v="96.2"/>
    <n v="93.649500000000003"/>
    <n v="510.1"/>
  </r>
  <r>
    <x v="11"/>
    <x v="2"/>
    <x v="12"/>
    <n v="94.373999999999995"/>
    <n v="91.099000000000004"/>
    <n v="96.2"/>
    <n v="93.649500000000003"/>
    <n v="510.1"/>
  </r>
  <r>
    <x v="11"/>
    <x v="2"/>
    <x v="12"/>
    <n v="94.373999999999995"/>
    <n v="91.099000000000004"/>
    <n v="96.2"/>
    <n v="93.649500000000003"/>
    <n v="510.1"/>
  </r>
  <r>
    <x v="11"/>
    <x v="2"/>
    <x v="12"/>
    <n v="94.373999999999995"/>
    <n v="91.099000000000004"/>
    <n v="96.2"/>
    <n v="93.649500000000003"/>
    <n v="510.1"/>
  </r>
  <r>
    <x v="11"/>
    <x v="2"/>
    <x v="12"/>
    <n v="94.373999999999995"/>
    <n v="91.099000000000004"/>
    <n v="96.2"/>
    <n v="93.649500000000003"/>
    <n v="510.1"/>
  </r>
  <r>
    <x v="11"/>
    <x v="2"/>
    <x v="12"/>
    <n v="94.373999999999995"/>
    <n v="91.099000000000004"/>
    <n v="96.2"/>
    <n v="93.649500000000003"/>
    <n v="510.1"/>
  </r>
  <r>
    <x v="11"/>
    <x v="2"/>
    <x v="12"/>
    <n v="94.373999999999995"/>
    <n v="91.099000000000004"/>
    <n v="96.2"/>
    <n v="93.649500000000003"/>
    <n v="510.1"/>
  </r>
  <r>
    <x v="11"/>
    <x v="2"/>
    <x v="12"/>
    <n v="94.373999999999995"/>
    <n v="91.099000000000004"/>
    <n v="96.2"/>
    <n v="93.649500000000003"/>
    <n v="510.1"/>
  </r>
  <r>
    <x v="11"/>
    <x v="2"/>
    <x v="12"/>
    <n v="94.373999999999995"/>
    <n v="91.099000000000004"/>
    <n v="96.2"/>
    <n v="93.649500000000003"/>
    <n v="510.1"/>
  </r>
  <r>
    <x v="11"/>
    <x v="2"/>
    <x v="12"/>
    <n v="94.373999999999995"/>
    <n v="91.099000000000004"/>
    <n v="96.2"/>
    <n v="93.649500000000003"/>
    <n v="510.1"/>
  </r>
  <r>
    <x v="11"/>
    <x v="2"/>
    <x v="12"/>
    <n v="94.373999999999995"/>
    <n v="91.099000000000004"/>
    <n v="96.2"/>
    <n v="93.649500000000003"/>
    <n v="510.1"/>
  </r>
  <r>
    <x v="11"/>
    <x v="2"/>
    <x v="3"/>
    <n v="1.35225"/>
    <n v="1.349"/>
    <n v="1.397"/>
    <n v="1.373"/>
    <n v="480"/>
  </r>
  <r>
    <x v="11"/>
    <x v="2"/>
    <x v="3"/>
    <n v="1.35225"/>
    <n v="1.349"/>
    <n v="1.397"/>
    <n v="1.373"/>
    <n v="480"/>
  </r>
  <r>
    <x v="11"/>
    <x v="2"/>
    <x v="3"/>
    <n v="1.35225"/>
    <n v="1.349"/>
    <n v="1.397"/>
    <n v="1.373"/>
    <n v="480"/>
  </r>
  <r>
    <x v="11"/>
    <x v="2"/>
    <x v="3"/>
    <n v="1.35225"/>
    <n v="1.349"/>
    <n v="1.397"/>
    <n v="1.373"/>
    <n v="480"/>
  </r>
  <r>
    <x v="11"/>
    <x v="2"/>
    <x v="3"/>
    <n v="1.35225"/>
    <n v="1.349"/>
    <n v="1.397"/>
    <n v="1.373"/>
    <n v="480"/>
  </r>
  <r>
    <x v="11"/>
    <x v="2"/>
    <x v="3"/>
    <n v="1.35225"/>
    <n v="1.349"/>
    <n v="1.397"/>
    <n v="1.373"/>
    <n v="480"/>
  </r>
  <r>
    <x v="11"/>
    <x v="2"/>
    <x v="3"/>
    <n v="1.35225"/>
    <n v="1.349"/>
    <n v="1.397"/>
    <n v="1.373"/>
    <n v="480"/>
  </r>
  <r>
    <x v="11"/>
    <x v="2"/>
    <x v="3"/>
    <n v="1.35225"/>
    <n v="1.349"/>
    <n v="1.397"/>
    <n v="1.373"/>
    <n v="480"/>
  </r>
  <r>
    <x v="11"/>
    <x v="2"/>
    <x v="3"/>
    <n v="1.35225"/>
    <n v="1.349"/>
    <n v="1.397"/>
    <n v="1.373"/>
    <n v="480"/>
  </r>
  <r>
    <x v="11"/>
    <x v="2"/>
    <x v="3"/>
    <n v="1.35225"/>
    <n v="1.349"/>
    <n v="1.397"/>
    <n v="1.373"/>
    <n v="480"/>
  </r>
  <r>
    <x v="11"/>
    <x v="2"/>
    <x v="3"/>
    <n v="1.35225"/>
    <n v="1.349"/>
    <n v="1.397"/>
    <n v="1.373"/>
    <n v="480"/>
  </r>
  <r>
    <x v="11"/>
    <x v="2"/>
    <x v="3"/>
    <n v="1.35225"/>
    <n v="1.349"/>
    <n v="1.397"/>
    <n v="1.373"/>
    <n v="480"/>
  </r>
  <r>
    <x v="11"/>
    <x v="2"/>
    <x v="3"/>
    <n v="1.35225"/>
    <n v="1.349"/>
    <n v="1.397"/>
    <n v="1.373"/>
    <n v="480"/>
  </r>
  <r>
    <x v="11"/>
    <x v="2"/>
    <x v="3"/>
    <n v="1.35225"/>
    <n v="1.349"/>
    <n v="1.397"/>
    <n v="1.373"/>
    <n v="480"/>
  </r>
  <r>
    <x v="11"/>
    <x v="2"/>
    <x v="3"/>
    <n v="1.35225"/>
    <n v="1.349"/>
    <n v="1.397"/>
    <n v="1.373"/>
    <n v="480"/>
  </r>
  <r>
    <x v="11"/>
    <x v="2"/>
    <x v="3"/>
    <n v="1.35225"/>
    <n v="1.349"/>
    <n v="1.397"/>
    <n v="1.373"/>
    <n v="480"/>
  </r>
  <r>
    <x v="11"/>
    <x v="2"/>
    <x v="3"/>
    <n v="1.35225"/>
    <n v="1.349"/>
    <n v="1.397"/>
    <n v="1.373"/>
    <n v="480"/>
  </r>
  <r>
    <x v="11"/>
    <x v="2"/>
    <x v="3"/>
    <n v="1.35225"/>
    <n v="1.349"/>
    <n v="1.397"/>
    <n v="1.373"/>
    <n v="480"/>
  </r>
  <r>
    <x v="11"/>
    <x v="2"/>
    <x v="0"/>
    <n v="1.96492"/>
    <n v="1.9189400000000001"/>
    <n v="1.994"/>
    <n v="1.9564699999999999"/>
    <n v="750.6"/>
  </r>
  <r>
    <x v="11"/>
    <x v="2"/>
    <x v="0"/>
    <n v="1.96492"/>
    <n v="1.9189400000000001"/>
    <n v="1.994"/>
    <n v="1.9564699999999999"/>
    <n v="750.6"/>
  </r>
  <r>
    <x v="11"/>
    <x v="2"/>
    <x v="0"/>
    <n v="1.96492"/>
    <n v="1.9189400000000001"/>
    <n v="1.994"/>
    <n v="1.9564699999999999"/>
    <n v="750.6"/>
  </r>
  <r>
    <x v="11"/>
    <x v="2"/>
    <x v="0"/>
    <n v="1.96492"/>
    <n v="1.9189400000000001"/>
    <n v="1.994"/>
    <n v="1.9564699999999999"/>
    <n v="750.6"/>
  </r>
  <r>
    <x v="11"/>
    <x v="2"/>
    <x v="0"/>
    <n v="1.96492"/>
    <n v="1.9189400000000001"/>
    <n v="1.994"/>
    <n v="1.9564699999999999"/>
    <n v="750.6"/>
  </r>
  <r>
    <x v="11"/>
    <x v="2"/>
    <x v="0"/>
    <n v="1.96492"/>
    <n v="1.9189400000000001"/>
    <n v="1.994"/>
    <n v="1.9564699999999999"/>
    <n v="750.6"/>
  </r>
  <r>
    <x v="11"/>
    <x v="2"/>
    <x v="0"/>
    <n v="1.96492"/>
    <n v="1.9189400000000001"/>
    <n v="1.994"/>
    <n v="1.9564699999999999"/>
    <n v="750.6"/>
  </r>
  <r>
    <x v="11"/>
    <x v="2"/>
    <x v="0"/>
    <n v="1.96492"/>
    <n v="1.9189400000000001"/>
    <n v="1.994"/>
    <n v="1.9564699999999999"/>
    <n v="750.6"/>
  </r>
  <r>
    <x v="11"/>
    <x v="2"/>
    <x v="0"/>
    <n v="1.96492"/>
    <n v="1.9189400000000001"/>
    <n v="1.994"/>
    <n v="1.9564699999999999"/>
    <n v="750.6"/>
  </r>
  <r>
    <x v="11"/>
    <x v="2"/>
    <x v="0"/>
    <n v="1.96492"/>
    <n v="1.9189400000000001"/>
    <n v="1.994"/>
    <n v="1.9564699999999999"/>
    <n v="750.6"/>
  </r>
  <r>
    <x v="11"/>
    <x v="2"/>
    <x v="0"/>
    <n v="1.96492"/>
    <n v="1.9189400000000001"/>
    <n v="1.994"/>
    <n v="1.9564699999999999"/>
    <n v="750.6"/>
  </r>
  <r>
    <x v="11"/>
    <x v="2"/>
    <x v="0"/>
    <n v="1.96492"/>
    <n v="1.9189400000000001"/>
    <n v="1.994"/>
    <n v="1.9564699999999999"/>
    <n v="750.6"/>
  </r>
  <r>
    <x v="11"/>
    <x v="2"/>
    <x v="0"/>
    <n v="1.96492"/>
    <n v="1.9189400000000001"/>
    <n v="1.994"/>
    <n v="1.9564699999999999"/>
    <n v="750.6"/>
  </r>
  <r>
    <x v="11"/>
    <x v="2"/>
    <x v="0"/>
    <n v="1.96492"/>
    <n v="1.9189400000000001"/>
    <n v="1.994"/>
    <n v="1.9564699999999999"/>
    <n v="750.6"/>
  </r>
  <r>
    <x v="11"/>
    <x v="2"/>
    <x v="0"/>
    <n v="1.96492"/>
    <n v="1.9189400000000001"/>
    <n v="1.994"/>
    <n v="1.9564699999999999"/>
    <n v="750.6"/>
  </r>
  <r>
    <x v="11"/>
    <x v="2"/>
    <x v="0"/>
    <n v="1.96492"/>
    <n v="1.9189400000000001"/>
    <n v="1.994"/>
    <n v="1.9564699999999999"/>
    <n v="750.6"/>
  </r>
  <r>
    <x v="11"/>
    <x v="2"/>
    <x v="0"/>
    <n v="1.96492"/>
    <n v="1.9189400000000001"/>
    <n v="1.994"/>
    <n v="1.9564699999999999"/>
    <n v="750.6"/>
  </r>
  <r>
    <x v="11"/>
    <x v="2"/>
    <x v="0"/>
    <n v="1.96492"/>
    <n v="1.9189400000000001"/>
    <n v="1.994"/>
    <n v="1.9564699999999999"/>
    <n v="750.6"/>
  </r>
  <r>
    <x v="11"/>
    <x v="2"/>
    <x v="10"/>
    <n v="0.89785000000000004"/>
    <n v="0.87092000000000003"/>
    <n v="0.90300000000000002"/>
    <n v="0.88695999999999997"/>
    <n v="320.8"/>
  </r>
  <r>
    <x v="11"/>
    <x v="2"/>
    <x v="10"/>
    <n v="0.89785000000000004"/>
    <n v="0.87092000000000003"/>
    <n v="0.90300000000000002"/>
    <n v="0.88695999999999997"/>
    <n v="320.8"/>
  </r>
  <r>
    <x v="11"/>
    <x v="2"/>
    <x v="10"/>
    <n v="0.89785000000000004"/>
    <n v="0.87092000000000003"/>
    <n v="0.90300000000000002"/>
    <n v="0.88695999999999997"/>
    <n v="320.8"/>
  </r>
  <r>
    <x v="11"/>
    <x v="2"/>
    <x v="10"/>
    <n v="0.89785000000000004"/>
    <n v="0.87092000000000003"/>
    <n v="0.90300000000000002"/>
    <n v="0.88695999999999997"/>
    <n v="320.8"/>
  </r>
  <r>
    <x v="11"/>
    <x v="2"/>
    <x v="10"/>
    <n v="0.89785000000000004"/>
    <n v="0.87092000000000003"/>
    <n v="0.90300000000000002"/>
    <n v="0.88695999999999997"/>
    <n v="320.8"/>
  </r>
  <r>
    <x v="11"/>
    <x v="3"/>
    <x v="0"/>
    <n v="1.9835499999999999"/>
    <n v="1.9189400000000001"/>
    <n v="1.994"/>
    <n v="1.9564699999999999"/>
    <n v="750.6"/>
  </r>
  <r>
    <x v="11"/>
    <x v="3"/>
    <x v="10"/>
    <n v="0.90461000000000003"/>
    <n v="0.87092000000000003"/>
    <n v="0.90500000000000003"/>
    <n v="0.88795999999999997"/>
    <n v="340.8"/>
  </r>
  <r>
    <x v="11"/>
    <x v="3"/>
    <x v="10"/>
    <n v="0.90461000000000003"/>
    <n v="0.87092000000000003"/>
    <n v="0.90500000000000003"/>
    <n v="0.88795999999999997"/>
    <n v="340.8"/>
  </r>
  <r>
    <x v="11"/>
    <x v="3"/>
    <x v="10"/>
    <n v="0.90461000000000003"/>
    <n v="0.87092000000000003"/>
    <n v="0.90500000000000003"/>
    <n v="0.88795999999999997"/>
    <n v="340.8"/>
  </r>
  <r>
    <x v="11"/>
    <x v="3"/>
    <x v="10"/>
    <n v="0.90461000000000003"/>
    <n v="0.87092000000000003"/>
    <n v="0.90500000000000003"/>
    <n v="0.88795999999999997"/>
    <n v="340.8"/>
  </r>
  <r>
    <x v="11"/>
    <x v="3"/>
    <x v="10"/>
    <n v="0.90461000000000003"/>
    <n v="0.87092000000000003"/>
    <n v="0.90500000000000003"/>
    <n v="0.88795999999999997"/>
    <n v="340.8"/>
  </r>
  <r>
    <x v="11"/>
    <x v="3"/>
    <x v="10"/>
    <n v="0.90461000000000003"/>
    <n v="0.87092000000000003"/>
    <n v="0.90500000000000003"/>
    <n v="0.88795999999999997"/>
    <n v="340.8"/>
  </r>
  <r>
    <x v="11"/>
    <x v="3"/>
    <x v="10"/>
    <n v="0.90461000000000003"/>
    <n v="0.87092000000000003"/>
    <n v="0.90500000000000003"/>
    <n v="0.88795999999999997"/>
    <n v="340.8"/>
  </r>
  <r>
    <x v="11"/>
    <x v="3"/>
    <x v="10"/>
    <n v="0.90461000000000003"/>
    <n v="0.87092000000000003"/>
    <n v="0.90500000000000003"/>
    <n v="0.88795999999999997"/>
    <n v="340.8"/>
  </r>
  <r>
    <x v="11"/>
    <x v="3"/>
    <x v="10"/>
    <n v="0.90461000000000003"/>
    <n v="0.87092000000000003"/>
    <n v="0.90500000000000003"/>
    <n v="0.88795999999999997"/>
    <n v="340.8"/>
  </r>
  <r>
    <x v="11"/>
    <x v="3"/>
    <x v="10"/>
    <n v="0.90461000000000003"/>
    <n v="0.87092000000000003"/>
    <n v="0.90500000000000003"/>
    <n v="0.88795999999999997"/>
    <n v="340.8"/>
  </r>
  <r>
    <x v="11"/>
    <x v="3"/>
    <x v="10"/>
    <n v="0.90461000000000003"/>
    <n v="0.87092000000000003"/>
    <n v="0.90500000000000003"/>
    <n v="0.88795999999999997"/>
    <n v="340.8"/>
  </r>
  <r>
    <x v="11"/>
    <x v="3"/>
    <x v="10"/>
    <n v="0.90461000000000003"/>
    <n v="0.87092000000000003"/>
    <n v="0.90500000000000003"/>
    <n v="0.88795999999999997"/>
    <n v="340.8"/>
  </r>
  <r>
    <x v="11"/>
    <x v="3"/>
    <x v="10"/>
    <n v="0.90461000000000003"/>
    <n v="0.87092000000000003"/>
    <n v="0.90500000000000003"/>
    <n v="0.88795999999999997"/>
    <n v="340.8"/>
  </r>
  <r>
    <x v="11"/>
    <x v="3"/>
    <x v="10"/>
    <n v="0.90461000000000003"/>
    <n v="0.87092000000000003"/>
    <n v="0.90500000000000003"/>
    <n v="0.88795999999999997"/>
    <n v="340.8"/>
  </r>
  <r>
    <x v="11"/>
    <x v="3"/>
    <x v="10"/>
    <n v="0.90461000000000003"/>
    <n v="0.87092000000000003"/>
    <n v="0.90500000000000003"/>
    <n v="0.88795999999999997"/>
    <n v="340.8"/>
  </r>
  <r>
    <x v="11"/>
    <x v="3"/>
    <x v="10"/>
    <n v="0.90461000000000003"/>
    <n v="0.87092000000000003"/>
    <n v="0.90500000000000003"/>
    <n v="0.88795999999999997"/>
    <n v="340.8"/>
  </r>
  <r>
    <x v="11"/>
    <x v="3"/>
    <x v="10"/>
    <n v="0.90461000000000003"/>
    <n v="0.87092000000000003"/>
    <n v="0.90500000000000003"/>
    <n v="0.88795999999999997"/>
    <n v="340.8"/>
  </r>
  <r>
    <x v="11"/>
    <x v="3"/>
    <x v="10"/>
    <n v="0.90461000000000003"/>
    <n v="0.87092000000000003"/>
    <n v="0.90500000000000003"/>
    <n v="0.88795999999999997"/>
    <n v="340.8"/>
  </r>
  <r>
    <x v="11"/>
    <x v="3"/>
    <x v="10"/>
    <n v="0.90461000000000003"/>
    <n v="0.87092000000000003"/>
    <n v="0.90500000000000003"/>
    <n v="0.88795999999999997"/>
    <n v="340.8"/>
  </r>
  <r>
    <x v="11"/>
    <x v="3"/>
    <x v="10"/>
    <n v="0.90461000000000003"/>
    <n v="0.87092000000000003"/>
    <n v="0.90500000000000003"/>
    <n v="0.88795999999999997"/>
    <n v="340.8"/>
  </r>
  <r>
    <x v="11"/>
    <x v="3"/>
    <x v="12"/>
    <n v="94.061000000000007"/>
    <n v="91.099000000000004"/>
    <n v="96.2"/>
    <n v="93.649500000000003"/>
    <n v="510.1"/>
  </r>
  <r>
    <x v="11"/>
    <x v="3"/>
    <x v="12"/>
    <n v="94.061000000000007"/>
    <n v="91.099000000000004"/>
    <n v="96.2"/>
    <n v="93.649500000000003"/>
    <n v="510.1"/>
  </r>
  <r>
    <x v="11"/>
    <x v="3"/>
    <x v="12"/>
    <n v="94.061000000000007"/>
    <n v="91.099000000000004"/>
    <n v="96.2"/>
    <n v="93.649500000000003"/>
    <n v="510.1"/>
  </r>
  <r>
    <x v="11"/>
    <x v="3"/>
    <x v="12"/>
    <n v="94.061000000000007"/>
    <n v="91.099000000000004"/>
    <n v="96.2"/>
    <n v="93.649500000000003"/>
    <n v="510.1"/>
  </r>
  <r>
    <x v="11"/>
    <x v="3"/>
    <x v="12"/>
    <n v="94.061000000000007"/>
    <n v="91.099000000000004"/>
    <n v="96.2"/>
    <n v="93.649500000000003"/>
    <n v="510.1"/>
  </r>
  <r>
    <x v="11"/>
    <x v="3"/>
    <x v="12"/>
    <n v="94.061000000000007"/>
    <n v="91.099000000000004"/>
    <n v="96.2"/>
    <n v="93.649500000000003"/>
    <n v="510.1"/>
  </r>
  <r>
    <x v="11"/>
    <x v="3"/>
    <x v="12"/>
    <n v="94.061000000000007"/>
    <n v="91.099000000000004"/>
    <n v="96.2"/>
    <n v="93.649500000000003"/>
    <n v="510.1"/>
  </r>
  <r>
    <x v="11"/>
    <x v="3"/>
    <x v="12"/>
    <n v="94.061000000000007"/>
    <n v="91.099000000000004"/>
    <n v="96.2"/>
    <n v="93.649500000000003"/>
    <n v="510.1"/>
  </r>
  <r>
    <x v="11"/>
    <x v="3"/>
    <x v="12"/>
    <n v="94.061000000000007"/>
    <n v="91.099000000000004"/>
    <n v="96.2"/>
    <n v="93.649500000000003"/>
    <n v="510.1"/>
  </r>
  <r>
    <x v="11"/>
    <x v="3"/>
    <x v="12"/>
    <n v="94.061000000000007"/>
    <n v="91.099000000000004"/>
    <n v="96.2"/>
    <n v="93.649500000000003"/>
    <n v="510.1"/>
  </r>
  <r>
    <x v="11"/>
    <x v="3"/>
    <x v="12"/>
    <n v="94.061000000000007"/>
    <n v="91.099000000000004"/>
    <n v="96.2"/>
    <n v="93.649500000000003"/>
    <n v="510.1"/>
  </r>
  <r>
    <x v="11"/>
    <x v="3"/>
    <x v="12"/>
    <n v="94.061000000000007"/>
    <n v="91.099000000000004"/>
    <n v="96.2"/>
    <n v="93.649500000000003"/>
    <n v="510.1"/>
  </r>
  <r>
    <x v="11"/>
    <x v="3"/>
    <x v="12"/>
    <n v="94.061000000000007"/>
    <n v="91.099000000000004"/>
    <n v="96.2"/>
    <n v="93.649500000000003"/>
    <n v="510.1"/>
  </r>
  <r>
    <x v="11"/>
    <x v="3"/>
    <x v="12"/>
    <n v="94.061000000000007"/>
    <n v="91.099000000000004"/>
    <n v="96.2"/>
    <n v="93.649500000000003"/>
    <n v="510.1"/>
  </r>
  <r>
    <x v="11"/>
    <x v="3"/>
    <x v="12"/>
    <n v="94.061000000000007"/>
    <n v="91.099000000000004"/>
    <n v="96.2"/>
    <n v="93.649500000000003"/>
    <n v="510.1"/>
  </r>
  <r>
    <x v="11"/>
    <x v="3"/>
    <x v="12"/>
    <n v="94.061000000000007"/>
    <n v="91.099000000000004"/>
    <n v="96.2"/>
    <n v="93.649500000000003"/>
    <n v="510.1"/>
  </r>
  <r>
    <x v="11"/>
    <x v="3"/>
    <x v="12"/>
    <n v="94.061000000000007"/>
    <n v="91.099000000000004"/>
    <n v="96.2"/>
    <n v="93.649500000000003"/>
    <n v="510.1"/>
  </r>
  <r>
    <x v="11"/>
    <x v="3"/>
    <x v="12"/>
    <n v="94.061000000000007"/>
    <n v="91.099000000000004"/>
    <n v="96.2"/>
    <n v="93.649500000000003"/>
    <n v="510.1"/>
  </r>
  <r>
    <x v="11"/>
    <x v="3"/>
    <x v="12"/>
    <n v="94.061000000000007"/>
    <n v="91.099000000000004"/>
    <n v="96.2"/>
    <n v="93.649500000000003"/>
    <n v="510.1"/>
  </r>
  <r>
    <x v="11"/>
    <x v="3"/>
    <x v="12"/>
    <n v="94.061000000000007"/>
    <n v="91.099000000000004"/>
    <n v="96.2"/>
    <n v="93.649500000000003"/>
    <n v="510.1"/>
  </r>
  <r>
    <x v="11"/>
    <x v="3"/>
    <x v="12"/>
    <n v="94.061000000000007"/>
    <n v="91.099000000000004"/>
    <n v="96.2"/>
    <n v="93.649500000000003"/>
    <n v="510.1"/>
  </r>
  <r>
    <x v="11"/>
    <x v="3"/>
    <x v="12"/>
    <n v="94.061000000000007"/>
    <n v="91.099000000000004"/>
    <n v="96.2"/>
    <n v="93.649500000000003"/>
    <n v="510.1"/>
  </r>
  <r>
    <x v="11"/>
    <x v="3"/>
    <x v="12"/>
    <n v="94.061000000000007"/>
    <n v="91.099000000000004"/>
    <n v="96.2"/>
    <n v="93.649500000000003"/>
    <n v="510.1"/>
  </r>
  <r>
    <x v="11"/>
    <x v="3"/>
    <x v="12"/>
    <n v="94.061000000000007"/>
    <n v="91.099000000000004"/>
    <n v="96.2"/>
    <n v="93.649500000000003"/>
    <n v="510.1"/>
  </r>
  <r>
    <x v="11"/>
    <x v="3"/>
    <x v="3"/>
    <n v="1.34283"/>
    <n v="1.34297"/>
    <n v="1.397"/>
    <n v="1.369985"/>
    <n v="540.29999999999995"/>
  </r>
  <r>
    <x v="11"/>
    <x v="3"/>
    <x v="3"/>
    <n v="1.34283"/>
    <n v="1.34297"/>
    <n v="1.397"/>
    <n v="1.369985"/>
    <n v="540.29999999999995"/>
  </r>
  <r>
    <x v="11"/>
    <x v="3"/>
    <x v="3"/>
    <n v="1.34283"/>
    <n v="1.34297"/>
    <n v="1.397"/>
    <n v="1.369985"/>
    <n v="540.29999999999995"/>
  </r>
  <r>
    <x v="11"/>
    <x v="3"/>
    <x v="3"/>
    <n v="1.34283"/>
    <n v="1.34297"/>
    <n v="1.397"/>
    <n v="1.369985"/>
    <n v="540.29999999999995"/>
  </r>
  <r>
    <x v="11"/>
    <x v="3"/>
    <x v="3"/>
    <n v="1.34283"/>
    <n v="1.34297"/>
    <n v="1.397"/>
    <n v="1.369985"/>
    <n v="540.29999999999995"/>
  </r>
  <r>
    <x v="11"/>
    <x v="3"/>
    <x v="3"/>
    <n v="1.34283"/>
    <n v="1.34297"/>
    <n v="1.397"/>
    <n v="1.369985"/>
    <n v="540.29999999999995"/>
  </r>
  <r>
    <x v="11"/>
    <x v="3"/>
    <x v="3"/>
    <n v="1.34283"/>
    <n v="1.34297"/>
    <n v="1.397"/>
    <n v="1.369985"/>
    <n v="540.29999999999995"/>
  </r>
  <r>
    <x v="11"/>
    <x v="3"/>
    <x v="3"/>
    <n v="1.34283"/>
    <n v="1.34297"/>
    <n v="1.397"/>
    <n v="1.369985"/>
    <n v="540.29999999999995"/>
  </r>
  <r>
    <x v="11"/>
    <x v="3"/>
    <x v="3"/>
    <n v="1.34283"/>
    <n v="1.34297"/>
    <n v="1.397"/>
    <n v="1.369985"/>
    <n v="540.29999999999995"/>
  </r>
  <r>
    <x v="11"/>
    <x v="3"/>
    <x v="3"/>
    <n v="1.34283"/>
    <n v="1.34297"/>
    <n v="1.397"/>
    <n v="1.369985"/>
    <n v="540.29999999999995"/>
  </r>
  <r>
    <x v="11"/>
    <x v="3"/>
    <x v="3"/>
    <n v="1.34283"/>
    <n v="1.34297"/>
    <n v="1.397"/>
    <n v="1.369985"/>
    <n v="540.29999999999995"/>
  </r>
  <r>
    <x v="11"/>
    <x v="3"/>
    <x v="3"/>
    <n v="1.34283"/>
    <n v="1.34297"/>
    <n v="1.397"/>
    <n v="1.369985"/>
    <n v="540.29999999999995"/>
  </r>
  <r>
    <x v="11"/>
    <x v="3"/>
    <x v="3"/>
    <n v="1.34283"/>
    <n v="1.34297"/>
    <n v="1.397"/>
    <n v="1.369985"/>
    <n v="540.29999999999995"/>
  </r>
  <r>
    <x v="11"/>
    <x v="3"/>
    <x v="3"/>
    <n v="1.34283"/>
    <n v="1.34297"/>
    <n v="1.397"/>
    <n v="1.369985"/>
    <n v="540.29999999999995"/>
  </r>
  <r>
    <x v="11"/>
    <x v="3"/>
    <x v="3"/>
    <n v="1.34283"/>
    <n v="1.34297"/>
    <n v="1.397"/>
    <n v="1.369985"/>
    <n v="540.29999999999995"/>
  </r>
  <r>
    <x v="11"/>
    <x v="3"/>
    <x v="3"/>
    <n v="1.34283"/>
    <n v="1.34297"/>
    <n v="1.397"/>
    <n v="1.369985"/>
    <n v="540.29999999999995"/>
  </r>
  <r>
    <x v="11"/>
    <x v="3"/>
    <x v="3"/>
    <n v="1.34283"/>
    <n v="1.34297"/>
    <n v="1.397"/>
    <n v="1.369985"/>
    <n v="540.29999999999995"/>
  </r>
  <r>
    <x v="11"/>
    <x v="3"/>
    <x v="3"/>
    <n v="1.34283"/>
    <n v="1.34297"/>
    <n v="1.397"/>
    <n v="1.369985"/>
    <n v="540.29999999999995"/>
  </r>
  <r>
    <x v="11"/>
    <x v="3"/>
    <x v="3"/>
    <n v="1.34283"/>
    <n v="1.34297"/>
    <n v="1.397"/>
    <n v="1.369985"/>
    <n v="540.29999999999995"/>
  </r>
  <r>
    <x v="11"/>
    <x v="3"/>
    <x v="3"/>
    <n v="1.34283"/>
    <n v="1.34297"/>
    <n v="1.397"/>
    <n v="1.369985"/>
    <n v="540.29999999999995"/>
  </r>
  <r>
    <x v="11"/>
    <x v="3"/>
    <x v="0"/>
    <n v="1.9835499999999999"/>
    <n v="1.9189400000000001"/>
    <n v="1.994"/>
    <n v="1.9564699999999999"/>
    <n v="750.6"/>
  </r>
  <r>
    <x v="11"/>
    <x v="3"/>
    <x v="0"/>
    <n v="1.9835499999999999"/>
    <n v="1.9189400000000001"/>
    <n v="1.994"/>
    <n v="1.9564699999999999"/>
    <n v="750.6"/>
  </r>
  <r>
    <x v="11"/>
    <x v="3"/>
    <x v="0"/>
    <n v="1.9835499999999999"/>
    <n v="1.9189400000000001"/>
    <n v="1.994"/>
    <n v="1.9564699999999999"/>
    <n v="750.6"/>
  </r>
  <r>
    <x v="11"/>
    <x v="3"/>
    <x v="0"/>
    <n v="1.9835499999999999"/>
    <n v="1.9189400000000001"/>
    <n v="1.994"/>
    <n v="1.9564699999999999"/>
    <n v="750.6"/>
  </r>
  <r>
    <x v="11"/>
    <x v="3"/>
    <x v="0"/>
    <n v="1.9835499999999999"/>
    <n v="1.9189400000000001"/>
    <n v="1.994"/>
    <n v="1.9564699999999999"/>
    <n v="750.6"/>
  </r>
  <r>
    <x v="11"/>
    <x v="3"/>
    <x v="0"/>
    <n v="1.9835499999999999"/>
    <n v="1.9189400000000001"/>
    <n v="1.994"/>
    <n v="1.9564699999999999"/>
    <n v="750.6"/>
  </r>
  <r>
    <x v="11"/>
    <x v="3"/>
    <x v="0"/>
    <n v="1.9835499999999999"/>
    <n v="1.9189400000000001"/>
    <n v="1.994"/>
    <n v="1.9564699999999999"/>
    <n v="750.6"/>
  </r>
  <r>
    <x v="11"/>
    <x v="3"/>
    <x v="0"/>
    <n v="1.9835499999999999"/>
    <n v="1.9189400000000001"/>
    <n v="1.994"/>
    <n v="1.9564699999999999"/>
    <n v="750.6"/>
  </r>
  <r>
    <x v="11"/>
    <x v="3"/>
    <x v="0"/>
    <n v="1.9835499999999999"/>
    <n v="1.9189400000000001"/>
    <n v="1.994"/>
    <n v="1.9564699999999999"/>
    <n v="750.6"/>
  </r>
  <r>
    <x v="11"/>
    <x v="3"/>
    <x v="0"/>
    <n v="1.9835499999999999"/>
    <n v="1.9189400000000001"/>
    <n v="1.994"/>
    <n v="1.9564699999999999"/>
    <n v="750.6"/>
  </r>
  <r>
    <x v="11"/>
    <x v="3"/>
    <x v="0"/>
    <n v="1.9835499999999999"/>
    <n v="1.9189400000000001"/>
    <n v="1.994"/>
    <n v="1.9564699999999999"/>
    <n v="750.6"/>
  </r>
  <r>
    <x v="11"/>
    <x v="3"/>
    <x v="0"/>
    <n v="1.9835499999999999"/>
    <n v="1.9189400000000001"/>
    <n v="1.994"/>
    <n v="1.9564699999999999"/>
    <n v="750.6"/>
  </r>
  <r>
    <x v="11"/>
    <x v="3"/>
    <x v="0"/>
    <n v="1.9835499999999999"/>
    <n v="1.9189400000000001"/>
    <n v="1.994"/>
    <n v="1.9564699999999999"/>
    <n v="750.6"/>
  </r>
  <r>
    <x v="11"/>
    <x v="3"/>
    <x v="0"/>
    <n v="1.9835499999999999"/>
    <n v="1.9189400000000001"/>
    <n v="1.994"/>
    <n v="1.9564699999999999"/>
    <n v="750.6"/>
  </r>
  <r>
    <x v="11"/>
    <x v="3"/>
    <x v="0"/>
    <n v="1.9835499999999999"/>
    <n v="1.9189400000000001"/>
    <n v="1.994"/>
    <n v="1.9564699999999999"/>
    <n v="750.6"/>
  </r>
  <r>
    <x v="11"/>
    <x v="3"/>
    <x v="0"/>
    <n v="1.9835499999999999"/>
    <n v="1.9189400000000001"/>
    <n v="1.994"/>
    <n v="1.9564699999999999"/>
    <n v="750.6"/>
  </r>
  <r>
    <x v="11"/>
    <x v="3"/>
    <x v="0"/>
    <n v="1.9835499999999999"/>
    <n v="1.9189400000000001"/>
    <n v="1.994"/>
    <n v="1.9564699999999999"/>
    <n v="750.6"/>
  </r>
  <r>
    <x v="11"/>
    <x v="3"/>
    <x v="0"/>
    <n v="1.9835499999999999"/>
    <n v="1.9189400000000001"/>
    <n v="1.994"/>
    <n v="1.9564699999999999"/>
    <n v="750.6"/>
  </r>
  <r>
    <x v="11"/>
    <x v="3"/>
    <x v="0"/>
    <n v="1.9835499999999999"/>
    <n v="1.9189400000000001"/>
    <n v="1.994"/>
    <n v="1.9564699999999999"/>
    <n v="750.6"/>
  </r>
  <r>
    <x v="11"/>
    <x v="3"/>
    <x v="0"/>
    <n v="1.9835499999999999"/>
    <n v="1.9189400000000001"/>
    <n v="1.994"/>
    <n v="1.9564699999999999"/>
    <n v="750.6"/>
  </r>
  <r>
    <x v="11"/>
    <x v="4"/>
    <x v="0"/>
    <n v="1.97536"/>
    <n v="1.9189400000000001"/>
    <n v="1.994"/>
    <n v="1.9564699999999999"/>
    <n v="750.6"/>
  </r>
  <r>
    <x v="11"/>
    <x v="4"/>
    <x v="0"/>
    <n v="1.97536"/>
    <n v="1.9189400000000001"/>
    <n v="1.994"/>
    <n v="1.9564699999999999"/>
    <n v="750.6"/>
  </r>
  <r>
    <x v="11"/>
    <x v="4"/>
    <x v="0"/>
    <n v="1.97536"/>
    <n v="1.9189400000000001"/>
    <n v="1.994"/>
    <n v="1.9564699999999999"/>
    <n v="750.6"/>
  </r>
  <r>
    <x v="11"/>
    <x v="4"/>
    <x v="0"/>
    <n v="1.97536"/>
    <n v="1.9189400000000001"/>
    <n v="1.994"/>
    <n v="1.9564699999999999"/>
    <n v="750.6"/>
  </r>
  <r>
    <x v="11"/>
    <x v="4"/>
    <x v="0"/>
    <n v="1.97536"/>
    <n v="1.9189400000000001"/>
    <n v="1.994"/>
    <n v="1.9564699999999999"/>
    <n v="750.6"/>
  </r>
  <r>
    <x v="11"/>
    <x v="4"/>
    <x v="10"/>
    <n v="0.90578000000000003"/>
    <n v="0.87092000000000003"/>
    <n v="0.90912000000000004"/>
    <n v="0.89002000000000003"/>
    <n v="382"/>
  </r>
  <r>
    <x v="11"/>
    <x v="4"/>
    <x v="10"/>
    <n v="0.90578000000000003"/>
    <n v="0.87092000000000003"/>
    <n v="0.90912000000000004"/>
    <n v="0.89002000000000003"/>
    <n v="382"/>
  </r>
  <r>
    <x v="11"/>
    <x v="4"/>
    <x v="10"/>
    <n v="0.90578000000000003"/>
    <n v="0.87092000000000003"/>
    <n v="0.90912000000000004"/>
    <n v="0.89002000000000003"/>
    <n v="382"/>
  </r>
  <r>
    <x v="11"/>
    <x v="4"/>
    <x v="10"/>
    <n v="0.90578000000000003"/>
    <n v="0.87092000000000003"/>
    <n v="0.90912000000000004"/>
    <n v="0.89002000000000003"/>
    <n v="382"/>
  </r>
  <r>
    <x v="11"/>
    <x v="4"/>
    <x v="10"/>
    <n v="0.90578000000000003"/>
    <n v="0.87092000000000003"/>
    <n v="0.90912000000000004"/>
    <n v="0.89002000000000003"/>
    <n v="382"/>
  </r>
  <r>
    <x v="11"/>
    <x v="4"/>
    <x v="10"/>
    <n v="0.90578000000000003"/>
    <n v="0.87092000000000003"/>
    <n v="0.90912000000000004"/>
    <n v="0.89002000000000003"/>
    <n v="382"/>
  </r>
  <r>
    <x v="11"/>
    <x v="4"/>
    <x v="10"/>
    <n v="0.90578000000000003"/>
    <n v="0.87092000000000003"/>
    <n v="0.90912000000000004"/>
    <n v="0.89002000000000003"/>
    <n v="382"/>
  </r>
  <r>
    <x v="11"/>
    <x v="4"/>
    <x v="10"/>
    <n v="0.90578000000000003"/>
    <n v="0.87092000000000003"/>
    <n v="0.90912000000000004"/>
    <n v="0.89002000000000003"/>
    <n v="382"/>
  </r>
  <r>
    <x v="11"/>
    <x v="4"/>
    <x v="10"/>
    <n v="0.90578000000000003"/>
    <n v="0.87092000000000003"/>
    <n v="0.90912000000000004"/>
    <n v="0.89002000000000003"/>
    <n v="382"/>
  </r>
  <r>
    <x v="11"/>
    <x v="4"/>
    <x v="10"/>
    <n v="0.90578000000000003"/>
    <n v="0.87092000000000003"/>
    <n v="0.90912000000000004"/>
    <n v="0.89002000000000003"/>
    <n v="382"/>
  </r>
  <r>
    <x v="11"/>
    <x v="4"/>
    <x v="10"/>
    <n v="0.90578000000000003"/>
    <n v="0.87092000000000003"/>
    <n v="0.90912000000000004"/>
    <n v="0.89002000000000003"/>
    <n v="382"/>
  </r>
  <r>
    <x v="11"/>
    <x v="4"/>
    <x v="10"/>
    <n v="0.90578000000000003"/>
    <n v="0.87092000000000003"/>
    <n v="0.90912000000000004"/>
    <n v="0.89002000000000003"/>
    <n v="382"/>
  </r>
  <r>
    <x v="11"/>
    <x v="4"/>
    <x v="10"/>
    <n v="0.90578000000000003"/>
    <n v="0.87092000000000003"/>
    <n v="0.90912000000000004"/>
    <n v="0.89002000000000003"/>
    <n v="382"/>
  </r>
  <r>
    <x v="11"/>
    <x v="4"/>
    <x v="10"/>
    <n v="0.90578000000000003"/>
    <n v="0.87092000000000003"/>
    <n v="0.90912000000000004"/>
    <n v="0.89002000000000003"/>
    <n v="382"/>
  </r>
  <r>
    <x v="11"/>
    <x v="4"/>
    <x v="10"/>
    <n v="0.90578000000000003"/>
    <n v="0.87092000000000003"/>
    <n v="0.90912000000000004"/>
    <n v="0.89002000000000003"/>
    <n v="382"/>
  </r>
  <r>
    <x v="11"/>
    <x v="4"/>
    <x v="10"/>
    <n v="0.90578000000000003"/>
    <n v="0.87092000000000003"/>
    <n v="0.90912000000000004"/>
    <n v="0.89002000000000003"/>
    <n v="382"/>
  </r>
  <r>
    <x v="11"/>
    <x v="4"/>
    <x v="10"/>
    <n v="0.90578000000000003"/>
    <n v="0.87092000000000003"/>
    <n v="0.90912000000000004"/>
    <n v="0.89002000000000003"/>
    <n v="382"/>
  </r>
  <r>
    <x v="11"/>
    <x v="4"/>
    <x v="10"/>
    <n v="0.90578000000000003"/>
    <n v="0.87092000000000003"/>
    <n v="0.90912000000000004"/>
    <n v="0.89002000000000003"/>
    <n v="382"/>
  </r>
  <r>
    <x v="11"/>
    <x v="4"/>
    <x v="10"/>
    <n v="0.90578000000000003"/>
    <n v="0.87092000000000003"/>
    <n v="0.90912000000000004"/>
    <n v="0.89002000000000003"/>
    <n v="382"/>
  </r>
  <r>
    <x v="11"/>
    <x v="4"/>
    <x v="10"/>
    <n v="0.90578000000000003"/>
    <n v="0.87092000000000003"/>
    <n v="0.90912000000000004"/>
    <n v="0.89002000000000003"/>
    <n v="382"/>
  </r>
  <r>
    <x v="11"/>
    <x v="4"/>
    <x v="10"/>
    <n v="0.90578000000000003"/>
    <n v="0.87092000000000003"/>
    <n v="0.90912000000000004"/>
    <n v="0.89002000000000003"/>
    <n v="382"/>
  </r>
  <r>
    <x v="11"/>
    <x v="4"/>
    <x v="10"/>
    <n v="0.90578000000000003"/>
    <n v="0.87092000000000003"/>
    <n v="0.90912000000000004"/>
    <n v="0.89002000000000003"/>
    <n v="382"/>
  </r>
  <r>
    <x v="11"/>
    <x v="4"/>
    <x v="12"/>
    <n v="93.96"/>
    <n v="91.099000000000004"/>
    <n v="96.2"/>
    <n v="93.649500000000003"/>
    <n v="510.1"/>
  </r>
  <r>
    <x v="11"/>
    <x v="4"/>
    <x v="12"/>
    <n v="93.96"/>
    <n v="91.099000000000004"/>
    <n v="96.2"/>
    <n v="93.649500000000003"/>
    <n v="510.1"/>
  </r>
  <r>
    <x v="11"/>
    <x v="4"/>
    <x v="12"/>
    <n v="93.96"/>
    <n v="91.099000000000004"/>
    <n v="96.2"/>
    <n v="93.649500000000003"/>
    <n v="510.1"/>
  </r>
  <r>
    <x v="11"/>
    <x v="4"/>
    <x v="12"/>
    <n v="93.96"/>
    <n v="91.099000000000004"/>
    <n v="96.2"/>
    <n v="93.649500000000003"/>
    <n v="510.1"/>
  </r>
  <r>
    <x v="11"/>
    <x v="4"/>
    <x v="12"/>
    <n v="93.96"/>
    <n v="91.099000000000004"/>
    <n v="96.2"/>
    <n v="93.649500000000003"/>
    <n v="510.1"/>
  </r>
  <r>
    <x v="11"/>
    <x v="4"/>
    <x v="12"/>
    <n v="93.96"/>
    <n v="91.099000000000004"/>
    <n v="96.2"/>
    <n v="93.649500000000003"/>
    <n v="510.1"/>
  </r>
  <r>
    <x v="11"/>
    <x v="4"/>
    <x v="12"/>
    <n v="93.96"/>
    <n v="91.099000000000004"/>
    <n v="96.2"/>
    <n v="93.649500000000003"/>
    <n v="510.1"/>
  </r>
  <r>
    <x v="11"/>
    <x v="4"/>
    <x v="12"/>
    <n v="93.96"/>
    <n v="91.099000000000004"/>
    <n v="96.2"/>
    <n v="93.649500000000003"/>
    <n v="510.1"/>
  </r>
  <r>
    <x v="11"/>
    <x v="4"/>
    <x v="12"/>
    <n v="93.96"/>
    <n v="91.099000000000004"/>
    <n v="96.2"/>
    <n v="93.649500000000003"/>
    <n v="510.1"/>
  </r>
  <r>
    <x v="11"/>
    <x v="4"/>
    <x v="12"/>
    <n v="93.96"/>
    <n v="91.099000000000004"/>
    <n v="96.2"/>
    <n v="93.649500000000003"/>
    <n v="510.1"/>
  </r>
  <r>
    <x v="11"/>
    <x v="4"/>
    <x v="12"/>
    <n v="93.96"/>
    <n v="91.099000000000004"/>
    <n v="96.2"/>
    <n v="93.649500000000003"/>
    <n v="510.1"/>
  </r>
  <r>
    <x v="11"/>
    <x v="4"/>
    <x v="12"/>
    <n v="93.96"/>
    <n v="91.099000000000004"/>
    <n v="96.2"/>
    <n v="93.649500000000003"/>
    <n v="510.1"/>
  </r>
  <r>
    <x v="11"/>
    <x v="4"/>
    <x v="12"/>
    <n v="93.96"/>
    <n v="91.099000000000004"/>
    <n v="96.2"/>
    <n v="93.649500000000003"/>
    <n v="510.1"/>
  </r>
  <r>
    <x v="11"/>
    <x v="4"/>
    <x v="12"/>
    <n v="93.96"/>
    <n v="91.099000000000004"/>
    <n v="96.2"/>
    <n v="93.649500000000003"/>
    <n v="510.1"/>
  </r>
  <r>
    <x v="11"/>
    <x v="4"/>
    <x v="12"/>
    <n v="93.96"/>
    <n v="91.099000000000004"/>
    <n v="96.2"/>
    <n v="93.649500000000003"/>
    <n v="510.1"/>
  </r>
  <r>
    <x v="11"/>
    <x v="4"/>
    <x v="12"/>
    <n v="93.96"/>
    <n v="91.099000000000004"/>
    <n v="96.2"/>
    <n v="93.649500000000003"/>
    <n v="510.1"/>
  </r>
  <r>
    <x v="11"/>
    <x v="4"/>
    <x v="12"/>
    <n v="93.96"/>
    <n v="91.099000000000004"/>
    <n v="96.2"/>
    <n v="93.649500000000003"/>
    <n v="510.1"/>
  </r>
  <r>
    <x v="11"/>
    <x v="4"/>
    <x v="12"/>
    <n v="93.96"/>
    <n v="91.099000000000004"/>
    <n v="96.2"/>
    <n v="93.649500000000003"/>
    <n v="510.1"/>
  </r>
  <r>
    <x v="11"/>
    <x v="4"/>
    <x v="12"/>
    <n v="93.96"/>
    <n v="91.099000000000004"/>
    <n v="96.2"/>
    <n v="93.649500000000003"/>
    <n v="510.1"/>
  </r>
  <r>
    <x v="11"/>
    <x v="4"/>
    <x v="12"/>
    <n v="93.96"/>
    <n v="91.099000000000004"/>
    <n v="96.2"/>
    <n v="93.649500000000003"/>
    <n v="510.1"/>
  </r>
  <r>
    <x v="11"/>
    <x v="4"/>
    <x v="12"/>
    <n v="93.96"/>
    <n v="91.099000000000004"/>
    <n v="96.2"/>
    <n v="93.649500000000003"/>
    <n v="510.1"/>
  </r>
  <r>
    <x v="11"/>
    <x v="4"/>
    <x v="12"/>
    <n v="93.96"/>
    <n v="91.099000000000004"/>
    <n v="96.2"/>
    <n v="93.649500000000003"/>
    <n v="510.1"/>
  </r>
  <r>
    <x v="11"/>
    <x v="4"/>
    <x v="12"/>
    <n v="93.96"/>
    <n v="91.099000000000004"/>
    <n v="96.2"/>
    <n v="93.649500000000003"/>
    <n v="510.1"/>
  </r>
  <r>
    <x v="11"/>
    <x v="4"/>
    <x v="12"/>
    <n v="93.96"/>
    <n v="91.099000000000004"/>
    <n v="96.2"/>
    <n v="93.649500000000003"/>
    <n v="510.1"/>
  </r>
  <r>
    <x v="11"/>
    <x v="4"/>
    <x v="12"/>
    <n v="93.96"/>
    <n v="91.099000000000004"/>
    <n v="96.2"/>
    <n v="93.649500000000003"/>
    <n v="510.1"/>
  </r>
  <r>
    <x v="11"/>
    <x v="4"/>
    <x v="3"/>
    <n v="1.3426199999999999"/>
    <n v="1.33697"/>
    <n v="1.397"/>
    <n v="1.3669849999999999"/>
    <n v="600.29999999999995"/>
  </r>
  <r>
    <x v="11"/>
    <x v="4"/>
    <x v="3"/>
    <n v="1.3426199999999999"/>
    <n v="1.33697"/>
    <n v="1.397"/>
    <n v="1.3669849999999999"/>
    <n v="600.29999999999995"/>
  </r>
  <r>
    <x v="11"/>
    <x v="4"/>
    <x v="3"/>
    <n v="1.3426199999999999"/>
    <n v="1.33697"/>
    <n v="1.397"/>
    <n v="1.3669849999999999"/>
    <n v="600.29999999999995"/>
  </r>
  <r>
    <x v="11"/>
    <x v="4"/>
    <x v="3"/>
    <n v="1.3426199999999999"/>
    <n v="1.33697"/>
    <n v="1.397"/>
    <n v="1.3669849999999999"/>
    <n v="600.29999999999995"/>
  </r>
  <r>
    <x v="11"/>
    <x v="4"/>
    <x v="3"/>
    <n v="1.3426199999999999"/>
    <n v="1.33697"/>
    <n v="1.397"/>
    <n v="1.3669849999999999"/>
    <n v="600.29999999999995"/>
  </r>
  <r>
    <x v="11"/>
    <x v="4"/>
    <x v="3"/>
    <n v="1.3426199999999999"/>
    <n v="1.33697"/>
    <n v="1.397"/>
    <n v="1.3669849999999999"/>
    <n v="600.29999999999995"/>
  </r>
  <r>
    <x v="11"/>
    <x v="4"/>
    <x v="3"/>
    <n v="1.3426199999999999"/>
    <n v="1.33697"/>
    <n v="1.397"/>
    <n v="1.3669849999999999"/>
    <n v="600.29999999999995"/>
  </r>
  <r>
    <x v="11"/>
    <x v="4"/>
    <x v="3"/>
    <n v="1.3426199999999999"/>
    <n v="1.33697"/>
    <n v="1.397"/>
    <n v="1.3669849999999999"/>
    <n v="600.29999999999995"/>
  </r>
  <r>
    <x v="11"/>
    <x v="4"/>
    <x v="3"/>
    <n v="1.3426199999999999"/>
    <n v="1.33697"/>
    <n v="1.397"/>
    <n v="1.3669849999999999"/>
    <n v="600.29999999999995"/>
  </r>
  <r>
    <x v="11"/>
    <x v="4"/>
    <x v="3"/>
    <n v="1.3426199999999999"/>
    <n v="1.33697"/>
    <n v="1.397"/>
    <n v="1.3669849999999999"/>
    <n v="600.29999999999995"/>
  </r>
  <r>
    <x v="11"/>
    <x v="4"/>
    <x v="3"/>
    <n v="1.3426199999999999"/>
    <n v="1.33697"/>
    <n v="1.397"/>
    <n v="1.3669849999999999"/>
    <n v="600.29999999999995"/>
  </r>
  <r>
    <x v="11"/>
    <x v="4"/>
    <x v="3"/>
    <n v="1.3426199999999999"/>
    <n v="1.33697"/>
    <n v="1.397"/>
    <n v="1.3669849999999999"/>
    <n v="600.29999999999995"/>
  </r>
  <r>
    <x v="11"/>
    <x v="4"/>
    <x v="3"/>
    <n v="1.3426199999999999"/>
    <n v="1.33697"/>
    <n v="1.397"/>
    <n v="1.3669849999999999"/>
    <n v="600.29999999999995"/>
  </r>
  <r>
    <x v="11"/>
    <x v="4"/>
    <x v="3"/>
    <n v="1.3426199999999999"/>
    <n v="1.33697"/>
    <n v="1.397"/>
    <n v="1.3669849999999999"/>
    <n v="600.29999999999995"/>
  </r>
  <r>
    <x v="11"/>
    <x v="4"/>
    <x v="3"/>
    <n v="1.3426199999999999"/>
    <n v="1.33697"/>
    <n v="1.397"/>
    <n v="1.3669849999999999"/>
    <n v="600.29999999999995"/>
  </r>
  <r>
    <x v="11"/>
    <x v="4"/>
    <x v="3"/>
    <n v="1.3426199999999999"/>
    <n v="1.33697"/>
    <n v="1.397"/>
    <n v="1.3669849999999999"/>
    <n v="600.29999999999995"/>
  </r>
  <r>
    <x v="11"/>
    <x v="4"/>
    <x v="3"/>
    <n v="1.3426199999999999"/>
    <n v="1.33697"/>
    <n v="1.397"/>
    <n v="1.3669849999999999"/>
    <n v="600.29999999999995"/>
  </r>
  <r>
    <x v="11"/>
    <x v="4"/>
    <x v="3"/>
    <n v="1.3426199999999999"/>
    <n v="1.33697"/>
    <n v="1.397"/>
    <n v="1.3669849999999999"/>
    <n v="600.29999999999995"/>
  </r>
  <r>
    <x v="11"/>
    <x v="4"/>
    <x v="3"/>
    <n v="1.3426199999999999"/>
    <n v="1.33697"/>
    <n v="1.397"/>
    <n v="1.3669849999999999"/>
    <n v="600.29999999999995"/>
  </r>
  <r>
    <x v="11"/>
    <x v="4"/>
    <x v="3"/>
    <n v="1.3426199999999999"/>
    <n v="1.33697"/>
    <n v="1.397"/>
    <n v="1.3669849999999999"/>
    <n v="600.29999999999995"/>
  </r>
  <r>
    <x v="11"/>
    <x v="4"/>
    <x v="3"/>
    <n v="1.3426199999999999"/>
    <n v="1.33697"/>
    <n v="1.397"/>
    <n v="1.3669849999999999"/>
    <n v="600.29999999999995"/>
  </r>
  <r>
    <x v="11"/>
    <x v="4"/>
    <x v="3"/>
    <n v="1.3426199999999999"/>
    <n v="1.33697"/>
    <n v="1.397"/>
    <n v="1.3669849999999999"/>
    <n v="600.29999999999995"/>
  </r>
  <r>
    <x v="11"/>
    <x v="4"/>
    <x v="0"/>
    <n v="1.97536"/>
    <n v="1.9189400000000001"/>
    <n v="1.994"/>
    <n v="1.9564699999999999"/>
    <n v="750.6"/>
  </r>
  <r>
    <x v="11"/>
    <x v="4"/>
    <x v="0"/>
    <n v="1.97536"/>
    <n v="1.9189400000000001"/>
    <n v="1.994"/>
    <n v="1.9564699999999999"/>
    <n v="750.6"/>
  </r>
  <r>
    <x v="11"/>
    <x v="4"/>
    <x v="0"/>
    <n v="1.97536"/>
    <n v="1.9189400000000001"/>
    <n v="1.994"/>
    <n v="1.9564699999999999"/>
    <n v="750.6"/>
  </r>
  <r>
    <x v="11"/>
    <x v="4"/>
    <x v="0"/>
    <n v="1.97536"/>
    <n v="1.9189400000000001"/>
    <n v="1.994"/>
    <n v="1.9564699999999999"/>
    <n v="750.6"/>
  </r>
  <r>
    <x v="11"/>
    <x v="4"/>
    <x v="0"/>
    <n v="1.97536"/>
    <n v="1.9189400000000001"/>
    <n v="1.994"/>
    <n v="1.9564699999999999"/>
    <n v="750.6"/>
  </r>
  <r>
    <x v="11"/>
    <x v="4"/>
    <x v="0"/>
    <n v="1.97536"/>
    <n v="1.9189400000000001"/>
    <n v="1.994"/>
    <n v="1.9564699999999999"/>
    <n v="750.6"/>
  </r>
  <r>
    <x v="11"/>
    <x v="4"/>
    <x v="0"/>
    <n v="1.97536"/>
    <n v="1.9189400000000001"/>
    <n v="1.994"/>
    <n v="1.9564699999999999"/>
    <n v="750.6"/>
  </r>
  <r>
    <x v="11"/>
    <x v="4"/>
    <x v="0"/>
    <n v="1.97536"/>
    <n v="1.9189400000000001"/>
    <n v="1.994"/>
    <n v="1.9564699999999999"/>
    <n v="750.6"/>
  </r>
  <r>
    <x v="11"/>
    <x v="4"/>
    <x v="0"/>
    <n v="1.97536"/>
    <n v="1.9189400000000001"/>
    <n v="1.994"/>
    <n v="1.9564699999999999"/>
    <n v="750.6"/>
  </r>
  <r>
    <x v="11"/>
    <x v="4"/>
    <x v="0"/>
    <n v="1.97536"/>
    <n v="1.9189400000000001"/>
    <n v="1.994"/>
    <n v="1.9564699999999999"/>
    <n v="750.6"/>
  </r>
  <r>
    <x v="11"/>
    <x v="4"/>
    <x v="0"/>
    <n v="1.97536"/>
    <n v="1.9189400000000001"/>
    <n v="1.994"/>
    <n v="1.9564699999999999"/>
    <n v="750.6"/>
  </r>
  <r>
    <x v="11"/>
    <x v="4"/>
    <x v="0"/>
    <n v="1.97536"/>
    <n v="1.9189400000000001"/>
    <n v="1.994"/>
    <n v="1.9564699999999999"/>
    <n v="750.6"/>
  </r>
  <r>
    <x v="11"/>
    <x v="4"/>
    <x v="0"/>
    <n v="1.97536"/>
    <n v="1.9189400000000001"/>
    <n v="1.994"/>
    <n v="1.9564699999999999"/>
    <n v="750.6"/>
  </r>
  <r>
    <x v="11"/>
    <x v="4"/>
    <x v="0"/>
    <n v="1.97536"/>
    <n v="1.9189400000000001"/>
    <n v="1.994"/>
    <n v="1.9564699999999999"/>
    <n v="750.6"/>
  </r>
  <r>
    <x v="11"/>
    <x v="4"/>
    <x v="0"/>
    <n v="1.97536"/>
    <n v="1.9189400000000001"/>
    <n v="1.994"/>
    <n v="1.9564699999999999"/>
    <n v="750.6"/>
  </r>
  <r>
    <x v="11"/>
    <x v="4"/>
    <x v="0"/>
    <n v="1.97536"/>
    <n v="1.9189400000000001"/>
    <n v="1.994"/>
    <n v="1.9564699999999999"/>
    <n v="750.6"/>
  </r>
  <r>
    <x v="11"/>
    <x v="4"/>
    <x v="0"/>
    <n v="1.97536"/>
    <n v="1.9189400000000001"/>
    <n v="1.994"/>
    <n v="1.9564699999999999"/>
    <n v="750.6"/>
  </r>
  <r>
    <x v="11"/>
    <x v="5"/>
    <x v="0"/>
    <n v="1.98126"/>
    <n v="1.9189400000000001"/>
    <n v="2.0024099999999998"/>
    <n v="1.9606749999999999"/>
    <n v="834.7"/>
  </r>
  <r>
    <x v="11"/>
    <x v="5"/>
    <x v="0"/>
    <n v="1.98126"/>
    <n v="1.9189400000000001"/>
    <n v="2.0024099999999998"/>
    <n v="1.9606749999999999"/>
    <n v="834.7"/>
  </r>
  <r>
    <x v="11"/>
    <x v="5"/>
    <x v="0"/>
    <n v="1.98126"/>
    <n v="1.9189400000000001"/>
    <n v="2.0024099999999998"/>
    <n v="1.9606749999999999"/>
    <n v="834.7"/>
  </r>
  <r>
    <x v="11"/>
    <x v="5"/>
    <x v="0"/>
    <n v="1.98126"/>
    <n v="1.9189400000000001"/>
    <n v="2.0024099999999998"/>
    <n v="1.9606749999999999"/>
    <n v="834.7"/>
  </r>
  <r>
    <x v="11"/>
    <x v="5"/>
    <x v="0"/>
    <n v="1.98126"/>
    <n v="1.9189400000000001"/>
    <n v="2.0024099999999998"/>
    <n v="1.9606749999999999"/>
    <n v="834.7"/>
  </r>
  <r>
    <x v="11"/>
    <x v="5"/>
    <x v="0"/>
    <n v="1.98126"/>
    <n v="1.9189400000000001"/>
    <n v="2.0024099999999998"/>
    <n v="1.9606749999999999"/>
    <n v="834.7"/>
  </r>
  <r>
    <x v="11"/>
    <x v="5"/>
    <x v="0"/>
    <n v="1.98126"/>
    <n v="1.9189400000000001"/>
    <n v="2.0024099999999998"/>
    <n v="1.9606749999999999"/>
    <n v="834.7"/>
  </r>
  <r>
    <x v="11"/>
    <x v="5"/>
    <x v="0"/>
    <n v="1.98126"/>
    <n v="1.9189400000000001"/>
    <n v="2.0024099999999998"/>
    <n v="1.9606749999999999"/>
    <n v="834.7"/>
  </r>
  <r>
    <x v="11"/>
    <x v="5"/>
    <x v="0"/>
    <n v="1.98126"/>
    <n v="1.9189400000000001"/>
    <n v="2.0024099999999998"/>
    <n v="1.9606749999999999"/>
    <n v="834.7"/>
  </r>
  <r>
    <x v="11"/>
    <x v="5"/>
    <x v="10"/>
    <n v="0.90483999999999998"/>
    <n v="0.87092000000000003"/>
    <n v="0.91100999999999999"/>
    <n v="0.89096500000000001"/>
    <n v="400.9"/>
  </r>
  <r>
    <x v="11"/>
    <x v="5"/>
    <x v="10"/>
    <n v="0.90483999999999998"/>
    <n v="0.87092000000000003"/>
    <n v="0.91100999999999999"/>
    <n v="0.89096500000000001"/>
    <n v="400.9"/>
  </r>
  <r>
    <x v="11"/>
    <x v="5"/>
    <x v="10"/>
    <n v="0.90483999999999998"/>
    <n v="0.87092000000000003"/>
    <n v="0.91100999999999999"/>
    <n v="0.89096500000000001"/>
    <n v="400.9"/>
  </r>
  <r>
    <x v="11"/>
    <x v="5"/>
    <x v="10"/>
    <n v="0.90483999999999998"/>
    <n v="0.87092000000000003"/>
    <n v="0.91100999999999999"/>
    <n v="0.89096500000000001"/>
    <n v="400.9"/>
  </r>
  <r>
    <x v="11"/>
    <x v="5"/>
    <x v="10"/>
    <n v="0.90483999999999998"/>
    <n v="0.87092000000000003"/>
    <n v="0.91100999999999999"/>
    <n v="0.89096500000000001"/>
    <n v="400.9"/>
  </r>
  <r>
    <x v="11"/>
    <x v="5"/>
    <x v="10"/>
    <n v="0.90483999999999998"/>
    <n v="0.87092000000000003"/>
    <n v="0.91100999999999999"/>
    <n v="0.89096500000000001"/>
    <n v="400.9"/>
  </r>
  <r>
    <x v="11"/>
    <x v="5"/>
    <x v="10"/>
    <n v="0.90483999999999998"/>
    <n v="0.87092000000000003"/>
    <n v="0.91100999999999999"/>
    <n v="0.89096500000000001"/>
    <n v="400.9"/>
  </r>
  <r>
    <x v="11"/>
    <x v="5"/>
    <x v="10"/>
    <n v="0.90483999999999998"/>
    <n v="0.87092000000000003"/>
    <n v="0.91100999999999999"/>
    <n v="0.89096500000000001"/>
    <n v="400.9"/>
  </r>
  <r>
    <x v="11"/>
    <x v="5"/>
    <x v="10"/>
    <n v="0.90483999999999998"/>
    <n v="0.87092000000000003"/>
    <n v="0.91100999999999999"/>
    <n v="0.89096500000000001"/>
    <n v="400.9"/>
  </r>
  <r>
    <x v="11"/>
    <x v="5"/>
    <x v="10"/>
    <n v="0.90483999999999998"/>
    <n v="0.87092000000000003"/>
    <n v="0.91100999999999999"/>
    <n v="0.89096500000000001"/>
    <n v="400.9"/>
  </r>
  <r>
    <x v="11"/>
    <x v="5"/>
    <x v="10"/>
    <n v="0.90483999999999998"/>
    <n v="0.87092000000000003"/>
    <n v="0.91100999999999999"/>
    <n v="0.89096500000000001"/>
    <n v="400.9"/>
  </r>
  <r>
    <x v="11"/>
    <x v="5"/>
    <x v="10"/>
    <n v="0.90483999999999998"/>
    <n v="0.87092000000000003"/>
    <n v="0.91100999999999999"/>
    <n v="0.89096500000000001"/>
    <n v="400.9"/>
  </r>
  <r>
    <x v="11"/>
    <x v="5"/>
    <x v="10"/>
    <n v="0.90483999999999998"/>
    <n v="0.87092000000000003"/>
    <n v="0.91100999999999999"/>
    <n v="0.89096500000000001"/>
    <n v="400.9"/>
  </r>
  <r>
    <x v="11"/>
    <x v="5"/>
    <x v="10"/>
    <n v="0.90483999999999998"/>
    <n v="0.87092000000000003"/>
    <n v="0.91100999999999999"/>
    <n v="0.89096500000000001"/>
    <n v="400.9"/>
  </r>
  <r>
    <x v="11"/>
    <x v="5"/>
    <x v="10"/>
    <n v="0.90483999999999998"/>
    <n v="0.87092000000000003"/>
    <n v="0.91100999999999999"/>
    <n v="0.89096500000000001"/>
    <n v="400.9"/>
  </r>
  <r>
    <x v="11"/>
    <x v="5"/>
    <x v="10"/>
    <n v="0.90483999999999998"/>
    <n v="0.87092000000000003"/>
    <n v="0.91100999999999999"/>
    <n v="0.89096500000000001"/>
    <n v="400.9"/>
  </r>
  <r>
    <x v="11"/>
    <x v="5"/>
    <x v="10"/>
    <n v="0.90483999999999998"/>
    <n v="0.87092000000000003"/>
    <n v="0.91100999999999999"/>
    <n v="0.89096500000000001"/>
    <n v="400.9"/>
  </r>
  <r>
    <x v="11"/>
    <x v="5"/>
    <x v="10"/>
    <n v="0.90483999999999998"/>
    <n v="0.87092000000000003"/>
    <n v="0.91100999999999999"/>
    <n v="0.89096500000000001"/>
    <n v="400.9"/>
  </r>
  <r>
    <x v="11"/>
    <x v="5"/>
    <x v="10"/>
    <n v="0.90483999999999998"/>
    <n v="0.87092000000000003"/>
    <n v="0.91100999999999999"/>
    <n v="0.89096500000000001"/>
    <n v="400.9"/>
  </r>
  <r>
    <x v="11"/>
    <x v="5"/>
    <x v="10"/>
    <n v="0.90483999999999998"/>
    <n v="0.87092000000000003"/>
    <n v="0.91100999999999999"/>
    <n v="0.89096500000000001"/>
    <n v="400.9"/>
  </r>
  <r>
    <x v="11"/>
    <x v="5"/>
    <x v="10"/>
    <n v="0.90483999999999998"/>
    <n v="0.87092000000000003"/>
    <n v="0.91100999999999999"/>
    <n v="0.89096500000000001"/>
    <n v="400.9"/>
  </r>
  <r>
    <x v="11"/>
    <x v="5"/>
    <x v="10"/>
    <n v="0.90483999999999998"/>
    <n v="0.87092000000000003"/>
    <n v="0.91100999999999999"/>
    <n v="0.89096500000000001"/>
    <n v="400.9"/>
  </r>
  <r>
    <x v="11"/>
    <x v="5"/>
    <x v="10"/>
    <n v="0.90483999999999998"/>
    <n v="0.87092000000000003"/>
    <n v="0.91100999999999999"/>
    <n v="0.89096500000000001"/>
    <n v="400.9"/>
  </r>
  <r>
    <x v="11"/>
    <x v="5"/>
    <x v="12"/>
    <n v="92.953000000000003"/>
    <n v="91.099000000000004"/>
    <n v="96.2"/>
    <n v="93.649500000000003"/>
    <n v="510.1"/>
  </r>
  <r>
    <x v="11"/>
    <x v="5"/>
    <x v="12"/>
    <n v="92.953000000000003"/>
    <n v="91.099000000000004"/>
    <n v="96.2"/>
    <n v="93.649500000000003"/>
    <n v="510.1"/>
  </r>
  <r>
    <x v="11"/>
    <x v="5"/>
    <x v="12"/>
    <n v="92.953000000000003"/>
    <n v="91.099000000000004"/>
    <n v="96.2"/>
    <n v="93.649500000000003"/>
    <n v="510.1"/>
  </r>
  <r>
    <x v="11"/>
    <x v="5"/>
    <x v="12"/>
    <n v="92.953000000000003"/>
    <n v="91.099000000000004"/>
    <n v="96.2"/>
    <n v="93.649500000000003"/>
    <n v="510.1"/>
  </r>
  <r>
    <x v="11"/>
    <x v="5"/>
    <x v="12"/>
    <n v="92.953000000000003"/>
    <n v="91.099000000000004"/>
    <n v="96.2"/>
    <n v="93.649500000000003"/>
    <n v="510.1"/>
  </r>
  <r>
    <x v="11"/>
    <x v="5"/>
    <x v="12"/>
    <n v="92.953000000000003"/>
    <n v="91.099000000000004"/>
    <n v="96.2"/>
    <n v="93.649500000000003"/>
    <n v="510.1"/>
  </r>
  <r>
    <x v="11"/>
    <x v="5"/>
    <x v="12"/>
    <n v="92.953000000000003"/>
    <n v="91.099000000000004"/>
    <n v="96.2"/>
    <n v="93.649500000000003"/>
    <n v="510.1"/>
  </r>
  <r>
    <x v="11"/>
    <x v="5"/>
    <x v="12"/>
    <n v="92.953000000000003"/>
    <n v="91.099000000000004"/>
    <n v="96.2"/>
    <n v="93.649500000000003"/>
    <n v="510.1"/>
  </r>
  <r>
    <x v="11"/>
    <x v="5"/>
    <x v="12"/>
    <n v="92.953000000000003"/>
    <n v="91.099000000000004"/>
    <n v="96.2"/>
    <n v="93.649500000000003"/>
    <n v="510.1"/>
  </r>
  <r>
    <x v="11"/>
    <x v="5"/>
    <x v="12"/>
    <n v="92.953000000000003"/>
    <n v="91.099000000000004"/>
    <n v="96.2"/>
    <n v="93.649500000000003"/>
    <n v="510.1"/>
  </r>
  <r>
    <x v="11"/>
    <x v="5"/>
    <x v="12"/>
    <n v="92.953000000000003"/>
    <n v="91.099000000000004"/>
    <n v="96.2"/>
    <n v="93.649500000000003"/>
    <n v="510.1"/>
  </r>
  <r>
    <x v="11"/>
    <x v="5"/>
    <x v="12"/>
    <n v="92.953000000000003"/>
    <n v="91.099000000000004"/>
    <n v="96.2"/>
    <n v="93.649500000000003"/>
    <n v="510.1"/>
  </r>
  <r>
    <x v="11"/>
    <x v="5"/>
    <x v="12"/>
    <n v="92.953000000000003"/>
    <n v="91.099000000000004"/>
    <n v="96.2"/>
    <n v="93.649500000000003"/>
    <n v="510.1"/>
  </r>
  <r>
    <x v="11"/>
    <x v="5"/>
    <x v="12"/>
    <n v="92.953000000000003"/>
    <n v="91.099000000000004"/>
    <n v="96.2"/>
    <n v="93.649500000000003"/>
    <n v="510.1"/>
  </r>
  <r>
    <x v="11"/>
    <x v="5"/>
    <x v="12"/>
    <n v="92.953000000000003"/>
    <n v="91.099000000000004"/>
    <n v="96.2"/>
    <n v="93.649500000000003"/>
    <n v="510.1"/>
  </r>
  <r>
    <x v="11"/>
    <x v="5"/>
    <x v="12"/>
    <n v="92.953000000000003"/>
    <n v="91.099000000000004"/>
    <n v="96.2"/>
    <n v="93.649500000000003"/>
    <n v="510.1"/>
  </r>
  <r>
    <x v="11"/>
    <x v="5"/>
    <x v="12"/>
    <n v="92.953000000000003"/>
    <n v="91.099000000000004"/>
    <n v="96.2"/>
    <n v="93.649500000000003"/>
    <n v="510.1"/>
  </r>
  <r>
    <x v="11"/>
    <x v="5"/>
    <x v="12"/>
    <n v="92.953000000000003"/>
    <n v="91.099000000000004"/>
    <n v="96.2"/>
    <n v="93.649500000000003"/>
    <n v="510.1"/>
  </r>
  <r>
    <x v="11"/>
    <x v="5"/>
    <x v="12"/>
    <n v="92.953000000000003"/>
    <n v="91.099000000000004"/>
    <n v="96.2"/>
    <n v="93.649500000000003"/>
    <n v="510.1"/>
  </r>
  <r>
    <x v="11"/>
    <x v="5"/>
    <x v="12"/>
    <n v="92.953000000000003"/>
    <n v="91.099000000000004"/>
    <n v="96.2"/>
    <n v="93.649500000000003"/>
    <n v="510.1"/>
  </r>
  <r>
    <x v="11"/>
    <x v="5"/>
    <x v="12"/>
    <n v="92.953000000000003"/>
    <n v="91.099000000000004"/>
    <n v="96.2"/>
    <n v="93.649500000000003"/>
    <n v="510.1"/>
  </r>
  <r>
    <x v="11"/>
    <x v="5"/>
    <x v="12"/>
    <n v="92.953000000000003"/>
    <n v="91.099000000000004"/>
    <n v="96.2"/>
    <n v="93.649500000000003"/>
    <n v="510.1"/>
  </r>
  <r>
    <x v="11"/>
    <x v="5"/>
    <x v="12"/>
    <n v="92.953000000000003"/>
    <n v="91.099000000000004"/>
    <n v="96.2"/>
    <n v="93.649500000000003"/>
    <n v="510.1"/>
  </r>
  <r>
    <x v="11"/>
    <x v="5"/>
    <x v="12"/>
    <n v="92.953000000000003"/>
    <n v="91.099000000000004"/>
    <n v="96.2"/>
    <n v="93.649500000000003"/>
    <n v="510.1"/>
  </r>
  <r>
    <x v="11"/>
    <x v="5"/>
    <x v="12"/>
    <n v="92.953000000000003"/>
    <n v="91.099000000000004"/>
    <n v="96.2"/>
    <n v="93.649500000000003"/>
    <n v="510.1"/>
  </r>
  <r>
    <x v="11"/>
    <x v="5"/>
    <x v="12"/>
    <n v="92.953000000000003"/>
    <n v="91.099000000000004"/>
    <n v="96.2"/>
    <n v="93.649500000000003"/>
    <n v="510.1"/>
  </r>
  <r>
    <x v="11"/>
    <x v="5"/>
    <x v="3"/>
    <n v="1.3409"/>
    <n v="1.3340000000000001"/>
    <n v="1.397"/>
    <n v="1.3654999999999999"/>
    <n v="630"/>
  </r>
  <r>
    <x v="11"/>
    <x v="5"/>
    <x v="3"/>
    <n v="1.3409"/>
    <n v="1.3340000000000001"/>
    <n v="1.397"/>
    <n v="1.3654999999999999"/>
    <n v="630"/>
  </r>
  <r>
    <x v="11"/>
    <x v="5"/>
    <x v="3"/>
    <n v="1.3409"/>
    <n v="1.3340000000000001"/>
    <n v="1.397"/>
    <n v="1.3654999999999999"/>
    <n v="630"/>
  </r>
  <r>
    <x v="11"/>
    <x v="5"/>
    <x v="3"/>
    <n v="1.3409"/>
    <n v="1.3340000000000001"/>
    <n v="1.397"/>
    <n v="1.3654999999999999"/>
    <n v="630"/>
  </r>
  <r>
    <x v="11"/>
    <x v="5"/>
    <x v="3"/>
    <n v="1.3409"/>
    <n v="1.3340000000000001"/>
    <n v="1.397"/>
    <n v="1.3654999999999999"/>
    <n v="630"/>
  </r>
  <r>
    <x v="11"/>
    <x v="5"/>
    <x v="3"/>
    <n v="1.3409"/>
    <n v="1.3340000000000001"/>
    <n v="1.397"/>
    <n v="1.3654999999999999"/>
    <n v="630"/>
  </r>
  <r>
    <x v="11"/>
    <x v="5"/>
    <x v="3"/>
    <n v="1.3409"/>
    <n v="1.3340000000000001"/>
    <n v="1.397"/>
    <n v="1.3654999999999999"/>
    <n v="630"/>
  </r>
  <r>
    <x v="11"/>
    <x v="5"/>
    <x v="3"/>
    <n v="1.3409"/>
    <n v="1.3340000000000001"/>
    <n v="1.397"/>
    <n v="1.3654999999999999"/>
    <n v="630"/>
  </r>
  <r>
    <x v="11"/>
    <x v="5"/>
    <x v="3"/>
    <n v="1.3409"/>
    <n v="1.3340000000000001"/>
    <n v="1.397"/>
    <n v="1.3654999999999999"/>
    <n v="630"/>
  </r>
  <r>
    <x v="11"/>
    <x v="5"/>
    <x v="3"/>
    <n v="1.3409"/>
    <n v="1.3340000000000001"/>
    <n v="1.397"/>
    <n v="1.3654999999999999"/>
    <n v="630"/>
  </r>
  <r>
    <x v="11"/>
    <x v="5"/>
    <x v="3"/>
    <n v="1.3409"/>
    <n v="1.3340000000000001"/>
    <n v="1.397"/>
    <n v="1.3654999999999999"/>
    <n v="630"/>
  </r>
  <r>
    <x v="11"/>
    <x v="5"/>
    <x v="3"/>
    <n v="1.3409"/>
    <n v="1.3340000000000001"/>
    <n v="1.397"/>
    <n v="1.3654999999999999"/>
    <n v="630"/>
  </r>
  <r>
    <x v="11"/>
    <x v="5"/>
    <x v="3"/>
    <n v="1.3409"/>
    <n v="1.3340000000000001"/>
    <n v="1.397"/>
    <n v="1.3654999999999999"/>
    <n v="630"/>
  </r>
  <r>
    <x v="11"/>
    <x v="5"/>
    <x v="3"/>
    <n v="1.3409"/>
    <n v="1.3340000000000001"/>
    <n v="1.397"/>
    <n v="1.3654999999999999"/>
    <n v="630"/>
  </r>
  <r>
    <x v="11"/>
    <x v="5"/>
    <x v="3"/>
    <n v="1.3409"/>
    <n v="1.3340000000000001"/>
    <n v="1.397"/>
    <n v="1.3654999999999999"/>
    <n v="630"/>
  </r>
  <r>
    <x v="11"/>
    <x v="5"/>
    <x v="3"/>
    <n v="1.3409"/>
    <n v="1.3340000000000001"/>
    <n v="1.397"/>
    <n v="1.3654999999999999"/>
    <n v="630"/>
  </r>
  <r>
    <x v="11"/>
    <x v="5"/>
    <x v="3"/>
    <n v="1.3409"/>
    <n v="1.3340000000000001"/>
    <n v="1.397"/>
    <n v="1.3654999999999999"/>
    <n v="630"/>
  </r>
  <r>
    <x v="11"/>
    <x v="5"/>
    <x v="3"/>
    <n v="1.3409"/>
    <n v="1.3340000000000001"/>
    <n v="1.397"/>
    <n v="1.3654999999999999"/>
    <n v="630"/>
  </r>
  <r>
    <x v="11"/>
    <x v="5"/>
    <x v="3"/>
    <n v="1.3409"/>
    <n v="1.3340000000000001"/>
    <n v="1.397"/>
    <n v="1.3654999999999999"/>
    <n v="630"/>
  </r>
  <r>
    <x v="11"/>
    <x v="5"/>
    <x v="3"/>
    <n v="1.3409"/>
    <n v="1.3340000000000001"/>
    <n v="1.397"/>
    <n v="1.3654999999999999"/>
    <n v="630"/>
  </r>
  <r>
    <x v="11"/>
    <x v="5"/>
    <x v="3"/>
    <n v="1.3409"/>
    <n v="1.3340000000000001"/>
    <n v="1.397"/>
    <n v="1.3654999999999999"/>
    <n v="630"/>
  </r>
  <r>
    <x v="11"/>
    <x v="5"/>
    <x v="3"/>
    <n v="1.3409"/>
    <n v="1.3340000000000001"/>
    <n v="1.397"/>
    <n v="1.3654999999999999"/>
    <n v="630"/>
  </r>
  <r>
    <x v="11"/>
    <x v="5"/>
    <x v="3"/>
    <n v="1.3409"/>
    <n v="1.3340000000000001"/>
    <n v="1.397"/>
    <n v="1.3654999999999999"/>
    <n v="630"/>
  </r>
  <r>
    <x v="11"/>
    <x v="5"/>
    <x v="0"/>
    <n v="1.98126"/>
    <n v="1.9189400000000001"/>
    <n v="2.0024099999999998"/>
    <n v="1.9606749999999999"/>
    <n v="834.7"/>
  </r>
  <r>
    <x v="11"/>
    <x v="5"/>
    <x v="0"/>
    <n v="1.98126"/>
    <n v="1.9189400000000001"/>
    <n v="2.0024099999999998"/>
    <n v="1.9606749999999999"/>
    <n v="834.7"/>
  </r>
  <r>
    <x v="11"/>
    <x v="5"/>
    <x v="0"/>
    <n v="1.98126"/>
    <n v="1.9189400000000001"/>
    <n v="2.0024099999999998"/>
    <n v="1.9606749999999999"/>
    <n v="834.7"/>
  </r>
  <r>
    <x v="11"/>
    <x v="5"/>
    <x v="0"/>
    <n v="1.98126"/>
    <n v="1.9189400000000001"/>
    <n v="2.0024099999999998"/>
    <n v="1.9606749999999999"/>
    <n v="834.7"/>
  </r>
  <r>
    <x v="11"/>
    <x v="5"/>
    <x v="0"/>
    <n v="1.98126"/>
    <n v="1.9189400000000001"/>
    <n v="2.0024099999999998"/>
    <n v="1.9606749999999999"/>
    <n v="834.7"/>
  </r>
  <r>
    <x v="11"/>
    <x v="5"/>
    <x v="0"/>
    <n v="1.98126"/>
    <n v="1.9189400000000001"/>
    <n v="2.0024099999999998"/>
    <n v="1.9606749999999999"/>
    <n v="834.7"/>
  </r>
  <r>
    <x v="11"/>
    <x v="5"/>
    <x v="0"/>
    <n v="1.98126"/>
    <n v="1.9189400000000001"/>
    <n v="2.0024099999999998"/>
    <n v="1.9606749999999999"/>
    <n v="834.7"/>
  </r>
  <r>
    <x v="11"/>
    <x v="5"/>
    <x v="0"/>
    <n v="1.98126"/>
    <n v="1.9189400000000001"/>
    <n v="2.0024099999999998"/>
    <n v="1.9606749999999999"/>
    <n v="834.7"/>
  </r>
  <r>
    <x v="11"/>
    <x v="5"/>
    <x v="0"/>
    <n v="1.98126"/>
    <n v="1.9189400000000001"/>
    <n v="2.0024099999999998"/>
    <n v="1.9606749999999999"/>
    <n v="834.7"/>
  </r>
  <r>
    <x v="11"/>
    <x v="5"/>
    <x v="0"/>
    <n v="1.98126"/>
    <n v="1.9189400000000001"/>
    <n v="2.0024099999999998"/>
    <n v="1.9606749999999999"/>
    <n v="834.7"/>
  </r>
  <r>
    <x v="11"/>
    <x v="5"/>
    <x v="0"/>
    <n v="1.98126"/>
    <n v="1.9189400000000001"/>
    <n v="2.0024099999999998"/>
    <n v="1.9606749999999999"/>
    <n v="834.7"/>
  </r>
  <r>
    <x v="11"/>
    <x v="5"/>
    <x v="0"/>
    <n v="1.98126"/>
    <n v="1.9189400000000001"/>
    <n v="2.0024099999999998"/>
    <n v="1.9606749999999999"/>
    <n v="834.7"/>
  </r>
  <r>
    <x v="11"/>
    <x v="5"/>
    <x v="0"/>
    <n v="1.98126"/>
    <n v="1.9189400000000001"/>
    <n v="2.0024099999999998"/>
    <n v="1.9606749999999999"/>
    <n v="834.7"/>
  </r>
  <r>
    <x v="11"/>
    <x v="5"/>
    <x v="0"/>
    <n v="1.98126"/>
    <n v="1.9189400000000001"/>
    <n v="2.0024099999999998"/>
    <n v="1.9606749999999999"/>
    <n v="834.7"/>
  </r>
  <r>
    <x v="11"/>
    <x v="5"/>
    <x v="0"/>
    <n v="1.98126"/>
    <n v="1.9189400000000001"/>
    <n v="2.0024099999999998"/>
    <n v="1.9606749999999999"/>
    <n v="834.7"/>
  </r>
  <r>
    <x v="11"/>
    <x v="6"/>
    <x v="12"/>
    <n v="93.891999999999996"/>
    <n v="91.099000000000004"/>
    <n v="96.2"/>
    <n v="93.649500000000003"/>
    <n v="510.1"/>
  </r>
  <r>
    <x v="11"/>
    <x v="6"/>
    <x v="12"/>
    <n v="93.891999999999996"/>
    <n v="91.099000000000004"/>
    <n v="96.2"/>
    <n v="93.649500000000003"/>
    <n v="510.1"/>
  </r>
  <r>
    <x v="11"/>
    <x v="6"/>
    <x v="12"/>
    <n v="93.891999999999996"/>
    <n v="91.099000000000004"/>
    <n v="96.2"/>
    <n v="93.649500000000003"/>
    <n v="510.1"/>
  </r>
  <r>
    <x v="11"/>
    <x v="6"/>
    <x v="12"/>
    <n v="93.891999999999996"/>
    <n v="91.099000000000004"/>
    <n v="96.2"/>
    <n v="93.649500000000003"/>
    <n v="510.1"/>
  </r>
  <r>
    <x v="11"/>
    <x v="6"/>
    <x v="12"/>
    <n v="93.891999999999996"/>
    <n v="91.099000000000004"/>
    <n v="96.2"/>
    <n v="93.649500000000003"/>
    <n v="510.1"/>
  </r>
  <r>
    <x v="11"/>
    <x v="6"/>
    <x v="12"/>
    <n v="93.891999999999996"/>
    <n v="91.099000000000004"/>
    <n v="96.2"/>
    <n v="93.649500000000003"/>
    <n v="510.1"/>
  </r>
  <r>
    <x v="11"/>
    <x v="6"/>
    <x v="12"/>
    <n v="93.891999999999996"/>
    <n v="91.099000000000004"/>
    <n v="96.2"/>
    <n v="93.649500000000003"/>
    <n v="510.1"/>
  </r>
  <r>
    <x v="11"/>
    <x v="6"/>
    <x v="12"/>
    <n v="93.891999999999996"/>
    <n v="91.099000000000004"/>
    <n v="96.2"/>
    <n v="93.649500000000003"/>
    <n v="510.1"/>
  </r>
  <r>
    <x v="11"/>
    <x v="6"/>
    <x v="12"/>
    <n v="93.891999999999996"/>
    <n v="91.099000000000004"/>
    <n v="96.2"/>
    <n v="93.649500000000003"/>
    <n v="510.1"/>
  </r>
  <r>
    <x v="11"/>
    <x v="6"/>
    <x v="12"/>
    <n v="93.891999999999996"/>
    <n v="91.099000000000004"/>
    <n v="96.2"/>
    <n v="93.649500000000003"/>
    <n v="510.1"/>
  </r>
  <r>
    <x v="11"/>
    <x v="6"/>
    <x v="12"/>
    <n v="93.891999999999996"/>
    <n v="91.099000000000004"/>
    <n v="96.2"/>
    <n v="93.649500000000003"/>
    <n v="510.1"/>
  </r>
  <r>
    <x v="11"/>
    <x v="6"/>
    <x v="12"/>
    <n v="93.891999999999996"/>
    <n v="91.099000000000004"/>
    <n v="96.2"/>
    <n v="93.649500000000003"/>
    <n v="510.1"/>
  </r>
  <r>
    <x v="11"/>
    <x v="6"/>
    <x v="12"/>
    <n v="93.891999999999996"/>
    <n v="91.099000000000004"/>
    <n v="96.2"/>
    <n v="93.649500000000003"/>
    <n v="510.1"/>
  </r>
  <r>
    <x v="11"/>
    <x v="6"/>
    <x v="12"/>
    <n v="93.891999999999996"/>
    <n v="91.099000000000004"/>
    <n v="96.2"/>
    <n v="93.649500000000003"/>
    <n v="510.1"/>
  </r>
  <r>
    <x v="11"/>
    <x v="6"/>
    <x v="12"/>
    <n v="93.891999999999996"/>
    <n v="91.099000000000004"/>
    <n v="96.2"/>
    <n v="93.649500000000003"/>
    <n v="510.1"/>
  </r>
  <r>
    <x v="11"/>
    <x v="6"/>
    <x v="12"/>
    <n v="93.891999999999996"/>
    <n v="91.099000000000004"/>
    <n v="96.2"/>
    <n v="93.649500000000003"/>
    <n v="510.1"/>
  </r>
  <r>
    <x v="11"/>
    <x v="6"/>
    <x v="12"/>
    <n v="93.891999999999996"/>
    <n v="91.099000000000004"/>
    <n v="96.2"/>
    <n v="93.649500000000003"/>
    <n v="510.1"/>
  </r>
  <r>
    <x v="11"/>
    <x v="6"/>
    <x v="12"/>
    <n v="93.891999999999996"/>
    <n v="91.099000000000004"/>
    <n v="96.2"/>
    <n v="93.649500000000003"/>
    <n v="510.1"/>
  </r>
  <r>
    <x v="11"/>
    <x v="6"/>
    <x v="12"/>
    <n v="93.891999999999996"/>
    <n v="91.099000000000004"/>
    <n v="96.2"/>
    <n v="93.649500000000003"/>
    <n v="510.1"/>
  </r>
  <r>
    <x v="11"/>
    <x v="6"/>
    <x v="12"/>
    <n v="93.891999999999996"/>
    <n v="91.099000000000004"/>
    <n v="96.2"/>
    <n v="93.649500000000003"/>
    <n v="510.1"/>
  </r>
  <r>
    <x v="11"/>
    <x v="6"/>
    <x v="12"/>
    <n v="93.891999999999996"/>
    <n v="91.099000000000004"/>
    <n v="96.2"/>
    <n v="93.649500000000003"/>
    <n v="510.1"/>
  </r>
  <r>
    <x v="11"/>
    <x v="6"/>
    <x v="12"/>
    <n v="93.891999999999996"/>
    <n v="91.099000000000004"/>
    <n v="96.2"/>
    <n v="93.649500000000003"/>
    <n v="510.1"/>
  </r>
  <r>
    <x v="11"/>
    <x v="6"/>
    <x v="12"/>
    <n v="93.891999999999996"/>
    <n v="91.099000000000004"/>
    <n v="96.2"/>
    <n v="93.649500000000003"/>
    <n v="510.1"/>
  </r>
  <r>
    <x v="11"/>
    <x v="6"/>
    <x v="12"/>
    <n v="93.891999999999996"/>
    <n v="91.099000000000004"/>
    <n v="96.2"/>
    <n v="93.649500000000003"/>
    <n v="510.1"/>
  </r>
  <r>
    <x v="11"/>
    <x v="6"/>
    <x v="12"/>
    <n v="93.891999999999996"/>
    <n v="91.099000000000004"/>
    <n v="96.2"/>
    <n v="93.649500000000003"/>
    <n v="510.1"/>
  </r>
  <r>
    <x v="11"/>
    <x v="6"/>
    <x v="12"/>
    <n v="93.891999999999996"/>
    <n v="91.099000000000004"/>
    <n v="96.2"/>
    <n v="93.649500000000003"/>
    <n v="510.1"/>
  </r>
  <r>
    <x v="11"/>
    <x v="6"/>
    <x v="3"/>
    <n v="1.3395600000000001"/>
    <n v="1.3340000000000001"/>
    <n v="1.397"/>
    <n v="1.3654999999999999"/>
    <n v="630"/>
  </r>
  <r>
    <x v="11"/>
    <x v="6"/>
    <x v="3"/>
    <n v="1.3395600000000001"/>
    <n v="1.3340000000000001"/>
    <n v="1.397"/>
    <n v="1.3654999999999999"/>
    <n v="630"/>
  </r>
  <r>
    <x v="11"/>
    <x v="6"/>
    <x v="3"/>
    <n v="1.3395600000000001"/>
    <n v="1.3340000000000001"/>
    <n v="1.397"/>
    <n v="1.3654999999999999"/>
    <n v="630"/>
  </r>
  <r>
    <x v="11"/>
    <x v="6"/>
    <x v="3"/>
    <n v="1.3395600000000001"/>
    <n v="1.3340000000000001"/>
    <n v="1.397"/>
    <n v="1.3654999999999999"/>
    <n v="630"/>
  </r>
  <r>
    <x v="11"/>
    <x v="6"/>
    <x v="3"/>
    <n v="1.3395600000000001"/>
    <n v="1.3340000000000001"/>
    <n v="1.397"/>
    <n v="1.3654999999999999"/>
    <n v="630"/>
  </r>
  <r>
    <x v="11"/>
    <x v="6"/>
    <x v="3"/>
    <n v="1.3395600000000001"/>
    <n v="1.3340000000000001"/>
    <n v="1.397"/>
    <n v="1.3654999999999999"/>
    <n v="630"/>
  </r>
  <r>
    <x v="11"/>
    <x v="6"/>
    <x v="3"/>
    <n v="1.3395600000000001"/>
    <n v="1.3340000000000001"/>
    <n v="1.397"/>
    <n v="1.3654999999999999"/>
    <n v="630"/>
  </r>
  <r>
    <x v="11"/>
    <x v="6"/>
    <x v="3"/>
    <n v="1.3395600000000001"/>
    <n v="1.3340000000000001"/>
    <n v="1.397"/>
    <n v="1.3654999999999999"/>
    <n v="630"/>
  </r>
  <r>
    <x v="11"/>
    <x v="6"/>
    <x v="3"/>
    <n v="1.3395600000000001"/>
    <n v="1.3340000000000001"/>
    <n v="1.397"/>
    <n v="1.3654999999999999"/>
    <n v="630"/>
  </r>
  <r>
    <x v="11"/>
    <x v="6"/>
    <x v="3"/>
    <n v="1.3395600000000001"/>
    <n v="1.3340000000000001"/>
    <n v="1.397"/>
    <n v="1.3654999999999999"/>
    <n v="630"/>
  </r>
  <r>
    <x v="11"/>
    <x v="6"/>
    <x v="3"/>
    <n v="1.3395600000000001"/>
    <n v="1.3340000000000001"/>
    <n v="1.397"/>
    <n v="1.3654999999999999"/>
    <n v="630"/>
  </r>
  <r>
    <x v="11"/>
    <x v="6"/>
    <x v="3"/>
    <n v="1.3395600000000001"/>
    <n v="1.3340000000000001"/>
    <n v="1.397"/>
    <n v="1.3654999999999999"/>
    <n v="630"/>
  </r>
  <r>
    <x v="11"/>
    <x v="6"/>
    <x v="3"/>
    <n v="1.3395600000000001"/>
    <n v="1.3340000000000001"/>
    <n v="1.397"/>
    <n v="1.3654999999999999"/>
    <n v="630"/>
  </r>
  <r>
    <x v="11"/>
    <x v="6"/>
    <x v="3"/>
    <n v="1.3395600000000001"/>
    <n v="1.3340000000000001"/>
    <n v="1.397"/>
    <n v="1.3654999999999999"/>
    <n v="630"/>
  </r>
  <r>
    <x v="11"/>
    <x v="6"/>
    <x v="3"/>
    <n v="1.3395600000000001"/>
    <n v="1.3340000000000001"/>
    <n v="1.397"/>
    <n v="1.3654999999999999"/>
    <n v="630"/>
  </r>
  <r>
    <x v="11"/>
    <x v="6"/>
    <x v="3"/>
    <n v="1.3395600000000001"/>
    <n v="1.3340000000000001"/>
    <n v="1.397"/>
    <n v="1.3654999999999999"/>
    <n v="630"/>
  </r>
  <r>
    <x v="11"/>
    <x v="6"/>
    <x v="3"/>
    <n v="1.3395600000000001"/>
    <n v="1.3340000000000001"/>
    <n v="1.397"/>
    <n v="1.3654999999999999"/>
    <n v="630"/>
  </r>
  <r>
    <x v="11"/>
    <x v="6"/>
    <x v="3"/>
    <n v="1.3395600000000001"/>
    <n v="1.3340000000000001"/>
    <n v="1.397"/>
    <n v="1.3654999999999999"/>
    <n v="630"/>
  </r>
  <r>
    <x v="11"/>
    <x v="6"/>
    <x v="3"/>
    <n v="1.3395600000000001"/>
    <n v="1.3340000000000001"/>
    <n v="1.397"/>
    <n v="1.3654999999999999"/>
    <n v="630"/>
  </r>
  <r>
    <x v="11"/>
    <x v="6"/>
    <x v="3"/>
    <n v="1.3395600000000001"/>
    <n v="1.3340000000000001"/>
    <n v="1.397"/>
    <n v="1.3654999999999999"/>
    <n v="630"/>
  </r>
  <r>
    <x v="11"/>
    <x v="6"/>
    <x v="3"/>
    <n v="1.3395600000000001"/>
    <n v="1.3340000000000001"/>
    <n v="1.397"/>
    <n v="1.3654999999999999"/>
    <n v="630"/>
  </r>
  <r>
    <x v="11"/>
    <x v="6"/>
    <x v="3"/>
    <n v="1.3395600000000001"/>
    <n v="1.3340000000000001"/>
    <n v="1.397"/>
    <n v="1.3654999999999999"/>
    <n v="630"/>
  </r>
  <r>
    <x v="11"/>
    <x v="6"/>
    <x v="3"/>
    <n v="1.3395600000000001"/>
    <n v="1.3340000000000001"/>
    <n v="1.397"/>
    <n v="1.3654999999999999"/>
    <n v="630"/>
  </r>
  <r>
    <x v="11"/>
    <x v="6"/>
    <x v="0"/>
    <n v="1.96553"/>
    <n v="1.9189400000000001"/>
    <n v="2.0024099999999998"/>
    <n v="1.9606749999999999"/>
    <n v="834.7"/>
  </r>
  <r>
    <x v="11"/>
    <x v="6"/>
    <x v="0"/>
    <n v="1.96553"/>
    <n v="1.9189400000000001"/>
    <n v="2.0024099999999998"/>
    <n v="1.9606749999999999"/>
    <n v="834.7"/>
  </r>
  <r>
    <x v="11"/>
    <x v="6"/>
    <x v="0"/>
    <n v="1.96553"/>
    <n v="1.9189400000000001"/>
    <n v="2.0024099999999998"/>
    <n v="1.9606749999999999"/>
    <n v="834.7"/>
  </r>
  <r>
    <x v="11"/>
    <x v="6"/>
    <x v="0"/>
    <n v="1.96553"/>
    <n v="1.9189400000000001"/>
    <n v="2.0024099999999998"/>
    <n v="1.9606749999999999"/>
    <n v="834.7"/>
  </r>
  <r>
    <x v="11"/>
    <x v="6"/>
    <x v="0"/>
    <n v="1.96553"/>
    <n v="1.9189400000000001"/>
    <n v="2.0024099999999998"/>
    <n v="1.9606749999999999"/>
    <n v="834.7"/>
  </r>
  <r>
    <x v="11"/>
    <x v="6"/>
    <x v="0"/>
    <n v="1.96553"/>
    <n v="1.9189400000000001"/>
    <n v="2.0024099999999998"/>
    <n v="1.9606749999999999"/>
    <n v="834.7"/>
  </r>
  <r>
    <x v="11"/>
    <x v="6"/>
    <x v="0"/>
    <n v="1.96553"/>
    <n v="1.9189400000000001"/>
    <n v="2.0024099999999998"/>
    <n v="1.9606749999999999"/>
    <n v="834.7"/>
  </r>
  <r>
    <x v="11"/>
    <x v="6"/>
    <x v="0"/>
    <n v="1.96553"/>
    <n v="1.9189400000000001"/>
    <n v="2.0024099999999998"/>
    <n v="1.9606749999999999"/>
    <n v="834.7"/>
  </r>
  <r>
    <x v="11"/>
    <x v="6"/>
    <x v="0"/>
    <n v="1.96553"/>
    <n v="1.9189400000000001"/>
    <n v="2.0024099999999998"/>
    <n v="1.9606749999999999"/>
    <n v="834.7"/>
  </r>
  <r>
    <x v="11"/>
    <x v="6"/>
    <x v="0"/>
    <n v="1.96553"/>
    <n v="1.9189400000000001"/>
    <n v="2.0024099999999998"/>
    <n v="1.9606749999999999"/>
    <n v="834.7"/>
  </r>
  <r>
    <x v="11"/>
    <x v="6"/>
    <x v="0"/>
    <n v="1.96553"/>
    <n v="1.9189400000000001"/>
    <n v="2.0024099999999998"/>
    <n v="1.9606749999999999"/>
    <n v="834.7"/>
  </r>
  <r>
    <x v="11"/>
    <x v="6"/>
    <x v="0"/>
    <n v="1.96553"/>
    <n v="1.9189400000000001"/>
    <n v="2.0024099999999998"/>
    <n v="1.9606749999999999"/>
    <n v="834.7"/>
  </r>
  <r>
    <x v="11"/>
    <x v="6"/>
    <x v="0"/>
    <n v="1.96553"/>
    <n v="1.9189400000000001"/>
    <n v="2.0024099999999998"/>
    <n v="1.9606749999999999"/>
    <n v="834.7"/>
  </r>
  <r>
    <x v="11"/>
    <x v="6"/>
    <x v="0"/>
    <n v="1.96553"/>
    <n v="1.9189400000000001"/>
    <n v="2.0024099999999998"/>
    <n v="1.9606749999999999"/>
    <n v="834.7"/>
  </r>
  <r>
    <x v="11"/>
    <x v="6"/>
    <x v="0"/>
    <n v="1.96553"/>
    <n v="1.9189400000000001"/>
    <n v="2.0024099999999998"/>
    <n v="1.9606749999999999"/>
    <n v="834.7"/>
  </r>
  <r>
    <x v="11"/>
    <x v="6"/>
    <x v="0"/>
    <n v="1.96553"/>
    <n v="1.9189400000000001"/>
    <n v="2.0024099999999998"/>
    <n v="1.9606749999999999"/>
    <n v="834.7"/>
  </r>
  <r>
    <x v="11"/>
    <x v="6"/>
    <x v="0"/>
    <n v="1.96553"/>
    <n v="1.9189400000000001"/>
    <n v="2.0024099999999998"/>
    <n v="1.9606749999999999"/>
    <n v="834.7"/>
  </r>
  <r>
    <x v="11"/>
    <x v="6"/>
    <x v="0"/>
    <n v="1.96553"/>
    <n v="1.9189400000000001"/>
    <n v="2.0024099999999998"/>
    <n v="1.9606749999999999"/>
    <n v="834.7"/>
  </r>
  <r>
    <x v="11"/>
    <x v="6"/>
    <x v="0"/>
    <n v="1.96553"/>
    <n v="1.9189400000000001"/>
    <n v="2.0024099999999998"/>
    <n v="1.9606749999999999"/>
    <n v="834.7"/>
  </r>
  <r>
    <x v="11"/>
    <x v="6"/>
    <x v="0"/>
    <n v="1.96553"/>
    <n v="1.9189400000000001"/>
    <n v="2.0024099999999998"/>
    <n v="1.9606749999999999"/>
    <n v="834.7"/>
  </r>
  <r>
    <x v="11"/>
    <x v="6"/>
    <x v="0"/>
    <n v="1.96553"/>
    <n v="1.9189400000000001"/>
    <n v="2.0024099999999998"/>
    <n v="1.9606749999999999"/>
    <n v="834.7"/>
  </r>
  <r>
    <x v="11"/>
    <x v="6"/>
    <x v="0"/>
    <n v="1.96553"/>
    <n v="1.9189400000000001"/>
    <n v="2.0024099999999998"/>
    <n v="1.9606749999999999"/>
    <n v="834.7"/>
  </r>
  <r>
    <x v="11"/>
    <x v="6"/>
    <x v="0"/>
    <n v="1.96553"/>
    <n v="1.9189400000000001"/>
    <n v="2.0024099999999998"/>
    <n v="1.9606749999999999"/>
    <n v="834.7"/>
  </r>
  <r>
    <x v="11"/>
    <x v="6"/>
    <x v="0"/>
    <n v="1.96553"/>
    <n v="1.9189400000000001"/>
    <n v="2.0024099999999998"/>
    <n v="1.9606749999999999"/>
    <n v="834.7"/>
  </r>
  <r>
    <x v="11"/>
    <x v="6"/>
    <x v="0"/>
    <n v="1.96553"/>
    <n v="1.9189400000000001"/>
    <n v="2.0024099999999998"/>
    <n v="1.9606749999999999"/>
    <n v="834.7"/>
  </r>
  <r>
    <x v="11"/>
    <x v="6"/>
    <x v="0"/>
    <n v="1.96553"/>
    <n v="1.9189400000000001"/>
    <n v="2.0024099999999998"/>
    <n v="1.9606749999999999"/>
    <n v="834.7"/>
  </r>
  <r>
    <x v="11"/>
    <x v="6"/>
    <x v="10"/>
    <n v="0.90200999999999998"/>
    <n v="0.87092000000000003"/>
    <n v="0.91100999999999999"/>
    <n v="0.89096500000000001"/>
    <n v="400.9"/>
  </r>
  <r>
    <x v="11"/>
    <x v="6"/>
    <x v="10"/>
    <n v="0.90200999999999998"/>
    <n v="0.87092000000000003"/>
    <n v="0.91100999999999999"/>
    <n v="0.89096500000000001"/>
    <n v="400.9"/>
  </r>
  <r>
    <x v="11"/>
    <x v="6"/>
    <x v="10"/>
    <n v="0.90200999999999998"/>
    <n v="0.87092000000000003"/>
    <n v="0.91100999999999999"/>
    <n v="0.89096500000000001"/>
    <n v="400.9"/>
  </r>
  <r>
    <x v="11"/>
    <x v="6"/>
    <x v="10"/>
    <n v="0.90200999999999998"/>
    <n v="0.87092000000000003"/>
    <n v="0.91100999999999999"/>
    <n v="0.89096500000000001"/>
    <n v="400.9"/>
  </r>
  <r>
    <x v="11"/>
    <x v="6"/>
    <x v="10"/>
    <n v="0.90200999999999998"/>
    <n v="0.87092000000000003"/>
    <n v="0.91100999999999999"/>
    <n v="0.89096500000000001"/>
    <n v="400.9"/>
  </r>
  <r>
    <x v="11"/>
    <x v="6"/>
    <x v="10"/>
    <n v="0.90200999999999998"/>
    <n v="0.87092000000000003"/>
    <n v="0.91100999999999999"/>
    <n v="0.89096500000000001"/>
    <n v="400.9"/>
  </r>
  <r>
    <x v="11"/>
    <x v="6"/>
    <x v="10"/>
    <n v="0.90200999999999998"/>
    <n v="0.87092000000000003"/>
    <n v="0.91100999999999999"/>
    <n v="0.89096500000000001"/>
    <n v="400.9"/>
  </r>
  <r>
    <x v="11"/>
    <x v="6"/>
    <x v="10"/>
    <n v="0.90200999999999998"/>
    <n v="0.87092000000000003"/>
    <n v="0.91100999999999999"/>
    <n v="0.89096500000000001"/>
    <n v="400.9"/>
  </r>
  <r>
    <x v="11"/>
    <x v="6"/>
    <x v="10"/>
    <n v="0.90200999999999998"/>
    <n v="0.87092000000000003"/>
    <n v="0.91100999999999999"/>
    <n v="0.89096500000000001"/>
    <n v="400.9"/>
  </r>
  <r>
    <x v="11"/>
    <x v="6"/>
    <x v="10"/>
    <n v="0.90200999999999998"/>
    <n v="0.87092000000000003"/>
    <n v="0.91100999999999999"/>
    <n v="0.89096500000000001"/>
    <n v="400.9"/>
  </r>
  <r>
    <x v="11"/>
    <x v="6"/>
    <x v="10"/>
    <n v="0.90200999999999998"/>
    <n v="0.87092000000000003"/>
    <n v="0.91100999999999999"/>
    <n v="0.89096500000000001"/>
    <n v="400.9"/>
  </r>
  <r>
    <x v="11"/>
    <x v="6"/>
    <x v="10"/>
    <n v="0.90200999999999998"/>
    <n v="0.87092000000000003"/>
    <n v="0.91100999999999999"/>
    <n v="0.89096500000000001"/>
    <n v="400.9"/>
  </r>
  <r>
    <x v="11"/>
    <x v="6"/>
    <x v="10"/>
    <n v="0.90200999999999998"/>
    <n v="0.87092000000000003"/>
    <n v="0.91100999999999999"/>
    <n v="0.89096500000000001"/>
    <n v="400.9"/>
  </r>
  <r>
    <x v="11"/>
    <x v="6"/>
    <x v="10"/>
    <n v="0.90200999999999998"/>
    <n v="0.87092000000000003"/>
    <n v="0.91100999999999999"/>
    <n v="0.89096500000000001"/>
    <n v="400.9"/>
  </r>
  <r>
    <x v="11"/>
    <x v="6"/>
    <x v="10"/>
    <n v="0.90200999999999998"/>
    <n v="0.87092000000000003"/>
    <n v="0.91100999999999999"/>
    <n v="0.89096500000000001"/>
    <n v="400.9"/>
  </r>
  <r>
    <x v="11"/>
    <x v="6"/>
    <x v="10"/>
    <n v="0.90200999999999998"/>
    <n v="0.87092000000000003"/>
    <n v="0.91100999999999999"/>
    <n v="0.89096500000000001"/>
    <n v="400.9"/>
  </r>
  <r>
    <x v="11"/>
    <x v="6"/>
    <x v="10"/>
    <n v="0.90200999999999998"/>
    <n v="0.87092000000000003"/>
    <n v="0.91100999999999999"/>
    <n v="0.89096500000000001"/>
    <n v="400.9"/>
  </r>
  <r>
    <x v="11"/>
    <x v="6"/>
    <x v="10"/>
    <n v="0.90200999999999998"/>
    <n v="0.87092000000000003"/>
    <n v="0.91100999999999999"/>
    <n v="0.89096500000000001"/>
    <n v="400.9"/>
  </r>
  <r>
    <x v="11"/>
    <x v="6"/>
    <x v="10"/>
    <n v="0.90200999999999998"/>
    <n v="0.87092000000000003"/>
    <n v="0.91100999999999999"/>
    <n v="0.89096500000000001"/>
    <n v="400.9"/>
  </r>
  <r>
    <x v="11"/>
    <x v="6"/>
    <x v="10"/>
    <n v="0.90200999999999998"/>
    <n v="0.87092000000000003"/>
    <n v="0.91100999999999999"/>
    <n v="0.89096500000000001"/>
    <n v="400.9"/>
  </r>
  <r>
    <x v="11"/>
    <x v="6"/>
    <x v="10"/>
    <n v="0.90200999999999998"/>
    <n v="0.87092000000000003"/>
    <n v="0.91100999999999999"/>
    <n v="0.89096500000000001"/>
    <n v="400.9"/>
  </r>
  <r>
    <x v="11"/>
    <x v="6"/>
    <x v="10"/>
    <n v="0.90200999999999998"/>
    <n v="0.87092000000000003"/>
    <n v="0.91100999999999999"/>
    <n v="0.89096500000000001"/>
    <n v="400.9"/>
  </r>
  <r>
    <x v="11"/>
    <x v="6"/>
    <x v="10"/>
    <n v="0.90200999999999998"/>
    <n v="0.87092000000000003"/>
    <n v="0.91100999999999999"/>
    <n v="0.89096500000000001"/>
    <n v="400.9"/>
  </r>
  <r>
    <x v="11"/>
    <x v="7"/>
    <x v="0"/>
    <n v="1.97037"/>
    <n v="1.9189400000000001"/>
    <n v="2.0024099999999998"/>
    <n v="1.9606749999999999"/>
    <n v="834.7"/>
  </r>
  <r>
    <x v="11"/>
    <x v="7"/>
    <x v="0"/>
    <n v="1.97037"/>
    <n v="1.9189400000000001"/>
    <n v="2.0024099999999998"/>
    <n v="1.9606749999999999"/>
    <n v="834.7"/>
  </r>
  <r>
    <x v="11"/>
    <x v="7"/>
    <x v="0"/>
    <n v="1.97037"/>
    <n v="1.9189400000000001"/>
    <n v="2.0024099999999998"/>
    <n v="1.9606749999999999"/>
    <n v="834.7"/>
  </r>
  <r>
    <x v="11"/>
    <x v="7"/>
    <x v="0"/>
    <n v="1.97037"/>
    <n v="1.9189400000000001"/>
    <n v="2.0024099999999998"/>
    <n v="1.9606749999999999"/>
    <n v="834.7"/>
  </r>
  <r>
    <x v="11"/>
    <x v="7"/>
    <x v="0"/>
    <n v="1.97037"/>
    <n v="1.9189400000000001"/>
    <n v="2.0024099999999998"/>
    <n v="1.9606749999999999"/>
    <n v="834.7"/>
  </r>
  <r>
    <x v="11"/>
    <x v="7"/>
    <x v="0"/>
    <n v="1.97037"/>
    <n v="1.9189400000000001"/>
    <n v="2.0024099999999998"/>
    <n v="1.9606749999999999"/>
    <n v="834.7"/>
  </r>
  <r>
    <x v="11"/>
    <x v="7"/>
    <x v="0"/>
    <n v="1.97037"/>
    <n v="1.9189400000000001"/>
    <n v="2.0024099999999998"/>
    <n v="1.9606749999999999"/>
    <n v="834.7"/>
  </r>
  <r>
    <x v="11"/>
    <x v="7"/>
    <x v="0"/>
    <n v="1.97037"/>
    <n v="1.9189400000000001"/>
    <n v="2.0024099999999998"/>
    <n v="1.9606749999999999"/>
    <n v="834.7"/>
  </r>
  <r>
    <x v="11"/>
    <x v="7"/>
    <x v="0"/>
    <n v="1.97037"/>
    <n v="1.9189400000000001"/>
    <n v="2.0024099999999998"/>
    <n v="1.9606749999999999"/>
    <n v="834.7"/>
  </r>
  <r>
    <x v="11"/>
    <x v="7"/>
    <x v="0"/>
    <n v="1.97037"/>
    <n v="1.9189400000000001"/>
    <n v="2.0024099999999998"/>
    <n v="1.9606749999999999"/>
    <n v="834.7"/>
  </r>
  <r>
    <x v="11"/>
    <x v="7"/>
    <x v="0"/>
    <n v="1.97037"/>
    <n v="1.9189400000000001"/>
    <n v="2.0024099999999998"/>
    <n v="1.9606749999999999"/>
    <n v="834.7"/>
  </r>
  <r>
    <x v="11"/>
    <x v="7"/>
    <x v="0"/>
    <n v="1.97037"/>
    <n v="1.9189400000000001"/>
    <n v="2.0024099999999998"/>
    <n v="1.9606749999999999"/>
    <n v="834.7"/>
  </r>
  <r>
    <x v="11"/>
    <x v="7"/>
    <x v="0"/>
    <n v="1.97037"/>
    <n v="1.9189400000000001"/>
    <n v="2.0024099999999998"/>
    <n v="1.9606749999999999"/>
    <n v="834.7"/>
  </r>
  <r>
    <x v="11"/>
    <x v="7"/>
    <x v="0"/>
    <n v="1.97037"/>
    <n v="1.9189400000000001"/>
    <n v="2.0024099999999998"/>
    <n v="1.9606749999999999"/>
    <n v="834.7"/>
  </r>
  <r>
    <x v="11"/>
    <x v="7"/>
    <x v="10"/>
    <n v="0.91329000000000005"/>
    <n v="0.87092000000000003"/>
    <n v="0.91500000000000004"/>
    <n v="0.89295999999999998"/>
    <n v="440.8"/>
  </r>
  <r>
    <x v="11"/>
    <x v="7"/>
    <x v="10"/>
    <n v="0.91329000000000005"/>
    <n v="0.87092000000000003"/>
    <n v="0.91500000000000004"/>
    <n v="0.89295999999999998"/>
    <n v="440.8"/>
  </r>
  <r>
    <x v="11"/>
    <x v="7"/>
    <x v="10"/>
    <n v="0.91329000000000005"/>
    <n v="0.87092000000000003"/>
    <n v="0.91500000000000004"/>
    <n v="0.89295999999999998"/>
    <n v="440.8"/>
  </r>
  <r>
    <x v="11"/>
    <x v="7"/>
    <x v="10"/>
    <n v="0.91329000000000005"/>
    <n v="0.87092000000000003"/>
    <n v="0.91500000000000004"/>
    <n v="0.89295999999999998"/>
    <n v="440.8"/>
  </r>
  <r>
    <x v="11"/>
    <x v="7"/>
    <x v="10"/>
    <n v="0.91329000000000005"/>
    <n v="0.87092000000000003"/>
    <n v="0.91500000000000004"/>
    <n v="0.89295999999999998"/>
    <n v="440.8"/>
  </r>
  <r>
    <x v="11"/>
    <x v="7"/>
    <x v="10"/>
    <n v="0.91329000000000005"/>
    <n v="0.87092000000000003"/>
    <n v="0.91500000000000004"/>
    <n v="0.89295999999999998"/>
    <n v="440.8"/>
  </r>
  <r>
    <x v="11"/>
    <x v="7"/>
    <x v="10"/>
    <n v="0.91329000000000005"/>
    <n v="0.87092000000000003"/>
    <n v="0.91500000000000004"/>
    <n v="0.89295999999999998"/>
    <n v="440.8"/>
  </r>
  <r>
    <x v="11"/>
    <x v="7"/>
    <x v="10"/>
    <n v="0.91329000000000005"/>
    <n v="0.87092000000000003"/>
    <n v="0.91500000000000004"/>
    <n v="0.89295999999999998"/>
    <n v="440.8"/>
  </r>
  <r>
    <x v="11"/>
    <x v="7"/>
    <x v="10"/>
    <n v="0.91329000000000005"/>
    <n v="0.87092000000000003"/>
    <n v="0.91500000000000004"/>
    <n v="0.89295999999999998"/>
    <n v="440.8"/>
  </r>
  <r>
    <x v="11"/>
    <x v="7"/>
    <x v="10"/>
    <n v="0.91329000000000005"/>
    <n v="0.87092000000000003"/>
    <n v="0.91500000000000004"/>
    <n v="0.89295999999999998"/>
    <n v="440.8"/>
  </r>
  <r>
    <x v="11"/>
    <x v="7"/>
    <x v="10"/>
    <n v="0.91329000000000005"/>
    <n v="0.87092000000000003"/>
    <n v="0.91500000000000004"/>
    <n v="0.89295999999999998"/>
    <n v="440.8"/>
  </r>
  <r>
    <x v="11"/>
    <x v="7"/>
    <x v="10"/>
    <n v="0.91329000000000005"/>
    <n v="0.87092000000000003"/>
    <n v="0.91500000000000004"/>
    <n v="0.89295999999999998"/>
    <n v="440.8"/>
  </r>
  <r>
    <x v="11"/>
    <x v="7"/>
    <x v="10"/>
    <n v="0.91329000000000005"/>
    <n v="0.87092000000000003"/>
    <n v="0.91500000000000004"/>
    <n v="0.89295999999999998"/>
    <n v="440.8"/>
  </r>
  <r>
    <x v="11"/>
    <x v="7"/>
    <x v="10"/>
    <n v="0.91329000000000005"/>
    <n v="0.87092000000000003"/>
    <n v="0.91500000000000004"/>
    <n v="0.89295999999999998"/>
    <n v="440.8"/>
  </r>
  <r>
    <x v="11"/>
    <x v="7"/>
    <x v="10"/>
    <n v="0.91329000000000005"/>
    <n v="0.87092000000000003"/>
    <n v="0.91500000000000004"/>
    <n v="0.89295999999999998"/>
    <n v="440.8"/>
  </r>
  <r>
    <x v="11"/>
    <x v="7"/>
    <x v="10"/>
    <n v="0.91329000000000005"/>
    <n v="0.87092000000000003"/>
    <n v="0.91500000000000004"/>
    <n v="0.89295999999999998"/>
    <n v="440.8"/>
  </r>
  <r>
    <x v="11"/>
    <x v="7"/>
    <x v="10"/>
    <n v="0.91329000000000005"/>
    <n v="0.87092000000000003"/>
    <n v="0.91500000000000004"/>
    <n v="0.89295999999999998"/>
    <n v="440.8"/>
  </r>
  <r>
    <x v="11"/>
    <x v="7"/>
    <x v="10"/>
    <n v="0.91329000000000005"/>
    <n v="0.87092000000000003"/>
    <n v="0.91500000000000004"/>
    <n v="0.89295999999999998"/>
    <n v="440.8"/>
  </r>
  <r>
    <x v="11"/>
    <x v="7"/>
    <x v="10"/>
    <n v="0.91329000000000005"/>
    <n v="0.87092000000000003"/>
    <n v="0.91500000000000004"/>
    <n v="0.89295999999999998"/>
    <n v="440.8"/>
  </r>
  <r>
    <x v="11"/>
    <x v="7"/>
    <x v="10"/>
    <n v="0.91329000000000005"/>
    <n v="0.87092000000000003"/>
    <n v="0.91500000000000004"/>
    <n v="0.89295999999999998"/>
    <n v="440.8"/>
  </r>
  <r>
    <x v="11"/>
    <x v="7"/>
    <x v="10"/>
    <n v="0.91329000000000005"/>
    <n v="0.87092000000000003"/>
    <n v="0.91500000000000004"/>
    <n v="0.89295999999999998"/>
    <n v="440.8"/>
  </r>
  <r>
    <x v="11"/>
    <x v="7"/>
    <x v="10"/>
    <n v="0.91329000000000005"/>
    <n v="0.87092000000000003"/>
    <n v="0.91500000000000004"/>
    <n v="0.89295999999999998"/>
    <n v="440.8"/>
  </r>
  <r>
    <x v="11"/>
    <x v="7"/>
    <x v="10"/>
    <n v="0.91329000000000005"/>
    <n v="0.87092000000000003"/>
    <n v="0.91500000000000004"/>
    <n v="0.89295999999999998"/>
    <n v="440.8"/>
  </r>
  <r>
    <x v="11"/>
    <x v="7"/>
    <x v="10"/>
    <n v="0.91329000000000005"/>
    <n v="0.87092000000000003"/>
    <n v="0.91500000000000004"/>
    <n v="0.89295999999999998"/>
    <n v="440.8"/>
  </r>
  <r>
    <x v="11"/>
    <x v="7"/>
    <x v="10"/>
    <n v="0.91329000000000005"/>
    <n v="0.87092000000000003"/>
    <n v="0.91500000000000004"/>
    <n v="0.89295999999999998"/>
    <n v="440.8"/>
  </r>
  <r>
    <x v="11"/>
    <x v="7"/>
    <x v="12"/>
    <n v="94.902000000000001"/>
    <n v="91.099000000000004"/>
    <n v="96.2"/>
    <n v="93.649500000000003"/>
    <n v="510.1"/>
  </r>
  <r>
    <x v="11"/>
    <x v="7"/>
    <x v="12"/>
    <n v="94.902000000000001"/>
    <n v="91.099000000000004"/>
    <n v="96.2"/>
    <n v="93.649500000000003"/>
    <n v="510.1"/>
  </r>
  <r>
    <x v="11"/>
    <x v="7"/>
    <x v="12"/>
    <n v="94.902000000000001"/>
    <n v="91.099000000000004"/>
    <n v="96.2"/>
    <n v="93.649500000000003"/>
    <n v="510.1"/>
  </r>
  <r>
    <x v="11"/>
    <x v="7"/>
    <x v="12"/>
    <n v="94.902000000000001"/>
    <n v="91.099000000000004"/>
    <n v="96.2"/>
    <n v="93.649500000000003"/>
    <n v="510.1"/>
  </r>
  <r>
    <x v="11"/>
    <x v="7"/>
    <x v="12"/>
    <n v="94.902000000000001"/>
    <n v="91.099000000000004"/>
    <n v="96.2"/>
    <n v="93.649500000000003"/>
    <n v="510.1"/>
  </r>
  <r>
    <x v="11"/>
    <x v="7"/>
    <x v="12"/>
    <n v="94.902000000000001"/>
    <n v="91.099000000000004"/>
    <n v="96.2"/>
    <n v="93.649500000000003"/>
    <n v="510.1"/>
  </r>
  <r>
    <x v="11"/>
    <x v="7"/>
    <x v="12"/>
    <n v="94.902000000000001"/>
    <n v="91.099000000000004"/>
    <n v="96.2"/>
    <n v="93.649500000000003"/>
    <n v="510.1"/>
  </r>
  <r>
    <x v="11"/>
    <x v="7"/>
    <x v="12"/>
    <n v="94.902000000000001"/>
    <n v="91.099000000000004"/>
    <n v="96.2"/>
    <n v="93.649500000000003"/>
    <n v="510.1"/>
  </r>
  <r>
    <x v="11"/>
    <x v="7"/>
    <x v="12"/>
    <n v="94.902000000000001"/>
    <n v="91.099000000000004"/>
    <n v="96.2"/>
    <n v="93.649500000000003"/>
    <n v="510.1"/>
  </r>
  <r>
    <x v="11"/>
    <x v="7"/>
    <x v="12"/>
    <n v="94.902000000000001"/>
    <n v="91.099000000000004"/>
    <n v="96.2"/>
    <n v="93.649500000000003"/>
    <n v="510.1"/>
  </r>
  <r>
    <x v="11"/>
    <x v="7"/>
    <x v="12"/>
    <n v="94.902000000000001"/>
    <n v="91.099000000000004"/>
    <n v="96.2"/>
    <n v="93.649500000000003"/>
    <n v="510.1"/>
  </r>
  <r>
    <x v="11"/>
    <x v="7"/>
    <x v="12"/>
    <n v="94.902000000000001"/>
    <n v="91.099000000000004"/>
    <n v="96.2"/>
    <n v="93.649500000000003"/>
    <n v="510.1"/>
  </r>
  <r>
    <x v="11"/>
    <x v="7"/>
    <x v="12"/>
    <n v="94.902000000000001"/>
    <n v="91.099000000000004"/>
    <n v="96.2"/>
    <n v="93.649500000000003"/>
    <n v="510.1"/>
  </r>
  <r>
    <x v="11"/>
    <x v="7"/>
    <x v="12"/>
    <n v="94.902000000000001"/>
    <n v="91.099000000000004"/>
    <n v="96.2"/>
    <n v="93.649500000000003"/>
    <n v="510.1"/>
  </r>
  <r>
    <x v="11"/>
    <x v="7"/>
    <x v="12"/>
    <n v="94.902000000000001"/>
    <n v="91.099000000000004"/>
    <n v="96.2"/>
    <n v="93.649500000000003"/>
    <n v="510.1"/>
  </r>
  <r>
    <x v="11"/>
    <x v="7"/>
    <x v="12"/>
    <n v="94.902000000000001"/>
    <n v="91.099000000000004"/>
    <n v="96.2"/>
    <n v="93.649500000000003"/>
    <n v="510.1"/>
  </r>
  <r>
    <x v="11"/>
    <x v="7"/>
    <x v="12"/>
    <n v="94.902000000000001"/>
    <n v="91.099000000000004"/>
    <n v="96.2"/>
    <n v="93.649500000000003"/>
    <n v="510.1"/>
  </r>
  <r>
    <x v="11"/>
    <x v="7"/>
    <x v="12"/>
    <n v="94.902000000000001"/>
    <n v="91.099000000000004"/>
    <n v="96.2"/>
    <n v="93.649500000000003"/>
    <n v="510.1"/>
  </r>
  <r>
    <x v="11"/>
    <x v="7"/>
    <x v="12"/>
    <n v="94.902000000000001"/>
    <n v="91.099000000000004"/>
    <n v="96.2"/>
    <n v="93.649500000000003"/>
    <n v="510.1"/>
  </r>
  <r>
    <x v="11"/>
    <x v="7"/>
    <x v="12"/>
    <n v="94.902000000000001"/>
    <n v="91.099000000000004"/>
    <n v="96.2"/>
    <n v="93.649500000000003"/>
    <n v="510.1"/>
  </r>
  <r>
    <x v="11"/>
    <x v="7"/>
    <x v="12"/>
    <n v="94.902000000000001"/>
    <n v="91.099000000000004"/>
    <n v="96.2"/>
    <n v="93.649500000000003"/>
    <n v="510.1"/>
  </r>
  <r>
    <x v="11"/>
    <x v="7"/>
    <x v="12"/>
    <n v="94.902000000000001"/>
    <n v="91.099000000000004"/>
    <n v="96.2"/>
    <n v="93.649500000000003"/>
    <n v="510.1"/>
  </r>
  <r>
    <x v="11"/>
    <x v="7"/>
    <x v="12"/>
    <n v="94.902000000000001"/>
    <n v="91.099000000000004"/>
    <n v="96.2"/>
    <n v="93.649500000000003"/>
    <n v="510.1"/>
  </r>
  <r>
    <x v="11"/>
    <x v="7"/>
    <x v="12"/>
    <n v="94.902000000000001"/>
    <n v="91.099000000000004"/>
    <n v="96.2"/>
    <n v="93.649500000000003"/>
    <n v="510.1"/>
  </r>
  <r>
    <x v="11"/>
    <x v="7"/>
    <x v="3"/>
    <n v="1.32368"/>
    <n v="1.3219799999999999"/>
    <n v="1.397"/>
    <n v="1.3594900000000001"/>
    <n v="750.2"/>
  </r>
  <r>
    <x v="11"/>
    <x v="7"/>
    <x v="3"/>
    <n v="1.32368"/>
    <n v="1.3219799999999999"/>
    <n v="1.397"/>
    <n v="1.3594900000000001"/>
    <n v="750.2"/>
  </r>
  <r>
    <x v="11"/>
    <x v="7"/>
    <x v="3"/>
    <n v="1.32368"/>
    <n v="1.3219799999999999"/>
    <n v="1.397"/>
    <n v="1.3594900000000001"/>
    <n v="750.2"/>
  </r>
  <r>
    <x v="11"/>
    <x v="7"/>
    <x v="3"/>
    <n v="1.32368"/>
    <n v="1.3219799999999999"/>
    <n v="1.397"/>
    <n v="1.3594900000000001"/>
    <n v="750.2"/>
  </r>
  <r>
    <x v="11"/>
    <x v="7"/>
    <x v="3"/>
    <n v="1.32368"/>
    <n v="1.3219799999999999"/>
    <n v="1.397"/>
    <n v="1.3594900000000001"/>
    <n v="750.2"/>
  </r>
  <r>
    <x v="11"/>
    <x v="7"/>
    <x v="3"/>
    <n v="1.32368"/>
    <n v="1.3219799999999999"/>
    <n v="1.397"/>
    <n v="1.3594900000000001"/>
    <n v="750.2"/>
  </r>
  <r>
    <x v="11"/>
    <x v="7"/>
    <x v="3"/>
    <n v="1.32368"/>
    <n v="1.3219799999999999"/>
    <n v="1.397"/>
    <n v="1.3594900000000001"/>
    <n v="750.2"/>
  </r>
  <r>
    <x v="11"/>
    <x v="7"/>
    <x v="3"/>
    <n v="1.32368"/>
    <n v="1.3219799999999999"/>
    <n v="1.397"/>
    <n v="1.3594900000000001"/>
    <n v="750.2"/>
  </r>
  <r>
    <x v="11"/>
    <x v="7"/>
    <x v="3"/>
    <n v="1.32368"/>
    <n v="1.3219799999999999"/>
    <n v="1.397"/>
    <n v="1.3594900000000001"/>
    <n v="750.2"/>
  </r>
  <r>
    <x v="11"/>
    <x v="7"/>
    <x v="3"/>
    <n v="1.32368"/>
    <n v="1.3219799999999999"/>
    <n v="1.397"/>
    <n v="1.3594900000000001"/>
    <n v="750.2"/>
  </r>
  <r>
    <x v="11"/>
    <x v="7"/>
    <x v="3"/>
    <n v="1.32368"/>
    <n v="1.3219799999999999"/>
    <n v="1.397"/>
    <n v="1.3594900000000001"/>
    <n v="750.2"/>
  </r>
  <r>
    <x v="11"/>
    <x v="7"/>
    <x v="3"/>
    <n v="1.32368"/>
    <n v="1.3219799999999999"/>
    <n v="1.397"/>
    <n v="1.3594900000000001"/>
    <n v="750.2"/>
  </r>
  <r>
    <x v="11"/>
    <x v="7"/>
    <x v="3"/>
    <n v="1.32368"/>
    <n v="1.3219799999999999"/>
    <n v="1.397"/>
    <n v="1.3594900000000001"/>
    <n v="750.2"/>
  </r>
  <r>
    <x v="11"/>
    <x v="7"/>
    <x v="3"/>
    <n v="1.32368"/>
    <n v="1.3219799999999999"/>
    <n v="1.397"/>
    <n v="1.3594900000000001"/>
    <n v="750.2"/>
  </r>
  <r>
    <x v="11"/>
    <x v="7"/>
    <x v="3"/>
    <n v="1.32368"/>
    <n v="1.3219799999999999"/>
    <n v="1.397"/>
    <n v="1.3594900000000001"/>
    <n v="750.2"/>
  </r>
  <r>
    <x v="11"/>
    <x v="7"/>
    <x v="3"/>
    <n v="1.32368"/>
    <n v="1.3219799999999999"/>
    <n v="1.397"/>
    <n v="1.3594900000000001"/>
    <n v="750.2"/>
  </r>
  <r>
    <x v="11"/>
    <x v="7"/>
    <x v="3"/>
    <n v="1.32368"/>
    <n v="1.3219799999999999"/>
    <n v="1.397"/>
    <n v="1.3594900000000001"/>
    <n v="750.2"/>
  </r>
  <r>
    <x v="11"/>
    <x v="7"/>
    <x v="3"/>
    <n v="1.32368"/>
    <n v="1.3219799999999999"/>
    <n v="1.397"/>
    <n v="1.3594900000000001"/>
    <n v="750.2"/>
  </r>
  <r>
    <x v="11"/>
    <x v="7"/>
    <x v="3"/>
    <n v="1.32368"/>
    <n v="1.3219799999999999"/>
    <n v="1.397"/>
    <n v="1.3594900000000001"/>
    <n v="750.2"/>
  </r>
  <r>
    <x v="11"/>
    <x v="7"/>
    <x v="3"/>
    <n v="1.32368"/>
    <n v="1.3219799999999999"/>
    <n v="1.397"/>
    <n v="1.3594900000000001"/>
    <n v="750.2"/>
  </r>
  <r>
    <x v="11"/>
    <x v="7"/>
    <x v="3"/>
    <n v="1.32368"/>
    <n v="1.3219799999999999"/>
    <n v="1.397"/>
    <n v="1.3594900000000001"/>
    <n v="750.2"/>
  </r>
  <r>
    <x v="11"/>
    <x v="7"/>
    <x v="3"/>
    <n v="1.32368"/>
    <n v="1.3219799999999999"/>
    <n v="1.397"/>
    <n v="1.3594900000000001"/>
    <n v="750.2"/>
  </r>
  <r>
    <x v="11"/>
    <x v="7"/>
    <x v="3"/>
    <n v="1.32368"/>
    <n v="1.3219799999999999"/>
    <n v="1.397"/>
    <n v="1.3594900000000001"/>
    <n v="750.2"/>
  </r>
  <r>
    <x v="11"/>
    <x v="7"/>
    <x v="3"/>
    <n v="1.32368"/>
    <n v="1.3219799999999999"/>
    <n v="1.397"/>
    <n v="1.3594900000000001"/>
    <n v="750.2"/>
  </r>
  <r>
    <x v="11"/>
    <x v="7"/>
    <x v="3"/>
    <n v="1.32368"/>
    <n v="1.3219799999999999"/>
    <n v="1.397"/>
    <n v="1.3594900000000001"/>
    <n v="750.2"/>
  </r>
  <r>
    <x v="11"/>
    <x v="7"/>
    <x v="3"/>
    <n v="1.32368"/>
    <n v="1.3219799999999999"/>
    <n v="1.397"/>
    <n v="1.3594900000000001"/>
    <n v="750.2"/>
  </r>
  <r>
    <x v="11"/>
    <x v="7"/>
    <x v="3"/>
    <n v="1.32368"/>
    <n v="1.3219799999999999"/>
    <n v="1.397"/>
    <n v="1.3594900000000001"/>
    <n v="750.2"/>
  </r>
  <r>
    <x v="11"/>
    <x v="7"/>
    <x v="0"/>
    <n v="1.97037"/>
    <n v="1.9189400000000001"/>
    <n v="2.0024099999999998"/>
    <n v="1.9606749999999999"/>
    <n v="834.7"/>
  </r>
  <r>
    <x v="11"/>
    <x v="7"/>
    <x v="0"/>
    <n v="1.97037"/>
    <n v="1.9189400000000001"/>
    <n v="2.0024099999999998"/>
    <n v="1.9606749999999999"/>
    <n v="834.7"/>
  </r>
  <r>
    <x v="11"/>
    <x v="7"/>
    <x v="0"/>
    <n v="1.97037"/>
    <n v="1.9189400000000001"/>
    <n v="2.0024099999999998"/>
    <n v="1.9606749999999999"/>
    <n v="834.7"/>
  </r>
  <r>
    <x v="11"/>
    <x v="7"/>
    <x v="0"/>
    <n v="1.97037"/>
    <n v="1.9189400000000001"/>
    <n v="2.0024099999999998"/>
    <n v="1.9606749999999999"/>
    <n v="834.7"/>
  </r>
  <r>
    <x v="11"/>
    <x v="7"/>
    <x v="0"/>
    <n v="1.97037"/>
    <n v="1.9189400000000001"/>
    <n v="2.0024099999999998"/>
    <n v="1.9606749999999999"/>
    <n v="834.7"/>
  </r>
  <r>
    <x v="11"/>
    <x v="7"/>
    <x v="0"/>
    <n v="1.97037"/>
    <n v="1.9189400000000001"/>
    <n v="2.0024099999999998"/>
    <n v="1.9606749999999999"/>
    <n v="834.7"/>
  </r>
  <r>
    <x v="11"/>
    <x v="7"/>
    <x v="0"/>
    <n v="1.97037"/>
    <n v="1.9189400000000001"/>
    <n v="2.0024099999999998"/>
    <n v="1.9606749999999999"/>
    <n v="834.7"/>
  </r>
  <r>
    <x v="11"/>
    <x v="7"/>
    <x v="0"/>
    <n v="1.97037"/>
    <n v="1.9189400000000001"/>
    <n v="2.0024099999999998"/>
    <n v="1.9606749999999999"/>
    <n v="834.7"/>
  </r>
  <r>
    <x v="11"/>
    <x v="7"/>
    <x v="0"/>
    <n v="1.97037"/>
    <n v="1.9189400000000001"/>
    <n v="2.0024099999999998"/>
    <n v="1.9606749999999999"/>
    <n v="834.7"/>
  </r>
  <r>
    <x v="11"/>
    <x v="7"/>
    <x v="0"/>
    <n v="1.97037"/>
    <n v="1.9189400000000001"/>
    <n v="2.0024099999999998"/>
    <n v="1.9606749999999999"/>
    <n v="834.7"/>
  </r>
  <r>
    <x v="11"/>
    <x v="7"/>
    <x v="0"/>
    <n v="1.97037"/>
    <n v="1.9189400000000001"/>
    <n v="2.0024099999999998"/>
    <n v="1.9606749999999999"/>
    <n v="834.7"/>
  </r>
  <r>
    <x v="11"/>
    <x v="7"/>
    <x v="0"/>
    <n v="1.97037"/>
    <n v="1.9189400000000001"/>
    <n v="2.0024099999999998"/>
    <n v="1.9606749999999999"/>
    <n v="834.7"/>
  </r>
  <r>
    <x v="11"/>
    <x v="7"/>
    <x v="0"/>
    <n v="1.97037"/>
    <n v="1.9189400000000001"/>
    <n v="2.0024099999999998"/>
    <n v="1.9606749999999999"/>
    <n v="834.7"/>
  </r>
  <r>
    <x v="11"/>
    <x v="8"/>
    <x v="0"/>
    <n v="1.98454"/>
    <n v="1.9189400000000001"/>
    <n v="2.0024099999999998"/>
    <n v="1.9606749999999999"/>
    <n v="834.7"/>
  </r>
  <r>
    <x v="11"/>
    <x v="8"/>
    <x v="0"/>
    <n v="1.98454"/>
    <n v="1.9189400000000001"/>
    <n v="2.0024099999999998"/>
    <n v="1.9606749999999999"/>
    <n v="834.7"/>
  </r>
  <r>
    <x v="11"/>
    <x v="8"/>
    <x v="0"/>
    <n v="1.98454"/>
    <n v="1.9189400000000001"/>
    <n v="2.0024099999999998"/>
    <n v="1.9606749999999999"/>
    <n v="834.7"/>
  </r>
  <r>
    <x v="11"/>
    <x v="8"/>
    <x v="0"/>
    <n v="1.98454"/>
    <n v="1.9189400000000001"/>
    <n v="2.0024099999999998"/>
    <n v="1.9606749999999999"/>
    <n v="834.7"/>
  </r>
  <r>
    <x v="11"/>
    <x v="8"/>
    <x v="0"/>
    <n v="1.98454"/>
    <n v="1.9189400000000001"/>
    <n v="2.0024099999999998"/>
    <n v="1.9606749999999999"/>
    <n v="834.7"/>
  </r>
  <r>
    <x v="11"/>
    <x v="8"/>
    <x v="0"/>
    <n v="1.98454"/>
    <n v="1.9189400000000001"/>
    <n v="2.0024099999999998"/>
    <n v="1.9606749999999999"/>
    <n v="834.7"/>
  </r>
  <r>
    <x v="11"/>
    <x v="8"/>
    <x v="0"/>
    <n v="1.98454"/>
    <n v="1.9189400000000001"/>
    <n v="2.0024099999999998"/>
    <n v="1.9606749999999999"/>
    <n v="834.7"/>
  </r>
  <r>
    <x v="11"/>
    <x v="8"/>
    <x v="0"/>
    <n v="1.98454"/>
    <n v="1.9189400000000001"/>
    <n v="2.0024099999999998"/>
    <n v="1.9606749999999999"/>
    <n v="834.7"/>
  </r>
  <r>
    <x v="11"/>
    <x v="8"/>
    <x v="0"/>
    <n v="1.98454"/>
    <n v="1.9189400000000001"/>
    <n v="2.0024099999999998"/>
    <n v="1.9606749999999999"/>
    <n v="834.7"/>
  </r>
  <r>
    <x v="11"/>
    <x v="8"/>
    <x v="0"/>
    <n v="1.98454"/>
    <n v="1.9189400000000001"/>
    <n v="2.0024099999999998"/>
    <n v="1.9606749999999999"/>
    <n v="834.7"/>
  </r>
  <r>
    <x v="11"/>
    <x v="8"/>
    <x v="0"/>
    <n v="1.98454"/>
    <n v="1.9189400000000001"/>
    <n v="2.0024099999999998"/>
    <n v="1.9606749999999999"/>
    <n v="834.7"/>
  </r>
  <r>
    <x v="11"/>
    <x v="8"/>
    <x v="0"/>
    <n v="1.98454"/>
    <n v="1.9189400000000001"/>
    <n v="2.0024099999999998"/>
    <n v="1.9606749999999999"/>
    <n v="834.7"/>
  </r>
  <r>
    <x v="11"/>
    <x v="8"/>
    <x v="0"/>
    <n v="1.98454"/>
    <n v="1.9189400000000001"/>
    <n v="2.0024099999999998"/>
    <n v="1.9606749999999999"/>
    <n v="834.7"/>
  </r>
  <r>
    <x v="11"/>
    <x v="8"/>
    <x v="0"/>
    <n v="1.98454"/>
    <n v="1.9189400000000001"/>
    <n v="2.0024099999999998"/>
    <n v="1.9606749999999999"/>
    <n v="834.7"/>
  </r>
  <r>
    <x v="11"/>
    <x v="8"/>
    <x v="0"/>
    <n v="1.98454"/>
    <n v="1.9189400000000001"/>
    <n v="2.0024099999999998"/>
    <n v="1.9606749999999999"/>
    <n v="834.7"/>
  </r>
  <r>
    <x v="11"/>
    <x v="8"/>
    <x v="0"/>
    <n v="1.98454"/>
    <n v="1.9189400000000001"/>
    <n v="2.0024099999999998"/>
    <n v="1.9606749999999999"/>
    <n v="834.7"/>
  </r>
  <r>
    <x v="11"/>
    <x v="8"/>
    <x v="0"/>
    <n v="1.98454"/>
    <n v="1.9189400000000001"/>
    <n v="2.0024099999999998"/>
    <n v="1.9606749999999999"/>
    <n v="834.7"/>
  </r>
  <r>
    <x v="11"/>
    <x v="8"/>
    <x v="0"/>
    <n v="1.98454"/>
    <n v="1.9189400000000001"/>
    <n v="2.0024099999999998"/>
    <n v="1.9606749999999999"/>
    <n v="834.7"/>
  </r>
  <r>
    <x v="11"/>
    <x v="8"/>
    <x v="10"/>
    <n v="0.91803000000000001"/>
    <n v="0.87092000000000003"/>
    <n v="0.91779999999999995"/>
    <n v="0.89436000000000004"/>
    <n v="468.8"/>
  </r>
  <r>
    <x v="11"/>
    <x v="8"/>
    <x v="10"/>
    <n v="0.91803000000000001"/>
    <n v="0.87092000000000003"/>
    <n v="0.91779999999999995"/>
    <n v="0.89436000000000004"/>
    <n v="468.8"/>
  </r>
  <r>
    <x v="11"/>
    <x v="8"/>
    <x v="10"/>
    <n v="0.91803000000000001"/>
    <n v="0.87092000000000003"/>
    <n v="0.91779999999999995"/>
    <n v="0.89436000000000004"/>
    <n v="468.8"/>
  </r>
  <r>
    <x v="11"/>
    <x v="8"/>
    <x v="10"/>
    <n v="0.91803000000000001"/>
    <n v="0.87092000000000003"/>
    <n v="0.91779999999999995"/>
    <n v="0.89436000000000004"/>
    <n v="468.8"/>
  </r>
  <r>
    <x v="11"/>
    <x v="8"/>
    <x v="10"/>
    <n v="0.91803000000000001"/>
    <n v="0.87092000000000003"/>
    <n v="0.91779999999999995"/>
    <n v="0.89436000000000004"/>
    <n v="468.8"/>
  </r>
  <r>
    <x v="11"/>
    <x v="8"/>
    <x v="10"/>
    <n v="0.91803000000000001"/>
    <n v="0.87092000000000003"/>
    <n v="0.91779999999999995"/>
    <n v="0.89436000000000004"/>
    <n v="468.8"/>
  </r>
  <r>
    <x v="11"/>
    <x v="8"/>
    <x v="10"/>
    <n v="0.91803000000000001"/>
    <n v="0.87092000000000003"/>
    <n v="0.91779999999999995"/>
    <n v="0.89436000000000004"/>
    <n v="468.8"/>
  </r>
  <r>
    <x v="11"/>
    <x v="8"/>
    <x v="10"/>
    <n v="0.91803000000000001"/>
    <n v="0.87092000000000003"/>
    <n v="0.91779999999999995"/>
    <n v="0.89436000000000004"/>
    <n v="468.8"/>
  </r>
  <r>
    <x v="11"/>
    <x v="8"/>
    <x v="10"/>
    <n v="0.91803000000000001"/>
    <n v="0.87092000000000003"/>
    <n v="0.91779999999999995"/>
    <n v="0.89436000000000004"/>
    <n v="468.8"/>
  </r>
  <r>
    <x v="11"/>
    <x v="8"/>
    <x v="10"/>
    <n v="0.91803000000000001"/>
    <n v="0.87092000000000003"/>
    <n v="0.91779999999999995"/>
    <n v="0.89436000000000004"/>
    <n v="468.8"/>
  </r>
  <r>
    <x v="11"/>
    <x v="8"/>
    <x v="10"/>
    <n v="0.91803000000000001"/>
    <n v="0.87092000000000003"/>
    <n v="0.91779999999999995"/>
    <n v="0.89436000000000004"/>
    <n v="468.8"/>
  </r>
  <r>
    <x v="11"/>
    <x v="8"/>
    <x v="10"/>
    <n v="0.91803000000000001"/>
    <n v="0.87092000000000003"/>
    <n v="0.91779999999999995"/>
    <n v="0.89436000000000004"/>
    <n v="468.8"/>
  </r>
  <r>
    <x v="11"/>
    <x v="8"/>
    <x v="10"/>
    <n v="0.91803000000000001"/>
    <n v="0.87092000000000003"/>
    <n v="0.91779999999999995"/>
    <n v="0.89436000000000004"/>
    <n v="468.8"/>
  </r>
  <r>
    <x v="11"/>
    <x v="8"/>
    <x v="10"/>
    <n v="0.91803000000000001"/>
    <n v="0.87092000000000003"/>
    <n v="0.91779999999999995"/>
    <n v="0.89436000000000004"/>
    <n v="468.8"/>
  </r>
  <r>
    <x v="11"/>
    <x v="8"/>
    <x v="10"/>
    <n v="0.91803000000000001"/>
    <n v="0.87092000000000003"/>
    <n v="0.91779999999999995"/>
    <n v="0.89436000000000004"/>
    <n v="468.8"/>
  </r>
  <r>
    <x v="11"/>
    <x v="8"/>
    <x v="10"/>
    <n v="0.91803000000000001"/>
    <n v="0.87092000000000003"/>
    <n v="0.91779999999999995"/>
    <n v="0.89436000000000004"/>
    <n v="468.8"/>
  </r>
  <r>
    <x v="11"/>
    <x v="8"/>
    <x v="10"/>
    <n v="0.91803000000000001"/>
    <n v="0.87092000000000003"/>
    <n v="0.91779999999999995"/>
    <n v="0.89436000000000004"/>
    <n v="468.8"/>
  </r>
  <r>
    <x v="11"/>
    <x v="8"/>
    <x v="10"/>
    <n v="0.91803000000000001"/>
    <n v="0.87092000000000003"/>
    <n v="0.91779999999999995"/>
    <n v="0.89436000000000004"/>
    <n v="468.8"/>
  </r>
  <r>
    <x v="11"/>
    <x v="8"/>
    <x v="10"/>
    <n v="0.91803000000000001"/>
    <n v="0.87092000000000003"/>
    <n v="0.91779999999999995"/>
    <n v="0.89436000000000004"/>
    <n v="468.8"/>
  </r>
  <r>
    <x v="11"/>
    <x v="8"/>
    <x v="10"/>
    <n v="0.91803000000000001"/>
    <n v="0.87092000000000003"/>
    <n v="0.91779999999999995"/>
    <n v="0.89436000000000004"/>
    <n v="468.8"/>
  </r>
  <r>
    <x v="11"/>
    <x v="8"/>
    <x v="10"/>
    <n v="0.91803000000000001"/>
    <n v="0.87092000000000003"/>
    <n v="0.91779999999999995"/>
    <n v="0.89436000000000004"/>
    <n v="468.8"/>
  </r>
  <r>
    <x v="11"/>
    <x v="8"/>
    <x v="10"/>
    <n v="0.91803000000000001"/>
    <n v="0.87092000000000003"/>
    <n v="0.91779999999999995"/>
    <n v="0.89436000000000004"/>
    <n v="468.8"/>
  </r>
  <r>
    <x v="11"/>
    <x v="8"/>
    <x v="10"/>
    <n v="0.91803000000000001"/>
    <n v="0.87092000000000003"/>
    <n v="0.91779999999999995"/>
    <n v="0.89436000000000004"/>
    <n v="468.8"/>
  </r>
  <r>
    <x v="11"/>
    <x v="8"/>
    <x v="10"/>
    <n v="0.91803000000000001"/>
    <n v="0.87092000000000003"/>
    <n v="0.91779999999999995"/>
    <n v="0.89436000000000004"/>
    <n v="468.8"/>
  </r>
  <r>
    <x v="11"/>
    <x v="8"/>
    <x v="10"/>
    <n v="0.91803000000000001"/>
    <n v="0.87092000000000003"/>
    <n v="0.91779999999999995"/>
    <n v="0.89436000000000004"/>
    <n v="468.8"/>
  </r>
  <r>
    <x v="11"/>
    <x v="8"/>
    <x v="10"/>
    <n v="0.91803000000000001"/>
    <n v="0.87092000000000003"/>
    <n v="0.91779999999999995"/>
    <n v="0.89436000000000004"/>
    <n v="468.8"/>
  </r>
  <r>
    <x v="11"/>
    <x v="8"/>
    <x v="10"/>
    <n v="0.91803000000000001"/>
    <n v="0.87092000000000003"/>
    <n v="0.91779999999999995"/>
    <n v="0.89436000000000004"/>
    <n v="468.8"/>
  </r>
  <r>
    <x v="11"/>
    <x v="8"/>
    <x v="12"/>
    <n v="95.647000000000006"/>
    <n v="91.099000000000004"/>
    <n v="96.2"/>
    <n v="93.649500000000003"/>
    <n v="510.1"/>
  </r>
  <r>
    <x v="11"/>
    <x v="8"/>
    <x v="12"/>
    <n v="95.647000000000006"/>
    <n v="91.099000000000004"/>
    <n v="96.2"/>
    <n v="93.649500000000003"/>
    <n v="510.1"/>
  </r>
  <r>
    <x v="11"/>
    <x v="8"/>
    <x v="12"/>
    <n v="95.647000000000006"/>
    <n v="91.099000000000004"/>
    <n v="96.2"/>
    <n v="93.649500000000003"/>
    <n v="510.1"/>
  </r>
  <r>
    <x v="11"/>
    <x v="8"/>
    <x v="12"/>
    <n v="95.647000000000006"/>
    <n v="91.099000000000004"/>
    <n v="96.2"/>
    <n v="93.649500000000003"/>
    <n v="510.1"/>
  </r>
  <r>
    <x v="11"/>
    <x v="8"/>
    <x v="12"/>
    <n v="95.647000000000006"/>
    <n v="91.099000000000004"/>
    <n v="96.2"/>
    <n v="93.649500000000003"/>
    <n v="510.1"/>
  </r>
  <r>
    <x v="11"/>
    <x v="8"/>
    <x v="12"/>
    <n v="95.647000000000006"/>
    <n v="91.099000000000004"/>
    <n v="96.2"/>
    <n v="93.649500000000003"/>
    <n v="510.1"/>
  </r>
  <r>
    <x v="11"/>
    <x v="8"/>
    <x v="12"/>
    <n v="95.647000000000006"/>
    <n v="91.099000000000004"/>
    <n v="96.2"/>
    <n v="93.649500000000003"/>
    <n v="510.1"/>
  </r>
  <r>
    <x v="11"/>
    <x v="8"/>
    <x v="12"/>
    <n v="95.647000000000006"/>
    <n v="91.099000000000004"/>
    <n v="96.2"/>
    <n v="93.649500000000003"/>
    <n v="510.1"/>
  </r>
  <r>
    <x v="11"/>
    <x v="8"/>
    <x v="12"/>
    <n v="95.647000000000006"/>
    <n v="91.099000000000004"/>
    <n v="96.2"/>
    <n v="93.649500000000003"/>
    <n v="510.1"/>
  </r>
  <r>
    <x v="11"/>
    <x v="8"/>
    <x v="12"/>
    <n v="95.647000000000006"/>
    <n v="91.099000000000004"/>
    <n v="96.2"/>
    <n v="93.649500000000003"/>
    <n v="510.1"/>
  </r>
  <r>
    <x v="11"/>
    <x v="8"/>
    <x v="12"/>
    <n v="95.647000000000006"/>
    <n v="91.099000000000004"/>
    <n v="96.2"/>
    <n v="93.649500000000003"/>
    <n v="510.1"/>
  </r>
  <r>
    <x v="11"/>
    <x v="8"/>
    <x v="12"/>
    <n v="95.647000000000006"/>
    <n v="91.099000000000004"/>
    <n v="96.2"/>
    <n v="93.649500000000003"/>
    <n v="510.1"/>
  </r>
  <r>
    <x v="11"/>
    <x v="8"/>
    <x v="12"/>
    <n v="95.647000000000006"/>
    <n v="91.099000000000004"/>
    <n v="96.2"/>
    <n v="93.649500000000003"/>
    <n v="510.1"/>
  </r>
  <r>
    <x v="11"/>
    <x v="8"/>
    <x v="12"/>
    <n v="95.647000000000006"/>
    <n v="91.099000000000004"/>
    <n v="96.2"/>
    <n v="93.649500000000003"/>
    <n v="510.1"/>
  </r>
  <r>
    <x v="11"/>
    <x v="8"/>
    <x v="12"/>
    <n v="95.647000000000006"/>
    <n v="91.099000000000004"/>
    <n v="96.2"/>
    <n v="93.649500000000003"/>
    <n v="510.1"/>
  </r>
  <r>
    <x v="11"/>
    <x v="8"/>
    <x v="12"/>
    <n v="95.647000000000006"/>
    <n v="91.099000000000004"/>
    <n v="96.2"/>
    <n v="93.649500000000003"/>
    <n v="510.1"/>
  </r>
  <r>
    <x v="11"/>
    <x v="8"/>
    <x v="12"/>
    <n v="95.647000000000006"/>
    <n v="91.099000000000004"/>
    <n v="96.2"/>
    <n v="93.649500000000003"/>
    <n v="510.1"/>
  </r>
  <r>
    <x v="11"/>
    <x v="8"/>
    <x v="12"/>
    <n v="95.647000000000006"/>
    <n v="91.099000000000004"/>
    <n v="96.2"/>
    <n v="93.649500000000003"/>
    <n v="510.1"/>
  </r>
  <r>
    <x v="11"/>
    <x v="8"/>
    <x v="12"/>
    <n v="95.647000000000006"/>
    <n v="91.099000000000004"/>
    <n v="96.2"/>
    <n v="93.649500000000003"/>
    <n v="510.1"/>
  </r>
  <r>
    <x v="11"/>
    <x v="8"/>
    <x v="12"/>
    <n v="95.647000000000006"/>
    <n v="91.099000000000004"/>
    <n v="96.2"/>
    <n v="93.649500000000003"/>
    <n v="510.1"/>
  </r>
  <r>
    <x v="11"/>
    <x v="8"/>
    <x v="12"/>
    <n v="95.647000000000006"/>
    <n v="91.099000000000004"/>
    <n v="96.2"/>
    <n v="93.649500000000003"/>
    <n v="510.1"/>
  </r>
  <r>
    <x v="11"/>
    <x v="8"/>
    <x v="12"/>
    <n v="95.647000000000006"/>
    <n v="91.099000000000004"/>
    <n v="96.2"/>
    <n v="93.649500000000003"/>
    <n v="510.1"/>
  </r>
  <r>
    <x v="11"/>
    <x v="8"/>
    <x v="12"/>
    <n v="95.647000000000006"/>
    <n v="91.099000000000004"/>
    <n v="96.2"/>
    <n v="93.649500000000003"/>
    <n v="510.1"/>
  </r>
  <r>
    <x v="11"/>
    <x v="8"/>
    <x v="12"/>
    <n v="95.647000000000006"/>
    <n v="91.099000000000004"/>
    <n v="96.2"/>
    <n v="93.649500000000003"/>
    <n v="510.1"/>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3"/>
    <n v="1.3130599999999999"/>
    <n v="1.3159799999999999"/>
    <n v="1.397"/>
    <n v="1.35649"/>
    <n v="810.2"/>
  </r>
  <r>
    <x v="11"/>
    <x v="8"/>
    <x v="0"/>
    <n v="1.98454"/>
    <n v="1.9189400000000001"/>
    <n v="2.0024099999999998"/>
    <n v="1.9606749999999999"/>
    <n v="834.7"/>
  </r>
  <r>
    <x v="11"/>
    <x v="8"/>
    <x v="0"/>
    <n v="1.98454"/>
    <n v="1.9189400000000001"/>
    <n v="2.0024099999999998"/>
    <n v="1.9606749999999999"/>
    <n v="834.7"/>
  </r>
  <r>
    <x v="11"/>
    <x v="8"/>
    <x v="0"/>
    <n v="1.98454"/>
    <n v="1.9189400000000001"/>
    <n v="2.0024099999999998"/>
    <n v="1.9606749999999999"/>
    <n v="834.7"/>
  </r>
  <r>
    <x v="11"/>
    <x v="8"/>
    <x v="0"/>
    <n v="1.98454"/>
    <n v="1.9189400000000001"/>
    <n v="2.0024099999999998"/>
    <n v="1.9606749999999999"/>
    <n v="834.7"/>
  </r>
  <r>
    <x v="11"/>
    <x v="8"/>
    <x v="0"/>
    <n v="1.98454"/>
    <n v="1.9189400000000001"/>
    <n v="2.0024099999999998"/>
    <n v="1.9606749999999999"/>
    <n v="834.7"/>
  </r>
  <r>
    <x v="11"/>
    <x v="8"/>
    <x v="0"/>
    <n v="1.98454"/>
    <n v="1.9189400000000001"/>
    <n v="2.0024099999999998"/>
    <n v="1.9606749999999999"/>
    <n v="834.7"/>
  </r>
  <r>
    <x v="11"/>
    <x v="8"/>
    <x v="0"/>
    <n v="1.98454"/>
    <n v="1.9189400000000001"/>
    <n v="2.0024099999999998"/>
    <n v="1.9606749999999999"/>
    <n v="834.7"/>
  </r>
  <r>
    <x v="11"/>
    <x v="8"/>
    <x v="0"/>
    <n v="1.98454"/>
    <n v="1.9189400000000001"/>
    <n v="2.0024099999999998"/>
    <n v="1.9606749999999999"/>
    <n v="834.7"/>
  </r>
  <r>
    <x v="11"/>
    <x v="8"/>
    <x v="0"/>
    <n v="1.98454"/>
    <n v="1.9189400000000001"/>
    <n v="2.0024099999999998"/>
    <n v="1.9606749999999999"/>
    <n v="834.7"/>
  </r>
  <r>
    <x v="11"/>
    <x v="8"/>
    <x v="0"/>
    <n v="1.98454"/>
    <n v="1.9189400000000001"/>
    <n v="2.0024099999999998"/>
    <n v="1.9606749999999999"/>
    <n v="834.7"/>
  </r>
  <r>
    <x v="11"/>
    <x v="9"/>
    <x v="0"/>
    <n v="1.9586699999999999"/>
    <n v="1.9189400000000001"/>
    <n v="2.0024099999999998"/>
    <n v="1.9606749999999999"/>
    <n v="834.7"/>
  </r>
  <r>
    <x v="11"/>
    <x v="9"/>
    <x v="0"/>
    <n v="1.9586699999999999"/>
    <n v="1.9189400000000001"/>
    <n v="2.0024099999999998"/>
    <n v="1.9606749999999999"/>
    <n v="834.7"/>
  </r>
  <r>
    <x v="11"/>
    <x v="9"/>
    <x v="0"/>
    <n v="1.9586699999999999"/>
    <n v="1.9189400000000001"/>
    <n v="2.0024099999999998"/>
    <n v="1.9606749999999999"/>
    <n v="834.7"/>
  </r>
  <r>
    <x v="11"/>
    <x v="9"/>
    <x v="0"/>
    <n v="1.9586699999999999"/>
    <n v="1.9189400000000001"/>
    <n v="2.0024099999999998"/>
    <n v="1.9606749999999999"/>
    <n v="834.7"/>
  </r>
  <r>
    <x v="11"/>
    <x v="9"/>
    <x v="0"/>
    <n v="1.9586699999999999"/>
    <n v="1.9189400000000001"/>
    <n v="2.0024099999999998"/>
    <n v="1.9606749999999999"/>
    <n v="834.7"/>
  </r>
  <r>
    <x v="11"/>
    <x v="9"/>
    <x v="0"/>
    <n v="1.9586699999999999"/>
    <n v="1.9189400000000001"/>
    <n v="2.0024099999999998"/>
    <n v="1.9606749999999999"/>
    <n v="834.7"/>
  </r>
  <r>
    <x v="11"/>
    <x v="9"/>
    <x v="0"/>
    <n v="1.9586699999999999"/>
    <n v="1.9189400000000001"/>
    <n v="2.0024099999999998"/>
    <n v="1.9606749999999999"/>
    <n v="834.7"/>
  </r>
  <r>
    <x v="11"/>
    <x v="9"/>
    <x v="0"/>
    <n v="1.9586699999999999"/>
    <n v="1.9189400000000001"/>
    <n v="2.0024099999999998"/>
    <n v="1.9606749999999999"/>
    <n v="834.7"/>
  </r>
  <r>
    <x v="11"/>
    <x v="9"/>
    <x v="0"/>
    <n v="1.9586699999999999"/>
    <n v="1.9189400000000001"/>
    <n v="2.0024099999999998"/>
    <n v="1.9606749999999999"/>
    <n v="834.7"/>
  </r>
  <r>
    <x v="11"/>
    <x v="9"/>
    <x v="0"/>
    <n v="1.9586699999999999"/>
    <n v="1.9189400000000001"/>
    <n v="2.0024099999999998"/>
    <n v="1.9606749999999999"/>
    <n v="834.7"/>
  </r>
  <r>
    <x v="11"/>
    <x v="9"/>
    <x v="0"/>
    <n v="1.9586699999999999"/>
    <n v="1.9189400000000001"/>
    <n v="2.0024099999999998"/>
    <n v="1.9606749999999999"/>
    <n v="834.7"/>
  </r>
  <r>
    <x v="11"/>
    <x v="9"/>
    <x v="0"/>
    <n v="1.9586699999999999"/>
    <n v="1.9189400000000001"/>
    <n v="2.0024099999999998"/>
    <n v="1.9606749999999999"/>
    <n v="834.7"/>
  </r>
  <r>
    <x v="11"/>
    <x v="9"/>
    <x v="0"/>
    <n v="1.9586699999999999"/>
    <n v="1.9189400000000001"/>
    <n v="2.0024099999999998"/>
    <n v="1.9606749999999999"/>
    <n v="834.7"/>
  </r>
  <r>
    <x v="11"/>
    <x v="9"/>
    <x v="0"/>
    <n v="1.9586699999999999"/>
    <n v="1.9189400000000001"/>
    <n v="2.0024099999999998"/>
    <n v="1.9606749999999999"/>
    <n v="834.7"/>
  </r>
  <r>
    <x v="11"/>
    <x v="9"/>
    <x v="0"/>
    <n v="1.9586699999999999"/>
    <n v="1.9189400000000001"/>
    <n v="2.0024099999999998"/>
    <n v="1.9606749999999999"/>
    <n v="834.7"/>
  </r>
  <r>
    <x v="11"/>
    <x v="9"/>
    <x v="0"/>
    <n v="1.9586699999999999"/>
    <n v="1.9189400000000001"/>
    <n v="2.0024099999999998"/>
    <n v="1.9606749999999999"/>
    <n v="834.7"/>
  </r>
  <r>
    <x v="11"/>
    <x v="9"/>
    <x v="0"/>
    <n v="1.9586699999999999"/>
    <n v="1.9189400000000001"/>
    <n v="2.0024099999999998"/>
    <n v="1.9606749999999999"/>
    <n v="834.7"/>
  </r>
  <r>
    <x v="11"/>
    <x v="9"/>
    <x v="0"/>
    <n v="1.9586699999999999"/>
    <n v="1.9189400000000001"/>
    <n v="2.0024099999999998"/>
    <n v="1.9606749999999999"/>
    <n v="834.7"/>
  </r>
  <r>
    <x v="11"/>
    <x v="9"/>
    <x v="0"/>
    <n v="1.9586699999999999"/>
    <n v="1.9189400000000001"/>
    <n v="2.0024099999999998"/>
    <n v="1.9606749999999999"/>
    <n v="834.7"/>
  </r>
  <r>
    <x v="11"/>
    <x v="9"/>
    <x v="0"/>
    <n v="1.9586699999999999"/>
    <n v="1.9189400000000001"/>
    <n v="2.0024099999999998"/>
    <n v="1.9606749999999999"/>
    <n v="834.7"/>
  </r>
  <r>
    <x v="11"/>
    <x v="9"/>
    <x v="0"/>
    <n v="1.9586699999999999"/>
    <n v="1.9189400000000001"/>
    <n v="2.0024099999999998"/>
    <n v="1.9606749999999999"/>
    <n v="834.7"/>
  </r>
  <r>
    <x v="11"/>
    <x v="9"/>
    <x v="0"/>
    <n v="1.9586699999999999"/>
    <n v="1.9189400000000001"/>
    <n v="2.0024099999999998"/>
    <n v="1.9606749999999999"/>
    <n v="834.7"/>
  </r>
  <r>
    <x v="11"/>
    <x v="9"/>
    <x v="0"/>
    <n v="1.9586699999999999"/>
    <n v="1.9189400000000001"/>
    <n v="2.0024099999999998"/>
    <n v="1.9606749999999999"/>
    <n v="834.7"/>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0"/>
    <n v="0.93069000000000002"/>
    <n v="0.87092000000000003"/>
    <n v="0.93100000000000005"/>
    <n v="0.90095999999999998"/>
    <n v="600.79999999999995"/>
  </r>
  <r>
    <x v="11"/>
    <x v="9"/>
    <x v="12"/>
    <n v="96.522000000000006"/>
    <n v="91.099000000000004"/>
    <n v="97"/>
    <n v="94.049499999999995"/>
    <n v="590.1"/>
  </r>
  <r>
    <x v="11"/>
    <x v="9"/>
    <x v="12"/>
    <n v="96.522000000000006"/>
    <n v="91.099000000000004"/>
    <n v="97"/>
    <n v="94.049499999999995"/>
    <n v="590.1"/>
  </r>
  <r>
    <x v="11"/>
    <x v="9"/>
    <x v="12"/>
    <n v="96.522000000000006"/>
    <n v="91.099000000000004"/>
    <n v="97"/>
    <n v="94.049499999999995"/>
    <n v="590.1"/>
  </r>
  <r>
    <x v="11"/>
    <x v="9"/>
    <x v="12"/>
    <n v="96.522000000000006"/>
    <n v="91.099000000000004"/>
    <n v="97"/>
    <n v="94.049499999999995"/>
    <n v="590.1"/>
  </r>
  <r>
    <x v="11"/>
    <x v="9"/>
    <x v="12"/>
    <n v="96.522000000000006"/>
    <n v="91.099000000000004"/>
    <n v="97"/>
    <n v="94.049499999999995"/>
    <n v="590.1"/>
  </r>
  <r>
    <x v="11"/>
    <x v="9"/>
    <x v="12"/>
    <n v="96.522000000000006"/>
    <n v="91.099000000000004"/>
    <n v="97"/>
    <n v="94.049499999999995"/>
    <n v="590.1"/>
  </r>
  <r>
    <x v="11"/>
    <x v="9"/>
    <x v="12"/>
    <n v="96.522000000000006"/>
    <n v="91.099000000000004"/>
    <n v="97"/>
    <n v="94.049499999999995"/>
    <n v="590.1"/>
  </r>
  <r>
    <x v="11"/>
    <x v="9"/>
    <x v="12"/>
    <n v="96.522000000000006"/>
    <n v="91.099000000000004"/>
    <n v="97"/>
    <n v="94.049499999999995"/>
    <n v="590.1"/>
  </r>
  <r>
    <x v="11"/>
    <x v="9"/>
    <x v="12"/>
    <n v="96.522000000000006"/>
    <n v="91.099000000000004"/>
    <n v="97"/>
    <n v="94.049499999999995"/>
    <n v="590.1"/>
  </r>
  <r>
    <x v="11"/>
    <x v="9"/>
    <x v="12"/>
    <n v="96.522000000000006"/>
    <n v="91.099000000000004"/>
    <n v="97"/>
    <n v="94.049499999999995"/>
    <n v="590.1"/>
  </r>
  <r>
    <x v="11"/>
    <x v="9"/>
    <x v="12"/>
    <n v="96.522000000000006"/>
    <n v="91.099000000000004"/>
    <n v="97"/>
    <n v="94.049499999999995"/>
    <n v="590.1"/>
  </r>
  <r>
    <x v="11"/>
    <x v="9"/>
    <x v="12"/>
    <n v="96.522000000000006"/>
    <n v="91.099000000000004"/>
    <n v="97"/>
    <n v="94.049499999999995"/>
    <n v="590.1"/>
  </r>
  <r>
    <x v="11"/>
    <x v="9"/>
    <x v="12"/>
    <n v="96.522000000000006"/>
    <n v="91.099000000000004"/>
    <n v="97"/>
    <n v="94.049499999999995"/>
    <n v="590.1"/>
  </r>
  <r>
    <x v="11"/>
    <x v="9"/>
    <x v="12"/>
    <n v="96.522000000000006"/>
    <n v="91.099000000000004"/>
    <n v="97"/>
    <n v="94.049499999999995"/>
    <n v="590.1"/>
  </r>
  <r>
    <x v="11"/>
    <x v="9"/>
    <x v="12"/>
    <n v="96.522000000000006"/>
    <n v="91.099000000000004"/>
    <n v="97"/>
    <n v="94.049499999999995"/>
    <n v="590.1"/>
  </r>
  <r>
    <x v="11"/>
    <x v="9"/>
    <x v="12"/>
    <n v="96.522000000000006"/>
    <n v="91.099000000000004"/>
    <n v="97"/>
    <n v="94.049499999999995"/>
    <n v="590.1"/>
  </r>
  <r>
    <x v="11"/>
    <x v="9"/>
    <x v="12"/>
    <n v="96.522000000000006"/>
    <n v="91.099000000000004"/>
    <n v="97"/>
    <n v="94.049499999999995"/>
    <n v="590.1"/>
  </r>
  <r>
    <x v="11"/>
    <x v="9"/>
    <x v="12"/>
    <n v="96.522000000000006"/>
    <n v="91.099000000000004"/>
    <n v="97"/>
    <n v="94.049499999999995"/>
    <n v="590.1"/>
  </r>
  <r>
    <x v="11"/>
    <x v="9"/>
    <x v="12"/>
    <n v="96.522000000000006"/>
    <n v="91.099000000000004"/>
    <n v="97"/>
    <n v="94.049499999999995"/>
    <n v="590.1"/>
  </r>
  <r>
    <x v="11"/>
    <x v="9"/>
    <x v="12"/>
    <n v="96.522000000000006"/>
    <n v="91.099000000000004"/>
    <n v="97"/>
    <n v="94.049499999999995"/>
    <n v="590.1"/>
  </r>
  <r>
    <x v="11"/>
    <x v="9"/>
    <x v="12"/>
    <n v="96.522000000000006"/>
    <n v="91.099000000000004"/>
    <n v="97"/>
    <n v="94.049499999999995"/>
    <n v="590.1"/>
  </r>
  <r>
    <x v="11"/>
    <x v="9"/>
    <x v="12"/>
    <n v="96.522000000000006"/>
    <n v="91.099000000000004"/>
    <n v="97"/>
    <n v="94.049499999999995"/>
    <n v="590.1"/>
  </r>
  <r>
    <x v="11"/>
    <x v="9"/>
    <x v="12"/>
    <n v="96.522000000000006"/>
    <n v="91.099000000000004"/>
    <n v="97"/>
    <n v="94.049499999999995"/>
    <n v="590.1"/>
  </r>
  <r>
    <x v="11"/>
    <x v="9"/>
    <x v="12"/>
    <n v="96.522000000000006"/>
    <n v="91.099000000000004"/>
    <n v="97"/>
    <n v="94.049499999999995"/>
    <n v="590.1"/>
  </r>
  <r>
    <x v="11"/>
    <x v="9"/>
    <x v="12"/>
    <n v="96.522000000000006"/>
    <n v="91.099000000000004"/>
    <n v="97"/>
    <n v="94.049499999999995"/>
    <n v="590.1"/>
  </r>
  <r>
    <x v="11"/>
    <x v="9"/>
    <x v="12"/>
    <n v="96.522000000000006"/>
    <n v="91.099000000000004"/>
    <n v="97"/>
    <n v="94.049499999999995"/>
    <n v="590.1"/>
  </r>
  <r>
    <x v="11"/>
    <x v="9"/>
    <x v="12"/>
    <n v="96.522000000000006"/>
    <n v="91.099000000000004"/>
    <n v="97"/>
    <n v="94.049499999999995"/>
    <n v="590.1"/>
  </r>
  <r>
    <x v="11"/>
    <x v="9"/>
    <x v="12"/>
    <n v="96.522000000000006"/>
    <n v="91.099000000000004"/>
    <n v="97"/>
    <n v="94.049499999999995"/>
    <n v="590.1"/>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9"/>
    <x v="3"/>
    <n v="1.2949900000000001"/>
    <n v="1.2950699999999999"/>
    <n v="1.397"/>
    <n v="1.3460350000000001"/>
    <n v="1019.3"/>
  </r>
  <r>
    <x v="11"/>
    <x v="10"/>
    <x v="3"/>
    <n v="1.2962499999999999"/>
    <n v="1.2920100000000001"/>
    <n v="1.397"/>
    <n v="1.3445050000000001"/>
    <n v="1049.9000000000001"/>
  </r>
  <r>
    <x v="11"/>
    <x v="10"/>
    <x v="3"/>
    <n v="1.2962499999999999"/>
    <n v="1.2920100000000001"/>
    <n v="1.397"/>
    <n v="1.3445050000000001"/>
    <n v="1049.9000000000001"/>
  </r>
  <r>
    <x v="11"/>
    <x v="10"/>
    <x v="0"/>
    <n v="1.9958499999999999"/>
    <n v="1.9189400000000001"/>
    <n v="2.0024099999999998"/>
    <n v="1.9606749999999999"/>
    <n v="834.7"/>
  </r>
  <r>
    <x v="11"/>
    <x v="10"/>
    <x v="0"/>
    <n v="1.9958499999999999"/>
    <n v="1.9189400000000001"/>
    <n v="2.0024099999999998"/>
    <n v="1.9606749999999999"/>
    <n v="834.7"/>
  </r>
  <r>
    <x v="11"/>
    <x v="10"/>
    <x v="0"/>
    <n v="1.9958499999999999"/>
    <n v="1.9189400000000001"/>
    <n v="2.0024099999999998"/>
    <n v="1.9606749999999999"/>
    <n v="834.7"/>
  </r>
  <r>
    <x v="11"/>
    <x v="10"/>
    <x v="0"/>
    <n v="1.9958499999999999"/>
    <n v="1.9189400000000001"/>
    <n v="2.0024099999999998"/>
    <n v="1.9606749999999999"/>
    <n v="834.7"/>
  </r>
  <r>
    <x v="11"/>
    <x v="10"/>
    <x v="0"/>
    <n v="1.9958499999999999"/>
    <n v="1.9189400000000001"/>
    <n v="2.0024099999999998"/>
    <n v="1.9606749999999999"/>
    <n v="834.7"/>
  </r>
  <r>
    <x v="11"/>
    <x v="10"/>
    <x v="0"/>
    <n v="1.9958499999999999"/>
    <n v="1.9189400000000001"/>
    <n v="2.0024099999999998"/>
    <n v="1.9606749999999999"/>
    <n v="834.7"/>
  </r>
  <r>
    <x v="11"/>
    <x v="10"/>
    <x v="0"/>
    <n v="1.9958499999999999"/>
    <n v="1.9189400000000001"/>
    <n v="2.0024099999999998"/>
    <n v="1.9606749999999999"/>
    <n v="834.7"/>
  </r>
  <r>
    <x v="11"/>
    <x v="10"/>
    <x v="0"/>
    <n v="1.9958499999999999"/>
    <n v="1.9189400000000001"/>
    <n v="2.0024099999999998"/>
    <n v="1.9606749999999999"/>
    <n v="834.7"/>
  </r>
  <r>
    <x v="11"/>
    <x v="10"/>
    <x v="0"/>
    <n v="1.9958499999999999"/>
    <n v="1.9189400000000001"/>
    <n v="2.0024099999999998"/>
    <n v="1.9606749999999999"/>
    <n v="834.7"/>
  </r>
  <r>
    <x v="11"/>
    <x v="10"/>
    <x v="0"/>
    <n v="1.9958499999999999"/>
    <n v="1.9189400000000001"/>
    <n v="2.0024099999999998"/>
    <n v="1.9606749999999999"/>
    <n v="834.7"/>
  </r>
  <r>
    <x v="11"/>
    <x v="10"/>
    <x v="0"/>
    <n v="1.9958499999999999"/>
    <n v="1.9189400000000001"/>
    <n v="2.0024099999999998"/>
    <n v="1.9606749999999999"/>
    <n v="834.7"/>
  </r>
  <r>
    <x v="11"/>
    <x v="10"/>
    <x v="0"/>
    <n v="1.9958499999999999"/>
    <n v="1.9189400000000001"/>
    <n v="2.0024099999999998"/>
    <n v="1.9606749999999999"/>
    <n v="834.7"/>
  </r>
  <r>
    <x v="11"/>
    <x v="10"/>
    <x v="0"/>
    <n v="1.9958499999999999"/>
    <n v="1.9189400000000001"/>
    <n v="2.0024099999999998"/>
    <n v="1.9606749999999999"/>
    <n v="834.7"/>
  </r>
  <r>
    <x v="11"/>
    <x v="10"/>
    <x v="0"/>
    <n v="1.9958499999999999"/>
    <n v="1.9189400000000001"/>
    <n v="2.0024099999999998"/>
    <n v="1.9606749999999999"/>
    <n v="834.7"/>
  </r>
  <r>
    <x v="11"/>
    <x v="10"/>
    <x v="0"/>
    <n v="1.9958499999999999"/>
    <n v="1.9189400000000001"/>
    <n v="2.0024099999999998"/>
    <n v="1.9606749999999999"/>
    <n v="834.7"/>
  </r>
  <r>
    <x v="11"/>
    <x v="10"/>
    <x v="0"/>
    <n v="1.9958499999999999"/>
    <n v="1.9189400000000001"/>
    <n v="2.0024099999999998"/>
    <n v="1.9606749999999999"/>
    <n v="834.7"/>
  </r>
  <r>
    <x v="11"/>
    <x v="10"/>
    <x v="0"/>
    <n v="1.9958499999999999"/>
    <n v="1.9189400000000001"/>
    <n v="2.0024099999999998"/>
    <n v="1.9606749999999999"/>
    <n v="834.7"/>
  </r>
  <r>
    <x v="11"/>
    <x v="10"/>
    <x v="0"/>
    <n v="1.9958499999999999"/>
    <n v="1.9189400000000001"/>
    <n v="2.0024099999999998"/>
    <n v="1.9606749999999999"/>
    <n v="834.7"/>
  </r>
  <r>
    <x v="11"/>
    <x v="10"/>
    <x v="0"/>
    <n v="1.9958499999999999"/>
    <n v="1.9189400000000001"/>
    <n v="2.0024099999999998"/>
    <n v="1.9606749999999999"/>
    <n v="834.7"/>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0"/>
    <n v="0.93269999999999997"/>
    <n v="0.87092000000000003"/>
    <n v="0.93498999999999999"/>
    <n v="0.90295499999999995"/>
    <n v="640.70000000000005"/>
  </r>
  <r>
    <x v="11"/>
    <x v="10"/>
    <x v="12"/>
    <n v="96.721999999999994"/>
    <n v="91.099000000000004"/>
    <n v="97.2"/>
    <n v="94.149500000000003"/>
    <n v="610.1"/>
  </r>
  <r>
    <x v="11"/>
    <x v="10"/>
    <x v="12"/>
    <n v="96.721999999999994"/>
    <n v="91.099000000000004"/>
    <n v="97.2"/>
    <n v="94.149500000000003"/>
    <n v="610.1"/>
  </r>
  <r>
    <x v="11"/>
    <x v="10"/>
    <x v="12"/>
    <n v="96.721999999999994"/>
    <n v="91.099000000000004"/>
    <n v="97.2"/>
    <n v="94.149500000000003"/>
    <n v="610.1"/>
  </r>
  <r>
    <x v="11"/>
    <x v="10"/>
    <x v="12"/>
    <n v="96.721999999999994"/>
    <n v="91.099000000000004"/>
    <n v="97.2"/>
    <n v="94.149500000000003"/>
    <n v="610.1"/>
  </r>
  <r>
    <x v="11"/>
    <x v="10"/>
    <x v="12"/>
    <n v="96.721999999999994"/>
    <n v="91.099000000000004"/>
    <n v="97.2"/>
    <n v="94.149500000000003"/>
    <n v="610.1"/>
  </r>
  <r>
    <x v="11"/>
    <x v="10"/>
    <x v="12"/>
    <n v="96.721999999999994"/>
    <n v="91.099000000000004"/>
    <n v="97.2"/>
    <n v="94.149500000000003"/>
    <n v="610.1"/>
  </r>
  <r>
    <x v="11"/>
    <x v="10"/>
    <x v="12"/>
    <n v="96.721999999999994"/>
    <n v="91.099000000000004"/>
    <n v="97.2"/>
    <n v="94.149500000000003"/>
    <n v="610.1"/>
  </r>
  <r>
    <x v="11"/>
    <x v="10"/>
    <x v="12"/>
    <n v="96.721999999999994"/>
    <n v="91.099000000000004"/>
    <n v="97.2"/>
    <n v="94.149500000000003"/>
    <n v="610.1"/>
  </r>
  <r>
    <x v="11"/>
    <x v="10"/>
    <x v="12"/>
    <n v="96.721999999999994"/>
    <n v="91.099000000000004"/>
    <n v="97.2"/>
    <n v="94.149500000000003"/>
    <n v="610.1"/>
  </r>
  <r>
    <x v="11"/>
    <x v="10"/>
    <x v="12"/>
    <n v="96.721999999999994"/>
    <n v="91.099000000000004"/>
    <n v="97.2"/>
    <n v="94.149500000000003"/>
    <n v="610.1"/>
  </r>
  <r>
    <x v="11"/>
    <x v="10"/>
    <x v="12"/>
    <n v="96.721999999999994"/>
    <n v="91.099000000000004"/>
    <n v="97.2"/>
    <n v="94.149500000000003"/>
    <n v="610.1"/>
  </r>
  <r>
    <x v="11"/>
    <x v="10"/>
    <x v="12"/>
    <n v="96.721999999999994"/>
    <n v="91.099000000000004"/>
    <n v="97.2"/>
    <n v="94.149500000000003"/>
    <n v="610.1"/>
  </r>
  <r>
    <x v="11"/>
    <x v="10"/>
    <x v="12"/>
    <n v="96.721999999999994"/>
    <n v="91.099000000000004"/>
    <n v="97.2"/>
    <n v="94.149500000000003"/>
    <n v="610.1"/>
  </r>
  <r>
    <x v="11"/>
    <x v="10"/>
    <x v="12"/>
    <n v="96.721999999999994"/>
    <n v="91.099000000000004"/>
    <n v="97.2"/>
    <n v="94.149500000000003"/>
    <n v="610.1"/>
  </r>
  <r>
    <x v="11"/>
    <x v="10"/>
    <x v="12"/>
    <n v="96.721999999999994"/>
    <n v="91.099000000000004"/>
    <n v="97.2"/>
    <n v="94.149500000000003"/>
    <n v="610.1"/>
  </r>
  <r>
    <x v="11"/>
    <x v="10"/>
    <x v="12"/>
    <n v="96.721999999999994"/>
    <n v="91.099000000000004"/>
    <n v="97.2"/>
    <n v="94.149500000000003"/>
    <n v="610.1"/>
  </r>
  <r>
    <x v="11"/>
    <x v="10"/>
    <x v="12"/>
    <n v="96.721999999999994"/>
    <n v="91.099000000000004"/>
    <n v="97.2"/>
    <n v="94.149500000000003"/>
    <n v="610.1"/>
  </r>
  <r>
    <x v="11"/>
    <x v="10"/>
    <x v="12"/>
    <n v="96.721999999999994"/>
    <n v="91.099000000000004"/>
    <n v="97.2"/>
    <n v="94.149500000000003"/>
    <n v="610.1"/>
  </r>
  <r>
    <x v="11"/>
    <x v="10"/>
    <x v="12"/>
    <n v="96.721999999999994"/>
    <n v="91.099000000000004"/>
    <n v="97.2"/>
    <n v="94.149500000000003"/>
    <n v="610.1"/>
  </r>
  <r>
    <x v="11"/>
    <x v="10"/>
    <x v="12"/>
    <n v="96.721999999999994"/>
    <n v="91.099000000000004"/>
    <n v="97.2"/>
    <n v="94.149500000000003"/>
    <n v="610.1"/>
  </r>
  <r>
    <x v="11"/>
    <x v="10"/>
    <x v="12"/>
    <n v="96.721999999999994"/>
    <n v="91.099000000000004"/>
    <n v="97.2"/>
    <n v="94.149500000000003"/>
    <n v="610.1"/>
  </r>
  <r>
    <x v="11"/>
    <x v="10"/>
    <x v="12"/>
    <n v="96.721999999999994"/>
    <n v="91.099000000000004"/>
    <n v="97.2"/>
    <n v="94.149500000000003"/>
    <n v="610.1"/>
  </r>
  <r>
    <x v="11"/>
    <x v="10"/>
    <x v="12"/>
    <n v="96.721999999999994"/>
    <n v="91.099000000000004"/>
    <n v="97.2"/>
    <n v="94.149500000000003"/>
    <n v="610.1"/>
  </r>
  <r>
    <x v="11"/>
    <x v="10"/>
    <x v="12"/>
    <n v="96.721999999999994"/>
    <n v="91.099000000000004"/>
    <n v="97.2"/>
    <n v="94.149500000000003"/>
    <n v="610.1"/>
  </r>
  <r>
    <x v="11"/>
    <x v="10"/>
    <x v="12"/>
    <n v="96.721999999999994"/>
    <n v="91.099000000000004"/>
    <n v="97.2"/>
    <n v="94.149500000000003"/>
    <n v="610.1"/>
  </r>
  <r>
    <x v="11"/>
    <x v="10"/>
    <x v="12"/>
    <n v="96.721999999999994"/>
    <n v="91.099000000000004"/>
    <n v="97.2"/>
    <n v="94.149500000000003"/>
    <n v="610.1"/>
  </r>
  <r>
    <x v="11"/>
    <x v="10"/>
    <x v="12"/>
    <n v="96.721999999999994"/>
    <n v="91.099000000000004"/>
    <n v="97.2"/>
    <n v="94.149500000000003"/>
    <n v="610.1"/>
  </r>
  <r>
    <x v="11"/>
    <x v="10"/>
    <x v="12"/>
    <n v="96.721999999999994"/>
    <n v="91.099000000000004"/>
    <n v="97.2"/>
    <n v="94.149500000000003"/>
    <n v="61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0"/>
    <x v="3"/>
    <n v="1.2962499999999999"/>
    <n v="1.2920100000000001"/>
    <n v="1.397"/>
    <n v="1.3445050000000001"/>
    <n v="1049.9000000000001"/>
  </r>
  <r>
    <x v="11"/>
    <x v="11"/>
    <x v="3"/>
    <n v="1.2827200000000001"/>
    <n v="1.2920100000000001"/>
    <n v="1.397"/>
    <n v="1.3445050000000001"/>
    <n v="1049.9000000000001"/>
  </r>
  <r>
    <x v="11"/>
    <x v="11"/>
    <x v="0"/>
    <n v="2.00278"/>
    <n v="1.9189400000000001"/>
    <n v="2.0024099999999998"/>
    <n v="1.9606749999999999"/>
    <n v="834.7"/>
  </r>
  <r>
    <x v="11"/>
    <x v="11"/>
    <x v="0"/>
    <n v="2.00278"/>
    <n v="1.9189400000000001"/>
    <n v="2.0024099999999998"/>
    <n v="1.9606749999999999"/>
    <n v="834.7"/>
  </r>
  <r>
    <x v="11"/>
    <x v="11"/>
    <x v="0"/>
    <n v="2.00278"/>
    <n v="1.9189400000000001"/>
    <n v="2.0024099999999998"/>
    <n v="1.9606749999999999"/>
    <n v="834.7"/>
  </r>
  <r>
    <x v="11"/>
    <x v="11"/>
    <x v="0"/>
    <n v="2.00278"/>
    <n v="1.9189400000000001"/>
    <n v="2.0024099999999998"/>
    <n v="1.9606749999999999"/>
    <n v="834.7"/>
  </r>
  <r>
    <x v="11"/>
    <x v="11"/>
    <x v="0"/>
    <n v="2.00278"/>
    <n v="1.9189400000000001"/>
    <n v="2.0024099999999998"/>
    <n v="1.9606749999999999"/>
    <n v="834.7"/>
  </r>
  <r>
    <x v="11"/>
    <x v="11"/>
    <x v="0"/>
    <n v="2.00278"/>
    <n v="1.9189400000000001"/>
    <n v="2.0024099999999998"/>
    <n v="1.9606749999999999"/>
    <n v="834.7"/>
  </r>
  <r>
    <x v="11"/>
    <x v="11"/>
    <x v="0"/>
    <n v="2.00278"/>
    <n v="1.9189400000000001"/>
    <n v="2.0024099999999998"/>
    <n v="1.9606749999999999"/>
    <n v="834.7"/>
  </r>
  <r>
    <x v="11"/>
    <x v="11"/>
    <x v="0"/>
    <n v="2.00278"/>
    <n v="1.9189400000000001"/>
    <n v="2.0024099999999998"/>
    <n v="1.9606749999999999"/>
    <n v="834.7"/>
  </r>
  <r>
    <x v="11"/>
    <x v="11"/>
    <x v="0"/>
    <n v="2.00278"/>
    <n v="1.9189400000000001"/>
    <n v="2.0024099999999998"/>
    <n v="1.9606749999999999"/>
    <n v="834.7"/>
  </r>
  <r>
    <x v="11"/>
    <x v="11"/>
    <x v="0"/>
    <n v="2.00278"/>
    <n v="1.9189400000000001"/>
    <n v="2.0024099999999998"/>
    <n v="1.9606749999999999"/>
    <n v="834.7"/>
  </r>
  <r>
    <x v="11"/>
    <x v="11"/>
    <x v="0"/>
    <n v="2.00278"/>
    <n v="1.9189400000000001"/>
    <n v="2.0024099999999998"/>
    <n v="1.9606749999999999"/>
    <n v="834.7"/>
  </r>
  <r>
    <x v="11"/>
    <x v="11"/>
    <x v="0"/>
    <n v="2.00278"/>
    <n v="1.9189400000000001"/>
    <n v="2.0024099999999998"/>
    <n v="1.9606749999999999"/>
    <n v="834.7"/>
  </r>
  <r>
    <x v="11"/>
    <x v="11"/>
    <x v="0"/>
    <n v="2.00278"/>
    <n v="1.9189400000000001"/>
    <n v="2.0024099999999998"/>
    <n v="1.9606749999999999"/>
    <n v="834.7"/>
  </r>
  <r>
    <x v="11"/>
    <x v="11"/>
    <x v="0"/>
    <n v="2.00278"/>
    <n v="1.9189400000000001"/>
    <n v="2.0024099999999998"/>
    <n v="1.9606749999999999"/>
    <n v="834.7"/>
  </r>
  <r>
    <x v="11"/>
    <x v="11"/>
    <x v="0"/>
    <n v="2.00278"/>
    <n v="1.9189400000000001"/>
    <n v="2.0024099999999998"/>
    <n v="1.9606749999999999"/>
    <n v="834.7"/>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0"/>
    <n v="0.94047999999999998"/>
    <n v="0.87092000000000003"/>
    <n v="0.93498999999999999"/>
    <n v="0.90295499999999995"/>
    <n v="640.70000000000005"/>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12"/>
    <n v="99.394999999999996"/>
    <n v="91.099000000000004"/>
    <n v="97.6"/>
    <n v="94.349500000000006"/>
    <n v="65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1"/>
    <x v="3"/>
    <n v="1.2827200000000001"/>
    <n v="1.2920100000000001"/>
    <n v="1.397"/>
    <n v="1.3445050000000001"/>
    <n v="1049.9000000000001"/>
  </r>
  <r>
    <x v="11"/>
    <x v="12"/>
    <x v="3"/>
    <n v="1.26816"/>
    <n v="1.2920100000000001"/>
    <n v="1.397"/>
    <n v="1.3445050000000001"/>
    <n v="1049.9000000000001"/>
  </r>
  <r>
    <x v="11"/>
    <x v="12"/>
    <x v="0"/>
    <n v="2.0630500000000001"/>
    <n v="1.9189400000000001"/>
    <n v="2.0024099999999998"/>
    <n v="1.9606749999999999"/>
    <n v="834.7"/>
  </r>
  <r>
    <x v="11"/>
    <x v="12"/>
    <x v="0"/>
    <n v="2.0630500000000001"/>
    <n v="1.9189400000000001"/>
    <n v="2.0024099999999998"/>
    <n v="1.9606749999999999"/>
    <n v="834.7"/>
  </r>
  <r>
    <x v="11"/>
    <x v="12"/>
    <x v="0"/>
    <n v="2.0630500000000001"/>
    <n v="1.9189400000000001"/>
    <n v="2.0024099999999998"/>
    <n v="1.9606749999999999"/>
    <n v="834.7"/>
  </r>
  <r>
    <x v="11"/>
    <x v="12"/>
    <x v="0"/>
    <n v="2.0630500000000001"/>
    <n v="1.9189400000000001"/>
    <n v="2.0024099999999998"/>
    <n v="1.9606749999999999"/>
    <n v="834.7"/>
  </r>
  <r>
    <x v="11"/>
    <x v="12"/>
    <x v="0"/>
    <n v="2.0630500000000001"/>
    <n v="1.9189400000000001"/>
    <n v="2.0024099999999998"/>
    <n v="1.9606749999999999"/>
    <n v="834.7"/>
  </r>
  <r>
    <x v="11"/>
    <x v="12"/>
    <x v="0"/>
    <n v="2.0630500000000001"/>
    <n v="1.9189400000000001"/>
    <n v="2.0024099999999998"/>
    <n v="1.9606749999999999"/>
    <n v="834.7"/>
  </r>
  <r>
    <x v="11"/>
    <x v="12"/>
    <x v="0"/>
    <n v="2.0630500000000001"/>
    <n v="1.9189400000000001"/>
    <n v="2.0024099999999998"/>
    <n v="1.9606749999999999"/>
    <n v="834.7"/>
  </r>
  <r>
    <x v="11"/>
    <x v="12"/>
    <x v="0"/>
    <n v="2.0630500000000001"/>
    <n v="1.9189400000000001"/>
    <n v="2.0024099999999998"/>
    <n v="1.9606749999999999"/>
    <n v="834.7"/>
  </r>
  <r>
    <x v="11"/>
    <x v="12"/>
    <x v="0"/>
    <n v="2.0630500000000001"/>
    <n v="1.9189400000000001"/>
    <n v="2.0024099999999998"/>
    <n v="1.9606749999999999"/>
    <n v="834.7"/>
  </r>
  <r>
    <x v="11"/>
    <x v="12"/>
    <x v="0"/>
    <n v="2.0630500000000001"/>
    <n v="1.9189400000000001"/>
    <n v="2.0024099999999998"/>
    <n v="1.9606749999999999"/>
    <n v="834.7"/>
  </r>
  <r>
    <x v="11"/>
    <x v="12"/>
    <x v="0"/>
    <n v="2.0630500000000001"/>
    <n v="1.9189400000000001"/>
    <n v="2.0024099999999998"/>
    <n v="1.9606749999999999"/>
    <n v="834.7"/>
  </r>
  <r>
    <x v="11"/>
    <x v="12"/>
    <x v="0"/>
    <n v="2.0630500000000001"/>
    <n v="1.9189400000000001"/>
    <n v="2.0024099999999998"/>
    <n v="1.9606749999999999"/>
    <n v="834.7"/>
  </r>
  <r>
    <x v="11"/>
    <x v="12"/>
    <x v="0"/>
    <n v="2.0630500000000001"/>
    <n v="1.9189400000000001"/>
    <n v="2.0024099999999998"/>
    <n v="1.9606749999999999"/>
    <n v="834.7"/>
  </r>
  <r>
    <x v="11"/>
    <x v="12"/>
    <x v="0"/>
    <n v="2.0630500000000001"/>
    <n v="1.9189400000000001"/>
    <n v="2.0024099999999998"/>
    <n v="1.9606749999999999"/>
    <n v="834.7"/>
  </r>
  <r>
    <x v="11"/>
    <x v="12"/>
    <x v="0"/>
    <n v="2.0630500000000001"/>
    <n v="1.9189400000000001"/>
    <n v="2.0024099999999998"/>
    <n v="1.9606749999999999"/>
    <n v="834.7"/>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0"/>
    <n v="0.95113000000000003"/>
    <n v="0.87092000000000003"/>
    <n v="0.93498999999999999"/>
    <n v="0.90295499999999995"/>
    <n v="640.70000000000005"/>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12"/>
    <n v="97.903000000000006"/>
    <n v="91.099000000000004"/>
    <n v="97.6"/>
    <n v="94.349500000000006"/>
    <n v="65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2"/>
    <x v="3"/>
    <n v="1.26816"/>
    <n v="1.2920100000000001"/>
    <n v="1.397"/>
    <n v="1.3445050000000001"/>
    <n v="1049.9000000000001"/>
  </r>
  <r>
    <x v="11"/>
    <x v="13"/>
    <x v="0"/>
    <n v="2.0533700000000001"/>
    <n v="1.9189400000000001"/>
    <n v="2.0024099999999998"/>
    <n v="1.9606749999999999"/>
    <n v="834.7"/>
  </r>
  <r>
    <x v="11"/>
    <x v="13"/>
    <x v="0"/>
    <n v="2.0533700000000001"/>
    <n v="1.9189400000000001"/>
    <n v="2.0024099999999998"/>
    <n v="1.9606749999999999"/>
    <n v="834.7"/>
  </r>
  <r>
    <x v="11"/>
    <x v="13"/>
    <x v="0"/>
    <n v="2.0533700000000001"/>
    <n v="1.9189400000000001"/>
    <n v="2.0024099999999998"/>
    <n v="1.9606749999999999"/>
    <n v="834.7"/>
  </r>
  <r>
    <x v="11"/>
    <x v="13"/>
    <x v="0"/>
    <n v="2.0533700000000001"/>
    <n v="1.9189400000000001"/>
    <n v="2.0024099999999998"/>
    <n v="1.9606749999999999"/>
    <n v="834.7"/>
  </r>
  <r>
    <x v="11"/>
    <x v="13"/>
    <x v="0"/>
    <n v="2.0533700000000001"/>
    <n v="1.9189400000000001"/>
    <n v="2.0024099999999998"/>
    <n v="1.9606749999999999"/>
    <n v="834.7"/>
  </r>
  <r>
    <x v="11"/>
    <x v="13"/>
    <x v="0"/>
    <n v="2.0533700000000001"/>
    <n v="1.9189400000000001"/>
    <n v="2.0024099999999998"/>
    <n v="1.9606749999999999"/>
    <n v="834.7"/>
  </r>
  <r>
    <x v="11"/>
    <x v="13"/>
    <x v="0"/>
    <n v="2.0533700000000001"/>
    <n v="1.9189400000000001"/>
    <n v="2.0024099999999998"/>
    <n v="1.9606749999999999"/>
    <n v="834.7"/>
  </r>
  <r>
    <x v="11"/>
    <x v="13"/>
    <x v="0"/>
    <n v="2.0533700000000001"/>
    <n v="1.9189400000000001"/>
    <n v="2.0024099999999998"/>
    <n v="1.9606749999999999"/>
    <n v="834.7"/>
  </r>
  <r>
    <x v="11"/>
    <x v="13"/>
    <x v="0"/>
    <n v="2.0533700000000001"/>
    <n v="1.9189400000000001"/>
    <n v="2.0024099999999998"/>
    <n v="1.9606749999999999"/>
    <n v="834.7"/>
  </r>
  <r>
    <x v="11"/>
    <x v="13"/>
    <x v="0"/>
    <n v="2.0533700000000001"/>
    <n v="1.9189400000000001"/>
    <n v="2.0024099999999998"/>
    <n v="1.9606749999999999"/>
    <n v="834.7"/>
  </r>
  <r>
    <x v="11"/>
    <x v="13"/>
    <x v="0"/>
    <n v="2.0533700000000001"/>
    <n v="1.9189400000000001"/>
    <n v="2.0024099999999998"/>
    <n v="1.9606749999999999"/>
    <n v="834.7"/>
  </r>
  <r>
    <x v="11"/>
    <x v="13"/>
    <x v="0"/>
    <n v="2.0533700000000001"/>
    <n v="1.9189400000000001"/>
    <n v="2.0024099999999998"/>
    <n v="1.9606749999999999"/>
    <n v="834.7"/>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0"/>
    <n v="0.96713000000000005"/>
    <n v="0.87092000000000003"/>
    <n v="0.93498999999999999"/>
    <n v="0.90295499999999995"/>
    <n v="640.70000000000005"/>
  </r>
  <r>
    <x v="11"/>
    <x v="13"/>
    <x v="12"/>
    <n v="97.572999999999993"/>
    <n v="91.099000000000004"/>
    <n v="97.6"/>
    <n v="94.349500000000006"/>
    <n v="650.1"/>
  </r>
  <r>
    <x v="11"/>
    <x v="13"/>
    <x v="12"/>
    <n v="97.572999999999993"/>
    <n v="91.099000000000004"/>
    <n v="97.6"/>
    <n v="94.349500000000006"/>
    <n v="650.1"/>
  </r>
  <r>
    <x v="11"/>
    <x v="13"/>
    <x v="12"/>
    <n v="97.572999999999993"/>
    <n v="91.099000000000004"/>
    <n v="97.6"/>
    <n v="94.349500000000006"/>
    <n v="650.1"/>
  </r>
  <r>
    <x v="11"/>
    <x v="13"/>
    <x v="12"/>
    <n v="97.572999999999993"/>
    <n v="91.099000000000004"/>
    <n v="97.6"/>
    <n v="94.349500000000006"/>
    <n v="650.1"/>
  </r>
  <r>
    <x v="11"/>
    <x v="13"/>
    <x v="12"/>
    <n v="97.572999999999993"/>
    <n v="91.099000000000004"/>
    <n v="97.6"/>
    <n v="94.349500000000006"/>
    <n v="650.1"/>
  </r>
  <r>
    <x v="11"/>
    <x v="13"/>
    <x v="12"/>
    <n v="97.572999999999993"/>
    <n v="91.099000000000004"/>
    <n v="97.6"/>
    <n v="94.349500000000006"/>
    <n v="650.1"/>
  </r>
  <r>
    <x v="11"/>
    <x v="13"/>
    <x v="12"/>
    <n v="97.572999999999993"/>
    <n v="91.099000000000004"/>
    <n v="97.6"/>
    <n v="94.349500000000006"/>
    <n v="650.1"/>
  </r>
  <r>
    <x v="11"/>
    <x v="13"/>
    <x v="12"/>
    <n v="97.572999999999993"/>
    <n v="91.099000000000004"/>
    <n v="97.6"/>
    <n v="94.349500000000006"/>
    <n v="650.1"/>
  </r>
  <r>
    <x v="11"/>
    <x v="13"/>
    <x v="12"/>
    <n v="97.572999999999993"/>
    <n v="91.099000000000004"/>
    <n v="97.6"/>
    <n v="94.349500000000006"/>
    <n v="650.1"/>
  </r>
  <r>
    <x v="11"/>
    <x v="13"/>
    <x v="12"/>
    <n v="97.572999999999993"/>
    <n v="91.099000000000004"/>
    <n v="97.6"/>
    <n v="94.349500000000006"/>
    <n v="650.1"/>
  </r>
  <r>
    <x v="11"/>
    <x v="13"/>
    <x v="12"/>
    <n v="97.572999999999993"/>
    <n v="91.099000000000004"/>
    <n v="97.6"/>
    <n v="94.349500000000006"/>
    <n v="650.1"/>
  </r>
  <r>
    <x v="11"/>
    <x v="13"/>
    <x v="12"/>
    <n v="97.572999999999993"/>
    <n v="91.099000000000004"/>
    <n v="97.6"/>
    <n v="94.349500000000006"/>
    <n v="650.1"/>
  </r>
  <r>
    <x v="11"/>
    <x v="13"/>
    <x v="12"/>
    <n v="97.572999999999993"/>
    <n v="91.099000000000004"/>
    <n v="97.6"/>
    <n v="94.349500000000006"/>
    <n v="650.1"/>
  </r>
  <r>
    <x v="11"/>
    <x v="13"/>
    <x v="12"/>
    <n v="97.572999999999993"/>
    <n v="91.099000000000004"/>
    <n v="97.6"/>
    <n v="94.349500000000006"/>
    <n v="650.1"/>
  </r>
  <r>
    <x v="11"/>
    <x v="13"/>
    <x v="12"/>
    <n v="97.572999999999993"/>
    <n v="91.099000000000004"/>
    <n v="97.6"/>
    <n v="94.349500000000006"/>
    <n v="650.1"/>
  </r>
  <r>
    <x v="11"/>
    <x v="13"/>
    <x v="12"/>
    <n v="97.572999999999993"/>
    <n v="91.099000000000004"/>
    <n v="97.6"/>
    <n v="94.349500000000006"/>
    <n v="650.1"/>
  </r>
  <r>
    <x v="11"/>
    <x v="13"/>
    <x v="12"/>
    <n v="97.572999999999993"/>
    <n v="91.099000000000004"/>
    <n v="97.6"/>
    <n v="94.349500000000006"/>
    <n v="650.1"/>
  </r>
  <r>
    <x v="11"/>
    <x v="13"/>
    <x v="12"/>
    <n v="97.572999999999993"/>
    <n v="91.099000000000004"/>
    <n v="97.6"/>
    <n v="94.349500000000006"/>
    <n v="650.1"/>
  </r>
  <r>
    <x v="11"/>
    <x v="13"/>
    <x v="12"/>
    <n v="97.572999999999993"/>
    <n v="91.099000000000004"/>
    <n v="97.6"/>
    <n v="94.349500000000006"/>
    <n v="650.1"/>
  </r>
  <r>
    <x v="11"/>
    <x v="13"/>
    <x v="12"/>
    <n v="97.572999999999993"/>
    <n v="91.099000000000004"/>
    <n v="97.6"/>
    <n v="94.349500000000006"/>
    <n v="650.1"/>
  </r>
  <r>
    <x v="11"/>
    <x v="13"/>
    <x v="12"/>
    <n v="97.572999999999993"/>
    <n v="91.099000000000004"/>
    <n v="97.6"/>
    <n v="94.349500000000006"/>
    <n v="650.1"/>
  </r>
  <r>
    <x v="11"/>
    <x v="13"/>
    <x v="12"/>
    <n v="97.572999999999993"/>
    <n v="91.099000000000004"/>
    <n v="97.6"/>
    <n v="94.349500000000006"/>
    <n v="650.1"/>
  </r>
  <r>
    <x v="11"/>
    <x v="13"/>
    <x v="12"/>
    <n v="97.572999999999993"/>
    <n v="91.099000000000004"/>
    <n v="97.6"/>
    <n v="94.349500000000006"/>
    <n v="650.1"/>
  </r>
  <r>
    <x v="11"/>
    <x v="13"/>
    <x v="12"/>
    <n v="97.572999999999993"/>
    <n v="91.099000000000004"/>
    <n v="97.6"/>
    <n v="94.349500000000006"/>
    <n v="650.1"/>
  </r>
  <r>
    <x v="11"/>
    <x v="13"/>
    <x v="12"/>
    <n v="97.572999999999993"/>
    <n v="91.099000000000004"/>
    <n v="97.6"/>
    <n v="94.349500000000006"/>
    <n v="650.1"/>
  </r>
  <r>
    <x v="11"/>
    <x v="13"/>
    <x v="12"/>
    <n v="97.572999999999993"/>
    <n v="91.099000000000004"/>
    <n v="97.6"/>
    <n v="94.349500000000006"/>
    <n v="65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3"/>
    <n v="1.2514000000000001"/>
    <n v="1.2920100000000001"/>
    <n v="1.397"/>
    <n v="1.3445050000000001"/>
    <n v="1049.9000000000001"/>
  </r>
  <r>
    <x v="11"/>
    <x v="13"/>
    <x v="0"/>
    <n v="2.0533700000000001"/>
    <n v="1.9189400000000001"/>
    <n v="2.0024099999999998"/>
    <n v="1.9606749999999999"/>
    <n v="834.7"/>
  </r>
  <r>
    <x v="11"/>
    <x v="13"/>
    <x v="0"/>
    <n v="2.0533700000000001"/>
    <n v="1.9189400000000001"/>
    <n v="2.0024099999999998"/>
    <n v="1.9606749999999999"/>
    <n v="834.7"/>
  </r>
  <r>
    <x v="11"/>
    <x v="13"/>
    <x v="0"/>
    <n v="2.0533700000000001"/>
    <n v="1.9189400000000001"/>
    <n v="2.0024099999999998"/>
    <n v="1.9606749999999999"/>
    <n v="834.7"/>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3"/>
    <n v="1.26264"/>
    <n v="1.2920100000000001"/>
    <n v="1.397"/>
    <n v="1.3445050000000001"/>
    <n v="1049.9000000000001"/>
  </r>
  <r>
    <x v="11"/>
    <x v="14"/>
    <x v="0"/>
    <n v="2.0558900000000002"/>
    <n v="1.9189400000000001"/>
    <n v="2.0339800000000001"/>
    <n v="1.9764600000000001"/>
    <n v="1150.4000000000001"/>
  </r>
  <r>
    <x v="11"/>
    <x v="14"/>
    <x v="0"/>
    <n v="2.0558900000000002"/>
    <n v="1.9189400000000001"/>
    <n v="2.0339800000000001"/>
    <n v="1.9764600000000001"/>
    <n v="1150.4000000000001"/>
  </r>
  <r>
    <x v="11"/>
    <x v="14"/>
    <x v="0"/>
    <n v="2.0558900000000002"/>
    <n v="1.9189400000000001"/>
    <n v="2.0339800000000001"/>
    <n v="1.9764600000000001"/>
    <n v="1150.4000000000001"/>
  </r>
  <r>
    <x v="11"/>
    <x v="14"/>
    <x v="0"/>
    <n v="2.0558900000000002"/>
    <n v="1.9189400000000001"/>
    <n v="2.0339800000000001"/>
    <n v="1.9764600000000001"/>
    <n v="1150.4000000000001"/>
  </r>
  <r>
    <x v="11"/>
    <x v="14"/>
    <x v="0"/>
    <n v="2.0558900000000002"/>
    <n v="1.9189400000000001"/>
    <n v="2.0339800000000001"/>
    <n v="1.9764600000000001"/>
    <n v="1150.4000000000001"/>
  </r>
  <r>
    <x v="11"/>
    <x v="14"/>
    <x v="0"/>
    <n v="2.0558900000000002"/>
    <n v="1.9189400000000001"/>
    <n v="2.0339800000000001"/>
    <n v="1.9764600000000001"/>
    <n v="1150.4000000000001"/>
  </r>
  <r>
    <x v="11"/>
    <x v="14"/>
    <x v="0"/>
    <n v="2.0558900000000002"/>
    <n v="1.9189400000000001"/>
    <n v="2.0339800000000001"/>
    <n v="1.9764600000000001"/>
    <n v="1150.4000000000001"/>
  </r>
  <r>
    <x v="11"/>
    <x v="14"/>
    <x v="0"/>
    <n v="2.0558900000000002"/>
    <n v="1.9189400000000001"/>
    <n v="2.0339800000000001"/>
    <n v="1.9764600000000001"/>
    <n v="1150.4000000000001"/>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4"/>
    <x v="10"/>
    <n v="0.95687999999999995"/>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3"/>
    <n v="1.2758799999999999"/>
    <n v="1.2829999999999999"/>
    <n v="1.397"/>
    <n v="1.34"/>
    <n v="1140"/>
  </r>
  <r>
    <x v="11"/>
    <x v="15"/>
    <x v="0"/>
    <n v="2.0294599999999998"/>
    <n v="1.9189400000000001"/>
    <n v="2.0339800000000001"/>
    <n v="1.9764600000000001"/>
    <n v="1150.4000000000001"/>
  </r>
  <r>
    <x v="11"/>
    <x v="15"/>
    <x v="0"/>
    <n v="2.0294599999999998"/>
    <n v="1.9189400000000001"/>
    <n v="2.0339800000000001"/>
    <n v="1.9764600000000001"/>
    <n v="1150.4000000000001"/>
  </r>
  <r>
    <x v="11"/>
    <x v="15"/>
    <x v="0"/>
    <n v="2.0294599999999998"/>
    <n v="1.9189400000000001"/>
    <n v="2.0339800000000001"/>
    <n v="1.9764600000000001"/>
    <n v="1150.4000000000001"/>
  </r>
  <r>
    <x v="11"/>
    <x v="15"/>
    <x v="0"/>
    <n v="2.0294599999999998"/>
    <n v="1.9189400000000001"/>
    <n v="2.0339800000000001"/>
    <n v="1.9764600000000001"/>
    <n v="1150.4000000000001"/>
  </r>
  <r>
    <x v="11"/>
    <x v="15"/>
    <x v="0"/>
    <n v="2.0294599999999998"/>
    <n v="1.9189400000000001"/>
    <n v="2.0339800000000001"/>
    <n v="1.9764600000000001"/>
    <n v="1150.4000000000001"/>
  </r>
  <r>
    <x v="11"/>
    <x v="15"/>
    <x v="0"/>
    <n v="2.0294599999999998"/>
    <n v="1.9189400000000001"/>
    <n v="2.0339800000000001"/>
    <n v="1.9764600000000001"/>
    <n v="1150.4000000000001"/>
  </r>
  <r>
    <x v="11"/>
    <x v="15"/>
    <x v="0"/>
    <n v="2.0294599999999998"/>
    <n v="1.9189400000000001"/>
    <n v="2.0339800000000001"/>
    <n v="1.9764600000000001"/>
    <n v="1150.4000000000001"/>
  </r>
  <r>
    <x v="11"/>
    <x v="15"/>
    <x v="0"/>
    <n v="2.0294599999999998"/>
    <n v="1.9189400000000001"/>
    <n v="2.0339800000000001"/>
    <n v="1.9764600000000001"/>
    <n v="1150.4000000000001"/>
  </r>
  <r>
    <x v="11"/>
    <x v="15"/>
    <x v="0"/>
    <n v="2.0294599999999998"/>
    <n v="1.9189400000000001"/>
    <n v="2.0339800000000001"/>
    <n v="1.9764600000000001"/>
    <n v="1150.4000000000001"/>
  </r>
  <r>
    <x v="11"/>
    <x v="15"/>
    <x v="0"/>
    <n v="2.0294599999999998"/>
    <n v="1.9189400000000001"/>
    <n v="2.0339800000000001"/>
    <n v="1.9764600000000001"/>
    <n v="1150.4000000000001"/>
  </r>
  <r>
    <x v="11"/>
    <x v="15"/>
    <x v="0"/>
    <n v="2.0294599999999998"/>
    <n v="1.9189400000000001"/>
    <n v="2.0339800000000001"/>
    <n v="1.9764600000000001"/>
    <n v="1150.4000000000001"/>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5"/>
    <x v="10"/>
    <n v="0.94555999999999996"/>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3"/>
    <n v="1.2668600000000001"/>
    <n v="1.2829999999999999"/>
    <n v="1.397"/>
    <n v="1.34"/>
    <n v="1140"/>
  </r>
  <r>
    <x v="11"/>
    <x v="16"/>
    <x v="0"/>
    <n v="2.0467200000000001"/>
    <n v="1.9189400000000001"/>
    <n v="2.0339800000000001"/>
    <n v="1.9764600000000001"/>
    <n v="1150.4000000000001"/>
  </r>
  <r>
    <x v="11"/>
    <x v="16"/>
    <x v="0"/>
    <n v="2.0467200000000001"/>
    <n v="1.9189400000000001"/>
    <n v="2.0339800000000001"/>
    <n v="1.9764600000000001"/>
    <n v="1150.4000000000001"/>
  </r>
  <r>
    <x v="11"/>
    <x v="16"/>
    <x v="0"/>
    <n v="2.0467200000000001"/>
    <n v="1.9189400000000001"/>
    <n v="2.0339800000000001"/>
    <n v="1.9764600000000001"/>
    <n v="1150.4000000000001"/>
  </r>
  <r>
    <x v="11"/>
    <x v="16"/>
    <x v="0"/>
    <n v="2.0467200000000001"/>
    <n v="1.9189400000000001"/>
    <n v="2.0339800000000001"/>
    <n v="1.9764600000000001"/>
    <n v="1150.4000000000001"/>
  </r>
  <r>
    <x v="11"/>
    <x v="16"/>
    <x v="0"/>
    <n v="2.0467200000000001"/>
    <n v="1.9189400000000001"/>
    <n v="2.0339800000000001"/>
    <n v="1.9764600000000001"/>
    <n v="1150.4000000000001"/>
  </r>
  <r>
    <x v="11"/>
    <x v="16"/>
    <x v="0"/>
    <n v="2.0467200000000001"/>
    <n v="1.9189400000000001"/>
    <n v="2.0339800000000001"/>
    <n v="1.9764600000000001"/>
    <n v="1150.4000000000001"/>
  </r>
  <r>
    <x v="11"/>
    <x v="16"/>
    <x v="0"/>
    <n v="2.0467200000000001"/>
    <n v="1.9189400000000001"/>
    <n v="2.0339800000000001"/>
    <n v="1.9764600000000001"/>
    <n v="1150.4000000000001"/>
  </r>
  <r>
    <x v="11"/>
    <x v="16"/>
    <x v="0"/>
    <n v="2.0467200000000001"/>
    <n v="1.9189400000000001"/>
    <n v="2.0339800000000001"/>
    <n v="1.9764600000000001"/>
    <n v="1150.4000000000001"/>
  </r>
  <r>
    <x v="11"/>
    <x v="16"/>
    <x v="0"/>
    <n v="2.0467200000000001"/>
    <n v="1.9189400000000001"/>
    <n v="2.0339800000000001"/>
    <n v="1.9764600000000001"/>
    <n v="1150.4000000000001"/>
  </r>
  <r>
    <x v="11"/>
    <x v="16"/>
    <x v="0"/>
    <n v="2.0467200000000001"/>
    <n v="1.9189400000000001"/>
    <n v="2.0339800000000001"/>
    <n v="1.9764600000000001"/>
    <n v="1150.4000000000001"/>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6"/>
    <x v="10"/>
    <n v="0.95147999999999999"/>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3"/>
    <n v="1.2522200000000001"/>
    <n v="1.2829999999999999"/>
    <n v="1.397"/>
    <n v="1.34"/>
    <n v="1140"/>
  </r>
  <r>
    <x v="11"/>
    <x v="17"/>
    <x v="0"/>
    <n v="2.0505"/>
    <n v="1.9189400000000001"/>
    <n v="2.0339800000000001"/>
    <n v="1.9764600000000001"/>
    <n v="1150.4000000000001"/>
  </r>
  <r>
    <x v="11"/>
    <x v="17"/>
    <x v="0"/>
    <n v="2.0505"/>
    <n v="1.9189400000000001"/>
    <n v="2.0339800000000001"/>
    <n v="1.9764600000000001"/>
    <n v="1150.4000000000001"/>
  </r>
  <r>
    <x v="11"/>
    <x v="17"/>
    <x v="0"/>
    <n v="2.0505"/>
    <n v="1.9189400000000001"/>
    <n v="2.0339800000000001"/>
    <n v="1.9764600000000001"/>
    <n v="1150.4000000000001"/>
  </r>
  <r>
    <x v="11"/>
    <x v="17"/>
    <x v="0"/>
    <n v="2.0505"/>
    <n v="1.9189400000000001"/>
    <n v="2.0339800000000001"/>
    <n v="1.9764600000000001"/>
    <n v="1150.4000000000001"/>
  </r>
  <r>
    <x v="11"/>
    <x v="17"/>
    <x v="0"/>
    <n v="2.0505"/>
    <n v="1.9189400000000001"/>
    <n v="2.0339800000000001"/>
    <n v="1.9764600000000001"/>
    <n v="1150.4000000000001"/>
  </r>
  <r>
    <x v="11"/>
    <x v="17"/>
    <x v="0"/>
    <n v="2.0505"/>
    <n v="1.9189400000000001"/>
    <n v="2.0339800000000001"/>
    <n v="1.9764600000000001"/>
    <n v="1150.4000000000001"/>
  </r>
  <r>
    <x v="11"/>
    <x v="17"/>
    <x v="0"/>
    <n v="2.0505"/>
    <n v="1.9189400000000001"/>
    <n v="2.0339800000000001"/>
    <n v="1.9764600000000001"/>
    <n v="1150.4000000000001"/>
  </r>
  <r>
    <x v="11"/>
    <x v="17"/>
    <x v="0"/>
    <n v="2.0505"/>
    <n v="1.9189400000000001"/>
    <n v="2.0339800000000001"/>
    <n v="1.9764600000000001"/>
    <n v="1150.4000000000001"/>
  </r>
  <r>
    <x v="11"/>
    <x v="17"/>
    <x v="0"/>
    <n v="2.0505"/>
    <n v="1.9189400000000001"/>
    <n v="2.0339800000000001"/>
    <n v="1.9764600000000001"/>
    <n v="1150.4000000000001"/>
  </r>
  <r>
    <x v="11"/>
    <x v="17"/>
    <x v="0"/>
    <n v="2.0505"/>
    <n v="1.9189400000000001"/>
    <n v="2.0339800000000001"/>
    <n v="1.9764600000000001"/>
    <n v="1150.4000000000001"/>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7"/>
    <x v="10"/>
    <n v="0.96225000000000005"/>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3"/>
    <n v="1.2453700000000001"/>
    <n v="1.2829999999999999"/>
    <n v="1.397"/>
    <n v="1.34"/>
    <n v="1140"/>
  </r>
  <r>
    <x v="11"/>
    <x v="18"/>
    <x v="0"/>
    <n v="2.04481"/>
    <n v="1.9189400000000001"/>
    <n v="2.0339800000000001"/>
    <n v="1.9764600000000001"/>
    <n v="1150.4000000000001"/>
  </r>
  <r>
    <x v="11"/>
    <x v="18"/>
    <x v="0"/>
    <n v="2.04481"/>
    <n v="1.9189400000000001"/>
    <n v="2.0339800000000001"/>
    <n v="1.9764600000000001"/>
    <n v="1150.4000000000001"/>
  </r>
  <r>
    <x v="11"/>
    <x v="18"/>
    <x v="0"/>
    <n v="2.04481"/>
    <n v="1.9189400000000001"/>
    <n v="2.0339800000000001"/>
    <n v="1.9764600000000001"/>
    <n v="1150.4000000000001"/>
  </r>
  <r>
    <x v="11"/>
    <x v="18"/>
    <x v="0"/>
    <n v="2.04481"/>
    <n v="1.9189400000000001"/>
    <n v="2.0339800000000001"/>
    <n v="1.9764600000000001"/>
    <n v="1150.4000000000001"/>
  </r>
  <r>
    <x v="11"/>
    <x v="18"/>
    <x v="0"/>
    <n v="2.04481"/>
    <n v="1.9189400000000001"/>
    <n v="2.0339800000000001"/>
    <n v="1.9764600000000001"/>
    <n v="1150.4000000000001"/>
  </r>
  <r>
    <x v="11"/>
    <x v="18"/>
    <x v="0"/>
    <n v="2.04481"/>
    <n v="1.9189400000000001"/>
    <n v="2.0339800000000001"/>
    <n v="1.9764600000000001"/>
    <n v="1150.4000000000001"/>
  </r>
  <r>
    <x v="11"/>
    <x v="18"/>
    <x v="0"/>
    <n v="2.04481"/>
    <n v="1.9189400000000001"/>
    <n v="2.0339800000000001"/>
    <n v="1.9764600000000001"/>
    <n v="1150.4000000000001"/>
  </r>
  <r>
    <x v="11"/>
    <x v="18"/>
    <x v="0"/>
    <n v="2.04481"/>
    <n v="1.9189400000000001"/>
    <n v="2.0339800000000001"/>
    <n v="1.9764600000000001"/>
    <n v="1150.4000000000001"/>
  </r>
  <r>
    <x v="11"/>
    <x v="18"/>
    <x v="0"/>
    <n v="2.04481"/>
    <n v="1.9189400000000001"/>
    <n v="2.0339800000000001"/>
    <n v="1.9764600000000001"/>
    <n v="1150.4000000000001"/>
  </r>
  <r>
    <x v="11"/>
    <x v="18"/>
    <x v="0"/>
    <n v="2.04481"/>
    <n v="1.9189400000000001"/>
    <n v="2.0339800000000001"/>
    <n v="1.9764600000000001"/>
    <n v="1150.4000000000001"/>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8"/>
    <x v="10"/>
    <n v="0.96565999999999996"/>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3"/>
    <n v="1.25244"/>
    <n v="1.2829999999999999"/>
    <n v="1.397"/>
    <n v="1.34"/>
    <n v="1140"/>
  </r>
  <r>
    <x v="11"/>
    <x v="19"/>
    <x v="0"/>
    <n v="1.9801299999999999"/>
    <n v="1.9189400000000001"/>
    <n v="2.0339800000000001"/>
    <n v="1.9764600000000001"/>
    <n v="1150.4000000000001"/>
  </r>
  <r>
    <x v="11"/>
    <x v="19"/>
    <x v="0"/>
    <n v="1.9801299999999999"/>
    <n v="1.9189400000000001"/>
    <n v="2.0339800000000001"/>
    <n v="1.9764600000000001"/>
    <n v="1150.4000000000001"/>
  </r>
  <r>
    <x v="11"/>
    <x v="19"/>
    <x v="0"/>
    <n v="1.9801299999999999"/>
    <n v="1.9189400000000001"/>
    <n v="2.0339800000000001"/>
    <n v="1.9764600000000001"/>
    <n v="1150.4000000000001"/>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19"/>
    <x v="10"/>
    <n v="0.95875999999999995"/>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3"/>
    <n v="1.2390099999999999"/>
    <n v="1.2829999999999999"/>
    <n v="1.397"/>
    <n v="1.34"/>
    <n v="1140"/>
  </r>
  <r>
    <x v="11"/>
    <x v="20"/>
    <x v="0"/>
    <n v="1.9839800000000001"/>
    <n v="1.9189400000000001"/>
    <n v="2.0339800000000001"/>
    <n v="1.9764600000000001"/>
    <n v="1150.4000000000001"/>
  </r>
  <r>
    <x v="11"/>
    <x v="20"/>
    <x v="0"/>
    <n v="1.9839800000000001"/>
    <n v="1.9189400000000001"/>
    <n v="2.0339800000000001"/>
    <n v="1.9764600000000001"/>
    <n v="1150.4000000000001"/>
  </r>
  <r>
    <x v="11"/>
    <x v="20"/>
    <x v="0"/>
    <n v="1.9839800000000001"/>
    <n v="1.9189400000000001"/>
    <n v="2.0339800000000001"/>
    <n v="1.9764600000000001"/>
    <n v="1150.4000000000001"/>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0"/>
    <x v="10"/>
    <n v="0.96955999999999998"/>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3"/>
    <n v="1.24491"/>
    <n v="1.2829999999999999"/>
    <n v="1.397"/>
    <n v="1.34"/>
    <n v="1140"/>
  </r>
  <r>
    <x v="11"/>
    <x v="21"/>
    <x v="0"/>
    <n v="1.99255"/>
    <n v="1.9189400000000001"/>
    <n v="2.0339800000000001"/>
    <n v="1.9764600000000001"/>
    <n v="1150.4000000000001"/>
  </r>
  <r>
    <x v="11"/>
    <x v="21"/>
    <x v="0"/>
    <n v="1.99255"/>
    <n v="1.9189400000000001"/>
    <n v="2.0339800000000001"/>
    <n v="1.9764600000000001"/>
    <n v="1150.4000000000001"/>
  </r>
  <r>
    <x v="11"/>
    <x v="21"/>
    <x v="0"/>
    <n v="1.99255"/>
    <n v="1.9189400000000001"/>
    <n v="2.0339800000000001"/>
    <n v="1.9764600000000001"/>
    <n v="1150.4000000000001"/>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1"/>
    <x v="10"/>
    <n v="0.96511000000000002"/>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3"/>
    <n v="1.2281899999999999"/>
    <n v="1.2829999999999999"/>
    <n v="1.397"/>
    <n v="1.34"/>
    <n v="1140"/>
  </r>
  <r>
    <x v="11"/>
    <x v="22"/>
    <x v="0"/>
    <n v="2.0185"/>
    <n v="1.9189400000000001"/>
    <n v="2.0339800000000001"/>
    <n v="1.9764600000000001"/>
    <n v="1150.4000000000001"/>
  </r>
  <r>
    <x v="11"/>
    <x v="22"/>
    <x v="0"/>
    <n v="2.0185"/>
    <n v="1.9189400000000001"/>
    <n v="2.0339800000000001"/>
    <n v="1.9764600000000001"/>
    <n v="1150.4000000000001"/>
  </r>
  <r>
    <x v="11"/>
    <x v="22"/>
    <x v="0"/>
    <n v="2.0185"/>
    <n v="1.9189400000000001"/>
    <n v="2.0339800000000001"/>
    <n v="1.9764600000000001"/>
    <n v="1150.4000000000001"/>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2"/>
    <x v="10"/>
    <n v="0.97874000000000005"/>
    <n v="0.87092000000000003"/>
    <n v="0.94699"/>
    <n v="0.90895499999999996"/>
    <n v="760.7"/>
  </r>
  <r>
    <x v="11"/>
    <x v="23"/>
    <x v="3"/>
    <n v="1.24594"/>
    <n v="1.2829999999999999"/>
    <n v="1.397"/>
    <n v="1.34"/>
    <n v="1140"/>
  </r>
  <r>
    <x v="11"/>
    <x v="23"/>
    <x v="3"/>
    <n v="1.24594"/>
    <n v="1.2829999999999999"/>
    <n v="1.397"/>
    <n v="1.34"/>
    <n v="1140"/>
  </r>
  <r>
    <x v="11"/>
    <x v="23"/>
    <x v="3"/>
    <n v="1.24594"/>
    <n v="1.2829999999999999"/>
    <n v="1.397"/>
    <n v="1.34"/>
    <n v="1140"/>
  </r>
  <r>
    <x v="11"/>
    <x v="23"/>
    <x v="3"/>
    <n v="1.24594"/>
    <n v="1.2829999999999999"/>
    <n v="1.397"/>
    <n v="1.34"/>
    <n v="1140"/>
  </r>
  <r>
    <x v="11"/>
    <x v="23"/>
    <x v="3"/>
    <n v="1.24594"/>
    <n v="1.2829999999999999"/>
    <n v="1.397"/>
    <n v="1.34"/>
    <n v="1140"/>
  </r>
  <r>
    <x v="11"/>
    <x v="23"/>
    <x v="3"/>
    <n v="1.24594"/>
    <n v="1.2829999999999999"/>
    <n v="1.397"/>
    <n v="1.34"/>
    <n v="1140"/>
  </r>
  <r>
    <x v="11"/>
    <x v="23"/>
    <x v="3"/>
    <n v="1.24594"/>
    <n v="1.2829999999999999"/>
    <n v="1.397"/>
    <n v="1.34"/>
    <n v="1140"/>
  </r>
  <r>
    <x v="11"/>
    <x v="23"/>
    <x v="3"/>
    <n v="1.24594"/>
    <n v="1.2829999999999999"/>
    <n v="1.397"/>
    <n v="1.34"/>
    <n v="1140"/>
  </r>
  <r>
    <x v="11"/>
    <x v="23"/>
    <x v="3"/>
    <n v="1.24594"/>
    <n v="1.2829999999999999"/>
    <n v="1.397"/>
    <n v="1.34"/>
    <n v="1140"/>
  </r>
  <r>
    <x v="11"/>
    <x v="23"/>
    <x v="3"/>
    <n v="1.24594"/>
    <n v="1.2829999999999999"/>
    <n v="1.397"/>
    <n v="1.34"/>
    <n v="1140"/>
  </r>
  <r>
    <x v="11"/>
    <x v="23"/>
    <x v="3"/>
    <n v="1.24594"/>
    <n v="1.2829999999999999"/>
    <n v="1.397"/>
    <n v="1.34"/>
    <n v="1140"/>
  </r>
  <r>
    <x v="11"/>
    <x v="23"/>
    <x v="3"/>
    <n v="1.24594"/>
    <n v="1.2829999999999999"/>
    <n v="1.397"/>
    <n v="1.34"/>
    <n v="1140"/>
  </r>
  <r>
    <x v="11"/>
    <x v="23"/>
    <x v="3"/>
    <n v="1.24594"/>
    <n v="1.2829999999999999"/>
    <n v="1.397"/>
    <n v="1.34"/>
    <n v="1140"/>
  </r>
  <r>
    <x v="11"/>
    <x v="23"/>
    <x v="3"/>
    <n v="1.24594"/>
    <n v="1.2829999999999999"/>
    <n v="1.397"/>
    <n v="1.34"/>
    <n v="1140"/>
  </r>
  <r>
    <x v="11"/>
    <x v="23"/>
    <x v="3"/>
    <n v="1.24594"/>
    <n v="1.2829999999999999"/>
    <n v="1.397"/>
    <n v="1.34"/>
    <n v="1140"/>
  </r>
  <r>
    <x v="11"/>
    <x v="23"/>
    <x v="3"/>
    <n v="1.24594"/>
    <n v="1.2829999999999999"/>
    <n v="1.397"/>
    <n v="1.34"/>
    <n v="1140"/>
  </r>
  <r>
    <x v="11"/>
    <x v="23"/>
    <x v="3"/>
    <n v="1.24594"/>
    <n v="1.2829999999999999"/>
    <n v="1.397"/>
    <n v="1.34"/>
    <n v="1140"/>
  </r>
  <r>
    <x v="11"/>
    <x v="23"/>
    <x v="0"/>
    <n v="2.0183599999999999"/>
    <n v="1.9189400000000001"/>
    <n v="2.0339800000000001"/>
    <n v="1.9764600000000001"/>
    <n v="1150.4000000000001"/>
  </r>
  <r>
    <x v="11"/>
    <x v="23"/>
    <x v="0"/>
    <n v="2.0183599999999999"/>
    <n v="1.9189400000000001"/>
    <n v="2.0339800000000001"/>
    <n v="1.9764600000000001"/>
    <n v="1150.4000000000001"/>
  </r>
  <r>
    <x v="11"/>
    <x v="23"/>
    <x v="0"/>
    <n v="2.0183599999999999"/>
    <n v="1.9189400000000001"/>
    <n v="2.0339800000000001"/>
    <n v="1.9764600000000001"/>
    <n v="1150.4000000000001"/>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3"/>
    <x v="10"/>
    <n v="0.96331999999999995"/>
    <n v="0.87092000000000003"/>
    <n v="0.94699"/>
    <n v="0.90895499999999996"/>
    <n v="760.7"/>
  </r>
  <r>
    <x v="11"/>
    <x v="24"/>
    <x v="3"/>
    <n v="1.2473000000000001"/>
    <n v="1.2829999999999999"/>
    <n v="1.397"/>
    <n v="1.34"/>
    <n v="1140"/>
  </r>
  <r>
    <x v="11"/>
    <x v="24"/>
    <x v="3"/>
    <n v="1.2473000000000001"/>
    <n v="1.2829999999999999"/>
    <n v="1.397"/>
    <n v="1.34"/>
    <n v="1140"/>
  </r>
  <r>
    <x v="11"/>
    <x v="24"/>
    <x v="3"/>
    <n v="1.2473000000000001"/>
    <n v="1.2829999999999999"/>
    <n v="1.397"/>
    <n v="1.34"/>
    <n v="1140"/>
  </r>
  <r>
    <x v="11"/>
    <x v="24"/>
    <x v="3"/>
    <n v="1.2473000000000001"/>
    <n v="1.2829999999999999"/>
    <n v="1.397"/>
    <n v="1.34"/>
    <n v="1140"/>
  </r>
  <r>
    <x v="11"/>
    <x v="24"/>
    <x v="3"/>
    <n v="1.2473000000000001"/>
    <n v="1.2829999999999999"/>
    <n v="1.397"/>
    <n v="1.34"/>
    <n v="1140"/>
  </r>
  <r>
    <x v="11"/>
    <x v="24"/>
    <x v="3"/>
    <n v="1.2473000000000001"/>
    <n v="1.2829999999999999"/>
    <n v="1.397"/>
    <n v="1.34"/>
    <n v="1140"/>
  </r>
  <r>
    <x v="11"/>
    <x v="24"/>
    <x v="3"/>
    <n v="1.2473000000000001"/>
    <n v="1.2829999999999999"/>
    <n v="1.397"/>
    <n v="1.34"/>
    <n v="1140"/>
  </r>
  <r>
    <x v="11"/>
    <x v="24"/>
    <x v="3"/>
    <n v="1.2473000000000001"/>
    <n v="1.2829999999999999"/>
    <n v="1.397"/>
    <n v="1.34"/>
    <n v="1140"/>
  </r>
  <r>
    <x v="11"/>
    <x v="24"/>
    <x v="3"/>
    <n v="1.2473000000000001"/>
    <n v="1.2829999999999999"/>
    <n v="1.397"/>
    <n v="1.34"/>
    <n v="1140"/>
  </r>
  <r>
    <x v="11"/>
    <x v="24"/>
    <x v="3"/>
    <n v="1.2473000000000001"/>
    <n v="1.2829999999999999"/>
    <n v="1.397"/>
    <n v="1.34"/>
    <n v="1140"/>
  </r>
  <r>
    <x v="12"/>
    <x v="47"/>
    <x v="7"/>
    <m/>
    <n v="1.5397099999999999"/>
    <n v="1.5411999999999999"/>
    <n v="1.5404549999999999"/>
    <n v="14.9"/>
  </r>
  <r>
    <x v="12"/>
    <x v="47"/>
    <x v="7"/>
    <m/>
    <n v="1.5397099999999999"/>
    <n v="1.5411999999999999"/>
    <n v="1.5404549999999999"/>
    <n v="14.9"/>
  </r>
  <r>
    <x v="12"/>
    <x v="47"/>
    <x v="7"/>
    <m/>
    <n v="1.5397099999999999"/>
    <n v="1.5411999999999999"/>
    <n v="1.5404549999999999"/>
    <n v="14.9"/>
  </r>
  <r>
    <x v="12"/>
    <x v="47"/>
    <x v="7"/>
    <m/>
    <n v="1.5397099999999999"/>
    <n v="1.5411999999999999"/>
    <n v="1.5404549999999999"/>
    <n v="14.9"/>
  </r>
  <r>
    <x v="12"/>
    <x v="47"/>
    <x v="7"/>
    <m/>
    <n v="1.5397099999999999"/>
    <n v="1.5411999999999999"/>
    <n v="1.5404549999999999"/>
    <n v="14.9"/>
  </r>
  <r>
    <x v="12"/>
    <x v="47"/>
    <x v="7"/>
    <m/>
    <n v="1.5397099999999999"/>
    <n v="1.5411999999999999"/>
    <n v="1.5404549999999999"/>
    <n v="14.9"/>
  </r>
  <r>
    <x v="12"/>
    <x v="47"/>
    <x v="7"/>
    <m/>
    <n v="1.5397099999999999"/>
    <n v="1.5411999999999999"/>
    <n v="1.5404549999999999"/>
    <n v="14.9"/>
  </r>
  <r>
    <x v="12"/>
    <x v="47"/>
    <x v="7"/>
    <m/>
    <n v="1.5397099999999999"/>
    <n v="1.5411999999999999"/>
    <n v="1.5404549999999999"/>
    <n v="14.9"/>
  </r>
  <r>
    <x v="12"/>
    <x v="47"/>
    <x v="7"/>
    <m/>
    <n v="1.5397099999999999"/>
    <n v="1.5411999999999999"/>
    <n v="1.5404549999999999"/>
    <n v="14.9"/>
  </r>
  <r>
    <x v="12"/>
    <x v="47"/>
    <x v="7"/>
    <m/>
    <n v="1.5397099999999999"/>
    <n v="1.5411999999999999"/>
    <n v="1.5404549999999999"/>
    <n v="14.9"/>
  </r>
  <r>
    <x v="12"/>
    <x v="47"/>
    <x v="7"/>
    <m/>
    <n v="1.5397099999999999"/>
    <n v="1.5411999999999999"/>
    <n v="1.5404549999999999"/>
    <n v="14.9"/>
  </r>
  <r>
    <x v="12"/>
    <x v="47"/>
    <x v="7"/>
    <m/>
    <n v="1.5397099999999999"/>
    <n v="1.5411999999999999"/>
    <n v="1.5404549999999999"/>
    <n v="14.9"/>
  </r>
  <r>
    <x v="12"/>
    <x v="47"/>
    <x v="7"/>
    <m/>
    <n v="1.5397099999999999"/>
    <n v="1.5411999999999999"/>
    <n v="1.5404549999999999"/>
    <n v="14.9"/>
  </r>
  <r>
    <x v="12"/>
    <x v="47"/>
    <x v="0"/>
    <m/>
    <n v="1.95038"/>
    <n v="1.9526699999999999"/>
    <n v="1.951525"/>
    <n v="22.9"/>
  </r>
  <r>
    <x v="12"/>
    <x v="47"/>
    <x v="0"/>
    <m/>
    <n v="1.95038"/>
    <n v="1.9526699999999999"/>
    <n v="1.951525"/>
    <n v="22.9"/>
  </r>
  <r>
    <x v="12"/>
    <x v="47"/>
    <x v="0"/>
    <m/>
    <n v="1.95038"/>
    <n v="1.9526699999999999"/>
    <n v="1.951525"/>
    <n v="22.9"/>
  </r>
  <r>
    <x v="12"/>
    <x v="47"/>
    <x v="0"/>
    <m/>
    <n v="1.95038"/>
    <n v="1.9526699999999999"/>
    <n v="1.951525"/>
    <n v="22.9"/>
  </r>
  <r>
    <x v="12"/>
    <x v="47"/>
    <x v="0"/>
    <m/>
    <n v="1.95038"/>
    <n v="1.9526699999999999"/>
    <n v="1.951525"/>
    <n v="22.9"/>
  </r>
  <r>
    <x v="12"/>
    <x v="47"/>
    <x v="0"/>
    <m/>
    <n v="1.95038"/>
    <n v="1.9526699999999999"/>
    <n v="1.951525"/>
    <n v="22.9"/>
  </r>
  <r>
    <x v="12"/>
    <x v="47"/>
    <x v="0"/>
    <m/>
    <n v="1.95038"/>
    <n v="1.9526699999999999"/>
    <n v="1.951525"/>
    <n v="22.9"/>
  </r>
  <r>
    <x v="12"/>
    <x v="47"/>
    <x v="0"/>
    <m/>
    <n v="1.95038"/>
    <n v="1.9526699999999999"/>
    <n v="1.951525"/>
    <n v="22.9"/>
  </r>
  <r>
    <x v="12"/>
    <x v="47"/>
    <x v="0"/>
    <m/>
    <n v="1.95038"/>
    <n v="1.9526699999999999"/>
    <n v="1.951525"/>
    <n v="22.9"/>
  </r>
  <r>
    <x v="12"/>
    <x v="47"/>
    <x v="2"/>
    <m/>
    <n v="101.33199999999999"/>
    <n v="101.383"/>
    <n v="101.3575"/>
    <n v="5.0999999999999996"/>
  </r>
  <r>
    <x v="12"/>
    <x v="47"/>
    <x v="2"/>
    <m/>
    <n v="101.33199999999999"/>
    <n v="101.383"/>
    <n v="101.3575"/>
    <n v="5.0999999999999996"/>
  </r>
  <r>
    <x v="12"/>
    <x v="47"/>
    <x v="2"/>
    <m/>
    <n v="101.33199999999999"/>
    <n v="101.383"/>
    <n v="101.3575"/>
    <n v="5.0999999999999996"/>
  </r>
  <r>
    <x v="12"/>
    <x v="47"/>
    <x v="2"/>
    <m/>
    <n v="101.33199999999999"/>
    <n v="101.383"/>
    <n v="101.3575"/>
    <n v="5.0999999999999996"/>
  </r>
  <r>
    <x v="12"/>
    <x v="47"/>
    <x v="2"/>
    <m/>
    <n v="101.33199999999999"/>
    <n v="101.383"/>
    <n v="101.3575"/>
    <n v="5.0999999999999996"/>
  </r>
  <r>
    <x v="12"/>
    <x v="47"/>
    <x v="2"/>
    <m/>
    <n v="101.33199999999999"/>
    <n v="101.383"/>
    <n v="101.3575"/>
    <n v="5.0999999999999996"/>
  </r>
  <r>
    <x v="12"/>
    <x v="47"/>
    <x v="2"/>
    <m/>
    <n v="101.33199999999999"/>
    <n v="101.383"/>
    <n v="101.3575"/>
    <n v="5.0999999999999996"/>
  </r>
  <r>
    <x v="12"/>
    <x v="47"/>
    <x v="2"/>
    <m/>
    <n v="101.33199999999999"/>
    <n v="101.383"/>
    <n v="101.3575"/>
    <n v="5.0999999999999996"/>
  </r>
  <r>
    <x v="12"/>
    <x v="47"/>
    <x v="2"/>
    <m/>
    <n v="101.33199999999999"/>
    <n v="101.383"/>
    <n v="101.3575"/>
    <n v="5.0999999999999996"/>
  </r>
  <r>
    <x v="12"/>
    <x v="47"/>
    <x v="2"/>
    <m/>
    <n v="101.33199999999999"/>
    <n v="101.383"/>
    <n v="101.3575"/>
    <n v="5.0999999999999996"/>
  </r>
  <r>
    <x v="12"/>
    <x v="47"/>
    <x v="2"/>
    <m/>
    <n v="101.33199999999999"/>
    <n v="101.383"/>
    <n v="101.3575"/>
    <n v="5.0999999999999996"/>
  </r>
  <r>
    <x v="12"/>
    <x v="47"/>
    <x v="2"/>
    <m/>
    <n v="101.33199999999999"/>
    <n v="101.383"/>
    <n v="101.3575"/>
    <n v="5.0999999999999996"/>
  </r>
  <r>
    <x v="12"/>
    <x v="47"/>
    <x v="14"/>
    <m/>
    <n v="1382.65"/>
    <n v="1383.26"/>
    <n v="1382.9549999999999"/>
    <n v="6.1"/>
  </r>
  <r>
    <x v="12"/>
    <x v="47"/>
    <x v="14"/>
    <m/>
    <n v="1382.65"/>
    <n v="1383.26"/>
    <n v="1382.9549999999999"/>
    <n v="6.1"/>
  </r>
  <r>
    <x v="12"/>
    <x v="47"/>
    <x v="14"/>
    <m/>
    <n v="1382.65"/>
    <n v="1383.26"/>
    <n v="1382.9549999999999"/>
    <n v="6.1"/>
  </r>
  <r>
    <x v="12"/>
    <x v="47"/>
    <x v="14"/>
    <m/>
    <n v="1382.65"/>
    <n v="1383.26"/>
    <n v="1382.9549999999999"/>
    <n v="6.1"/>
  </r>
  <r>
    <x v="12"/>
    <x v="47"/>
    <x v="14"/>
    <m/>
    <n v="1382.65"/>
    <n v="1383.26"/>
    <n v="1382.9549999999999"/>
    <n v="6.1"/>
  </r>
  <r>
    <x v="12"/>
    <x v="47"/>
    <x v="14"/>
    <m/>
    <n v="1382.65"/>
    <n v="1383.26"/>
    <n v="1382.9549999999999"/>
    <n v="6.1"/>
  </r>
  <r>
    <x v="12"/>
    <x v="47"/>
    <x v="14"/>
    <m/>
    <n v="1382.65"/>
    <n v="1383.26"/>
    <n v="1382.9549999999999"/>
    <n v="6.1"/>
  </r>
  <r>
    <x v="12"/>
    <x v="47"/>
    <x v="14"/>
    <m/>
    <n v="1382.65"/>
    <n v="1383.26"/>
    <n v="1382.9549999999999"/>
    <n v="6.1"/>
  </r>
  <r>
    <x v="12"/>
    <x v="47"/>
    <x v="14"/>
    <m/>
    <n v="1382.65"/>
    <n v="1383.26"/>
    <n v="1382.9549999999999"/>
    <n v="6.1"/>
  </r>
  <r>
    <x v="12"/>
    <x v="47"/>
    <x v="14"/>
    <m/>
    <n v="1382.65"/>
    <n v="1383.26"/>
    <n v="1382.9549999999999"/>
    <n v="6.1"/>
  </r>
  <r>
    <x v="12"/>
    <x v="47"/>
    <x v="14"/>
    <m/>
    <n v="1382.65"/>
    <n v="1383.26"/>
    <n v="1382.9549999999999"/>
    <n v="6.1"/>
  </r>
  <r>
    <x v="12"/>
    <x v="48"/>
    <x v="7"/>
    <m/>
    <n v="1.51789"/>
    <n v="1.5411999999999999"/>
    <n v="1.5295449999999999"/>
    <n v="233.1"/>
  </r>
  <r>
    <x v="12"/>
    <x v="48"/>
    <x v="7"/>
    <m/>
    <n v="1.51789"/>
    <n v="1.5411999999999999"/>
    <n v="1.5295449999999999"/>
    <n v="233.1"/>
  </r>
  <r>
    <x v="12"/>
    <x v="48"/>
    <x v="7"/>
    <m/>
    <n v="1.51789"/>
    <n v="1.5411999999999999"/>
    <n v="1.5295449999999999"/>
    <n v="233.1"/>
  </r>
  <r>
    <x v="12"/>
    <x v="48"/>
    <x v="7"/>
    <m/>
    <n v="1.51789"/>
    <n v="1.5411999999999999"/>
    <n v="1.5295449999999999"/>
    <n v="233.1"/>
  </r>
  <r>
    <x v="12"/>
    <x v="48"/>
    <x v="7"/>
    <m/>
    <n v="1.51789"/>
    <n v="1.5411999999999999"/>
    <n v="1.5295449999999999"/>
    <n v="233.1"/>
  </r>
  <r>
    <x v="12"/>
    <x v="48"/>
    <x v="7"/>
    <m/>
    <n v="1.51789"/>
    <n v="1.5411999999999999"/>
    <n v="1.5295449999999999"/>
    <n v="233.1"/>
  </r>
  <r>
    <x v="12"/>
    <x v="48"/>
    <x v="7"/>
    <m/>
    <n v="1.51789"/>
    <n v="1.5411999999999999"/>
    <n v="1.5295449999999999"/>
    <n v="233.1"/>
  </r>
  <r>
    <x v="12"/>
    <x v="48"/>
    <x v="7"/>
    <m/>
    <n v="1.51789"/>
    <n v="1.5411999999999999"/>
    <n v="1.5295449999999999"/>
    <n v="233.1"/>
  </r>
  <r>
    <x v="12"/>
    <x v="48"/>
    <x v="7"/>
    <m/>
    <n v="1.51789"/>
    <n v="1.5411999999999999"/>
    <n v="1.5295449999999999"/>
    <n v="233.1"/>
  </r>
  <r>
    <x v="12"/>
    <x v="48"/>
    <x v="7"/>
    <m/>
    <n v="1.51789"/>
    <n v="1.5411999999999999"/>
    <n v="1.5295449999999999"/>
    <n v="233.1"/>
  </r>
  <r>
    <x v="12"/>
    <x v="48"/>
    <x v="7"/>
    <m/>
    <n v="1.51789"/>
    <n v="1.5411999999999999"/>
    <n v="1.5295449999999999"/>
    <n v="233.1"/>
  </r>
  <r>
    <x v="12"/>
    <x v="48"/>
    <x v="7"/>
    <m/>
    <n v="1.51789"/>
    <n v="1.5411999999999999"/>
    <n v="1.5295449999999999"/>
    <n v="233.1"/>
  </r>
  <r>
    <x v="12"/>
    <x v="48"/>
    <x v="7"/>
    <m/>
    <n v="1.51789"/>
    <n v="1.5411999999999999"/>
    <n v="1.5295449999999999"/>
    <n v="233.1"/>
  </r>
  <r>
    <x v="12"/>
    <x v="48"/>
    <x v="7"/>
    <m/>
    <n v="1.51789"/>
    <n v="1.5411999999999999"/>
    <n v="1.5295449999999999"/>
    <n v="233.1"/>
  </r>
  <r>
    <x v="12"/>
    <x v="48"/>
    <x v="7"/>
    <m/>
    <n v="1.51789"/>
    <n v="1.5411999999999999"/>
    <n v="1.5295449999999999"/>
    <n v="233.1"/>
  </r>
  <r>
    <x v="12"/>
    <x v="48"/>
    <x v="7"/>
    <m/>
    <n v="1.51789"/>
    <n v="1.5411999999999999"/>
    <n v="1.5295449999999999"/>
    <n v="233.1"/>
  </r>
  <r>
    <x v="12"/>
    <x v="48"/>
    <x v="7"/>
    <m/>
    <n v="1.51789"/>
    <n v="1.5411999999999999"/>
    <n v="1.5295449999999999"/>
    <n v="233.1"/>
  </r>
  <r>
    <x v="12"/>
    <x v="48"/>
    <x v="7"/>
    <m/>
    <n v="1.51789"/>
    <n v="1.5411999999999999"/>
    <n v="1.5295449999999999"/>
    <n v="233.1"/>
  </r>
  <r>
    <x v="12"/>
    <x v="48"/>
    <x v="7"/>
    <m/>
    <n v="1.51789"/>
    <n v="1.5411999999999999"/>
    <n v="1.5295449999999999"/>
    <n v="233.1"/>
  </r>
  <r>
    <x v="12"/>
    <x v="48"/>
    <x v="7"/>
    <m/>
    <n v="1.51789"/>
    <n v="1.5411999999999999"/>
    <n v="1.5295449999999999"/>
    <n v="233.1"/>
  </r>
  <r>
    <x v="12"/>
    <x v="48"/>
    <x v="7"/>
    <m/>
    <n v="1.51789"/>
    <n v="1.5411999999999999"/>
    <n v="1.5295449999999999"/>
    <n v="233.1"/>
  </r>
  <r>
    <x v="12"/>
    <x v="48"/>
    <x v="0"/>
    <m/>
    <n v="1.93"/>
    <n v="1.9526699999999999"/>
    <n v="1.941335"/>
    <n v="226.7"/>
  </r>
  <r>
    <x v="12"/>
    <x v="48"/>
    <x v="0"/>
    <m/>
    <n v="1.93"/>
    <n v="1.9526699999999999"/>
    <n v="1.941335"/>
    <n v="226.7"/>
  </r>
  <r>
    <x v="12"/>
    <x v="48"/>
    <x v="0"/>
    <m/>
    <n v="1.93"/>
    <n v="1.9526699999999999"/>
    <n v="1.941335"/>
    <n v="226.7"/>
  </r>
  <r>
    <x v="12"/>
    <x v="48"/>
    <x v="0"/>
    <m/>
    <n v="1.93"/>
    <n v="1.9526699999999999"/>
    <n v="1.941335"/>
    <n v="226.7"/>
  </r>
  <r>
    <x v="12"/>
    <x v="48"/>
    <x v="0"/>
    <m/>
    <n v="1.93"/>
    <n v="1.9526699999999999"/>
    <n v="1.941335"/>
    <n v="226.7"/>
  </r>
  <r>
    <x v="12"/>
    <x v="48"/>
    <x v="0"/>
    <m/>
    <n v="1.93"/>
    <n v="1.9526699999999999"/>
    <n v="1.941335"/>
    <n v="226.7"/>
  </r>
  <r>
    <x v="12"/>
    <x v="48"/>
    <x v="0"/>
    <m/>
    <n v="1.93"/>
    <n v="1.9526699999999999"/>
    <n v="1.941335"/>
    <n v="226.7"/>
  </r>
  <r>
    <x v="12"/>
    <x v="48"/>
    <x v="0"/>
    <m/>
    <n v="1.93"/>
    <n v="1.9526699999999999"/>
    <n v="1.941335"/>
    <n v="226.7"/>
  </r>
  <r>
    <x v="12"/>
    <x v="48"/>
    <x v="0"/>
    <m/>
    <n v="1.93"/>
    <n v="1.9526699999999999"/>
    <n v="1.941335"/>
    <n v="226.7"/>
  </r>
  <r>
    <x v="12"/>
    <x v="48"/>
    <x v="0"/>
    <m/>
    <n v="1.93"/>
    <n v="1.9526699999999999"/>
    <n v="1.941335"/>
    <n v="226.7"/>
  </r>
  <r>
    <x v="12"/>
    <x v="48"/>
    <x v="0"/>
    <m/>
    <n v="1.93"/>
    <n v="1.9526699999999999"/>
    <n v="1.941335"/>
    <n v="226.7"/>
  </r>
  <r>
    <x v="12"/>
    <x v="48"/>
    <x v="0"/>
    <m/>
    <n v="1.93"/>
    <n v="1.9526699999999999"/>
    <n v="1.941335"/>
    <n v="226.7"/>
  </r>
  <r>
    <x v="12"/>
    <x v="48"/>
    <x v="0"/>
    <m/>
    <n v="1.93"/>
    <n v="1.9526699999999999"/>
    <n v="1.941335"/>
    <n v="226.7"/>
  </r>
  <r>
    <x v="12"/>
    <x v="48"/>
    <x v="0"/>
    <m/>
    <n v="1.93"/>
    <n v="1.9526699999999999"/>
    <n v="1.941335"/>
    <n v="226.7"/>
  </r>
  <r>
    <x v="12"/>
    <x v="48"/>
    <x v="0"/>
    <m/>
    <n v="1.93"/>
    <n v="1.9526699999999999"/>
    <n v="1.941335"/>
    <n v="226.7"/>
  </r>
  <r>
    <x v="12"/>
    <x v="48"/>
    <x v="2"/>
    <m/>
    <n v="101.33199999999999"/>
    <n v="102.327"/>
    <n v="101.8295"/>
    <n v="99.5"/>
  </r>
  <r>
    <x v="12"/>
    <x v="48"/>
    <x v="2"/>
    <m/>
    <n v="101.33199999999999"/>
    <n v="102.327"/>
    <n v="101.8295"/>
    <n v="99.5"/>
  </r>
  <r>
    <x v="12"/>
    <x v="48"/>
    <x v="2"/>
    <m/>
    <n v="101.33199999999999"/>
    <n v="102.327"/>
    <n v="101.8295"/>
    <n v="99.5"/>
  </r>
  <r>
    <x v="12"/>
    <x v="48"/>
    <x v="2"/>
    <m/>
    <n v="101.33199999999999"/>
    <n v="102.327"/>
    <n v="101.8295"/>
    <n v="99.5"/>
  </r>
  <r>
    <x v="12"/>
    <x v="48"/>
    <x v="2"/>
    <m/>
    <n v="101.33199999999999"/>
    <n v="102.327"/>
    <n v="101.8295"/>
    <n v="99.5"/>
  </r>
  <r>
    <x v="12"/>
    <x v="48"/>
    <x v="2"/>
    <m/>
    <n v="101.33199999999999"/>
    <n v="102.327"/>
    <n v="101.8295"/>
    <n v="99.5"/>
  </r>
  <r>
    <x v="12"/>
    <x v="48"/>
    <x v="2"/>
    <m/>
    <n v="101.33199999999999"/>
    <n v="102.327"/>
    <n v="101.8295"/>
    <n v="99.5"/>
  </r>
  <r>
    <x v="12"/>
    <x v="48"/>
    <x v="2"/>
    <m/>
    <n v="101.33199999999999"/>
    <n v="102.327"/>
    <n v="101.8295"/>
    <n v="99.5"/>
  </r>
  <r>
    <x v="12"/>
    <x v="48"/>
    <x v="2"/>
    <m/>
    <n v="101.33199999999999"/>
    <n v="102.327"/>
    <n v="101.8295"/>
    <n v="99.5"/>
  </r>
  <r>
    <x v="12"/>
    <x v="48"/>
    <x v="2"/>
    <m/>
    <n v="101.33199999999999"/>
    <n v="102.327"/>
    <n v="101.8295"/>
    <n v="99.5"/>
  </r>
  <r>
    <x v="12"/>
    <x v="48"/>
    <x v="2"/>
    <m/>
    <n v="101.33199999999999"/>
    <n v="102.327"/>
    <n v="101.8295"/>
    <n v="99.5"/>
  </r>
  <r>
    <x v="12"/>
    <x v="48"/>
    <x v="2"/>
    <m/>
    <n v="101.33199999999999"/>
    <n v="102.327"/>
    <n v="101.8295"/>
    <n v="99.5"/>
  </r>
  <r>
    <x v="12"/>
    <x v="48"/>
    <x v="14"/>
    <m/>
    <n v="1334.19"/>
    <n v="1383.26"/>
    <n v="1358.7249999999999"/>
    <n v="490.7"/>
  </r>
  <r>
    <x v="12"/>
    <x v="48"/>
    <x v="14"/>
    <m/>
    <n v="1334.19"/>
    <n v="1383.26"/>
    <n v="1358.7249999999999"/>
    <n v="490.7"/>
  </r>
  <r>
    <x v="12"/>
    <x v="48"/>
    <x v="14"/>
    <m/>
    <n v="1334.19"/>
    <n v="1383.26"/>
    <n v="1358.7249999999999"/>
    <n v="490.7"/>
  </r>
  <r>
    <x v="12"/>
    <x v="48"/>
    <x v="14"/>
    <m/>
    <n v="1334.19"/>
    <n v="1383.26"/>
    <n v="1358.7249999999999"/>
    <n v="490.7"/>
  </r>
  <r>
    <x v="12"/>
    <x v="48"/>
    <x v="14"/>
    <m/>
    <n v="1334.19"/>
    <n v="1383.26"/>
    <n v="1358.7249999999999"/>
    <n v="490.7"/>
  </r>
  <r>
    <x v="12"/>
    <x v="48"/>
    <x v="14"/>
    <m/>
    <n v="1334.19"/>
    <n v="1383.26"/>
    <n v="1358.7249999999999"/>
    <n v="490.7"/>
  </r>
  <r>
    <x v="12"/>
    <x v="48"/>
    <x v="14"/>
    <m/>
    <n v="1334.19"/>
    <n v="1383.26"/>
    <n v="1358.7249999999999"/>
    <n v="490.7"/>
  </r>
  <r>
    <x v="12"/>
    <x v="48"/>
    <x v="14"/>
    <m/>
    <n v="1334.19"/>
    <n v="1383.26"/>
    <n v="1358.7249999999999"/>
    <n v="490.7"/>
  </r>
  <r>
    <x v="12"/>
    <x v="48"/>
    <x v="14"/>
    <m/>
    <n v="1334.19"/>
    <n v="1383.26"/>
    <n v="1358.7249999999999"/>
    <n v="490.7"/>
  </r>
  <r>
    <x v="12"/>
    <x v="48"/>
    <x v="14"/>
    <m/>
    <n v="1334.19"/>
    <n v="1383.26"/>
    <n v="1358.7249999999999"/>
    <n v="490.7"/>
  </r>
  <r>
    <x v="12"/>
    <x v="48"/>
    <x v="14"/>
    <m/>
    <n v="1334.19"/>
    <n v="1383.26"/>
    <n v="1358.7249999999999"/>
    <n v="490.7"/>
  </r>
  <r>
    <x v="12"/>
    <x v="48"/>
    <x v="14"/>
    <m/>
    <n v="1334.19"/>
    <n v="1383.26"/>
    <n v="1358.7249999999999"/>
    <n v="490.7"/>
  </r>
  <r>
    <x v="12"/>
    <x v="48"/>
    <x v="14"/>
    <m/>
    <n v="1334.19"/>
    <n v="1383.26"/>
    <n v="1358.7249999999999"/>
    <n v="490.7"/>
  </r>
  <r>
    <x v="12"/>
    <x v="48"/>
    <x v="14"/>
    <m/>
    <n v="1334.19"/>
    <n v="1383.26"/>
    <n v="1358.7249999999999"/>
    <n v="490.7"/>
  </r>
  <r>
    <x v="12"/>
    <x v="48"/>
    <x v="14"/>
    <m/>
    <n v="1334.19"/>
    <n v="1383.26"/>
    <n v="1358.7249999999999"/>
    <n v="490.7"/>
  </r>
  <r>
    <x v="12"/>
    <x v="49"/>
    <x v="2"/>
    <m/>
    <n v="101.33199999999999"/>
    <n v="102.84699999999999"/>
    <n v="102.0895"/>
    <n v="151.5"/>
  </r>
  <r>
    <x v="12"/>
    <x v="49"/>
    <x v="2"/>
    <m/>
    <n v="101.33199999999999"/>
    <n v="102.84699999999999"/>
    <n v="102.0895"/>
    <n v="151.5"/>
  </r>
  <r>
    <x v="12"/>
    <x v="49"/>
    <x v="2"/>
    <m/>
    <n v="101.33199999999999"/>
    <n v="102.84699999999999"/>
    <n v="102.0895"/>
    <n v="151.5"/>
  </r>
  <r>
    <x v="12"/>
    <x v="49"/>
    <x v="2"/>
    <m/>
    <n v="101.33199999999999"/>
    <n v="102.84699999999999"/>
    <n v="102.0895"/>
    <n v="151.5"/>
  </r>
  <r>
    <x v="12"/>
    <x v="49"/>
    <x v="2"/>
    <m/>
    <n v="101.33199999999999"/>
    <n v="102.84699999999999"/>
    <n v="102.0895"/>
    <n v="151.5"/>
  </r>
  <r>
    <x v="12"/>
    <x v="49"/>
    <x v="14"/>
    <m/>
    <n v="1294.92"/>
    <n v="1383.26"/>
    <n v="1339.09"/>
    <n v="883.4"/>
  </r>
  <r>
    <x v="12"/>
    <x v="49"/>
    <x v="14"/>
    <m/>
    <n v="1294.92"/>
    <n v="1383.26"/>
    <n v="1339.09"/>
    <n v="883.4"/>
  </r>
  <r>
    <x v="12"/>
    <x v="49"/>
    <x v="14"/>
    <m/>
    <n v="1294.92"/>
    <n v="1383.26"/>
    <n v="1339.09"/>
    <n v="883.4"/>
  </r>
  <r>
    <x v="12"/>
    <x v="49"/>
    <x v="14"/>
    <m/>
    <n v="1294.92"/>
    <n v="1383.26"/>
    <n v="1339.09"/>
    <n v="883.4"/>
  </r>
  <r>
    <x v="12"/>
    <x v="49"/>
    <x v="14"/>
    <m/>
    <n v="1294.92"/>
    <n v="1383.26"/>
    <n v="1339.09"/>
    <n v="883.4"/>
  </r>
  <r>
    <x v="12"/>
    <x v="49"/>
    <x v="14"/>
    <m/>
    <n v="1294.92"/>
    <n v="1383.26"/>
    <n v="1339.09"/>
    <n v="883.4"/>
  </r>
  <r>
    <x v="12"/>
    <x v="49"/>
    <x v="14"/>
    <m/>
    <n v="1294.92"/>
    <n v="1383.26"/>
    <n v="1339.09"/>
    <n v="883.4"/>
  </r>
  <r>
    <x v="12"/>
    <x v="49"/>
    <x v="14"/>
    <m/>
    <n v="1294.92"/>
    <n v="1383.26"/>
    <n v="1339.09"/>
    <n v="883.4"/>
  </r>
  <r>
    <x v="12"/>
    <x v="49"/>
    <x v="14"/>
    <m/>
    <n v="1294.92"/>
    <n v="1383.26"/>
    <n v="1339.09"/>
    <n v="883.4"/>
  </r>
  <r>
    <x v="12"/>
    <x v="49"/>
    <x v="14"/>
    <m/>
    <n v="1294.92"/>
    <n v="1383.26"/>
    <n v="1339.09"/>
    <n v="883.4"/>
  </r>
  <r>
    <x v="12"/>
    <x v="49"/>
    <x v="14"/>
    <m/>
    <n v="1294.92"/>
    <n v="1383.26"/>
    <n v="1339.09"/>
    <n v="883.4"/>
  </r>
  <r>
    <x v="12"/>
    <x v="49"/>
    <x v="14"/>
    <m/>
    <n v="1294.92"/>
    <n v="1383.26"/>
    <n v="1339.09"/>
    <n v="883.4"/>
  </r>
  <r>
    <x v="12"/>
    <x v="49"/>
    <x v="14"/>
    <m/>
    <n v="1294.92"/>
    <n v="1383.26"/>
    <n v="1339.09"/>
    <n v="883.4"/>
  </r>
  <r>
    <x v="12"/>
    <x v="49"/>
    <x v="14"/>
    <m/>
    <n v="1294.92"/>
    <n v="1383.26"/>
    <n v="1339.09"/>
    <n v="883.4"/>
  </r>
  <r>
    <x v="12"/>
    <x v="49"/>
    <x v="14"/>
    <m/>
    <n v="1294.92"/>
    <n v="1383.26"/>
    <n v="1339.09"/>
    <n v="883.4"/>
  </r>
  <r>
    <x v="12"/>
    <x v="49"/>
    <x v="14"/>
    <m/>
    <n v="1294.92"/>
    <n v="1383.26"/>
    <n v="1339.09"/>
    <n v="883.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7"/>
    <m/>
    <n v="1.4865600000000001"/>
    <n v="1.5411999999999999"/>
    <n v="1.5138799999999999"/>
    <n v="546.4"/>
  </r>
  <r>
    <x v="12"/>
    <x v="49"/>
    <x v="0"/>
    <m/>
    <n v="1.9189400000000001"/>
    <n v="1.9526699999999999"/>
    <n v="1.935805"/>
    <n v="337.3"/>
  </r>
  <r>
    <x v="12"/>
    <x v="49"/>
    <x v="0"/>
    <m/>
    <n v="1.9189400000000001"/>
    <n v="1.9526699999999999"/>
    <n v="1.935805"/>
    <n v="337.3"/>
  </r>
  <r>
    <x v="12"/>
    <x v="49"/>
    <x v="0"/>
    <m/>
    <n v="1.9189400000000001"/>
    <n v="1.9526699999999999"/>
    <n v="1.935805"/>
    <n v="337.3"/>
  </r>
  <r>
    <x v="12"/>
    <x v="49"/>
    <x v="0"/>
    <m/>
    <n v="1.9189400000000001"/>
    <n v="1.9526699999999999"/>
    <n v="1.935805"/>
    <n v="337.3"/>
  </r>
  <r>
    <x v="12"/>
    <x v="49"/>
    <x v="0"/>
    <m/>
    <n v="1.9189400000000001"/>
    <n v="1.9526699999999999"/>
    <n v="1.935805"/>
    <n v="337.3"/>
  </r>
  <r>
    <x v="12"/>
    <x v="49"/>
    <x v="0"/>
    <m/>
    <n v="1.9189400000000001"/>
    <n v="1.9526699999999999"/>
    <n v="1.935805"/>
    <n v="337.3"/>
  </r>
  <r>
    <x v="12"/>
    <x v="49"/>
    <x v="0"/>
    <m/>
    <n v="1.9189400000000001"/>
    <n v="1.9526699999999999"/>
    <n v="1.935805"/>
    <n v="337.3"/>
  </r>
  <r>
    <x v="12"/>
    <x v="49"/>
    <x v="0"/>
    <m/>
    <n v="1.9189400000000001"/>
    <n v="1.9526699999999999"/>
    <n v="1.935805"/>
    <n v="337.3"/>
  </r>
  <r>
    <x v="12"/>
    <x v="49"/>
    <x v="0"/>
    <m/>
    <n v="1.9189400000000001"/>
    <n v="1.9526699999999999"/>
    <n v="1.935805"/>
    <n v="337.3"/>
  </r>
  <r>
    <x v="12"/>
    <x v="49"/>
    <x v="0"/>
    <m/>
    <n v="1.9189400000000001"/>
    <n v="1.9526699999999999"/>
    <n v="1.935805"/>
    <n v="337.3"/>
  </r>
  <r>
    <x v="12"/>
    <x v="49"/>
    <x v="0"/>
    <m/>
    <n v="1.9189400000000001"/>
    <n v="1.9526699999999999"/>
    <n v="1.935805"/>
    <n v="337.3"/>
  </r>
  <r>
    <x v="12"/>
    <x v="49"/>
    <x v="0"/>
    <m/>
    <n v="1.9189400000000001"/>
    <n v="1.9526699999999999"/>
    <n v="1.935805"/>
    <n v="337.3"/>
  </r>
  <r>
    <x v="12"/>
    <x v="49"/>
    <x v="0"/>
    <m/>
    <n v="1.9189400000000001"/>
    <n v="1.9526699999999999"/>
    <n v="1.935805"/>
    <n v="337.3"/>
  </r>
  <r>
    <x v="12"/>
    <x v="49"/>
    <x v="0"/>
    <m/>
    <n v="1.9189400000000001"/>
    <n v="1.9526699999999999"/>
    <n v="1.935805"/>
    <n v="337.3"/>
  </r>
  <r>
    <x v="12"/>
    <x v="49"/>
    <x v="0"/>
    <m/>
    <n v="1.9189400000000001"/>
    <n v="1.9526699999999999"/>
    <n v="1.935805"/>
    <n v="337.3"/>
  </r>
  <r>
    <x v="12"/>
    <x v="49"/>
    <x v="0"/>
    <m/>
    <n v="1.9189400000000001"/>
    <n v="1.9526699999999999"/>
    <n v="1.935805"/>
    <n v="337.3"/>
  </r>
  <r>
    <x v="12"/>
    <x v="49"/>
    <x v="0"/>
    <m/>
    <n v="1.9189400000000001"/>
    <n v="1.9526699999999999"/>
    <n v="1.935805"/>
    <n v="337.3"/>
  </r>
  <r>
    <x v="12"/>
    <x v="49"/>
    <x v="2"/>
    <m/>
    <n v="101.33199999999999"/>
    <n v="102.84699999999999"/>
    <n v="102.0895"/>
    <n v="151.5"/>
  </r>
  <r>
    <x v="12"/>
    <x v="49"/>
    <x v="2"/>
    <m/>
    <n v="101.33199999999999"/>
    <n v="102.84699999999999"/>
    <n v="102.0895"/>
    <n v="151.5"/>
  </r>
  <r>
    <x v="12"/>
    <x v="49"/>
    <x v="2"/>
    <m/>
    <n v="101.33199999999999"/>
    <n v="102.84699999999999"/>
    <n v="102.0895"/>
    <n v="151.5"/>
  </r>
  <r>
    <x v="12"/>
    <x v="49"/>
    <x v="2"/>
    <m/>
    <n v="101.33199999999999"/>
    <n v="102.84699999999999"/>
    <n v="102.0895"/>
    <n v="151.5"/>
  </r>
  <r>
    <x v="12"/>
    <x v="49"/>
    <x v="2"/>
    <m/>
    <n v="101.33199999999999"/>
    <n v="102.84699999999999"/>
    <n v="102.0895"/>
    <n v="151.5"/>
  </r>
  <r>
    <x v="12"/>
    <x v="49"/>
    <x v="2"/>
    <m/>
    <n v="101.33199999999999"/>
    <n v="102.84699999999999"/>
    <n v="102.0895"/>
    <n v="151.5"/>
  </r>
  <r>
    <x v="12"/>
    <x v="49"/>
    <x v="2"/>
    <m/>
    <n v="101.33199999999999"/>
    <n v="102.84699999999999"/>
    <n v="102.0895"/>
    <n v="151.5"/>
  </r>
  <r>
    <x v="12"/>
    <x v="50"/>
    <x v="2"/>
    <m/>
    <n v="101.33199999999999"/>
    <n v="103.343"/>
    <n v="102.33750000000001"/>
    <n v="201.1"/>
  </r>
  <r>
    <x v="12"/>
    <x v="50"/>
    <x v="2"/>
    <m/>
    <n v="101.33199999999999"/>
    <n v="103.343"/>
    <n v="102.33750000000001"/>
    <n v="201.1"/>
  </r>
  <r>
    <x v="12"/>
    <x v="50"/>
    <x v="2"/>
    <m/>
    <n v="101.33199999999999"/>
    <n v="103.343"/>
    <n v="102.33750000000001"/>
    <n v="201.1"/>
  </r>
  <r>
    <x v="12"/>
    <x v="50"/>
    <x v="2"/>
    <m/>
    <n v="101.33199999999999"/>
    <n v="103.343"/>
    <n v="102.33750000000001"/>
    <n v="201.1"/>
  </r>
  <r>
    <x v="12"/>
    <x v="50"/>
    <x v="2"/>
    <m/>
    <n v="101.33199999999999"/>
    <n v="103.343"/>
    <n v="102.33750000000001"/>
    <n v="201.1"/>
  </r>
  <r>
    <x v="12"/>
    <x v="50"/>
    <x v="2"/>
    <m/>
    <n v="101.33199999999999"/>
    <n v="103.343"/>
    <n v="102.33750000000001"/>
    <n v="201.1"/>
  </r>
  <r>
    <x v="12"/>
    <x v="50"/>
    <x v="2"/>
    <m/>
    <n v="101.33199999999999"/>
    <n v="103.343"/>
    <n v="102.33750000000001"/>
    <n v="201.1"/>
  </r>
  <r>
    <x v="12"/>
    <x v="50"/>
    <x v="2"/>
    <m/>
    <n v="101.33199999999999"/>
    <n v="103.343"/>
    <n v="102.33750000000001"/>
    <n v="201.1"/>
  </r>
  <r>
    <x v="12"/>
    <x v="50"/>
    <x v="14"/>
    <m/>
    <n v="1294.92"/>
    <n v="1383.26"/>
    <n v="1339.09"/>
    <n v="883.4"/>
  </r>
  <r>
    <x v="12"/>
    <x v="50"/>
    <x v="14"/>
    <m/>
    <n v="1294.92"/>
    <n v="1383.26"/>
    <n v="1339.09"/>
    <n v="883.4"/>
  </r>
  <r>
    <x v="12"/>
    <x v="50"/>
    <x v="14"/>
    <m/>
    <n v="1294.92"/>
    <n v="1383.26"/>
    <n v="1339.09"/>
    <n v="883.4"/>
  </r>
  <r>
    <x v="12"/>
    <x v="50"/>
    <x v="14"/>
    <m/>
    <n v="1294.92"/>
    <n v="1383.26"/>
    <n v="1339.09"/>
    <n v="883.4"/>
  </r>
  <r>
    <x v="12"/>
    <x v="50"/>
    <x v="14"/>
    <m/>
    <n v="1294.92"/>
    <n v="1383.26"/>
    <n v="1339.09"/>
    <n v="883.4"/>
  </r>
  <r>
    <x v="12"/>
    <x v="50"/>
    <x v="14"/>
    <m/>
    <n v="1294.92"/>
    <n v="1383.26"/>
    <n v="1339.09"/>
    <n v="883.4"/>
  </r>
  <r>
    <x v="12"/>
    <x v="50"/>
    <x v="14"/>
    <m/>
    <n v="1294.92"/>
    <n v="1383.26"/>
    <n v="1339.09"/>
    <n v="883.4"/>
  </r>
  <r>
    <x v="12"/>
    <x v="50"/>
    <x v="14"/>
    <m/>
    <n v="1294.92"/>
    <n v="1383.26"/>
    <n v="1339.09"/>
    <n v="883.4"/>
  </r>
  <r>
    <x v="12"/>
    <x v="50"/>
    <x v="14"/>
    <m/>
    <n v="1294.92"/>
    <n v="1383.26"/>
    <n v="1339.09"/>
    <n v="883.4"/>
  </r>
  <r>
    <x v="12"/>
    <x v="50"/>
    <x v="14"/>
    <m/>
    <n v="1294.92"/>
    <n v="1383.26"/>
    <n v="1339.09"/>
    <n v="883.4"/>
  </r>
  <r>
    <x v="12"/>
    <x v="50"/>
    <x v="14"/>
    <m/>
    <n v="1294.92"/>
    <n v="1383.26"/>
    <n v="1339.09"/>
    <n v="883.4"/>
  </r>
  <r>
    <x v="12"/>
    <x v="50"/>
    <x v="14"/>
    <m/>
    <n v="1294.92"/>
    <n v="1383.26"/>
    <n v="1339.09"/>
    <n v="883.4"/>
  </r>
  <r>
    <x v="12"/>
    <x v="50"/>
    <x v="14"/>
    <m/>
    <n v="1294.92"/>
    <n v="1383.26"/>
    <n v="1339.09"/>
    <n v="883.4"/>
  </r>
  <r>
    <x v="12"/>
    <x v="50"/>
    <x v="14"/>
    <m/>
    <n v="1294.92"/>
    <n v="1383.26"/>
    <n v="1339.09"/>
    <n v="883.4"/>
  </r>
  <r>
    <x v="12"/>
    <x v="50"/>
    <x v="14"/>
    <m/>
    <n v="1294.92"/>
    <n v="1383.26"/>
    <n v="1339.09"/>
    <n v="883.4"/>
  </r>
  <r>
    <x v="12"/>
    <x v="50"/>
    <x v="14"/>
    <m/>
    <n v="1294.92"/>
    <n v="1383.26"/>
    <n v="1339.09"/>
    <n v="883.4"/>
  </r>
  <r>
    <x v="12"/>
    <x v="50"/>
    <x v="14"/>
    <m/>
    <n v="1294.92"/>
    <n v="1383.26"/>
    <n v="1339.09"/>
    <n v="883.4"/>
  </r>
  <r>
    <x v="12"/>
    <x v="50"/>
    <x v="14"/>
    <m/>
    <n v="1294.92"/>
    <n v="1383.26"/>
    <n v="1339.09"/>
    <n v="883.4"/>
  </r>
  <r>
    <x v="12"/>
    <x v="50"/>
    <x v="14"/>
    <m/>
    <n v="1294.92"/>
    <n v="1383.26"/>
    <n v="1339.09"/>
    <n v="883.4"/>
  </r>
  <r>
    <x v="12"/>
    <x v="50"/>
    <x v="14"/>
    <m/>
    <n v="1294.92"/>
    <n v="1383.26"/>
    <n v="1339.09"/>
    <n v="883.4"/>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7"/>
    <m/>
    <n v="1.4741500000000001"/>
    <n v="1.5411999999999999"/>
    <n v="1.5076750000000001"/>
    <n v="670.5"/>
  </r>
  <r>
    <x v="12"/>
    <x v="50"/>
    <x v="0"/>
    <m/>
    <n v="1.9189400000000001"/>
    <n v="1.9526699999999999"/>
    <n v="1.935805"/>
    <n v="337.3"/>
  </r>
  <r>
    <x v="12"/>
    <x v="50"/>
    <x v="0"/>
    <m/>
    <n v="1.9189400000000001"/>
    <n v="1.9526699999999999"/>
    <n v="1.935805"/>
    <n v="337.3"/>
  </r>
  <r>
    <x v="12"/>
    <x v="50"/>
    <x v="0"/>
    <m/>
    <n v="1.9189400000000001"/>
    <n v="1.9526699999999999"/>
    <n v="1.935805"/>
    <n v="337.3"/>
  </r>
  <r>
    <x v="12"/>
    <x v="50"/>
    <x v="0"/>
    <m/>
    <n v="1.9189400000000001"/>
    <n v="1.9526699999999999"/>
    <n v="1.935805"/>
    <n v="337.3"/>
  </r>
  <r>
    <x v="12"/>
    <x v="50"/>
    <x v="0"/>
    <m/>
    <n v="1.9189400000000001"/>
    <n v="1.9526699999999999"/>
    <n v="1.935805"/>
    <n v="337.3"/>
  </r>
  <r>
    <x v="12"/>
    <x v="50"/>
    <x v="0"/>
    <m/>
    <n v="1.9189400000000001"/>
    <n v="1.9526699999999999"/>
    <n v="1.935805"/>
    <n v="337.3"/>
  </r>
  <r>
    <x v="12"/>
    <x v="50"/>
    <x v="0"/>
    <m/>
    <n v="1.9189400000000001"/>
    <n v="1.9526699999999999"/>
    <n v="1.935805"/>
    <n v="337.3"/>
  </r>
  <r>
    <x v="12"/>
    <x v="50"/>
    <x v="0"/>
    <m/>
    <n v="1.9189400000000001"/>
    <n v="1.9526699999999999"/>
    <n v="1.935805"/>
    <n v="337.3"/>
  </r>
  <r>
    <x v="12"/>
    <x v="50"/>
    <x v="0"/>
    <m/>
    <n v="1.9189400000000001"/>
    <n v="1.9526699999999999"/>
    <n v="1.935805"/>
    <n v="337.3"/>
  </r>
  <r>
    <x v="12"/>
    <x v="50"/>
    <x v="0"/>
    <m/>
    <n v="1.9189400000000001"/>
    <n v="1.9526699999999999"/>
    <n v="1.935805"/>
    <n v="337.3"/>
  </r>
  <r>
    <x v="12"/>
    <x v="50"/>
    <x v="0"/>
    <m/>
    <n v="1.9189400000000001"/>
    <n v="1.9526699999999999"/>
    <n v="1.935805"/>
    <n v="337.3"/>
  </r>
  <r>
    <x v="12"/>
    <x v="50"/>
    <x v="0"/>
    <m/>
    <n v="1.9189400000000001"/>
    <n v="1.9526699999999999"/>
    <n v="1.935805"/>
    <n v="337.3"/>
  </r>
  <r>
    <x v="12"/>
    <x v="50"/>
    <x v="0"/>
    <m/>
    <n v="1.9189400000000001"/>
    <n v="1.9526699999999999"/>
    <n v="1.935805"/>
    <n v="337.3"/>
  </r>
  <r>
    <x v="12"/>
    <x v="50"/>
    <x v="0"/>
    <m/>
    <n v="1.9189400000000001"/>
    <n v="1.9526699999999999"/>
    <n v="1.935805"/>
    <n v="337.3"/>
  </r>
  <r>
    <x v="12"/>
    <x v="50"/>
    <x v="0"/>
    <m/>
    <n v="1.9189400000000001"/>
    <n v="1.9526699999999999"/>
    <n v="1.935805"/>
    <n v="337.3"/>
  </r>
  <r>
    <x v="12"/>
    <x v="50"/>
    <x v="0"/>
    <m/>
    <n v="1.9189400000000001"/>
    <n v="1.9526699999999999"/>
    <n v="1.935805"/>
    <n v="337.3"/>
  </r>
  <r>
    <x v="12"/>
    <x v="50"/>
    <x v="0"/>
    <m/>
    <n v="1.9189400000000001"/>
    <n v="1.9526699999999999"/>
    <n v="1.935805"/>
    <n v="337.3"/>
  </r>
  <r>
    <x v="12"/>
    <x v="50"/>
    <x v="2"/>
    <m/>
    <n v="101.33199999999999"/>
    <n v="103.343"/>
    <n v="102.33750000000001"/>
    <n v="201.1"/>
  </r>
  <r>
    <x v="12"/>
    <x v="50"/>
    <x v="2"/>
    <m/>
    <n v="101.33199999999999"/>
    <n v="103.343"/>
    <n v="102.33750000000001"/>
    <n v="201.1"/>
  </r>
  <r>
    <x v="12"/>
    <x v="50"/>
    <x v="2"/>
    <m/>
    <n v="101.33199999999999"/>
    <n v="103.343"/>
    <n v="102.33750000000001"/>
    <n v="201.1"/>
  </r>
  <r>
    <x v="12"/>
    <x v="50"/>
    <x v="2"/>
    <m/>
    <n v="101.33199999999999"/>
    <n v="103.343"/>
    <n v="102.33750000000001"/>
    <n v="201.1"/>
  </r>
  <r>
    <x v="12"/>
    <x v="50"/>
    <x v="2"/>
    <m/>
    <n v="101.33199999999999"/>
    <n v="103.343"/>
    <n v="102.33750000000001"/>
    <n v="201.1"/>
  </r>
  <r>
    <x v="12"/>
    <x v="50"/>
    <x v="2"/>
    <m/>
    <n v="101.33199999999999"/>
    <n v="103.343"/>
    <n v="102.33750000000001"/>
    <n v="201.1"/>
  </r>
  <r>
    <x v="12"/>
    <x v="50"/>
    <x v="2"/>
    <m/>
    <n v="101.33199999999999"/>
    <n v="103.343"/>
    <n v="102.33750000000001"/>
    <n v="201.1"/>
  </r>
  <r>
    <x v="12"/>
    <x v="51"/>
    <x v="2"/>
    <m/>
    <n v="101.33199999999999"/>
    <n v="103.343"/>
    <n v="102.33750000000001"/>
    <n v="201.1"/>
  </r>
  <r>
    <x v="12"/>
    <x v="51"/>
    <x v="2"/>
    <m/>
    <n v="101.33199999999999"/>
    <n v="103.343"/>
    <n v="102.33750000000001"/>
    <n v="201.1"/>
  </r>
  <r>
    <x v="12"/>
    <x v="51"/>
    <x v="2"/>
    <m/>
    <n v="101.33199999999999"/>
    <n v="103.343"/>
    <n v="102.33750000000001"/>
    <n v="201.1"/>
  </r>
  <r>
    <x v="12"/>
    <x v="51"/>
    <x v="2"/>
    <m/>
    <n v="101.33199999999999"/>
    <n v="103.343"/>
    <n v="102.33750000000001"/>
    <n v="201.1"/>
  </r>
  <r>
    <x v="12"/>
    <x v="51"/>
    <x v="2"/>
    <m/>
    <n v="101.33199999999999"/>
    <n v="103.343"/>
    <n v="102.33750000000001"/>
    <n v="201.1"/>
  </r>
  <r>
    <x v="12"/>
    <x v="51"/>
    <x v="2"/>
    <m/>
    <n v="101.33199999999999"/>
    <n v="103.343"/>
    <n v="102.33750000000001"/>
    <n v="201.1"/>
  </r>
  <r>
    <x v="12"/>
    <x v="51"/>
    <x v="2"/>
    <m/>
    <n v="101.33199999999999"/>
    <n v="103.343"/>
    <n v="102.33750000000001"/>
    <n v="201.1"/>
  </r>
  <r>
    <x v="12"/>
    <x v="51"/>
    <x v="2"/>
    <m/>
    <n v="101.33199999999999"/>
    <n v="103.343"/>
    <n v="102.33750000000001"/>
    <n v="201.1"/>
  </r>
  <r>
    <x v="12"/>
    <x v="51"/>
    <x v="2"/>
    <m/>
    <n v="101.33199999999999"/>
    <n v="103.343"/>
    <n v="102.33750000000001"/>
    <n v="201.1"/>
  </r>
  <r>
    <x v="12"/>
    <x v="51"/>
    <x v="2"/>
    <m/>
    <n v="101.33199999999999"/>
    <n v="103.343"/>
    <n v="102.33750000000001"/>
    <n v="201.1"/>
  </r>
  <r>
    <x v="12"/>
    <x v="51"/>
    <x v="2"/>
    <m/>
    <n v="101.33199999999999"/>
    <n v="103.343"/>
    <n v="102.33750000000001"/>
    <n v="201.1"/>
  </r>
  <r>
    <x v="12"/>
    <x v="51"/>
    <x v="2"/>
    <m/>
    <n v="101.33199999999999"/>
    <n v="103.343"/>
    <n v="102.33750000000001"/>
    <n v="201.1"/>
  </r>
  <r>
    <x v="12"/>
    <x v="51"/>
    <x v="14"/>
    <m/>
    <n v="1294.92"/>
    <n v="1383.26"/>
    <n v="1339.09"/>
    <n v="883.4"/>
  </r>
  <r>
    <x v="12"/>
    <x v="51"/>
    <x v="14"/>
    <m/>
    <n v="1294.92"/>
    <n v="1383.26"/>
    <n v="1339.09"/>
    <n v="883.4"/>
  </r>
  <r>
    <x v="12"/>
    <x v="51"/>
    <x v="14"/>
    <m/>
    <n v="1294.92"/>
    <n v="1383.26"/>
    <n v="1339.09"/>
    <n v="883.4"/>
  </r>
  <r>
    <x v="12"/>
    <x v="51"/>
    <x v="14"/>
    <m/>
    <n v="1294.92"/>
    <n v="1383.26"/>
    <n v="1339.09"/>
    <n v="883.4"/>
  </r>
  <r>
    <x v="12"/>
    <x v="51"/>
    <x v="14"/>
    <m/>
    <n v="1294.92"/>
    <n v="1383.26"/>
    <n v="1339.09"/>
    <n v="883.4"/>
  </r>
  <r>
    <x v="12"/>
    <x v="51"/>
    <x v="14"/>
    <m/>
    <n v="1294.92"/>
    <n v="1383.26"/>
    <n v="1339.09"/>
    <n v="883.4"/>
  </r>
  <r>
    <x v="12"/>
    <x v="51"/>
    <x v="14"/>
    <m/>
    <n v="1294.92"/>
    <n v="1383.26"/>
    <n v="1339.09"/>
    <n v="883.4"/>
  </r>
  <r>
    <x v="12"/>
    <x v="51"/>
    <x v="14"/>
    <m/>
    <n v="1294.92"/>
    <n v="1383.26"/>
    <n v="1339.09"/>
    <n v="883.4"/>
  </r>
  <r>
    <x v="12"/>
    <x v="51"/>
    <x v="14"/>
    <m/>
    <n v="1294.92"/>
    <n v="1383.26"/>
    <n v="1339.09"/>
    <n v="883.4"/>
  </r>
  <r>
    <x v="12"/>
    <x v="51"/>
    <x v="14"/>
    <m/>
    <n v="1294.92"/>
    <n v="1383.26"/>
    <n v="1339.09"/>
    <n v="883.4"/>
  </r>
  <r>
    <x v="12"/>
    <x v="51"/>
    <x v="14"/>
    <m/>
    <n v="1294.92"/>
    <n v="1383.26"/>
    <n v="1339.09"/>
    <n v="883.4"/>
  </r>
  <r>
    <x v="12"/>
    <x v="51"/>
    <x v="14"/>
    <m/>
    <n v="1294.92"/>
    <n v="1383.26"/>
    <n v="1339.09"/>
    <n v="883.4"/>
  </r>
  <r>
    <x v="12"/>
    <x v="51"/>
    <x v="14"/>
    <m/>
    <n v="1294.92"/>
    <n v="1383.26"/>
    <n v="1339.09"/>
    <n v="883.4"/>
  </r>
  <r>
    <x v="12"/>
    <x v="51"/>
    <x v="14"/>
    <m/>
    <n v="1294.92"/>
    <n v="1383.26"/>
    <n v="1339.09"/>
    <n v="883.4"/>
  </r>
  <r>
    <x v="12"/>
    <x v="51"/>
    <x v="14"/>
    <m/>
    <n v="1294.92"/>
    <n v="1383.26"/>
    <n v="1339.09"/>
    <n v="883.4"/>
  </r>
  <r>
    <x v="12"/>
    <x v="51"/>
    <x v="14"/>
    <m/>
    <n v="1294.92"/>
    <n v="1383.26"/>
    <n v="1339.09"/>
    <n v="883.4"/>
  </r>
  <r>
    <x v="12"/>
    <x v="51"/>
    <x v="14"/>
    <m/>
    <n v="1294.92"/>
    <n v="1383.26"/>
    <n v="1339.09"/>
    <n v="883.4"/>
  </r>
  <r>
    <x v="12"/>
    <x v="51"/>
    <x v="14"/>
    <m/>
    <n v="1294.92"/>
    <n v="1383.26"/>
    <n v="1339.09"/>
    <n v="883.4"/>
  </r>
  <r>
    <x v="12"/>
    <x v="51"/>
    <x v="14"/>
    <m/>
    <n v="1294.92"/>
    <n v="1383.26"/>
    <n v="1339.09"/>
    <n v="883.4"/>
  </r>
  <r>
    <x v="12"/>
    <x v="51"/>
    <x v="14"/>
    <m/>
    <n v="1294.92"/>
    <n v="1383.26"/>
    <n v="1339.09"/>
    <n v="883.4"/>
  </r>
  <r>
    <x v="12"/>
    <x v="51"/>
    <x v="14"/>
    <m/>
    <n v="1294.92"/>
    <n v="1383.26"/>
    <n v="1339.09"/>
    <n v="883.4"/>
  </r>
  <r>
    <x v="12"/>
    <x v="51"/>
    <x v="14"/>
    <m/>
    <n v="1294.92"/>
    <n v="1383.26"/>
    <n v="1339.09"/>
    <n v="883.4"/>
  </r>
  <r>
    <x v="12"/>
    <x v="51"/>
    <x v="14"/>
    <m/>
    <n v="1294.92"/>
    <n v="1383.26"/>
    <n v="1339.09"/>
    <n v="883.4"/>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7"/>
    <m/>
    <n v="1.4741500000000001"/>
    <n v="1.5411999999999999"/>
    <n v="1.5076750000000001"/>
    <n v="670.5"/>
  </r>
  <r>
    <x v="12"/>
    <x v="51"/>
    <x v="0"/>
    <m/>
    <n v="1.9189400000000001"/>
    <n v="1.9526699999999999"/>
    <n v="1.935805"/>
    <n v="337.3"/>
  </r>
  <r>
    <x v="12"/>
    <x v="51"/>
    <x v="0"/>
    <m/>
    <n v="1.9189400000000001"/>
    <n v="1.9526699999999999"/>
    <n v="1.935805"/>
    <n v="337.3"/>
  </r>
  <r>
    <x v="12"/>
    <x v="51"/>
    <x v="0"/>
    <m/>
    <n v="1.9189400000000001"/>
    <n v="1.9526699999999999"/>
    <n v="1.935805"/>
    <n v="337.3"/>
  </r>
  <r>
    <x v="12"/>
    <x v="51"/>
    <x v="0"/>
    <m/>
    <n v="1.9189400000000001"/>
    <n v="1.9526699999999999"/>
    <n v="1.935805"/>
    <n v="337.3"/>
  </r>
  <r>
    <x v="12"/>
    <x v="51"/>
    <x v="0"/>
    <m/>
    <n v="1.9189400000000001"/>
    <n v="1.9526699999999999"/>
    <n v="1.935805"/>
    <n v="337.3"/>
  </r>
  <r>
    <x v="12"/>
    <x v="51"/>
    <x v="0"/>
    <m/>
    <n v="1.9189400000000001"/>
    <n v="1.9526699999999999"/>
    <n v="1.935805"/>
    <n v="337.3"/>
  </r>
  <r>
    <x v="12"/>
    <x v="51"/>
    <x v="0"/>
    <m/>
    <n v="1.9189400000000001"/>
    <n v="1.9526699999999999"/>
    <n v="1.935805"/>
    <n v="337.3"/>
  </r>
  <r>
    <x v="12"/>
    <x v="51"/>
    <x v="0"/>
    <m/>
    <n v="1.9189400000000001"/>
    <n v="1.9526699999999999"/>
    <n v="1.935805"/>
    <n v="337.3"/>
  </r>
  <r>
    <x v="12"/>
    <x v="51"/>
    <x v="0"/>
    <m/>
    <n v="1.9189400000000001"/>
    <n v="1.9526699999999999"/>
    <n v="1.935805"/>
    <n v="337.3"/>
  </r>
  <r>
    <x v="12"/>
    <x v="51"/>
    <x v="0"/>
    <m/>
    <n v="1.9189400000000001"/>
    <n v="1.9526699999999999"/>
    <n v="1.935805"/>
    <n v="337.3"/>
  </r>
  <r>
    <x v="12"/>
    <x v="51"/>
    <x v="0"/>
    <m/>
    <n v="1.9189400000000001"/>
    <n v="1.9526699999999999"/>
    <n v="1.935805"/>
    <n v="337.3"/>
  </r>
  <r>
    <x v="12"/>
    <x v="51"/>
    <x v="0"/>
    <m/>
    <n v="1.9189400000000001"/>
    <n v="1.9526699999999999"/>
    <n v="1.935805"/>
    <n v="337.3"/>
  </r>
  <r>
    <x v="12"/>
    <x v="51"/>
    <x v="0"/>
    <m/>
    <n v="1.9189400000000001"/>
    <n v="1.9526699999999999"/>
    <n v="1.935805"/>
    <n v="337.3"/>
  </r>
  <r>
    <x v="12"/>
    <x v="51"/>
    <x v="0"/>
    <m/>
    <n v="1.9189400000000001"/>
    <n v="1.9526699999999999"/>
    <n v="1.935805"/>
    <n v="337.3"/>
  </r>
  <r>
    <x v="12"/>
    <x v="51"/>
    <x v="0"/>
    <m/>
    <n v="1.9189400000000001"/>
    <n v="1.9526699999999999"/>
    <n v="1.935805"/>
    <n v="337.3"/>
  </r>
  <r>
    <x v="12"/>
    <x v="51"/>
    <x v="0"/>
    <m/>
    <n v="1.9189400000000001"/>
    <n v="1.9526699999999999"/>
    <n v="1.935805"/>
    <n v="337.3"/>
  </r>
  <r>
    <x v="12"/>
    <x v="51"/>
    <x v="0"/>
    <m/>
    <n v="1.9189400000000001"/>
    <n v="1.9526699999999999"/>
    <n v="1.935805"/>
    <n v="337.3"/>
  </r>
  <r>
    <x v="12"/>
    <x v="51"/>
    <x v="2"/>
    <m/>
    <n v="101.33199999999999"/>
    <n v="103.343"/>
    <n v="102.33750000000001"/>
    <n v="201.1"/>
  </r>
  <r>
    <x v="12"/>
    <x v="51"/>
    <x v="2"/>
    <m/>
    <n v="101.33199999999999"/>
    <n v="103.343"/>
    <n v="102.33750000000001"/>
    <n v="201.1"/>
  </r>
  <r>
    <x v="12"/>
    <x v="51"/>
    <x v="2"/>
    <m/>
    <n v="101.33199999999999"/>
    <n v="103.343"/>
    <n v="102.33750000000001"/>
    <n v="201.1"/>
  </r>
  <r>
    <x v="12"/>
    <x v="52"/>
    <x v="2"/>
    <m/>
    <n v="101.33199999999999"/>
    <n v="103.343"/>
    <n v="102.33750000000001"/>
    <n v="201.1"/>
  </r>
  <r>
    <x v="12"/>
    <x v="52"/>
    <x v="2"/>
    <m/>
    <n v="101.33199999999999"/>
    <n v="103.343"/>
    <n v="102.33750000000001"/>
    <n v="201.1"/>
  </r>
  <r>
    <x v="12"/>
    <x v="52"/>
    <x v="2"/>
    <m/>
    <n v="101.33199999999999"/>
    <n v="103.343"/>
    <n v="102.33750000000001"/>
    <n v="201.1"/>
  </r>
  <r>
    <x v="12"/>
    <x v="52"/>
    <x v="2"/>
    <m/>
    <n v="101.33199999999999"/>
    <n v="103.343"/>
    <n v="102.33750000000001"/>
    <n v="201.1"/>
  </r>
  <r>
    <x v="12"/>
    <x v="52"/>
    <x v="2"/>
    <m/>
    <n v="101.33199999999999"/>
    <n v="103.343"/>
    <n v="102.33750000000001"/>
    <n v="201.1"/>
  </r>
  <r>
    <x v="12"/>
    <x v="52"/>
    <x v="2"/>
    <m/>
    <n v="101.33199999999999"/>
    <n v="103.343"/>
    <n v="102.33750000000001"/>
    <n v="201.1"/>
  </r>
  <r>
    <x v="12"/>
    <x v="52"/>
    <x v="2"/>
    <m/>
    <n v="101.33199999999999"/>
    <n v="103.343"/>
    <n v="102.33750000000001"/>
    <n v="201.1"/>
  </r>
  <r>
    <x v="12"/>
    <x v="52"/>
    <x v="2"/>
    <m/>
    <n v="101.33199999999999"/>
    <n v="103.343"/>
    <n v="102.33750000000001"/>
    <n v="201.1"/>
  </r>
  <r>
    <x v="12"/>
    <x v="52"/>
    <x v="2"/>
    <m/>
    <n v="101.33199999999999"/>
    <n v="103.343"/>
    <n v="102.33750000000001"/>
    <n v="201.1"/>
  </r>
  <r>
    <x v="12"/>
    <x v="52"/>
    <x v="2"/>
    <m/>
    <n v="101.33199999999999"/>
    <n v="103.343"/>
    <n v="102.33750000000001"/>
    <n v="201.1"/>
  </r>
  <r>
    <x v="12"/>
    <x v="52"/>
    <x v="2"/>
    <m/>
    <n v="101.33199999999999"/>
    <n v="103.343"/>
    <n v="102.33750000000001"/>
    <n v="201.1"/>
  </r>
  <r>
    <x v="12"/>
    <x v="52"/>
    <x v="2"/>
    <m/>
    <n v="101.33199999999999"/>
    <n v="103.343"/>
    <n v="102.33750000000001"/>
    <n v="201.1"/>
  </r>
  <r>
    <x v="12"/>
    <x v="52"/>
    <x v="2"/>
    <m/>
    <n v="101.33199999999999"/>
    <n v="103.343"/>
    <n v="102.33750000000001"/>
    <n v="201.1"/>
  </r>
  <r>
    <x v="12"/>
    <x v="52"/>
    <x v="14"/>
    <m/>
    <n v="1294.92"/>
    <n v="1383.26"/>
    <n v="1339.09"/>
    <n v="883.4"/>
  </r>
  <r>
    <x v="12"/>
    <x v="52"/>
    <x v="14"/>
    <m/>
    <n v="1294.92"/>
    <n v="1383.26"/>
    <n v="1339.09"/>
    <n v="883.4"/>
  </r>
  <r>
    <x v="12"/>
    <x v="52"/>
    <x v="14"/>
    <m/>
    <n v="1294.92"/>
    <n v="1383.26"/>
    <n v="1339.09"/>
    <n v="883.4"/>
  </r>
  <r>
    <x v="12"/>
    <x v="52"/>
    <x v="14"/>
    <m/>
    <n v="1294.92"/>
    <n v="1383.26"/>
    <n v="1339.09"/>
    <n v="883.4"/>
  </r>
  <r>
    <x v="12"/>
    <x v="52"/>
    <x v="14"/>
    <m/>
    <n v="1294.92"/>
    <n v="1383.26"/>
    <n v="1339.09"/>
    <n v="883.4"/>
  </r>
  <r>
    <x v="12"/>
    <x v="52"/>
    <x v="14"/>
    <m/>
    <n v="1294.92"/>
    <n v="1383.26"/>
    <n v="1339.09"/>
    <n v="883.4"/>
  </r>
  <r>
    <x v="12"/>
    <x v="52"/>
    <x v="14"/>
    <m/>
    <n v="1294.92"/>
    <n v="1383.26"/>
    <n v="1339.09"/>
    <n v="883.4"/>
  </r>
  <r>
    <x v="12"/>
    <x v="52"/>
    <x v="14"/>
    <m/>
    <n v="1294.92"/>
    <n v="1383.26"/>
    <n v="1339.09"/>
    <n v="883.4"/>
  </r>
  <r>
    <x v="12"/>
    <x v="52"/>
    <x v="14"/>
    <m/>
    <n v="1294.92"/>
    <n v="1383.26"/>
    <n v="1339.09"/>
    <n v="883.4"/>
  </r>
  <r>
    <x v="12"/>
    <x v="52"/>
    <x v="14"/>
    <m/>
    <n v="1294.92"/>
    <n v="1383.26"/>
    <n v="1339.09"/>
    <n v="883.4"/>
  </r>
  <r>
    <x v="12"/>
    <x v="52"/>
    <x v="14"/>
    <m/>
    <n v="1294.92"/>
    <n v="1383.26"/>
    <n v="1339.09"/>
    <n v="883.4"/>
  </r>
  <r>
    <x v="12"/>
    <x v="52"/>
    <x v="14"/>
    <m/>
    <n v="1294.92"/>
    <n v="1383.26"/>
    <n v="1339.09"/>
    <n v="883.4"/>
  </r>
  <r>
    <x v="12"/>
    <x v="52"/>
    <x v="14"/>
    <m/>
    <n v="1294.92"/>
    <n v="1383.26"/>
    <n v="1339.09"/>
    <n v="883.4"/>
  </r>
  <r>
    <x v="12"/>
    <x v="52"/>
    <x v="14"/>
    <m/>
    <n v="1294.92"/>
    <n v="1383.26"/>
    <n v="1339.09"/>
    <n v="883.4"/>
  </r>
  <r>
    <x v="12"/>
    <x v="52"/>
    <x v="14"/>
    <m/>
    <n v="1294.92"/>
    <n v="1383.26"/>
    <n v="1339.09"/>
    <n v="883.4"/>
  </r>
  <r>
    <x v="12"/>
    <x v="52"/>
    <x v="14"/>
    <m/>
    <n v="1294.92"/>
    <n v="1383.26"/>
    <n v="1339.09"/>
    <n v="883.4"/>
  </r>
  <r>
    <x v="12"/>
    <x v="52"/>
    <x v="14"/>
    <m/>
    <n v="1294.92"/>
    <n v="1383.26"/>
    <n v="1339.09"/>
    <n v="883.4"/>
  </r>
  <r>
    <x v="12"/>
    <x v="52"/>
    <x v="14"/>
    <m/>
    <n v="1294.92"/>
    <n v="1383.26"/>
    <n v="1339.09"/>
    <n v="883.4"/>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7"/>
    <m/>
    <n v="1.4741500000000001"/>
    <n v="1.5411999999999999"/>
    <n v="1.5076750000000001"/>
    <n v="670.5"/>
  </r>
  <r>
    <x v="12"/>
    <x v="52"/>
    <x v="0"/>
    <m/>
    <n v="1.9189400000000001"/>
    <n v="1.9608000000000001"/>
    <n v="1.93987"/>
    <n v="418.6"/>
  </r>
  <r>
    <x v="12"/>
    <x v="52"/>
    <x v="0"/>
    <m/>
    <n v="1.9189400000000001"/>
    <n v="1.9608000000000001"/>
    <n v="1.93987"/>
    <n v="418.6"/>
  </r>
  <r>
    <x v="12"/>
    <x v="52"/>
    <x v="0"/>
    <m/>
    <n v="1.9189400000000001"/>
    <n v="1.9608000000000001"/>
    <n v="1.93987"/>
    <n v="418.6"/>
  </r>
  <r>
    <x v="12"/>
    <x v="52"/>
    <x v="0"/>
    <m/>
    <n v="1.9189400000000001"/>
    <n v="1.9608000000000001"/>
    <n v="1.93987"/>
    <n v="418.6"/>
  </r>
  <r>
    <x v="12"/>
    <x v="52"/>
    <x v="0"/>
    <m/>
    <n v="1.9189400000000001"/>
    <n v="1.9608000000000001"/>
    <n v="1.93987"/>
    <n v="418.6"/>
  </r>
  <r>
    <x v="12"/>
    <x v="52"/>
    <x v="0"/>
    <m/>
    <n v="1.9189400000000001"/>
    <n v="1.9608000000000001"/>
    <n v="1.93987"/>
    <n v="418.6"/>
  </r>
  <r>
    <x v="12"/>
    <x v="52"/>
    <x v="0"/>
    <m/>
    <n v="1.9189400000000001"/>
    <n v="1.9608000000000001"/>
    <n v="1.93987"/>
    <n v="418.6"/>
  </r>
  <r>
    <x v="12"/>
    <x v="52"/>
    <x v="0"/>
    <m/>
    <n v="1.9189400000000001"/>
    <n v="1.9608000000000001"/>
    <n v="1.93987"/>
    <n v="418.6"/>
  </r>
  <r>
    <x v="12"/>
    <x v="52"/>
    <x v="0"/>
    <m/>
    <n v="1.9189400000000001"/>
    <n v="1.9608000000000001"/>
    <n v="1.93987"/>
    <n v="418.6"/>
  </r>
  <r>
    <x v="12"/>
    <x v="52"/>
    <x v="0"/>
    <m/>
    <n v="1.9189400000000001"/>
    <n v="1.9608000000000001"/>
    <n v="1.93987"/>
    <n v="418.6"/>
  </r>
  <r>
    <x v="12"/>
    <x v="52"/>
    <x v="0"/>
    <m/>
    <n v="1.9189400000000001"/>
    <n v="1.9608000000000001"/>
    <n v="1.93987"/>
    <n v="418.6"/>
  </r>
  <r>
    <x v="12"/>
    <x v="52"/>
    <x v="0"/>
    <m/>
    <n v="1.9189400000000001"/>
    <n v="1.9608000000000001"/>
    <n v="1.93987"/>
    <n v="418.6"/>
  </r>
  <r>
    <x v="12"/>
    <x v="52"/>
    <x v="0"/>
    <m/>
    <n v="1.9189400000000001"/>
    <n v="1.9608000000000001"/>
    <n v="1.93987"/>
    <n v="418.6"/>
  </r>
  <r>
    <x v="12"/>
    <x v="52"/>
    <x v="0"/>
    <m/>
    <n v="1.9189400000000001"/>
    <n v="1.9608000000000001"/>
    <n v="1.93987"/>
    <n v="418.6"/>
  </r>
  <r>
    <x v="12"/>
    <x v="52"/>
    <x v="0"/>
    <m/>
    <n v="1.9189400000000001"/>
    <n v="1.9608000000000001"/>
    <n v="1.93987"/>
    <n v="418.6"/>
  </r>
  <r>
    <x v="12"/>
    <x v="52"/>
    <x v="0"/>
    <m/>
    <n v="1.9189400000000001"/>
    <n v="1.9608000000000001"/>
    <n v="1.93987"/>
    <n v="418.6"/>
  </r>
  <r>
    <x v="12"/>
    <x v="52"/>
    <x v="0"/>
    <m/>
    <n v="1.9189400000000001"/>
    <n v="1.9608000000000001"/>
    <n v="1.93987"/>
    <n v="418.6"/>
  </r>
  <r>
    <x v="12"/>
    <x v="52"/>
    <x v="2"/>
    <m/>
    <n v="101.33199999999999"/>
    <n v="103.343"/>
    <n v="102.33750000000001"/>
    <n v="201.1"/>
  </r>
  <r>
    <x v="12"/>
    <x v="52"/>
    <x v="2"/>
    <m/>
    <n v="101.33199999999999"/>
    <n v="103.343"/>
    <n v="102.33750000000001"/>
    <n v="201.1"/>
  </r>
  <r>
    <x v="12"/>
    <x v="53"/>
    <x v="2"/>
    <m/>
    <n v="101.33199999999999"/>
    <n v="103.343"/>
    <n v="102.33750000000001"/>
    <n v="201.1"/>
  </r>
  <r>
    <x v="12"/>
    <x v="53"/>
    <x v="2"/>
    <m/>
    <n v="101.33199999999999"/>
    <n v="103.343"/>
    <n v="102.33750000000001"/>
    <n v="201.1"/>
  </r>
  <r>
    <x v="12"/>
    <x v="53"/>
    <x v="2"/>
    <m/>
    <n v="101.33199999999999"/>
    <n v="103.343"/>
    <n v="102.33750000000001"/>
    <n v="201.1"/>
  </r>
  <r>
    <x v="12"/>
    <x v="53"/>
    <x v="2"/>
    <m/>
    <n v="101.33199999999999"/>
    <n v="103.343"/>
    <n v="102.33750000000001"/>
    <n v="201.1"/>
  </r>
  <r>
    <x v="12"/>
    <x v="53"/>
    <x v="2"/>
    <m/>
    <n v="101.33199999999999"/>
    <n v="103.343"/>
    <n v="102.33750000000001"/>
    <n v="201.1"/>
  </r>
  <r>
    <x v="12"/>
    <x v="53"/>
    <x v="2"/>
    <m/>
    <n v="101.33199999999999"/>
    <n v="103.343"/>
    <n v="102.33750000000001"/>
    <n v="201.1"/>
  </r>
  <r>
    <x v="12"/>
    <x v="53"/>
    <x v="2"/>
    <m/>
    <n v="101.33199999999999"/>
    <n v="103.343"/>
    <n v="102.33750000000001"/>
    <n v="201.1"/>
  </r>
  <r>
    <x v="12"/>
    <x v="53"/>
    <x v="2"/>
    <m/>
    <n v="101.33199999999999"/>
    <n v="103.343"/>
    <n v="102.33750000000001"/>
    <n v="201.1"/>
  </r>
  <r>
    <x v="12"/>
    <x v="53"/>
    <x v="2"/>
    <m/>
    <n v="101.33199999999999"/>
    <n v="103.343"/>
    <n v="102.33750000000001"/>
    <n v="201.1"/>
  </r>
  <r>
    <x v="12"/>
    <x v="53"/>
    <x v="2"/>
    <m/>
    <n v="101.33199999999999"/>
    <n v="103.343"/>
    <n v="102.33750000000001"/>
    <n v="201.1"/>
  </r>
  <r>
    <x v="12"/>
    <x v="53"/>
    <x v="2"/>
    <m/>
    <n v="101.33199999999999"/>
    <n v="103.343"/>
    <n v="102.33750000000001"/>
    <n v="201.1"/>
  </r>
  <r>
    <x v="12"/>
    <x v="53"/>
    <x v="2"/>
    <m/>
    <n v="101.33199999999999"/>
    <n v="103.343"/>
    <n v="102.33750000000001"/>
    <n v="201.1"/>
  </r>
  <r>
    <x v="12"/>
    <x v="53"/>
    <x v="2"/>
    <m/>
    <n v="101.33199999999999"/>
    <n v="103.343"/>
    <n v="102.33750000000001"/>
    <n v="201.1"/>
  </r>
  <r>
    <x v="12"/>
    <x v="53"/>
    <x v="2"/>
    <m/>
    <n v="101.33199999999999"/>
    <n v="103.343"/>
    <n v="102.33750000000001"/>
    <n v="201.1"/>
  </r>
  <r>
    <x v="12"/>
    <x v="53"/>
    <x v="14"/>
    <m/>
    <n v="1294.92"/>
    <n v="1383.26"/>
    <n v="1339.09"/>
    <n v="883.4"/>
  </r>
  <r>
    <x v="12"/>
    <x v="53"/>
    <x v="14"/>
    <m/>
    <n v="1294.92"/>
    <n v="1383.26"/>
    <n v="1339.09"/>
    <n v="883.4"/>
  </r>
  <r>
    <x v="12"/>
    <x v="53"/>
    <x v="14"/>
    <m/>
    <n v="1294.92"/>
    <n v="1383.26"/>
    <n v="1339.09"/>
    <n v="883.4"/>
  </r>
  <r>
    <x v="12"/>
    <x v="53"/>
    <x v="14"/>
    <m/>
    <n v="1294.92"/>
    <n v="1383.26"/>
    <n v="1339.09"/>
    <n v="883.4"/>
  </r>
  <r>
    <x v="12"/>
    <x v="53"/>
    <x v="14"/>
    <m/>
    <n v="1294.92"/>
    <n v="1383.26"/>
    <n v="1339.09"/>
    <n v="883.4"/>
  </r>
  <r>
    <x v="12"/>
    <x v="53"/>
    <x v="14"/>
    <m/>
    <n v="1294.92"/>
    <n v="1383.26"/>
    <n v="1339.09"/>
    <n v="883.4"/>
  </r>
  <r>
    <x v="12"/>
    <x v="53"/>
    <x v="14"/>
    <m/>
    <n v="1294.92"/>
    <n v="1383.26"/>
    <n v="1339.09"/>
    <n v="883.4"/>
  </r>
  <r>
    <x v="12"/>
    <x v="53"/>
    <x v="14"/>
    <m/>
    <n v="1294.92"/>
    <n v="1383.26"/>
    <n v="1339.09"/>
    <n v="883.4"/>
  </r>
  <r>
    <x v="12"/>
    <x v="53"/>
    <x v="14"/>
    <m/>
    <n v="1294.92"/>
    <n v="1383.26"/>
    <n v="1339.09"/>
    <n v="883.4"/>
  </r>
  <r>
    <x v="12"/>
    <x v="53"/>
    <x v="14"/>
    <m/>
    <n v="1294.92"/>
    <n v="1383.26"/>
    <n v="1339.09"/>
    <n v="883.4"/>
  </r>
  <r>
    <x v="12"/>
    <x v="53"/>
    <x v="14"/>
    <m/>
    <n v="1294.92"/>
    <n v="1383.26"/>
    <n v="1339.09"/>
    <n v="883.4"/>
  </r>
  <r>
    <x v="12"/>
    <x v="53"/>
    <x v="14"/>
    <m/>
    <n v="1294.92"/>
    <n v="1383.26"/>
    <n v="1339.09"/>
    <n v="883.4"/>
  </r>
  <r>
    <x v="12"/>
    <x v="53"/>
    <x v="14"/>
    <m/>
    <n v="1294.92"/>
    <n v="1383.26"/>
    <n v="1339.09"/>
    <n v="883.4"/>
  </r>
  <r>
    <x v="12"/>
    <x v="53"/>
    <x v="14"/>
    <m/>
    <n v="1294.92"/>
    <n v="1383.26"/>
    <n v="1339.09"/>
    <n v="883.4"/>
  </r>
  <r>
    <x v="12"/>
    <x v="53"/>
    <x v="14"/>
    <m/>
    <n v="1294.92"/>
    <n v="1383.26"/>
    <n v="1339.09"/>
    <n v="883.4"/>
  </r>
  <r>
    <x v="12"/>
    <x v="53"/>
    <x v="14"/>
    <m/>
    <n v="1294.92"/>
    <n v="1383.26"/>
    <n v="1339.09"/>
    <n v="883.4"/>
  </r>
  <r>
    <x v="12"/>
    <x v="53"/>
    <x v="14"/>
    <m/>
    <n v="1294.92"/>
    <n v="1383.26"/>
    <n v="1339.09"/>
    <n v="883.4"/>
  </r>
  <r>
    <x v="12"/>
    <x v="53"/>
    <x v="14"/>
    <m/>
    <n v="1294.92"/>
    <n v="1383.26"/>
    <n v="1339.09"/>
    <n v="883.4"/>
  </r>
  <r>
    <x v="12"/>
    <x v="53"/>
    <x v="14"/>
    <m/>
    <n v="1294.92"/>
    <n v="1383.26"/>
    <n v="1339.09"/>
    <n v="883.4"/>
  </r>
  <r>
    <x v="12"/>
    <x v="53"/>
    <x v="14"/>
    <m/>
    <n v="1294.92"/>
    <n v="1383.26"/>
    <n v="1339.09"/>
    <n v="883.4"/>
  </r>
  <r>
    <x v="12"/>
    <x v="53"/>
    <x v="14"/>
    <m/>
    <n v="1294.92"/>
    <n v="1383.26"/>
    <n v="1339.09"/>
    <n v="883.4"/>
  </r>
  <r>
    <x v="12"/>
    <x v="53"/>
    <x v="14"/>
    <m/>
    <n v="1294.92"/>
    <n v="1383.26"/>
    <n v="1339.09"/>
    <n v="883.4"/>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7"/>
    <m/>
    <n v="1.4741500000000001"/>
    <n v="1.5411999999999999"/>
    <n v="1.5076750000000001"/>
    <n v="670.5"/>
  </r>
  <r>
    <x v="12"/>
    <x v="53"/>
    <x v="0"/>
    <m/>
    <n v="1.9189400000000001"/>
    <n v="1.9608000000000001"/>
    <n v="1.93987"/>
    <n v="418.6"/>
  </r>
  <r>
    <x v="12"/>
    <x v="53"/>
    <x v="0"/>
    <m/>
    <n v="1.9189400000000001"/>
    <n v="1.9608000000000001"/>
    <n v="1.93987"/>
    <n v="418.6"/>
  </r>
  <r>
    <x v="12"/>
    <x v="53"/>
    <x v="0"/>
    <m/>
    <n v="1.9189400000000001"/>
    <n v="1.9608000000000001"/>
    <n v="1.93987"/>
    <n v="418.6"/>
  </r>
  <r>
    <x v="12"/>
    <x v="53"/>
    <x v="0"/>
    <m/>
    <n v="1.9189400000000001"/>
    <n v="1.9608000000000001"/>
    <n v="1.93987"/>
    <n v="418.6"/>
  </r>
  <r>
    <x v="12"/>
    <x v="53"/>
    <x v="0"/>
    <m/>
    <n v="1.9189400000000001"/>
    <n v="1.9608000000000001"/>
    <n v="1.93987"/>
    <n v="418.6"/>
  </r>
  <r>
    <x v="12"/>
    <x v="53"/>
    <x v="0"/>
    <m/>
    <n v="1.9189400000000001"/>
    <n v="1.9608000000000001"/>
    <n v="1.93987"/>
    <n v="418.6"/>
  </r>
  <r>
    <x v="12"/>
    <x v="53"/>
    <x v="0"/>
    <m/>
    <n v="1.9189400000000001"/>
    <n v="1.9608000000000001"/>
    <n v="1.93987"/>
    <n v="418.6"/>
  </r>
  <r>
    <x v="12"/>
    <x v="53"/>
    <x v="0"/>
    <m/>
    <n v="1.9189400000000001"/>
    <n v="1.9608000000000001"/>
    <n v="1.93987"/>
    <n v="418.6"/>
  </r>
  <r>
    <x v="12"/>
    <x v="53"/>
    <x v="0"/>
    <m/>
    <n v="1.9189400000000001"/>
    <n v="1.9608000000000001"/>
    <n v="1.93987"/>
    <n v="418.6"/>
  </r>
  <r>
    <x v="12"/>
    <x v="53"/>
    <x v="0"/>
    <m/>
    <n v="1.9189400000000001"/>
    <n v="1.9608000000000001"/>
    <n v="1.93987"/>
    <n v="418.6"/>
  </r>
  <r>
    <x v="12"/>
    <x v="53"/>
    <x v="0"/>
    <m/>
    <n v="1.9189400000000001"/>
    <n v="1.9608000000000001"/>
    <n v="1.93987"/>
    <n v="418.6"/>
  </r>
  <r>
    <x v="12"/>
    <x v="53"/>
    <x v="0"/>
    <m/>
    <n v="1.9189400000000001"/>
    <n v="1.9608000000000001"/>
    <n v="1.93987"/>
    <n v="418.6"/>
  </r>
  <r>
    <x v="12"/>
    <x v="53"/>
    <x v="0"/>
    <m/>
    <n v="1.9189400000000001"/>
    <n v="1.9608000000000001"/>
    <n v="1.93987"/>
    <n v="418.6"/>
  </r>
  <r>
    <x v="12"/>
    <x v="53"/>
    <x v="0"/>
    <m/>
    <n v="1.9189400000000001"/>
    <n v="1.9608000000000001"/>
    <n v="1.93987"/>
    <n v="418.6"/>
  </r>
  <r>
    <x v="12"/>
    <x v="53"/>
    <x v="0"/>
    <m/>
    <n v="1.9189400000000001"/>
    <n v="1.9608000000000001"/>
    <n v="1.93987"/>
    <n v="418.6"/>
  </r>
  <r>
    <x v="12"/>
    <x v="53"/>
    <x v="0"/>
    <m/>
    <n v="1.9189400000000001"/>
    <n v="1.9608000000000001"/>
    <n v="1.93987"/>
    <n v="418.6"/>
  </r>
  <r>
    <x v="12"/>
    <x v="53"/>
    <x v="0"/>
    <m/>
    <n v="1.9189400000000001"/>
    <n v="1.9608000000000001"/>
    <n v="1.93987"/>
    <n v="418.6"/>
  </r>
  <r>
    <x v="12"/>
    <x v="53"/>
    <x v="2"/>
    <m/>
    <n v="101.33199999999999"/>
    <n v="103.343"/>
    <n v="102.33750000000001"/>
    <n v="201.1"/>
  </r>
  <r>
    <x v="12"/>
    <x v="54"/>
    <x v="2"/>
    <m/>
    <n v="101.33199999999999"/>
    <n v="103.343"/>
    <n v="102.33750000000001"/>
    <n v="201.1"/>
  </r>
  <r>
    <x v="12"/>
    <x v="54"/>
    <x v="2"/>
    <m/>
    <n v="101.33199999999999"/>
    <n v="103.343"/>
    <n v="102.33750000000001"/>
    <n v="201.1"/>
  </r>
  <r>
    <x v="12"/>
    <x v="54"/>
    <x v="2"/>
    <m/>
    <n v="101.33199999999999"/>
    <n v="103.343"/>
    <n v="102.33750000000001"/>
    <n v="201.1"/>
  </r>
  <r>
    <x v="12"/>
    <x v="54"/>
    <x v="2"/>
    <m/>
    <n v="101.33199999999999"/>
    <n v="103.343"/>
    <n v="102.33750000000001"/>
    <n v="201.1"/>
  </r>
  <r>
    <x v="12"/>
    <x v="54"/>
    <x v="2"/>
    <m/>
    <n v="101.33199999999999"/>
    <n v="103.343"/>
    <n v="102.33750000000001"/>
    <n v="201.1"/>
  </r>
  <r>
    <x v="12"/>
    <x v="54"/>
    <x v="2"/>
    <m/>
    <n v="101.33199999999999"/>
    <n v="103.343"/>
    <n v="102.33750000000001"/>
    <n v="201.1"/>
  </r>
  <r>
    <x v="12"/>
    <x v="54"/>
    <x v="2"/>
    <m/>
    <n v="101.33199999999999"/>
    <n v="103.343"/>
    <n v="102.33750000000001"/>
    <n v="201.1"/>
  </r>
  <r>
    <x v="12"/>
    <x v="54"/>
    <x v="2"/>
    <m/>
    <n v="101.33199999999999"/>
    <n v="103.343"/>
    <n v="102.33750000000001"/>
    <n v="201.1"/>
  </r>
  <r>
    <x v="12"/>
    <x v="54"/>
    <x v="2"/>
    <m/>
    <n v="101.33199999999999"/>
    <n v="103.343"/>
    <n v="102.33750000000001"/>
    <n v="201.1"/>
  </r>
  <r>
    <x v="12"/>
    <x v="54"/>
    <x v="2"/>
    <m/>
    <n v="101.33199999999999"/>
    <n v="103.343"/>
    <n v="102.33750000000001"/>
    <n v="201.1"/>
  </r>
  <r>
    <x v="12"/>
    <x v="54"/>
    <x v="2"/>
    <m/>
    <n v="101.33199999999999"/>
    <n v="103.343"/>
    <n v="102.33750000000001"/>
    <n v="201.1"/>
  </r>
  <r>
    <x v="12"/>
    <x v="54"/>
    <x v="2"/>
    <m/>
    <n v="101.33199999999999"/>
    <n v="103.343"/>
    <n v="102.33750000000001"/>
    <n v="201.1"/>
  </r>
  <r>
    <x v="12"/>
    <x v="54"/>
    <x v="2"/>
    <m/>
    <n v="101.33199999999999"/>
    <n v="103.343"/>
    <n v="102.33750000000001"/>
    <n v="201.1"/>
  </r>
  <r>
    <x v="12"/>
    <x v="54"/>
    <x v="2"/>
    <m/>
    <n v="101.33199999999999"/>
    <n v="103.343"/>
    <n v="102.33750000000001"/>
    <n v="201.1"/>
  </r>
  <r>
    <x v="12"/>
    <x v="54"/>
    <x v="2"/>
    <m/>
    <n v="101.33199999999999"/>
    <n v="103.343"/>
    <n v="102.33750000000001"/>
    <n v="201.1"/>
  </r>
  <r>
    <x v="12"/>
    <x v="54"/>
    <x v="14"/>
    <m/>
    <n v="1294.92"/>
    <n v="1383.26"/>
    <n v="1339.09"/>
    <n v="883.4"/>
  </r>
  <r>
    <x v="12"/>
    <x v="54"/>
    <x v="14"/>
    <m/>
    <n v="1294.92"/>
    <n v="1383.26"/>
    <n v="1339.09"/>
    <n v="883.4"/>
  </r>
  <r>
    <x v="12"/>
    <x v="54"/>
    <x v="14"/>
    <m/>
    <n v="1294.92"/>
    <n v="1383.26"/>
    <n v="1339.09"/>
    <n v="883.4"/>
  </r>
  <r>
    <x v="12"/>
    <x v="54"/>
    <x v="14"/>
    <m/>
    <n v="1294.92"/>
    <n v="1383.26"/>
    <n v="1339.09"/>
    <n v="883.4"/>
  </r>
  <r>
    <x v="12"/>
    <x v="54"/>
    <x v="14"/>
    <m/>
    <n v="1294.92"/>
    <n v="1383.26"/>
    <n v="1339.09"/>
    <n v="883.4"/>
  </r>
  <r>
    <x v="12"/>
    <x v="54"/>
    <x v="14"/>
    <m/>
    <n v="1294.92"/>
    <n v="1383.26"/>
    <n v="1339.09"/>
    <n v="883.4"/>
  </r>
  <r>
    <x v="12"/>
    <x v="54"/>
    <x v="14"/>
    <m/>
    <n v="1294.92"/>
    <n v="1383.26"/>
    <n v="1339.09"/>
    <n v="883.4"/>
  </r>
  <r>
    <x v="12"/>
    <x v="54"/>
    <x v="14"/>
    <m/>
    <n v="1294.92"/>
    <n v="1383.26"/>
    <n v="1339.09"/>
    <n v="883.4"/>
  </r>
  <r>
    <x v="12"/>
    <x v="54"/>
    <x v="14"/>
    <m/>
    <n v="1294.92"/>
    <n v="1383.26"/>
    <n v="1339.09"/>
    <n v="883.4"/>
  </r>
  <r>
    <x v="12"/>
    <x v="54"/>
    <x v="14"/>
    <m/>
    <n v="1294.92"/>
    <n v="1383.26"/>
    <n v="1339.09"/>
    <n v="883.4"/>
  </r>
  <r>
    <x v="12"/>
    <x v="54"/>
    <x v="14"/>
    <m/>
    <n v="1294.92"/>
    <n v="1383.26"/>
    <n v="1339.09"/>
    <n v="883.4"/>
  </r>
  <r>
    <x v="12"/>
    <x v="54"/>
    <x v="14"/>
    <m/>
    <n v="1294.92"/>
    <n v="1383.26"/>
    <n v="1339.09"/>
    <n v="883.4"/>
  </r>
  <r>
    <x v="12"/>
    <x v="54"/>
    <x v="14"/>
    <m/>
    <n v="1294.92"/>
    <n v="1383.26"/>
    <n v="1339.09"/>
    <n v="883.4"/>
  </r>
  <r>
    <x v="12"/>
    <x v="54"/>
    <x v="14"/>
    <m/>
    <n v="1294.92"/>
    <n v="1383.26"/>
    <n v="1339.09"/>
    <n v="883.4"/>
  </r>
  <r>
    <x v="12"/>
    <x v="54"/>
    <x v="14"/>
    <m/>
    <n v="1294.92"/>
    <n v="1383.26"/>
    <n v="1339.09"/>
    <n v="883.4"/>
  </r>
  <r>
    <x v="12"/>
    <x v="54"/>
    <x v="14"/>
    <m/>
    <n v="1294.92"/>
    <n v="1383.26"/>
    <n v="1339.09"/>
    <n v="883.4"/>
  </r>
  <r>
    <x v="12"/>
    <x v="54"/>
    <x v="14"/>
    <m/>
    <n v="1294.92"/>
    <n v="1383.26"/>
    <n v="1339.09"/>
    <n v="883.4"/>
  </r>
  <r>
    <x v="12"/>
    <x v="54"/>
    <x v="14"/>
    <m/>
    <n v="1294.92"/>
    <n v="1383.26"/>
    <n v="1339.09"/>
    <n v="883.4"/>
  </r>
  <r>
    <x v="12"/>
    <x v="54"/>
    <x v="14"/>
    <m/>
    <n v="1294.92"/>
    <n v="1383.26"/>
    <n v="1339.09"/>
    <n v="883.4"/>
  </r>
  <r>
    <x v="12"/>
    <x v="54"/>
    <x v="14"/>
    <m/>
    <n v="1294.92"/>
    <n v="1383.26"/>
    <n v="1339.09"/>
    <n v="883.4"/>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7"/>
    <m/>
    <n v="1.4741500000000001"/>
    <n v="1.5411999999999999"/>
    <n v="1.5076750000000001"/>
    <n v="670.5"/>
  </r>
  <r>
    <x v="12"/>
    <x v="54"/>
    <x v="0"/>
    <m/>
    <n v="1.9189400000000001"/>
    <n v="1.9608000000000001"/>
    <n v="1.93987"/>
    <n v="418.6"/>
  </r>
  <r>
    <x v="12"/>
    <x v="54"/>
    <x v="0"/>
    <m/>
    <n v="1.9189400000000001"/>
    <n v="1.9608000000000001"/>
    <n v="1.93987"/>
    <n v="418.6"/>
  </r>
  <r>
    <x v="12"/>
    <x v="54"/>
    <x v="0"/>
    <m/>
    <n v="1.9189400000000001"/>
    <n v="1.9608000000000001"/>
    <n v="1.93987"/>
    <n v="418.6"/>
  </r>
  <r>
    <x v="12"/>
    <x v="54"/>
    <x v="0"/>
    <m/>
    <n v="1.9189400000000001"/>
    <n v="1.9608000000000001"/>
    <n v="1.93987"/>
    <n v="418.6"/>
  </r>
  <r>
    <x v="12"/>
    <x v="54"/>
    <x v="0"/>
    <m/>
    <n v="1.9189400000000001"/>
    <n v="1.9608000000000001"/>
    <n v="1.93987"/>
    <n v="418.6"/>
  </r>
  <r>
    <x v="12"/>
    <x v="54"/>
    <x v="0"/>
    <m/>
    <n v="1.9189400000000001"/>
    <n v="1.9608000000000001"/>
    <n v="1.93987"/>
    <n v="418.6"/>
  </r>
  <r>
    <x v="12"/>
    <x v="54"/>
    <x v="0"/>
    <m/>
    <n v="1.9189400000000001"/>
    <n v="1.9608000000000001"/>
    <n v="1.93987"/>
    <n v="418.6"/>
  </r>
  <r>
    <x v="12"/>
    <x v="54"/>
    <x v="0"/>
    <m/>
    <n v="1.9189400000000001"/>
    <n v="1.9608000000000001"/>
    <n v="1.93987"/>
    <n v="418.6"/>
  </r>
  <r>
    <x v="12"/>
    <x v="54"/>
    <x v="0"/>
    <m/>
    <n v="1.9189400000000001"/>
    <n v="1.9608000000000001"/>
    <n v="1.93987"/>
    <n v="418.6"/>
  </r>
  <r>
    <x v="12"/>
    <x v="54"/>
    <x v="0"/>
    <m/>
    <n v="1.9189400000000001"/>
    <n v="1.9608000000000001"/>
    <n v="1.93987"/>
    <n v="418.6"/>
  </r>
  <r>
    <x v="12"/>
    <x v="54"/>
    <x v="0"/>
    <m/>
    <n v="1.9189400000000001"/>
    <n v="1.9608000000000001"/>
    <n v="1.93987"/>
    <n v="418.6"/>
  </r>
  <r>
    <x v="12"/>
    <x v="54"/>
    <x v="0"/>
    <m/>
    <n v="1.9189400000000001"/>
    <n v="1.9608000000000001"/>
    <n v="1.93987"/>
    <n v="418.6"/>
  </r>
  <r>
    <x v="12"/>
    <x v="54"/>
    <x v="0"/>
    <m/>
    <n v="1.9189400000000001"/>
    <n v="1.9608000000000001"/>
    <n v="1.93987"/>
    <n v="418.6"/>
  </r>
  <r>
    <x v="12"/>
    <x v="54"/>
    <x v="0"/>
    <m/>
    <n v="1.9189400000000001"/>
    <n v="1.9608000000000001"/>
    <n v="1.93987"/>
    <n v="418.6"/>
  </r>
  <r>
    <x v="12"/>
    <x v="54"/>
    <x v="0"/>
    <m/>
    <n v="1.9189400000000001"/>
    <n v="1.9608000000000001"/>
    <n v="1.93987"/>
    <n v="418.6"/>
  </r>
  <r>
    <x v="12"/>
    <x v="54"/>
    <x v="0"/>
    <m/>
    <n v="1.9189400000000001"/>
    <n v="1.9608000000000001"/>
    <n v="1.93987"/>
    <n v="418.6"/>
  </r>
  <r>
    <x v="12"/>
    <x v="54"/>
    <x v="0"/>
    <m/>
    <n v="1.9189400000000001"/>
    <n v="1.9608000000000001"/>
    <n v="1.93987"/>
    <n v="418.6"/>
  </r>
  <r>
    <x v="12"/>
    <x v="54"/>
    <x v="0"/>
    <m/>
    <n v="1.9189400000000001"/>
    <n v="1.9608000000000001"/>
    <n v="1.93987"/>
    <n v="418.6"/>
  </r>
  <r>
    <x v="12"/>
    <x v="55"/>
    <x v="2"/>
    <m/>
    <n v="101.33199999999999"/>
    <n v="103.343"/>
    <n v="102.33750000000001"/>
    <n v="201.1"/>
  </r>
  <r>
    <x v="12"/>
    <x v="55"/>
    <x v="2"/>
    <m/>
    <n v="101.33199999999999"/>
    <n v="103.343"/>
    <n v="102.33750000000001"/>
    <n v="201.1"/>
  </r>
  <r>
    <x v="12"/>
    <x v="55"/>
    <x v="2"/>
    <m/>
    <n v="101.33199999999999"/>
    <n v="103.343"/>
    <n v="102.33750000000001"/>
    <n v="201.1"/>
  </r>
  <r>
    <x v="12"/>
    <x v="55"/>
    <x v="2"/>
    <m/>
    <n v="101.33199999999999"/>
    <n v="103.343"/>
    <n v="102.33750000000001"/>
    <n v="201.1"/>
  </r>
  <r>
    <x v="12"/>
    <x v="55"/>
    <x v="2"/>
    <m/>
    <n v="101.33199999999999"/>
    <n v="103.343"/>
    <n v="102.33750000000001"/>
    <n v="201.1"/>
  </r>
  <r>
    <x v="12"/>
    <x v="55"/>
    <x v="2"/>
    <m/>
    <n v="101.33199999999999"/>
    <n v="103.343"/>
    <n v="102.33750000000001"/>
    <n v="201.1"/>
  </r>
  <r>
    <x v="12"/>
    <x v="55"/>
    <x v="2"/>
    <m/>
    <n v="101.33199999999999"/>
    <n v="103.343"/>
    <n v="102.33750000000001"/>
    <n v="201.1"/>
  </r>
  <r>
    <x v="12"/>
    <x v="55"/>
    <x v="2"/>
    <m/>
    <n v="101.33199999999999"/>
    <n v="103.343"/>
    <n v="102.33750000000001"/>
    <n v="201.1"/>
  </r>
  <r>
    <x v="12"/>
    <x v="55"/>
    <x v="2"/>
    <m/>
    <n v="101.33199999999999"/>
    <n v="103.343"/>
    <n v="102.33750000000001"/>
    <n v="201.1"/>
  </r>
  <r>
    <x v="12"/>
    <x v="55"/>
    <x v="14"/>
    <m/>
    <n v="1288.46"/>
    <n v="1383.26"/>
    <n v="1335.86"/>
    <n v="948"/>
  </r>
  <r>
    <x v="12"/>
    <x v="55"/>
    <x v="14"/>
    <m/>
    <n v="1288.46"/>
    <n v="1383.26"/>
    <n v="1335.86"/>
    <n v="948"/>
  </r>
  <r>
    <x v="12"/>
    <x v="55"/>
    <x v="14"/>
    <m/>
    <n v="1288.46"/>
    <n v="1383.26"/>
    <n v="1335.86"/>
    <n v="948"/>
  </r>
  <r>
    <x v="12"/>
    <x v="55"/>
    <x v="14"/>
    <m/>
    <n v="1288.46"/>
    <n v="1383.26"/>
    <n v="1335.86"/>
    <n v="948"/>
  </r>
  <r>
    <x v="12"/>
    <x v="55"/>
    <x v="14"/>
    <m/>
    <n v="1288.46"/>
    <n v="1383.26"/>
    <n v="1335.86"/>
    <n v="948"/>
  </r>
  <r>
    <x v="12"/>
    <x v="55"/>
    <x v="14"/>
    <m/>
    <n v="1288.46"/>
    <n v="1383.26"/>
    <n v="1335.86"/>
    <n v="948"/>
  </r>
  <r>
    <x v="12"/>
    <x v="55"/>
    <x v="14"/>
    <m/>
    <n v="1288.46"/>
    <n v="1383.26"/>
    <n v="1335.86"/>
    <n v="948"/>
  </r>
  <r>
    <x v="12"/>
    <x v="55"/>
    <x v="14"/>
    <m/>
    <n v="1288.46"/>
    <n v="1383.26"/>
    <n v="1335.86"/>
    <n v="948"/>
  </r>
  <r>
    <x v="12"/>
    <x v="55"/>
    <x v="14"/>
    <m/>
    <n v="1288.46"/>
    <n v="1383.26"/>
    <n v="1335.86"/>
    <n v="948"/>
  </r>
  <r>
    <x v="12"/>
    <x v="55"/>
    <x v="14"/>
    <m/>
    <n v="1288.46"/>
    <n v="1383.26"/>
    <n v="1335.86"/>
    <n v="948"/>
  </r>
  <r>
    <x v="12"/>
    <x v="55"/>
    <x v="14"/>
    <m/>
    <n v="1288.46"/>
    <n v="1383.26"/>
    <n v="1335.86"/>
    <n v="948"/>
  </r>
  <r>
    <x v="12"/>
    <x v="55"/>
    <x v="14"/>
    <m/>
    <n v="1288.46"/>
    <n v="1383.26"/>
    <n v="1335.86"/>
    <n v="948"/>
  </r>
  <r>
    <x v="12"/>
    <x v="55"/>
    <x v="14"/>
    <m/>
    <n v="1288.46"/>
    <n v="1383.26"/>
    <n v="1335.86"/>
    <n v="948"/>
  </r>
  <r>
    <x v="12"/>
    <x v="55"/>
    <x v="14"/>
    <m/>
    <n v="1288.46"/>
    <n v="1383.26"/>
    <n v="1335.86"/>
    <n v="948"/>
  </r>
  <r>
    <x v="12"/>
    <x v="55"/>
    <x v="14"/>
    <m/>
    <n v="1288.46"/>
    <n v="1383.26"/>
    <n v="1335.86"/>
    <n v="948"/>
  </r>
  <r>
    <x v="12"/>
    <x v="55"/>
    <x v="14"/>
    <m/>
    <n v="1288.46"/>
    <n v="1383.26"/>
    <n v="1335.86"/>
    <n v="948"/>
  </r>
  <r>
    <x v="12"/>
    <x v="55"/>
    <x v="14"/>
    <m/>
    <n v="1288.46"/>
    <n v="1383.26"/>
    <n v="1335.86"/>
    <n v="948"/>
  </r>
  <r>
    <x v="12"/>
    <x v="55"/>
    <x v="14"/>
    <m/>
    <n v="1288.46"/>
    <n v="1383.26"/>
    <n v="1335.86"/>
    <n v="948"/>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7"/>
    <m/>
    <n v="1.46858"/>
    <n v="1.5411999999999999"/>
    <n v="1.5048900000000001"/>
    <n v="726.2"/>
  </r>
  <r>
    <x v="12"/>
    <x v="55"/>
    <x v="0"/>
    <m/>
    <n v="1.9189400000000001"/>
    <n v="1.9608000000000001"/>
    <n v="1.93987"/>
    <n v="418.6"/>
  </r>
  <r>
    <x v="12"/>
    <x v="55"/>
    <x v="0"/>
    <m/>
    <n v="1.9189400000000001"/>
    <n v="1.9608000000000001"/>
    <n v="1.93987"/>
    <n v="418.6"/>
  </r>
  <r>
    <x v="12"/>
    <x v="55"/>
    <x v="0"/>
    <m/>
    <n v="1.9189400000000001"/>
    <n v="1.9608000000000001"/>
    <n v="1.93987"/>
    <n v="418.6"/>
  </r>
  <r>
    <x v="12"/>
    <x v="55"/>
    <x v="0"/>
    <m/>
    <n v="1.9189400000000001"/>
    <n v="1.9608000000000001"/>
    <n v="1.93987"/>
    <n v="418.6"/>
  </r>
  <r>
    <x v="12"/>
    <x v="55"/>
    <x v="0"/>
    <m/>
    <n v="1.9189400000000001"/>
    <n v="1.9608000000000001"/>
    <n v="1.93987"/>
    <n v="418.6"/>
  </r>
  <r>
    <x v="12"/>
    <x v="55"/>
    <x v="0"/>
    <m/>
    <n v="1.9189400000000001"/>
    <n v="1.9608000000000001"/>
    <n v="1.93987"/>
    <n v="418.6"/>
  </r>
  <r>
    <x v="12"/>
    <x v="55"/>
    <x v="0"/>
    <m/>
    <n v="1.9189400000000001"/>
    <n v="1.9608000000000001"/>
    <n v="1.93987"/>
    <n v="418.6"/>
  </r>
  <r>
    <x v="12"/>
    <x v="55"/>
    <x v="0"/>
    <m/>
    <n v="1.9189400000000001"/>
    <n v="1.9608000000000001"/>
    <n v="1.93987"/>
    <n v="418.6"/>
  </r>
  <r>
    <x v="12"/>
    <x v="55"/>
    <x v="0"/>
    <m/>
    <n v="1.9189400000000001"/>
    <n v="1.9608000000000001"/>
    <n v="1.93987"/>
    <n v="418.6"/>
  </r>
  <r>
    <x v="12"/>
    <x v="55"/>
    <x v="0"/>
    <m/>
    <n v="1.9189400000000001"/>
    <n v="1.9608000000000001"/>
    <n v="1.93987"/>
    <n v="418.6"/>
  </r>
  <r>
    <x v="12"/>
    <x v="55"/>
    <x v="0"/>
    <m/>
    <n v="1.9189400000000001"/>
    <n v="1.9608000000000001"/>
    <n v="1.93987"/>
    <n v="418.6"/>
  </r>
  <r>
    <x v="12"/>
    <x v="55"/>
    <x v="0"/>
    <m/>
    <n v="1.9189400000000001"/>
    <n v="1.9608000000000001"/>
    <n v="1.93987"/>
    <n v="418.6"/>
  </r>
  <r>
    <x v="12"/>
    <x v="55"/>
    <x v="0"/>
    <m/>
    <n v="1.9189400000000001"/>
    <n v="1.9608000000000001"/>
    <n v="1.93987"/>
    <n v="418.6"/>
  </r>
  <r>
    <x v="12"/>
    <x v="55"/>
    <x v="0"/>
    <m/>
    <n v="1.9189400000000001"/>
    <n v="1.9608000000000001"/>
    <n v="1.93987"/>
    <n v="418.6"/>
  </r>
  <r>
    <x v="12"/>
    <x v="55"/>
    <x v="0"/>
    <m/>
    <n v="1.9189400000000001"/>
    <n v="1.9608000000000001"/>
    <n v="1.93987"/>
    <n v="418.6"/>
  </r>
  <r>
    <x v="12"/>
    <x v="55"/>
    <x v="0"/>
    <m/>
    <n v="1.9189400000000001"/>
    <n v="1.9608000000000001"/>
    <n v="1.93987"/>
    <n v="418.6"/>
  </r>
  <r>
    <x v="12"/>
    <x v="55"/>
    <x v="0"/>
    <m/>
    <n v="1.9189400000000001"/>
    <n v="1.9608000000000001"/>
    <n v="1.93987"/>
    <n v="418.6"/>
  </r>
  <r>
    <x v="12"/>
    <x v="55"/>
    <x v="0"/>
    <m/>
    <n v="1.9189400000000001"/>
    <n v="1.9608000000000001"/>
    <n v="1.93987"/>
    <n v="418.6"/>
  </r>
  <r>
    <x v="12"/>
    <x v="55"/>
    <x v="2"/>
    <m/>
    <n v="101.33199999999999"/>
    <n v="103.343"/>
    <n v="102.33750000000001"/>
    <n v="201.1"/>
  </r>
  <r>
    <x v="12"/>
    <x v="55"/>
    <x v="2"/>
    <m/>
    <n v="101.33199999999999"/>
    <n v="103.343"/>
    <n v="102.33750000000001"/>
    <n v="201.1"/>
  </r>
  <r>
    <x v="12"/>
    <x v="55"/>
    <x v="2"/>
    <m/>
    <n v="101.33199999999999"/>
    <n v="103.343"/>
    <n v="102.33750000000001"/>
    <n v="201.1"/>
  </r>
  <r>
    <x v="12"/>
    <x v="55"/>
    <x v="2"/>
    <m/>
    <n v="101.33199999999999"/>
    <n v="103.343"/>
    <n v="102.33750000000001"/>
    <n v="201.1"/>
  </r>
  <r>
    <x v="12"/>
    <x v="55"/>
    <x v="2"/>
    <m/>
    <n v="101.33199999999999"/>
    <n v="103.343"/>
    <n v="102.33750000000001"/>
    <n v="201.1"/>
  </r>
  <r>
    <x v="12"/>
    <x v="55"/>
    <x v="2"/>
    <m/>
    <n v="101.33199999999999"/>
    <n v="103.343"/>
    <n v="102.33750000000001"/>
    <n v="201.1"/>
  </r>
  <r>
    <x v="12"/>
    <x v="56"/>
    <x v="2"/>
    <m/>
    <n v="101.33199999999999"/>
    <n v="103.343"/>
    <n v="102.33750000000001"/>
    <n v="201.1"/>
  </r>
  <r>
    <x v="12"/>
    <x v="56"/>
    <x v="2"/>
    <m/>
    <n v="101.33199999999999"/>
    <n v="103.343"/>
    <n v="102.33750000000001"/>
    <n v="201.1"/>
  </r>
  <r>
    <x v="12"/>
    <x v="56"/>
    <x v="2"/>
    <m/>
    <n v="101.33199999999999"/>
    <n v="103.343"/>
    <n v="102.33750000000001"/>
    <n v="201.1"/>
  </r>
  <r>
    <x v="12"/>
    <x v="56"/>
    <x v="2"/>
    <m/>
    <n v="101.33199999999999"/>
    <n v="103.343"/>
    <n v="102.33750000000001"/>
    <n v="201.1"/>
  </r>
  <r>
    <x v="12"/>
    <x v="56"/>
    <x v="2"/>
    <m/>
    <n v="101.33199999999999"/>
    <n v="103.343"/>
    <n v="102.33750000000001"/>
    <n v="201.1"/>
  </r>
  <r>
    <x v="12"/>
    <x v="56"/>
    <x v="2"/>
    <m/>
    <n v="101.33199999999999"/>
    <n v="103.343"/>
    <n v="102.33750000000001"/>
    <n v="201.1"/>
  </r>
  <r>
    <x v="12"/>
    <x v="56"/>
    <x v="2"/>
    <m/>
    <n v="101.33199999999999"/>
    <n v="103.343"/>
    <n v="102.33750000000001"/>
    <n v="201.1"/>
  </r>
  <r>
    <x v="12"/>
    <x v="56"/>
    <x v="2"/>
    <m/>
    <n v="101.33199999999999"/>
    <n v="103.343"/>
    <n v="102.33750000000001"/>
    <n v="201.1"/>
  </r>
  <r>
    <x v="12"/>
    <x v="56"/>
    <x v="2"/>
    <m/>
    <n v="101.33199999999999"/>
    <n v="103.343"/>
    <n v="102.33750000000001"/>
    <n v="201.1"/>
  </r>
  <r>
    <x v="12"/>
    <x v="56"/>
    <x v="2"/>
    <m/>
    <n v="101.33199999999999"/>
    <n v="103.343"/>
    <n v="102.33750000000001"/>
    <n v="201.1"/>
  </r>
  <r>
    <x v="12"/>
    <x v="56"/>
    <x v="14"/>
    <m/>
    <n v="1288.46"/>
    <n v="1383.26"/>
    <n v="1335.86"/>
    <n v="948"/>
  </r>
  <r>
    <x v="12"/>
    <x v="56"/>
    <x v="14"/>
    <m/>
    <n v="1288.46"/>
    <n v="1383.26"/>
    <n v="1335.86"/>
    <n v="948"/>
  </r>
  <r>
    <x v="12"/>
    <x v="56"/>
    <x v="14"/>
    <m/>
    <n v="1288.46"/>
    <n v="1383.26"/>
    <n v="1335.86"/>
    <n v="948"/>
  </r>
  <r>
    <x v="12"/>
    <x v="56"/>
    <x v="14"/>
    <m/>
    <n v="1288.46"/>
    <n v="1383.26"/>
    <n v="1335.86"/>
    <n v="948"/>
  </r>
  <r>
    <x v="12"/>
    <x v="56"/>
    <x v="14"/>
    <m/>
    <n v="1288.46"/>
    <n v="1383.26"/>
    <n v="1335.86"/>
    <n v="948"/>
  </r>
  <r>
    <x v="12"/>
    <x v="56"/>
    <x v="14"/>
    <m/>
    <n v="1288.46"/>
    <n v="1383.26"/>
    <n v="1335.86"/>
    <n v="948"/>
  </r>
  <r>
    <x v="12"/>
    <x v="56"/>
    <x v="14"/>
    <m/>
    <n v="1288.46"/>
    <n v="1383.26"/>
    <n v="1335.86"/>
    <n v="948"/>
  </r>
  <r>
    <x v="12"/>
    <x v="56"/>
    <x v="14"/>
    <m/>
    <n v="1288.46"/>
    <n v="1383.26"/>
    <n v="1335.86"/>
    <n v="948"/>
  </r>
  <r>
    <x v="12"/>
    <x v="56"/>
    <x v="14"/>
    <m/>
    <n v="1288.46"/>
    <n v="1383.26"/>
    <n v="1335.86"/>
    <n v="948"/>
  </r>
  <r>
    <x v="12"/>
    <x v="56"/>
    <x v="14"/>
    <m/>
    <n v="1288.46"/>
    <n v="1383.26"/>
    <n v="1335.86"/>
    <n v="948"/>
  </r>
  <r>
    <x v="12"/>
    <x v="56"/>
    <x v="14"/>
    <m/>
    <n v="1288.46"/>
    <n v="1383.26"/>
    <n v="1335.86"/>
    <n v="948"/>
  </r>
  <r>
    <x v="12"/>
    <x v="56"/>
    <x v="14"/>
    <m/>
    <n v="1288.46"/>
    <n v="1383.26"/>
    <n v="1335.86"/>
    <n v="948"/>
  </r>
  <r>
    <x v="12"/>
    <x v="56"/>
    <x v="14"/>
    <m/>
    <n v="1288.46"/>
    <n v="1383.26"/>
    <n v="1335.86"/>
    <n v="948"/>
  </r>
  <r>
    <x v="12"/>
    <x v="56"/>
    <x v="14"/>
    <m/>
    <n v="1288.46"/>
    <n v="1383.26"/>
    <n v="1335.86"/>
    <n v="948"/>
  </r>
  <r>
    <x v="12"/>
    <x v="56"/>
    <x v="14"/>
    <m/>
    <n v="1288.46"/>
    <n v="1383.26"/>
    <n v="1335.86"/>
    <n v="948"/>
  </r>
  <r>
    <x v="12"/>
    <x v="56"/>
    <x v="14"/>
    <m/>
    <n v="1288.46"/>
    <n v="1383.26"/>
    <n v="1335.86"/>
    <n v="948"/>
  </r>
  <r>
    <x v="12"/>
    <x v="56"/>
    <x v="14"/>
    <m/>
    <n v="1288.46"/>
    <n v="1383.26"/>
    <n v="1335.86"/>
    <n v="948"/>
  </r>
  <r>
    <x v="12"/>
    <x v="56"/>
    <x v="14"/>
    <m/>
    <n v="1288.46"/>
    <n v="1383.26"/>
    <n v="1335.86"/>
    <n v="948"/>
  </r>
  <r>
    <x v="12"/>
    <x v="56"/>
    <x v="14"/>
    <m/>
    <n v="1288.46"/>
    <n v="1383.26"/>
    <n v="1335.86"/>
    <n v="948"/>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7"/>
    <m/>
    <n v="1.46139"/>
    <n v="1.5411999999999999"/>
    <n v="1.501295"/>
    <n v="798.1"/>
  </r>
  <r>
    <x v="12"/>
    <x v="56"/>
    <x v="0"/>
    <m/>
    <n v="1.9189400000000001"/>
    <n v="1.9608000000000001"/>
    <n v="1.93987"/>
    <n v="418.6"/>
  </r>
  <r>
    <x v="12"/>
    <x v="56"/>
    <x v="0"/>
    <m/>
    <n v="1.9189400000000001"/>
    <n v="1.9608000000000001"/>
    <n v="1.93987"/>
    <n v="418.6"/>
  </r>
  <r>
    <x v="12"/>
    <x v="56"/>
    <x v="0"/>
    <m/>
    <n v="1.9189400000000001"/>
    <n v="1.9608000000000001"/>
    <n v="1.93987"/>
    <n v="418.6"/>
  </r>
  <r>
    <x v="12"/>
    <x v="56"/>
    <x v="0"/>
    <m/>
    <n v="1.9189400000000001"/>
    <n v="1.9608000000000001"/>
    <n v="1.93987"/>
    <n v="418.6"/>
  </r>
  <r>
    <x v="12"/>
    <x v="56"/>
    <x v="0"/>
    <m/>
    <n v="1.9189400000000001"/>
    <n v="1.9608000000000001"/>
    <n v="1.93987"/>
    <n v="418.6"/>
  </r>
  <r>
    <x v="12"/>
    <x v="56"/>
    <x v="0"/>
    <m/>
    <n v="1.9189400000000001"/>
    <n v="1.9608000000000001"/>
    <n v="1.93987"/>
    <n v="418.6"/>
  </r>
  <r>
    <x v="12"/>
    <x v="56"/>
    <x v="0"/>
    <m/>
    <n v="1.9189400000000001"/>
    <n v="1.9608000000000001"/>
    <n v="1.93987"/>
    <n v="418.6"/>
  </r>
  <r>
    <x v="12"/>
    <x v="56"/>
    <x v="0"/>
    <m/>
    <n v="1.9189400000000001"/>
    <n v="1.9608000000000001"/>
    <n v="1.93987"/>
    <n v="418.6"/>
  </r>
  <r>
    <x v="12"/>
    <x v="56"/>
    <x v="0"/>
    <m/>
    <n v="1.9189400000000001"/>
    <n v="1.9608000000000001"/>
    <n v="1.93987"/>
    <n v="418.6"/>
  </r>
  <r>
    <x v="12"/>
    <x v="56"/>
    <x v="0"/>
    <m/>
    <n v="1.9189400000000001"/>
    <n v="1.9608000000000001"/>
    <n v="1.93987"/>
    <n v="418.6"/>
  </r>
  <r>
    <x v="12"/>
    <x v="56"/>
    <x v="0"/>
    <m/>
    <n v="1.9189400000000001"/>
    <n v="1.9608000000000001"/>
    <n v="1.93987"/>
    <n v="418.6"/>
  </r>
  <r>
    <x v="12"/>
    <x v="56"/>
    <x v="0"/>
    <m/>
    <n v="1.9189400000000001"/>
    <n v="1.9608000000000001"/>
    <n v="1.93987"/>
    <n v="418.6"/>
  </r>
  <r>
    <x v="12"/>
    <x v="56"/>
    <x v="0"/>
    <m/>
    <n v="1.9189400000000001"/>
    <n v="1.9608000000000001"/>
    <n v="1.93987"/>
    <n v="418.6"/>
  </r>
  <r>
    <x v="12"/>
    <x v="56"/>
    <x v="0"/>
    <m/>
    <n v="1.9189400000000001"/>
    <n v="1.9608000000000001"/>
    <n v="1.93987"/>
    <n v="418.6"/>
  </r>
  <r>
    <x v="12"/>
    <x v="56"/>
    <x v="0"/>
    <m/>
    <n v="1.9189400000000001"/>
    <n v="1.9608000000000001"/>
    <n v="1.93987"/>
    <n v="418.6"/>
  </r>
  <r>
    <x v="12"/>
    <x v="56"/>
    <x v="0"/>
    <m/>
    <n v="1.9189400000000001"/>
    <n v="1.9608000000000001"/>
    <n v="1.93987"/>
    <n v="418.6"/>
  </r>
  <r>
    <x v="12"/>
    <x v="56"/>
    <x v="0"/>
    <m/>
    <n v="1.9189400000000001"/>
    <n v="1.9608000000000001"/>
    <n v="1.93987"/>
    <n v="418.6"/>
  </r>
  <r>
    <x v="12"/>
    <x v="56"/>
    <x v="0"/>
    <m/>
    <n v="1.9189400000000001"/>
    <n v="1.9608000000000001"/>
    <n v="1.93987"/>
    <n v="418.6"/>
  </r>
  <r>
    <x v="12"/>
    <x v="56"/>
    <x v="2"/>
    <m/>
    <n v="101.33199999999999"/>
    <n v="103.343"/>
    <n v="102.33750000000001"/>
    <n v="201.1"/>
  </r>
  <r>
    <x v="12"/>
    <x v="56"/>
    <x v="2"/>
    <m/>
    <n v="101.33199999999999"/>
    <n v="103.343"/>
    <n v="102.33750000000001"/>
    <n v="201.1"/>
  </r>
  <r>
    <x v="12"/>
    <x v="56"/>
    <x v="2"/>
    <m/>
    <n v="101.33199999999999"/>
    <n v="103.343"/>
    <n v="102.33750000000001"/>
    <n v="201.1"/>
  </r>
  <r>
    <x v="12"/>
    <x v="56"/>
    <x v="2"/>
    <m/>
    <n v="101.33199999999999"/>
    <n v="103.343"/>
    <n v="102.33750000000001"/>
    <n v="201.1"/>
  </r>
  <r>
    <x v="12"/>
    <x v="56"/>
    <x v="2"/>
    <m/>
    <n v="101.33199999999999"/>
    <n v="103.343"/>
    <n v="102.33750000000001"/>
    <n v="201.1"/>
  </r>
  <r>
    <x v="12"/>
    <x v="57"/>
    <x v="0"/>
    <m/>
    <n v="1.9189400000000001"/>
    <n v="1.972"/>
    <n v="1.94547"/>
    <n v="530.6"/>
  </r>
  <r>
    <x v="12"/>
    <x v="57"/>
    <x v="0"/>
    <m/>
    <n v="1.9189400000000001"/>
    <n v="1.972"/>
    <n v="1.94547"/>
    <n v="530.6"/>
  </r>
  <r>
    <x v="12"/>
    <x v="57"/>
    <x v="2"/>
    <m/>
    <n v="101.33199999999999"/>
    <n v="103.343"/>
    <n v="102.33750000000001"/>
    <n v="201.1"/>
  </r>
  <r>
    <x v="12"/>
    <x v="57"/>
    <x v="2"/>
    <m/>
    <n v="101.33199999999999"/>
    <n v="103.343"/>
    <n v="102.33750000000001"/>
    <n v="201.1"/>
  </r>
  <r>
    <x v="12"/>
    <x v="57"/>
    <x v="2"/>
    <m/>
    <n v="101.33199999999999"/>
    <n v="103.343"/>
    <n v="102.33750000000001"/>
    <n v="201.1"/>
  </r>
  <r>
    <x v="12"/>
    <x v="57"/>
    <x v="2"/>
    <m/>
    <n v="101.33199999999999"/>
    <n v="103.343"/>
    <n v="102.33750000000001"/>
    <n v="201.1"/>
  </r>
  <r>
    <x v="12"/>
    <x v="57"/>
    <x v="2"/>
    <m/>
    <n v="101.33199999999999"/>
    <n v="103.343"/>
    <n v="102.33750000000001"/>
    <n v="201.1"/>
  </r>
  <r>
    <x v="12"/>
    <x v="57"/>
    <x v="2"/>
    <m/>
    <n v="101.33199999999999"/>
    <n v="103.343"/>
    <n v="102.33750000000001"/>
    <n v="201.1"/>
  </r>
  <r>
    <x v="12"/>
    <x v="57"/>
    <x v="2"/>
    <m/>
    <n v="101.33199999999999"/>
    <n v="103.343"/>
    <n v="102.33750000000001"/>
    <n v="201.1"/>
  </r>
  <r>
    <x v="12"/>
    <x v="57"/>
    <x v="2"/>
    <m/>
    <n v="101.33199999999999"/>
    <n v="103.343"/>
    <n v="102.33750000000001"/>
    <n v="201.1"/>
  </r>
  <r>
    <x v="12"/>
    <x v="57"/>
    <x v="2"/>
    <m/>
    <n v="101.33199999999999"/>
    <n v="103.343"/>
    <n v="102.33750000000001"/>
    <n v="201.1"/>
  </r>
  <r>
    <x v="12"/>
    <x v="57"/>
    <x v="2"/>
    <m/>
    <n v="101.33199999999999"/>
    <n v="103.343"/>
    <n v="102.33750000000001"/>
    <n v="201.1"/>
  </r>
  <r>
    <x v="12"/>
    <x v="57"/>
    <x v="2"/>
    <m/>
    <n v="101.33199999999999"/>
    <n v="103.343"/>
    <n v="102.33750000000001"/>
    <n v="201.1"/>
  </r>
  <r>
    <x v="12"/>
    <x v="57"/>
    <x v="2"/>
    <m/>
    <n v="101.33199999999999"/>
    <n v="103.343"/>
    <n v="102.33750000000001"/>
    <n v="201.1"/>
  </r>
  <r>
    <x v="12"/>
    <x v="57"/>
    <x v="2"/>
    <m/>
    <n v="101.33199999999999"/>
    <n v="103.343"/>
    <n v="102.33750000000001"/>
    <n v="201.1"/>
  </r>
  <r>
    <x v="12"/>
    <x v="57"/>
    <x v="2"/>
    <m/>
    <n v="101.33199999999999"/>
    <n v="103.343"/>
    <n v="102.33750000000001"/>
    <n v="201.1"/>
  </r>
  <r>
    <x v="12"/>
    <x v="57"/>
    <x v="2"/>
    <m/>
    <n v="101.33199999999999"/>
    <n v="103.343"/>
    <n v="102.33750000000001"/>
    <n v="201.1"/>
  </r>
  <r>
    <x v="12"/>
    <x v="57"/>
    <x v="2"/>
    <m/>
    <n v="101.33199999999999"/>
    <n v="103.343"/>
    <n v="102.33750000000001"/>
    <n v="201.1"/>
  </r>
  <r>
    <x v="12"/>
    <x v="57"/>
    <x v="2"/>
    <m/>
    <n v="101.33199999999999"/>
    <n v="103.343"/>
    <n v="102.33750000000001"/>
    <n v="201.1"/>
  </r>
  <r>
    <x v="12"/>
    <x v="57"/>
    <x v="14"/>
    <m/>
    <n v="1288.46"/>
    <n v="1383.26"/>
    <n v="1335.86"/>
    <n v="948"/>
  </r>
  <r>
    <x v="12"/>
    <x v="57"/>
    <x v="14"/>
    <m/>
    <n v="1288.46"/>
    <n v="1383.26"/>
    <n v="1335.86"/>
    <n v="948"/>
  </r>
  <r>
    <x v="12"/>
    <x v="57"/>
    <x v="14"/>
    <m/>
    <n v="1288.46"/>
    <n v="1383.26"/>
    <n v="1335.86"/>
    <n v="948"/>
  </r>
  <r>
    <x v="12"/>
    <x v="57"/>
    <x v="14"/>
    <m/>
    <n v="1288.46"/>
    <n v="1383.26"/>
    <n v="1335.86"/>
    <n v="948"/>
  </r>
  <r>
    <x v="12"/>
    <x v="57"/>
    <x v="14"/>
    <m/>
    <n v="1288.46"/>
    <n v="1383.26"/>
    <n v="1335.86"/>
    <n v="948"/>
  </r>
  <r>
    <x v="12"/>
    <x v="57"/>
    <x v="14"/>
    <m/>
    <n v="1288.46"/>
    <n v="1383.26"/>
    <n v="1335.86"/>
    <n v="948"/>
  </r>
  <r>
    <x v="12"/>
    <x v="57"/>
    <x v="14"/>
    <m/>
    <n v="1288.46"/>
    <n v="1383.26"/>
    <n v="1335.86"/>
    <n v="948"/>
  </r>
  <r>
    <x v="12"/>
    <x v="57"/>
    <x v="14"/>
    <m/>
    <n v="1288.46"/>
    <n v="1383.26"/>
    <n v="1335.86"/>
    <n v="948"/>
  </r>
  <r>
    <x v="12"/>
    <x v="57"/>
    <x v="14"/>
    <m/>
    <n v="1288.46"/>
    <n v="1383.26"/>
    <n v="1335.86"/>
    <n v="948"/>
  </r>
  <r>
    <x v="12"/>
    <x v="57"/>
    <x v="14"/>
    <m/>
    <n v="1288.46"/>
    <n v="1383.26"/>
    <n v="1335.86"/>
    <n v="948"/>
  </r>
  <r>
    <x v="12"/>
    <x v="57"/>
    <x v="14"/>
    <m/>
    <n v="1288.46"/>
    <n v="1383.26"/>
    <n v="1335.86"/>
    <n v="948"/>
  </r>
  <r>
    <x v="12"/>
    <x v="57"/>
    <x v="14"/>
    <m/>
    <n v="1288.46"/>
    <n v="1383.26"/>
    <n v="1335.86"/>
    <n v="948"/>
  </r>
  <r>
    <x v="12"/>
    <x v="57"/>
    <x v="14"/>
    <m/>
    <n v="1288.46"/>
    <n v="1383.26"/>
    <n v="1335.86"/>
    <n v="948"/>
  </r>
  <r>
    <x v="12"/>
    <x v="57"/>
    <x v="14"/>
    <m/>
    <n v="1288.46"/>
    <n v="1383.26"/>
    <n v="1335.86"/>
    <n v="948"/>
  </r>
  <r>
    <x v="12"/>
    <x v="57"/>
    <x v="14"/>
    <m/>
    <n v="1288.46"/>
    <n v="1383.26"/>
    <n v="1335.86"/>
    <n v="948"/>
  </r>
  <r>
    <x v="12"/>
    <x v="57"/>
    <x v="14"/>
    <m/>
    <n v="1288.46"/>
    <n v="1383.26"/>
    <n v="1335.86"/>
    <n v="948"/>
  </r>
  <r>
    <x v="12"/>
    <x v="57"/>
    <x v="14"/>
    <m/>
    <n v="1288.46"/>
    <n v="1383.26"/>
    <n v="1335.86"/>
    <n v="948"/>
  </r>
  <r>
    <x v="12"/>
    <x v="57"/>
    <x v="14"/>
    <m/>
    <n v="1288.46"/>
    <n v="1383.26"/>
    <n v="1335.86"/>
    <n v="948"/>
  </r>
  <r>
    <x v="12"/>
    <x v="57"/>
    <x v="14"/>
    <m/>
    <n v="1288.46"/>
    <n v="1383.26"/>
    <n v="1335.86"/>
    <n v="948"/>
  </r>
  <r>
    <x v="12"/>
    <x v="57"/>
    <x v="14"/>
    <m/>
    <n v="1288.46"/>
    <n v="1383.26"/>
    <n v="1335.86"/>
    <n v="948"/>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7"/>
    <m/>
    <n v="1.46139"/>
    <n v="1.5411999999999999"/>
    <n v="1.501295"/>
    <n v="798.1"/>
  </r>
  <r>
    <x v="12"/>
    <x v="57"/>
    <x v="0"/>
    <m/>
    <n v="1.9189400000000001"/>
    <n v="1.972"/>
    <n v="1.94547"/>
    <n v="530.6"/>
  </r>
  <r>
    <x v="12"/>
    <x v="57"/>
    <x v="0"/>
    <m/>
    <n v="1.9189400000000001"/>
    <n v="1.972"/>
    <n v="1.94547"/>
    <n v="530.6"/>
  </r>
  <r>
    <x v="12"/>
    <x v="57"/>
    <x v="0"/>
    <m/>
    <n v="1.9189400000000001"/>
    <n v="1.972"/>
    <n v="1.94547"/>
    <n v="530.6"/>
  </r>
  <r>
    <x v="12"/>
    <x v="57"/>
    <x v="0"/>
    <m/>
    <n v="1.9189400000000001"/>
    <n v="1.972"/>
    <n v="1.94547"/>
    <n v="530.6"/>
  </r>
  <r>
    <x v="12"/>
    <x v="57"/>
    <x v="0"/>
    <m/>
    <n v="1.9189400000000001"/>
    <n v="1.972"/>
    <n v="1.94547"/>
    <n v="530.6"/>
  </r>
  <r>
    <x v="12"/>
    <x v="57"/>
    <x v="0"/>
    <m/>
    <n v="1.9189400000000001"/>
    <n v="1.972"/>
    <n v="1.94547"/>
    <n v="530.6"/>
  </r>
  <r>
    <x v="12"/>
    <x v="57"/>
    <x v="0"/>
    <m/>
    <n v="1.9189400000000001"/>
    <n v="1.972"/>
    <n v="1.94547"/>
    <n v="530.6"/>
  </r>
  <r>
    <x v="12"/>
    <x v="57"/>
    <x v="0"/>
    <m/>
    <n v="1.9189400000000001"/>
    <n v="1.972"/>
    <n v="1.94547"/>
    <n v="530.6"/>
  </r>
  <r>
    <x v="12"/>
    <x v="57"/>
    <x v="0"/>
    <m/>
    <n v="1.9189400000000001"/>
    <n v="1.972"/>
    <n v="1.94547"/>
    <n v="530.6"/>
  </r>
  <r>
    <x v="12"/>
    <x v="57"/>
    <x v="0"/>
    <m/>
    <n v="1.9189400000000001"/>
    <n v="1.972"/>
    <n v="1.94547"/>
    <n v="530.6"/>
  </r>
  <r>
    <x v="12"/>
    <x v="57"/>
    <x v="0"/>
    <m/>
    <n v="1.9189400000000001"/>
    <n v="1.972"/>
    <n v="1.94547"/>
    <n v="530.6"/>
  </r>
  <r>
    <x v="12"/>
    <x v="57"/>
    <x v="0"/>
    <m/>
    <n v="1.9189400000000001"/>
    <n v="1.972"/>
    <n v="1.94547"/>
    <n v="530.6"/>
  </r>
  <r>
    <x v="12"/>
    <x v="57"/>
    <x v="0"/>
    <m/>
    <n v="1.9189400000000001"/>
    <n v="1.972"/>
    <n v="1.94547"/>
    <n v="530.6"/>
  </r>
  <r>
    <x v="12"/>
    <x v="57"/>
    <x v="0"/>
    <m/>
    <n v="1.9189400000000001"/>
    <n v="1.972"/>
    <n v="1.94547"/>
    <n v="530.6"/>
  </r>
  <r>
    <x v="12"/>
    <x v="57"/>
    <x v="0"/>
    <m/>
    <n v="1.9189400000000001"/>
    <n v="1.972"/>
    <n v="1.94547"/>
    <n v="530.6"/>
  </r>
  <r>
    <x v="12"/>
    <x v="57"/>
    <x v="0"/>
    <m/>
    <n v="1.9189400000000001"/>
    <n v="1.972"/>
    <n v="1.94547"/>
    <n v="530.6"/>
  </r>
  <r>
    <x v="12"/>
    <x v="58"/>
    <x v="2"/>
    <m/>
    <n v="101.33199999999999"/>
    <n v="103.343"/>
    <n v="102.33750000000001"/>
    <n v="201.1"/>
  </r>
  <r>
    <x v="12"/>
    <x v="58"/>
    <x v="2"/>
    <m/>
    <n v="101.33199999999999"/>
    <n v="103.343"/>
    <n v="102.33750000000001"/>
    <n v="201.1"/>
  </r>
  <r>
    <x v="12"/>
    <x v="58"/>
    <x v="2"/>
    <m/>
    <n v="101.33199999999999"/>
    <n v="103.343"/>
    <n v="102.33750000000001"/>
    <n v="201.1"/>
  </r>
  <r>
    <x v="12"/>
    <x v="58"/>
    <x v="2"/>
    <m/>
    <n v="101.33199999999999"/>
    <n v="103.343"/>
    <n v="102.33750000000001"/>
    <n v="201.1"/>
  </r>
  <r>
    <x v="12"/>
    <x v="58"/>
    <x v="2"/>
    <m/>
    <n v="101.33199999999999"/>
    <n v="103.343"/>
    <n v="102.33750000000001"/>
    <n v="201.1"/>
  </r>
  <r>
    <x v="12"/>
    <x v="58"/>
    <x v="2"/>
    <m/>
    <n v="101.33199999999999"/>
    <n v="103.343"/>
    <n v="102.33750000000001"/>
    <n v="201.1"/>
  </r>
  <r>
    <x v="12"/>
    <x v="58"/>
    <x v="2"/>
    <m/>
    <n v="101.33199999999999"/>
    <n v="103.343"/>
    <n v="102.33750000000001"/>
    <n v="201.1"/>
  </r>
  <r>
    <x v="12"/>
    <x v="58"/>
    <x v="2"/>
    <m/>
    <n v="101.33199999999999"/>
    <n v="103.343"/>
    <n v="102.33750000000001"/>
    <n v="201.1"/>
  </r>
  <r>
    <x v="12"/>
    <x v="58"/>
    <x v="2"/>
    <m/>
    <n v="101.33199999999999"/>
    <n v="103.343"/>
    <n v="102.33750000000001"/>
    <n v="201.1"/>
  </r>
  <r>
    <x v="12"/>
    <x v="58"/>
    <x v="2"/>
    <m/>
    <n v="101.33199999999999"/>
    <n v="103.343"/>
    <n v="102.33750000000001"/>
    <n v="201.1"/>
  </r>
  <r>
    <x v="12"/>
    <x v="58"/>
    <x v="2"/>
    <m/>
    <n v="101.33199999999999"/>
    <n v="103.343"/>
    <n v="102.33750000000001"/>
    <n v="201.1"/>
  </r>
  <r>
    <x v="12"/>
    <x v="58"/>
    <x v="2"/>
    <m/>
    <n v="101.33199999999999"/>
    <n v="103.343"/>
    <n v="102.33750000000001"/>
    <n v="201.1"/>
  </r>
  <r>
    <x v="12"/>
    <x v="58"/>
    <x v="2"/>
    <m/>
    <n v="101.33199999999999"/>
    <n v="103.343"/>
    <n v="102.33750000000001"/>
    <n v="201.1"/>
  </r>
  <r>
    <x v="12"/>
    <x v="58"/>
    <x v="14"/>
    <m/>
    <n v="1249.43"/>
    <n v="1383.26"/>
    <n v="1316.345"/>
    <n v="1338.3"/>
  </r>
  <r>
    <x v="12"/>
    <x v="58"/>
    <x v="14"/>
    <m/>
    <n v="1249.43"/>
    <n v="1383.26"/>
    <n v="1316.345"/>
    <n v="1338.3"/>
  </r>
  <r>
    <x v="12"/>
    <x v="58"/>
    <x v="14"/>
    <m/>
    <n v="1249.43"/>
    <n v="1383.26"/>
    <n v="1316.345"/>
    <n v="1338.3"/>
  </r>
  <r>
    <x v="12"/>
    <x v="58"/>
    <x v="14"/>
    <m/>
    <n v="1249.43"/>
    <n v="1383.26"/>
    <n v="1316.345"/>
    <n v="1338.3"/>
  </r>
  <r>
    <x v="12"/>
    <x v="58"/>
    <x v="14"/>
    <m/>
    <n v="1249.43"/>
    <n v="1383.26"/>
    <n v="1316.345"/>
    <n v="1338.3"/>
  </r>
  <r>
    <x v="12"/>
    <x v="58"/>
    <x v="14"/>
    <m/>
    <n v="1249.43"/>
    <n v="1383.26"/>
    <n v="1316.345"/>
    <n v="1338.3"/>
  </r>
  <r>
    <x v="12"/>
    <x v="58"/>
    <x v="14"/>
    <m/>
    <n v="1249.43"/>
    <n v="1383.26"/>
    <n v="1316.345"/>
    <n v="1338.3"/>
  </r>
  <r>
    <x v="12"/>
    <x v="58"/>
    <x v="14"/>
    <m/>
    <n v="1249.43"/>
    <n v="1383.26"/>
    <n v="1316.345"/>
    <n v="1338.3"/>
  </r>
  <r>
    <x v="12"/>
    <x v="58"/>
    <x v="14"/>
    <m/>
    <n v="1249.43"/>
    <n v="1383.26"/>
    <n v="1316.345"/>
    <n v="1338.3"/>
  </r>
  <r>
    <x v="12"/>
    <x v="58"/>
    <x v="14"/>
    <m/>
    <n v="1249.43"/>
    <n v="1383.26"/>
    <n v="1316.345"/>
    <n v="1338.3"/>
  </r>
  <r>
    <x v="12"/>
    <x v="58"/>
    <x v="14"/>
    <m/>
    <n v="1249.43"/>
    <n v="1383.26"/>
    <n v="1316.345"/>
    <n v="1338.3"/>
  </r>
  <r>
    <x v="12"/>
    <x v="58"/>
    <x v="14"/>
    <m/>
    <n v="1249.43"/>
    <n v="1383.26"/>
    <n v="1316.345"/>
    <n v="1338.3"/>
  </r>
  <r>
    <x v="12"/>
    <x v="58"/>
    <x v="14"/>
    <m/>
    <n v="1249.43"/>
    <n v="1383.26"/>
    <n v="1316.345"/>
    <n v="1338.3"/>
  </r>
  <r>
    <x v="12"/>
    <x v="58"/>
    <x v="14"/>
    <m/>
    <n v="1249.43"/>
    <n v="1383.26"/>
    <n v="1316.345"/>
    <n v="1338.3"/>
  </r>
  <r>
    <x v="12"/>
    <x v="58"/>
    <x v="14"/>
    <m/>
    <n v="1249.43"/>
    <n v="1383.26"/>
    <n v="1316.345"/>
    <n v="1338.3"/>
  </r>
  <r>
    <x v="12"/>
    <x v="58"/>
    <x v="14"/>
    <m/>
    <n v="1249.43"/>
    <n v="1383.26"/>
    <n v="1316.345"/>
    <n v="1338.3"/>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7"/>
    <m/>
    <n v="1.46139"/>
    <n v="1.5411999999999999"/>
    <n v="1.501295"/>
    <n v="798.1"/>
  </r>
  <r>
    <x v="12"/>
    <x v="58"/>
    <x v="0"/>
    <m/>
    <n v="1.9189400000000001"/>
    <n v="1.9726999999999999"/>
    <n v="1.9458200000000001"/>
    <n v="537.6"/>
  </r>
  <r>
    <x v="12"/>
    <x v="58"/>
    <x v="0"/>
    <m/>
    <n v="1.9189400000000001"/>
    <n v="1.9726999999999999"/>
    <n v="1.9458200000000001"/>
    <n v="537.6"/>
  </r>
  <r>
    <x v="12"/>
    <x v="58"/>
    <x v="0"/>
    <m/>
    <n v="1.9189400000000001"/>
    <n v="1.9726999999999999"/>
    <n v="1.9458200000000001"/>
    <n v="537.6"/>
  </r>
  <r>
    <x v="12"/>
    <x v="58"/>
    <x v="0"/>
    <m/>
    <n v="1.9189400000000001"/>
    <n v="1.9726999999999999"/>
    <n v="1.9458200000000001"/>
    <n v="537.6"/>
  </r>
  <r>
    <x v="12"/>
    <x v="58"/>
    <x v="0"/>
    <m/>
    <n v="1.9189400000000001"/>
    <n v="1.9726999999999999"/>
    <n v="1.9458200000000001"/>
    <n v="537.6"/>
  </r>
  <r>
    <x v="12"/>
    <x v="58"/>
    <x v="0"/>
    <m/>
    <n v="1.9189400000000001"/>
    <n v="1.9726999999999999"/>
    <n v="1.9458200000000001"/>
    <n v="537.6"/>
  </r>
  <r>
    <x v="12"/>
    <x v="58"/>
    <x v="0"/>
    <m/>
    <n v="1.9189400000000001"/>
    <n v="1.9726999999999999"/>
    <n v="1.9458200000000001"/>
    <n v="537.6"/>
  </r>
  <r>
    <x v="12"/>
    <x v="58"/>
    <x v="0"/>
    <m/>
    <n v="1.9189400000000001"/>
    <n v="1.9726999999999999"/>
    <n v="1.9458200000000001"/>
    <n v="537.6"/>
  </r>
  <r>
    <x v="12"/>
    <x v="58"/>
    <x v="0"/>
    <m/>
    <n v="1.9189400000000001"/>
    <n v="1.9726999999999999"/>
    <n v="1.9458200000000001"/>
    <n v="537.6"/>
  </r>
  <r>
    <x v="12"/>
    <x v="58"/>
    <x v="0"/>
    <m/>
    <n v="1.9189400000000001"/>
    <n v="1.9726999999999999"/>
    <n v="1.9458200000000001"/>
    <n v="537.6"/>
  </r>
  <r>
    <x v="12"/>
    <x v="58"/>
    <x v="0"/>
    <m/>
    <n v="1.9189400000000001"/>
    <n v="1.9726999999999999"/>
    <n v="1.9458200000000001"/>
    <n v="537.6"/>
  </r>
  <r>
    <x v="12"/>
    <x v="58"/>
    <x v="0"/>
    <m/>
    <n v="1.9189400000000001"/>
    <n v="1.9726999999999999"/>
    <n v="1.9458200000000001"/>
    <n v="537.6"/>
  </r>
  <r>
    <x v="12"/>
    <x v="58"/>
    <x v="0"/>
    <m/>
    <n v="1.9189400000000001"/>
    <n v="1.9726999999999999"/>
    <n v="1.9458200000000001"/>
    <n v="537.6"/>
  </r>
  <r>
    <x v="12"/>
    <x v="58"/>
    <x v="0"/>
    <m/>
    <n v="1.9189400000000001"/>
    <n v="1.9726999999999999"/>
    <n v="1.9458200000000001"/>
    <n v="537.6"/>
  </r>
  <r>
    <x v="12"/>
    <x v="58"/>
    <x v="0"/>
    <m/>
    <n v="1.9189400000000001"/>
    <n v="1.9726999999999999"/>
    <n v="1.9458200000000001"/>
    <n v="537.6"/>
  </r>
  <r>
    <x v="12"/>
    <x v="58"/>
    <x v="0"/>
    <m/>
    <n v="1.9189400000000001"/>
    <n v="1.9726999999999999"/>
    <n v="1.9458200000000001"/>
    <n v="537.6"/>
  </r>
  <r>
    <x v="12"/>
    <x v="58"/>
    <x v="0"/>
    <m/>
    <n v="1.9189400000000001"/>
    <n v="1.9726999999999999"/>
    <n v="1.9458200000000001"/>
    <n v="537.6"/>
  </r>
  <r>
    <x v="12"/>
    <x v="58"/>
    <x v="0"/>
    <m/>
    <n v="1.9189400000000001"/>
    <n v="1.9726999999999999"/>
    <n v="1.9458200000000001"/>
    <n v="537.6"/>
  </r>
  <r>
    <x v="12"/>
    <x v="58"/>
    <x v="2"/>
    <m/>
    <n v="101.33199999999999"/>
    <n v="103.343"/>
    <n v="102.33750000000001"/>
    <n v="201.1"/>
  </r>
  <r>
    <x v="12"/>
    <x v="58"/>
    <x v="2"/>
    <m/>
    <n v="101.33199999999999"/>
    <n v="103.343"/>
    <n v="102.33750000000001"/>
    <n v="201.1"/>
  </r>
  <r>
    <x v="12"/>
    <x v="58"/>
    <x v="2"/>
    <m/>
    <n v="101.33199999999999"/>
    <n v="103.343"/>
    <n v="102.33750000000001"/>
    <n v="201.1"/>
  </r>
  <r>
    <x v="12"/>
    <x v="58"/>
    <x v="2"/>
    <m/>
    <n v="101.33199999999999"/>
    <n v="103.343"/>
    <n v="102.33750000000001"/>
    <n v="201.1"/>
  </r>
  <r>
    <x v="12"/>
    <x v="59"/>
    <x v="0"/>
    <m/>
    <n v="1.91"/>
    <n v="1.994"/>
    <n v="1.952"/>
    <n v="840"/>
  </r>
  <r>
    <x v="12"/>
    <x v="59"/>
    <x v="0"/>
    <m/>
    <n v="1.91"/>
    <n v="1.994"/>
    <n v="1.952"/>
    <n v="840"/>
  </r>
  <r>
    <x v="12"/>
    <x v="59"/>
    <x v="0"/>
    <m/>
    <n v="1.91"/>
    <n v="1.994"/>
    <n v="1.952"/>
    <n v="840"/>
  </r>
  <r>
    <x v="12"/>
    <x v="59"/>
    <x v="0"/>
    <m/>
    <n v="1.91"/>
    <n v="1.994"/>
    <n v="1.952"/>
    <n v="840"/>
  </r>
  <r>
    <x v="12"/>
    <x v="59"/>
    <x v="0"/>
    <m/>
    <n v="1.91"/>
    <n v="1.994"/>
    <n v="1.952"/>
    <n v="840"/>
  </r>
  <r>
    <x v="12"/>
    <x v="59"/>
    <x v="0"/>
    <m/>
    <n v="1.91"/>
    <n v="1.994"/>
    <n v="1.952"/>
    <n v="840"/>
  </r>
  <r>
    <x v="12"/>
    <x v="59"/>
    <x v="0"/>
    <m/>
    <n v="1.91"/>
    <n v="1.994"/>
    <n v="1.952"/>
    <n v="840"/>
  </r>
  <r>
    <x v="12"/>
    <x v="59"/>
    <x v="0"/>
    <m/>
    <n v="1.91"/>
    <n v="1.994"/>
    <n v="1.952"/>
    <n v="840"/>
  </r>
  <r>
    <x v="12"/>
    <x v="59"/>
    <x v="0"/>
    <m/>
    <n v="1.91"/>
    <n v="1.994"/>
    <n v="1.952"/>
    <n v="840"/>
  </r>
  <r>
    <x v="12"/>
    <x v="59"/>
    <x v="0"/>
    <m/>
    <n v="1.91"/>
    <n v="1.994"/>
    <n v="1.952"/>
    <n v="840"/>
  </r>
  <r>
    <x v="12"/>
    <x v="59"/>
    <x v="0"/>
    <m/>
    <n v="1.91"/>
    <n v="1.994"/>
    <n v="1.952"/>
    <n v="840"/>
  </r>
  <r>
    <x v="12"/>
    <x v="59"/>
    <x v="0"/>
    <m/>
    <n v="1.91"/>
    <n v="1.994"/>
    <n v="1.952"/>
    <n v="840"/>
  </r>
  <r>
    <x v="12"/>
    <x v="59"/>
    <x v="2"/>
    <m/>
    <n v="101"/>
    <n v="104.005"/>
    <n v="102.5025"/>
    <n v="300.5"/>
  </r>
  <r>
    <x v="12"/>
    <x v="59"/>
    <x v="2"/>
    <m/>
    <n v="101"/>
    <n v="104.005"/>
    <n v="102.5025"/>
    <n v="300.5"/>
  </r>
  <r>
    <x v="12"/>
    <x v="59"/>
    <x v="2"/>
    <m/>
    <n v="101"/>
    <n v="104.005"/>
    <n v="102.5025"/>
    <n v="300.5"/>
  </r>
  <r>
    <x v="12"/>
    <x v="59"/>
    <x v="2"/>
    <m/>
    <n v="101"/>
    <n v="104.005"/>
    <n v="102.5025"/>
    <n v="300.5"/>
  </r>
  <r>
    <x v="12"/>
    <x v="59"/>
    <x v="2"/>
    <m/>
    <n v="101"/>
    <n v="104.005"/>
    <n v="102.5025"/>
    <n v="300.5"/>
  </r>
  <r>
    <x v="12"/>
    <x v="59"/>
    <x v="2"/>
    <m/>
    <n v="101"/>
    <n v="104.005"/>
    <n v="102.5025"/>
    <n v="300.5"/>
  </r>
  <r>
    <x v="12"/>
    <x v="59"/>
    <x v="2"/>
    <m/>
    <n v="101"/>
    <n v="104.005"/>
    <n v="102.5025"/>
    <n v="300.5"/>
  </r>
  <r>
    <x v="12"/>
    <x v="59"/>
    <x v="2"/>
    <m/>
    <n v="101"/>
    <n v="104.005"/>
    <n v="102.5025"/>
    <n v="300.5"/>
  </r>
  <r>
    <x v="12"/>
    <x v="59"/>
    <x v="2"/>
    <m/>
    <n v="101"/>
    <n v="104.005"/>
    <n v="102.5025"/>
    <n v="300.5"/>
  </r>
  <r>
    <x v="12"/>
    <x v="59"/>
    <x v="2"/>
    <m/>
    <n v="101"/>
    <n v="104.005"/>
    <n v="102.5025"/>
    <n v="300.5"/>
  </r>
  <r>
    <x v="12"/>
    <x v="59"/>
    <x v="2"/>
    <m/>
    <n v="101"/>
    <n v="104.005"/>
    <n v="102.5025"/>
    <n v="300.5"/>
  </r>
  <r>
    <x v="12"/>
    <x v="59"/>
    <x v="2"/>
    <m/>
    <n v="101"/>
    <n v="104.005"/>
    <n v="102.5025"/>
    <n v="300.5"/>
  </r>
  <r>
    <x v="12"/>
    <x v="59"/>
    <x v="2"/>
    <m/>
    <n v="101"/>
    <n v="104.005"/>
    <n v="102.5025"/>
    <n v="300.5"/>
  </r>
  <r>
    <x v="12"/>
    <x v="59"/>
    <x v="2"/>
    <m/>
    <n v="101"/>
    <n v="104.005"/>
    <n v="102.5025"/>
    <n v="300.5"/>
  </r>
  <r>
    <x v="12"/>
    <x v="59"/>
    <x v="2"/>
    <m/>
    <n v="101"/>
    <n v="104.005"/>
    <n v="102.5025"/>
    <n v="300.5"/>
  </r>
  <r>
    <x v="12"/>
    <x v="59"/>
    <x v="2"/>
    <m/>
    <n v="101"/>
    <n v="104.005"/>
    <n v="102.5025"/>
    <n v="300.5"/>
  </r>
  <r>
    <x v="12"/>
    <x v="59"/>
    <x v="2"/>
    <m/>
    <n v="101"/>
    <n v="104.005"/>
    <n v="102.5025"/>
    <n v="300.5"/>
  </r>
  <r>
    <x v="12"/>
    <x v="59"/>
    <x v="14"/>
    <m/>
    <n v="1245"/>
    <n v="1390"/>
    <n v="1317.5"/>
    <n v="1450"/>
  </r>
  <r>
    <x v="12"/>
    <x v="59"/>
    <x v="14"/>
    <m/>
    <n v="1245"/>
    <n v="1390"/>
    <n v="1317.5"/>
    <n v="1450"/>
  </r>
  <r>
    <x v="12"/>
    <x v="59"/>
    <x v="14"/>
    <m/>
    <n v="1245"/>
    <n v="1390"/>
    <n v="1317.5"/>
    <n v="1450"/>
  </r>
  <r>
    <x v="12"/>
    <x v="59"/>
    <x v="14"/>
    <m/>
    <n v="1245"/>
    <n v="1390"/>
    <n v="1317.5"/>
    <n v="1450"/>
  </r>
  <r>
    <x v="12"/>
    <x v="59"/>
    <x v="14"/>
    <m/>
    <n v="1245"/>
    <n v="1390"/>
    <n v="1317.5"/>
    <n v="1450"/>
  </r>
  <r>
    <x v="12"/>
    <x v="59"/>
    <x v="14"/>
    <m/>
    <n v="1245"/>
    <n v="1390"/>
    <n v="1317.5"/>
    <n v="1450"/>
  </r>
  <r>
    <x v="12"/>
    <x v="59"/>
    <x v="14"/>
    <m/>
    <n v="1245"/>
    <n v="1390"/>
    <n v="1317.5"/>
    <n v="1450"/>
  </r>
  <r>
    <x v="12"/>
    <x v="59"/>
    <x v="14"/>
    <m/>
    <n v="1245"/>
    <n v="1390"/>
    <n v="1317.5"/>
    <n v="1450"/>
  </r>
  <r>
    <x v="12"/>
    <x v="59"/>
    <x v="14"/>
    <m/>
    <n v="1245"/>
    <n v="1390"/>
    <n v="1317.5"/>
    <n v="1450"/>
  </r>
  <r>
    <x v="12"/>
    <x v="59"/>
    <x v="14"/>
    <m/>
    <n v="1245"/>
    <n v="1390"/>
    <n v="1317.5"/>
    <n v="1450"/>
  </r>
  <r>
    <x v="12"/>
    <x v="59"/>
    <x v="14"/>
    <m/>
    <n v="1245"/>
    <n v="1390"/>
    <n v="1317.5"/>
    <n v="1450"/>
  </r>
  <r>
    <x v="12"/>
    <x v="59"/>
    <x v="14"/>
    <m/>
    <n v="1245"/>
    <n v="1390"/>
    <n v="1317.5"/>
    <n v="1450"/>
  </r>
  <r>
    <x v="12"/>
    <x v="59"/>
    <x v="14"/>
    <m/>
    <n v="1245"/>
    <n v="1390"/>
    <n v="1317.5"/>
    <n v="1450"/>
  </r>
  <r>
    <x v="12"/>
    <x v="59"/>
    <x v="14"/>
    <m/>
    <n v="1245"/>
    <n v="1390"/>
    <n v="1317.5"/>
    <n v="1450"/>
  </r>
  <r>
    <x v="12"/>
    <x v="59"/>
    <x v="14"/>
    <m/>
    <n v="1245"/>
    <n v="1390"/>
    <n v="1317.5"/>
    <n v="1450"/>
  </r>
  <r>
    <x v="12"/>
    <x v="59"/>
    <x v="14"/>
    <m/>
    <n v="1245"/>
    <n v="1390"/>
    <n v="1317.5"/>
    <n v="1450"/>
  </r>
  <r>
    <x v="12"/>
    <x v="59"/>
    <x v="14"/>
    <m/>
    <n v="1245"/>
    <n v="1390"/>
    <n v="1317.5"/>
    <n v="1450"/>
  </r>
  <r>
    <x v="12"/>
    <x v="59"/>
    <x v="14"/>
    <m/>
    <n v="1245"/>
    <n v="1390"/>
    <n v="1317.5"/>
    <n v="1450"/>
  </r>
  <r>
    <x v="12"/>
    <x v="59"/>
    <x v="14"/>
    <m/>
    <n v="1245"/>
    <n v="1390"/>
    <n v="1317.5"/>
    <n v="1450"/>
  </r>
  <r>
    <x v="12"/>
    <x v="59"/>
    <x v="14"/>
    <m/>
    <n v="1245"/>
    <n v="1390"/>
    <n v="1317.5"/>
    <n v="1450"/>
  </r>
  <r>
    <x v="12"/>
    <x v="59"/>
    <x v="14"/>
    <m/>
    <n v="1245"/>
    <n v="1390"/>
    <n v="1317.5"/>
    <n v="1450"/>
  </r>
  <r>
    <x v="12"/>
    <x v="59"/>
    <x v="14"/>
    <m/>
    <n v="1245"/>
    <n v="1390"/>
    <n v="1317.5"/>
    <n v="1450"/>
  </r>
  <r>
    <x v="12"/>
    <x v="59"/>
    <x v="14"/>
    <m/>
    <n v="1245"/>
    <n v="1390"/>
    <n v="1317.5"/>
    <n v="1450"/>
  </r>
  <r>
    <x v="12"/>
    <x v="59"/>
    <x v="14"/>
    <m/>
    <n v="1245"/>
    <n v="1390"/>
    <n v="1317.5"/>
    <n v="1450"/>
  </r>
  <r>
    <x v="12"/>
    <x v="59"/>
    <x v="14"/>
    <m/>
    <n v="1245"/>
    <n v="1390"/>
    <n v="1317.5"/>
    <n v="1450"/>
  </r>
  <r>
    <x v="12"/>
    <x v="59"/>
    <x v="14"/>
    <m/>
    <n v="1245"/>
    <n v="1390"/>
    <n v="1317.5"/>
    <n v="1450"/>
  </r>
  <r>
    <x v="12"/>
    <x v="59"/>
    <x v="14"/>
    <m/>
    <n v="1245"/>
    <n v="1390"/>
    <n v="1317.5"/>
    <n v="1450"/>
  </r>
  <r>
    <x v="12"/>
    <x v="59"/>
    <x v="14"/>
    <m/>
    <n v="1245"/>
    <n v="1390"/>
    <n v="1317.5"/>
    <n v="1450"/>
  </r>
  <r>
    <x v="12"/>
    <x v="59"/>
    <x v="14"/>
    <m/>
    <n v="1245"/>
    <n v="1390"/>
    <n v="1317.5"/>
    <n v="1450"/>
  </r>
  <r>
    <x v="12"/>
    <x v="59"/>
    <x v="14"/>
    <m/>
    <n v="1245"/>
    <n v="1390"/>
    <n v="1317.5"/>
    <n v="1450"/>
  </r>
  <r>
    <x v="12"/>
    <x v="59"/>
    <x v="14"/>
    <m/>
    <n v="1245"/>
    <n v="1390"/>
    <n v="1317.5"/>
    <n v="145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7"/>
    <m/>
    <n v="1.452"/>
    <n v="1.554"/>
    <n v="1.5029999999999999"/>
    <n v="1020"/>
  </r>
  <r>
    <x v="12"/>
    <x v="59"/>
    <x v="0"/>
    <m/>
    <n v="1.91"/>
    <n v="1.994"/>
    <n v="1.952"/>
    <n v="840"/>
  </r>
  <r>
    <x v="12"/>
    <x v="59"/>
    <x v="0"/>
    <m/>
    <n v="1.91"/>
    <n v="1.994"/>
    <n v="1.952"/>
    <n v="840"/>
  </r>
  <r>
    <x v="12"/>
    <x v="59"/>
    <x v="0"/>
    <m/>
    <n v="1.91"/>
    <n v="1.994"/>
    <n v="1.952"/>
    <n v="840"/>
  </r>
  <r>
    <x v="12"/>
    <x v="59"/>
    <x v="0"/>
    <m/>
    <n v="1.91"/>
    <n v="1.994"/>
    <n v="1.952"/>
    <n v="840"/>
  </r>
  <r>
    <x v="12"/>
    <x v="59"/>
    <x v="0"/>
    <m/>
    <n v="1.91"/>
    <n v="1.994"/>
    <n v="1.952"/>
    <n v="840"/>
  </r>
  <r>
    <x v="12"/>
    <x v="59"/>
    <x v="0"/>
    <m/>
    <n v="1.91"/>
    <n v="1.994"/>
    <n v="1.952"/>
    <n v="840"/>
  </r>
  <r>
    <x v="12"/>
    <x v="59"/>
    <x v="0"/>
    <m/>
    <n v="1.91"/>
    <n v="1.994"/>
    <n v="1.952"/>
    <n v="840"/>
  </r>
  <r>
    <x v="12"/>
    <x v="59"/>
    <x v="0"/>
    <m/>
    <n v="1.91"/>
    <n v="1.994"/>
    <n v="1.952"/>
    <n v="840"/>
  </r>
  <r>
    <x v="12"/>
    <x v="59"/>
    <x v="0"/>
    <m/>
    <n v="1.91"/>
    <n v="1.994"/>
    <n v="1.952"/>
    <n v="840"/>
  </r>
  <r>
    <x v="12"/>
    <x v="59"/>
    <x v="0"/>
    <m/>
    <n v="1.91"/>
    <n v="1.994"/>
    <n v="1.952"/>
    <n v="840"/>
  </r>
  <r>
    <x v="12"/>
    <x v="59"/>
    <x v="0"/>
    <m/>
    <n v="1.91"/>
    <n v="1.994"/>
    <n v="1.952"/>
    <n v="840"/>
  </r>
  <r>
    <x v="12"/>
    <x v="25"/>
    <x v="14"/>
    <m/>
    <n v="1245"/>
    <n v="1390"/>
    <n v="1317.5"/>
    <n v="1450"/>
  </r>
  <r>
    <x v="12"/>
    <x v="25"/>
    <x v="14"/>
    <m/>
    <n v="1245"/>
    <n v="1390"/>
    <n v="1317.5"/>
    <n v="1450"/>
  </r>
  <r>
    <x v="12"/>
    <x v="25"/>
    <x v="14"/>
    <m/>
    <n v="1245"/>
    <n v="1390"/>
    <n v="1317.5"/>
    <n v="1450"/>
  </r>
  <r>
    <x v="12"/>
    <x v="25"/>
    <x v="0"/>
    <m/>
    <n v="1.91"/>
    <n v="1.994"/>
    <n v="1.952"/>
    <n v="840"/>
  </r>
  <r>
    <x v="12"/>
    <x v="25"/>
    <x v="0"/>
    <m/>
    <n v="1.91"/>
    <n v="1.994"/>
    <n v="1.952"/>
    <n v="840"/>
  </r>
  <r>
    <x v="12"/>
    <x v="25"/>
    <x v="0"/>
    <m/>
    <n v="1.91"/>
    <n v="1.994"/>
    <n v="1.952"/>
    <n v="840"/>
  </r>
  <r>
    <x v="12"/>
    <x v="25"/>
    <x v="0"/>
    <m/>
    <n v="1.91"/>
    <n v="1.994"/>
    <n v="1.952"/>
    <n v="840"/>
  </r>
  <r>
    <x v="12"/>
    <x v="25"/>
    <x v="0"/>
    <m/>
    <n v="1.91"/>
    <n v="1.994"/>
    <n v="1.952"/>
    <n v="840"/>
  </r>
  <r>
    <x v="12"/>
    <x v="25"/>
    <x v="0"/>
    <m/>
    <n v="1.91"/>
    <n v="1.994"/>
    <n v="1.952"/>
    <n v="840"/>
  </r>
  <r>
    <x v="12"/>
    <x v="25"/>
    <x v="0"/>
    <m/>
    <n v="1.91"/>
    <n v="1.994"/>
    <n v="1.952"/>
    <n v="840"/>
  </r>
  <r>
    <x v="12"/>
    <x v="25"/>
    <x v="0"/>
    <m/>
    <n v="1.91"/>
    <n v="1.994"/>
    <n v="1.952"/>
    <n v="840"/>
  </r>
  <r>
    <x v="12"/>
    <x v="25"/>
    <x v="0"/>
    <m/>
    <n v="1.91"/>
    <n v="1.994"/>
    <n v="1.952"/>
    <n v="840"/>
  </r>
  <r>
    <x v="12"/>
    <x v="25"/>
    <x v="0"/>
    <m/>
    <n v="1.91"/>
    <n v="1.994"/>
    <n v="1.952"/>
    <n v="840"/>
  </r>
  <r>
    <x v="12"/>
    <x v="25"/>
    <x v="0"/>
    <m/>
    <n v="1.91"/>
    <n v="1.994"/>
    <n v="1.952"/>
    <n v="840"/>
  </r>
  <r>
    <x v="12"/>
    <x v="25"/>
    <x v="0"/>
    <m/>
    <n v="1.91"/>
    <n v="1.994"/>
    <n v="1.952"/>
    <n v="840"/>
  </r>
  <r>
    <x v="12"/>
    <x v="25"/>
    <x v="0"/>
    <m/>
    <n v="1.91"/>
    <n v="1.994"/>
    <n v="1.952"/>
    <n v="840"/>
  </r>
  <r>
    <x v="12"/>
    <x v="25"/>
    <x v="0"/>
    <m/>
    <n v="1.91"/>
    <n v="1.994"/>
    <n v="1.952"/>
    <n v="840"/>
  </r>
  <r>
    <x v="12"/>
    <x v="25"/>
    <x v="0"/>
    <m/>
    <n v="1.91"/>
    <n v="1.994"/>
    <n v="1.952"/>
    <n v="840"/>
  </r>
  <r>
    <x v="12"/>
    <x v="25"/>
    <x v="0"/>
    <m/>
    <n v="1.91"/>
    <n v="1.994"/>
    <n v="1.952"/>
    <n v="840"/>
  </r>
  <r>
    <x v="12"/>
    <x v="25"/>
    <x v="0"/>
    <m/>
    <n v="1.91"/>
    <n v="1.994"/>
    <n v="1.952"/>
    <n v="840"/>
  </r>
  <r>
    <x v="12"/>
    <x v="25"/>
    <x v="0"/>
    <m/>
    <n v="1.91"/>
    <n v="1.994"/>
    <n v="1.952"/>
    <n v="840"/>
  </r>
  <r>
    <x v="12"/>
    <x v="25"/>
    <x v="0"/>
    <m/>
    <n v="1.91"/>
    <n v="1.994"/>
    <n v="1.952"/>
    <n v="840"/>
  </r>
  <r>
    <x v="12"/>
    <x v="25"/>
    <x v="0"/>
    <m/>
    <n v="1.91"/>
    <n v="1.994"/>
    <n v="1.952"/>
    <n v="840"/>
  </r>
  <r>
    <x v="12"/>
    <x v="25"/>
    <x v="0"/>
    <m/>
    <n v="1.91"/>
    <n v="1.994"/>
    <n v="1.952"/>
    <n v="840"/>
  </r>
  <r>
    <x v="12"/>
    <x v="25"/>
    <x v="2"/>
    <m/>
    <n v="101"/>
    <n v="104.005"/>
    <n v="102.5025"/>
    <n v="300.5"/>
  </r>
  <r>
    <x v="12"/>
    <x v="25"/>
    <x v="2"/>
    <m/>
    <n v="101"/>
    <n v="104.005"/>
    <n v="102.5025"/>
    <n v="300.5"/>
  </r>
  <r>
    <x v="12"/>
    <x v="25"/>
    <x v="2"/>
    <m/>
    <n v="101"/>
    <n v="104.005"/>
    <n v="102.5025"/>
    <n v="300.5"/>
  </r>
  <r>
    <x v="12"/>
    <x v="25"/>
    <x v="2"/>
    <m/>
    <n v="101"/>
    <n v="104.005"/>
    <n v="102.5025"/>
    <n v="300.5"/>
  </r>
  <r>
    <x v="12"/>
    <x v="25"/>
    <x v="2"/>
    <m/>
    <n v="101"/>
    <n v="104.005"/>
    <n v="102.5025"/>
    <n v="300.5"/>
  </r>
  <r>
    <x v="12"/>
    <x v="25"/>
    <x v="2"/>
    <m/>
    <n v="101"/>
    <n v="104.005"/>
    <n v="102.5025"/>
    <n v="300.5"/>
  </r>
  <r>
    <x v="12"/>
    <x v="25"/>
    <x v="2"/>
    <m/>
    <n v="101"/>
    <n v="104.005"/>
    <n v="102.5025"/>
    <n v="300.5"/>
  </r>
  <r>
    <x v="12"/>
    <x v="25"/>
    <x v="2"/>
    <m/>
    <n v="101"/>
    <n v="104.005"/>
    <n v="102.5025"/>
    <n v="300.5"/>
  </r>
  <r>
    <x v="12"/>
    <x v="25"/>
    <x v="2"/>
    <m/>
    <n v="101"/>
    <n v="104.005"/>
    <n v="102.5025"/>
    <n v="300.5"/>
  </r>
  <r>
    <x v="12"/>
    <x v="25"/>
    <x v="2"/>
    <m/>
    <n v="101"/>
    <n v="104.005"/>
    <n v="102.5025"/>
    <n v="300.5"/>
  </r>
  <r>
    <x v="12"/>
    <x v="25"/>
    <x v="2"/>
    <m/>
    <n v="101"/>
    <n v="104.005"/>
    <n v="102.5025"/>
    <n v="300.5"/>
  </r>
  <r>
    <x v="12"/>
    <x v="25"/>
    <x v="2"/>
    <m/>
    <n v="101"/>
    <n v="104.005"/>
    <n v="102.5025"/>
    <n v="300.5"/>
  </r>
  <r>
    <x v="12"/>
    <x v="25"/>
    <x v="2"/>
    <m/>
    <n v="101"/>
    <n v="104.005"/>
    <n v="102.5025"/>
    <n v="300.5"/>
  </r>
  <r>
    <x v="12"/>
    <x v="25"/>
    <x v="2"/>
    <m/>
    <n v="101"/>
    <n v="104.005"/>
    <n v="102.5025"/>
    <n v="300.5"/>
  </r>
  <r>
    <x v="12"/>
    <x v="25"/>
    <x v="2"/>
    <m/>
    <n v="101"/>
    <n v="104.005"/>
    <n v="102.5025"/>
    <n v="300.5"/>
  </r>
  <r>
    <x v="12"/>
    <x v="25"/>
    <x v="2"/>
    <m/>
    <n v="101"/>
    <n v="104.005"/>
    <n v="102.5025"/>
    <n v="300.5"/>
  </r>
  <r>
    <x v="12"/>
    <x v="25"/>
    <x v="14"/>
    <m/>
    <n v="1245"/>
    <n v="1390"/>
    <n v="1317.5"/>
    <n v="1450"/>
  </r>
  <r>
    <x v="12"/>
    <x v="25"/>
    <x v="14"/>
    <m/>
    <n v="1245"/>
    <n v="1390"/>
    <n v="1317.5"/>
    <n v="1450"/>
  </r>
  <r>
    <x v="12"/>
    <x v="25"/>
    <x v="14"/>
    <m/>
    <n v="1245"/>
    <n v="1390"/>
    <n v="1317.5"/>
    <n v="1450"/>
  </r>
  <r>
    <x v="12"/>
    <x v="25"/>
    <x v="14"/>
    <m/>
    <n v="1245"/>
    <n v="1390"/>
    <n v="1317.5"/>
    <n v="1450"/>
  </r>
  <r>
    <x v="12"/>
    <x v="25"/>
    <x v="14"/>
    <m/>
    <n v="1245"/>
    <n v="1390"/>
    <n v="1317.5"/>
    <n v="1450"/>
  </r>
  <r>
    <x v="12"/>
    <x v="25"/>
    <x v="14"/>
    <m/>
    <n v="1245"/>
    <n v="1390"/>
    <n v="1317.5"/>
    <n v="1450"/>
  </r>
  <r>
    <x v="12"/>
    <x v="25"/>
    <x v="14"/>
    <m/>
    <n v="1245"/>
    <n v="1390"/>
    <n v="1317.5"/>
    <n v="1450"/>
  </r>
  <r>
    <x v="12"/>
    <x v="25"/>
    <x v="14"/>
    <m/>
    <n v="1245"/>
    <n v="1390"/>
    <n v="1317.5"/>
    <n v="1450"/>
  </r>
  <r>
    <x v="12"/>
    <x v="25"/>
    <x v="14"/>
    <m/>
    <n v="1245"/>
    <n v="1390"/>
    <n v="1317.5"/>
    <n v="1450"/>
  </r>
  <r>
    <x v="12"/>
    <x v="25"/>
    <x v="14"/>
    <m/>
    <n v="1245"/>
    <n v="1390"/>
    <n v="1317.5"/>
    <n v="1450"/>
  </r>
  <r>
    <x v="12"/>
    <x v="25"/>
    <x v="14"/>
    <m/>
    <n v="1245"/>
    <n v="1390"/>
    <n v="1317.5"/>
    <n v="1450"/>
  </r>
  <r>
    <x v="12"/>
    <x v="25"/>
    <x v="14"/>
    <m/>
    <n v="1245"/>
    <n v="1390"/>
    <n v="1317.5"/>
    <n v="1450"/>
  </r>
  <r>
    <x v="12"/>
    <x v="25"/>
    <x v="14"/>
    <m/>
    <n v="1245"/>
    <n v="1390"/>
    <n v="1317.5"/>
    <n v="1450"/>
  </r>
  <r>
    <x v="12"/>
    <x v="25"/>
    <x v="14"/>
    <m/>
    <n v="1245"/>
    <n v="1390"/>
    <n v="1317.5"/>
    <n v="1450"/>
  </r>
  <r>
    <x v="12"/>
    <x v="25"/>
    <x v="14"/>
    <m/>
    <n v="1245"/>
    <n v="1390"/>
    <n v="1317.5"/>
    <n v="1450"/>
  </r>
  <r>
    <x v="12"/>
    <x v="25"/>
    <x v="14"/>
    <m/>
    <n v="1245"/>
    <n v="1390"/>
    <n v="1317.5"/>
    <n v="1450"/>
  </r>
  <r>
    <x v="12"/>
    <x v="25"/>
    <x v="14"/>
    <m/>
    <n v="1245"/>
    <n v="1390"/>
    <n v="1317.5"/>
    <n v="1450"/>
  </r>
  <r>
    <x v="12"/>
    <x v="25"/>
    <x v="14"/>
    <m/>
    <n v="1245"/>
    <n v="1390"/>
    <n v="1317.5"/>
    <n v="1450"/>
  </r>
  <r>
    <x v="12"/>
    <x v="25"/>
    <x v="14"/>
    <m/>
    <n v="1245"/>
    <n v="1390"/>
    <n v="1317.5"/>
    <n v="1450"/>
  </r>
  <r>
    <x v="12"/>
    <x v="25"/>
    <x v="14"/>
    <m/>
    <n v="1245"/>
    <n v="1390"/>
    <n v="1317.5"/>
    <n v="1450"/>
  </r>
  <r>
    <x v="12"/>
    <x v="25"/>
    <x v="14"/>
    <m/>
    <n v="1245"/>
    <n v="1390"/>
    <n v="1317.5"/>
    <n v="1450"/>
  </r>
  <r>
    <x v="12"/>
    <x v="25"/>
    <x v="14"/>
    <m/>
    <n v="1245"/>
    <n v="1390"/>
    <n v="1317.5"/>
    <n v="1450"/>
  </r>
  <r>
    <x v="12"/>
    <x v="25"/>
    <x v="14"/>
    <m/>
    <n v="1245"/>
    <n v="1390"/>
    <n v="1317.5"/>
    <n v="1450"/>
  </r>
  <r>
    <x v="12"/>
    <x v="25"/>
    <x v="14"/>
    <m/>
    <n v="1245"/>
    <n v="1390"/>
    <n v="1317.5"/>
    <n v="1450"/>
  </r>
  <r>
    <x v="12"/>
    <x v="25"/>
    <x v="14"/>
    <m/>
    <n v="1245"/>
    <n v="1390"/>
    <n v="1317.5"/>
    <n v="1450"/>
  </r>
  <r>
    <x v="12"/>
    <x v="25"/>
    <x v="14"/>
    <m/>
    <n v="1245"/>
    <n v="1390"/>
    <n v="1317.5"/>
    <n v="1450"/>
  </r>
  <r>
    <x v="12"/>
    <x v="25"/>
    <x v="14"/>
    <m/>
    <n v="1245"/>
    <n v="1390"/>
    <n v="1317.5"/>
    <n v="145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7"/>
    <m/>
    <n v="1.4359999999999999"/>
    <n v="1.554"/>
    <n v="1.4950000000000001"/>
    <n v="1180"/>
  </r>
  <r>
    <x v="12"/>
    <x v="25"/>
    <x v="0"/>
    <m/>
    <n v="1.91"/>
    <n v="1.994"/>
    <n v="1.952"/>
    <n v="840"/>
  </r>
  <r>
    <x v="12"/>
    <x v="25"/>
    <x v="0"/>
    <m/>
    <n v="1.91"/>
    <n v="1.994"/>
    <n v="1.952"/>
    <n v="840"/>
  </r>
  <r>
    <x v="12"/>
    <x v="60"/>
    <x v="14"/>
    <n v="1314.57"/>
    <n v="1245"/>
    <n v="1390"/>
    <n v="1317.5"/>
    <n v="1450"/>
  </r>
  <r>
    <x v="12"/>
    <x v="60"/>
    <x v="14"/>
    <n v="1314.57"/>
    <n v="1245"/>
    <n v="1390"/>
    <n v="1317.5"/>
    <n v="1450"/>
  </r>
  <r>
    <x v="12"/>
    <x v="60"/>
    <x v="14"/>
    <n v="1314.57"/>
    <n v="1245"/>
    <n v="1390"/>
    <n v="1317.5"/>
    <n v="1450"/>
  </r>
  <r>
    <x v="12"/>
    <x v="60"/>
    <x v="14"/>
    <n v="1314.57"/>
    <n v="1245"/>
    <n v="1390"/>
    <n v="1317.5"/>
    <n v="1450"/>
  </r>
  <r>
    <x v="12"/>
    <x v="60"/>
    <x v="0"/>
    <n v="1.9552499999999999"/>
    <n v="1.91"/>
    <n v="1.994"/>
    <n v="1.952"/>
    <n v="840"/>
  </r>
  <r>
    <x v="12"/>
    <x v="60"/>
    <x v="0"/>
    <n v="1.9552499999999999"/>
    <n v="1.91"/>
    <n v="1.994"/>
    <n v="1.952"/>
    <n v="840"/>
  </r>
  <r>
    <x v="12"/>
    <x v="60"/>
    <x v="0"/>
    <n v="1.9552499999999999"/>
    <n v="1.91"/>
    <n v="1.994"/>
    <n v="1.952"/>
    <n v="840"/>
  </r>
  <r>
    <x v="12"/>
    <x v="60"/>
    <x v="0"/>
    <n v="1.9552499999999999"/>
    <n v="1.91"/>
    <n v="1.994"/>
    <n v="1.952"/>
    <n v="840"/>
  </r>
  <r>
    <x v="12"/>
    <x v="60"/>
    <x v="0"/>
    <n v="1.9552499999999999"/>
    <n v="1.91"/>
    <n v="1.994"/>
    <n v="1.952"/>
    <n v="840"/>
  </r>
  <r>
    <x v="12"/>
    <x v="60"/>
    <x v="0"/>
    <n v="1.9552499999999999"/>
    <n v="1.91"/>
    <n v="1.994"/>
    <n v="1.952"/>
    <n v="840"/>
  </r>
  <r>
    <x v="12"/>
    <x v="60"/>
    <x v="0"/>
    <n v="1.9552499999999999"/>
    <n v="1.91"/>
    <n v="1.994"/>
    <n v="1.952"/>
    <n v="840"/>
  </r>
  <r>
    <x v="12"/>
    <x v="60"/>
    <x v="0"/>
    <n v="1.9552499999999999"/>
    <n v="1.91"/>
    <n v="1.994"/>
    <n v="1.952"/>
    <n v="840"/>
  </r>
  <r>
    <x v="12"/>
    <x v="60"/>
    <x v="0"/>
    <n v="1.9552499999999999"/>
    <n v="1.91"/>
    <n v="1.994"/>
    <n v="1.952"/>
    <n v="840"/>
  </r>
  <r>
    <x v="12"/>
    <x v="60"/>
    <x v="0"/>
    <n v="1.9552499999999999"/>
    <n v="1.91"/>
    <n v="1.994"/>
    <n v="1.952"/>
    <n v="840"/>
  </r>
  <r>
    <x v="12"/>
    <x v="60"/>
    <x v="0"/>
    <n v="1.9552499999999999"/>
    <n v="1.91"/>
    <n v="1.994"/>
    <n v="1.952"/>
    <n v="840"/>
  </r>
  <r>
    <x v="12"/>
    <x v="60"/>
    <x v="0"/>
    <n v="1.9552499999999999"/>
    <n v="1.91"/>
    <n v="1.994"/>
    <n v="1.952"/>
    <n v="840"/>
  </r>
  <r>
    <x v="12"/>
    <x v="60"/>
    <x v="0"/>
    <n v="1.9552499999999999"/>
    <n v="1.91"/>
    <n v="1.994"/>
    <n v="1.952"/>
    <n v="840"/>
  </r>
  <r>
    <x v="12"/>
    <x v="60"/>
    <x v="0"/>
    <n v="1.9552499999999999"/>
    <n v="1.91"/>
    <n v="1.994"/>
    <n v="1.952"/>
    <n v="840"/>
  </r>
  <r>
    <x v="12"/>
    <x v="60"/>
    <x v="0"/>
    <n v="1.9552499999999999"/>
    <n v="1.91"/>
    <n v="1.994"/>
    <n v="1.952"/>
    <n v="840"/>
  </r>
  <r>
    <x v="12"/>
    <x v="60"/>
    <x v="0"/>
    <n v="1.9552499999999999"/>
    <n v="1.91"/>
    <n v="1.994"/>
    <n v="1.952"/>
    <n v="840"/>
  </r>
  <r>
    <x v="12"/>
    <x v="60"/>
    <x v="0"/>
    <n v="1.9552499999999999"/>
    <n v="1.91"/>
    <n v="1.994"/>
    <n v="1.952"/>
    <n v="840"/>
  </r>
  <r>
    <x v="12"/>
    <x v="60"/>
    <x v="0"/>
    <n v="1.9552499999999999"/>
    <n v="1.91"/>
    <n v="1.994"/>
    <n v="1.952"/>
    <n v="840"/>
  </r>
  <r>
    <x v="12"/>
    <x v="60"/>
    <x v="0"/>
    <n v="1.9552499999999999"/>
    <n v="1.91"/>
    <n v="1.994"/>
    <n v="1.952"/>
    <n v="840"/>
  </r>
  <r>
    <x v="12"/>
    <x v="60"/>
    <x v="0"/>
    <n v="1.9552499999999999"/>
    <n v="1.91"/>
    <n v="1.994"/>
    <n v="1.952"/>
    <n v="840"/>
  </r>
  <r>
    <x v="12"/>
    <x v="60"/>
    <x v="2"/>
    <n v="102.06399999999999"/>
    <n v="101"/>
    <n v="104.005"/>
    <n v="102.5025"/>
    <n v="300.5"/>
  </r>
  <r>
    <x v="12"/>
    <x v="60"/>
    <x v="2"/>
    <n v="102.06399999999999"/>
    <n v="101"/>
    <n v="104.005"/>
    <n v="102.5025"/>
    <n v="300.5"/>
  </r>
  <r>
    <x v="12"/>
    <x v="60"/>
    <x v="2"/>
    <n v="102.06399999999999"/>
    <n v="101"/>
    <n v="104.005"/>
    <n v="102.5025"/>
    <n v="300.5"/>
  </r>
  <r>
    <x v="12"/>
    <x v="60"/>
    <x v="2"/>
    <n v="102.06399999999999"/>
    <n v="101"/>
    <n v="104.005"/>
    <n v="102.5025"/>
    <n v="300.5"/>
  </r>
  <r>
    <x v="12"/>
    <x v="60"/>
    <x v="2"/>
    <n v="102.06399999999999"/>
    <n v="101"/>
    <n v="104.005"/>
    <n v="102.5025"/>
    <n v="300.5"/>
  </r>
  <r>
    <x v="12"/>
    <x v="60"/>
    <x v="2"/>
    <n v="102.06399999999999"/>
    <n v="101"/>
    <n v="104.005"/>
    <n v="102.5025"/>
    <n v="300.5"/>
  </r>
  <r>
    <x v="12"/>
    <x v="60"/>
    <x v="2"/>
    <n v="102.06399999999999"/>
    <n v="101"/>
    <n v="104.005"/>
    <n v="102.5025"/>
    <n v="300.5"/>
  </r>
  <r>
    <x v="12"/>
    <x v="60"/>
    <x v="2"/>
    <n v="102.06399999999999"/>
    <n v="101"/>
    <n v="104.005"/>
    <n v="102.5025"/>
    <n v="300.5"/>
  </r>
  <r>
    <x v="12"/>
    <x v="60"/>
    <x v="2"/>
    <n v="102.06399999999999"/>
    <n v="101"/>
    <n v="104.005"/>
    <n v="102.5025"/>
    <n v="300.5"/>
  </r>
  <r>
    <x v="12"/>
    <x v="60"/>
    <x v="2"/>
    <n v="102.06399999999999"/>
    <n v="101"/>
    <n v="104.005"/>
    <n v="102.5025"/>
    <n v="300.5"/>
  </r>
  <r>
    <x v="12"/>
    <x v="60"/>
    <x v="2"/>
    <n v="102.06399999999999"/>
    <n v="101"/>
    <n v="104.005"/>
    <n v="102.5025"/>
    <n v="300.5"/>
  </r>
  <r>
    <x v="12"/>
    <x v="60"/>
    <x v="2"/>
    <n v="102.06399999999999"/>
    <n v="101"/>
    <n v="104.005"/>
    <n v="102.5025"/>
    <n v="300.5"/>
  </r>
  <r>
    <x v="12"/>
    <x v="60"/>
    <x v="2"/>
    <n v="102.06399999999999"/>
    <n v="101"/>
    <n v="104.005"/>
    <n v="102.5025"/>
    <n v="300.5"/>
  </r>
  <r>
    <x v="12"/>
    <x v="60"/>
    <x v="2"/>
    <n v="102.06399999999999"/>
    <n v="101"/>
    <n v="104.005"/>
    <n v="102.5025"/>
    <n v="300.5"/>
  </r>
  <r>
    <x v="12"/>
    <x v="60"/>
    <x v="2"/>
    <n v="102.06399999999999"/>
    <n v="101"/>
    <n v="104.005"/>
    <n v="102.5025"/>
    <n v="300.5"/>
  </r>
  <r>
    <x v="12"/>
    <x v="60"/>
    <x v="2"/>
    <n v="102.06399999999999"/>
    <n v="101"/>
    <n v="104.005"/>
    <n v="102.5025"/>
    <n v="300.5"/>
  </r>
  <r>
    <x v="12"/>
    <x v="60"/>
    <x v="2"/>
    <n v="102.06399999999999"/>
    <n v="101"/>
    <n v="104.005"/>
    <n v="102.5025"/>
    <n v="300.5"/>
  </r>
  <r>
    <x v="12"/>
    <x v="60"/>
    <x v="14"/>
    <n v="1314.57"/>
    <n v="1245"/>
    <n v="1390"/>
    <n v="1317.5"/>
    <n v="1450"/>
  </r>
  <r>
    <x v="12"/>
    <x v="60"/>
    <x v="14"/>
    <n v="1314.57"/>
    <n v="1245"/>
    <n v="1390"/>
    <n v="1317.5"/>
    <n v="1450"/>
  </r>
  <r>
    <x v="12"/>
    <x v="60"/>
    <x v="14"/>
    <n v="1314.57"/>
    <n v="1245"/>
    <n v="1390"/>
    <n v="1317.5"/>
    <n v="1450"/>
  </r>
  <r>
    <x v="12"/>
    <x v="60"/>
    <x v="14"/>
    <n v="1314.57"/>
    <n v="1245"/>
    <n v="1390"/>
    <n v="1317.5"/>
    <n v="1450"/>
  </r>
  <r>
    <x v="12"/>
    <x v="60"/>
    <x v="14"/>
    <n v="1314.57"/>
    <n v="1245"/>
    <n v="1390"/>
    <n v="1317.5"/>
    <n v="1450"/>
  </r>
  <r>
    <x v="12"/>
    <x v="60"/>
    <x v="14"/>
    <n v="1314.57"/>
    <n v="1245"/>
    <n v="1390"/>
    <n v="1317.5"/>
    <n v="1450"/>
  </r>
  <r>
    <x v="12"/>
    <x v="60"/>
    <x v="14"/>
    <n v="1314.57"/>
    <n v="1245"/>
    <n v="1390"/>
    <n v="1317.5"/>
    <n v="1450"/>
  </r>
  <r>
    <x v="12"/>
    <x v="60"/>
    <x v="14"/>
    <n v="1314.57"/>
    <n v="1245"/>
    <n v="1390"/>
    <n v="1317.5"/>
    <n v="1450"/>
  </r>
  <r>
    <x v="12"/>
    <x v="60"/>
    <x v="14"/>
    <n v="1314.57"/>
    <n v="1245"/>
    <n v="1390"/>
    <n v="1317.5"/>
    <n v="1450"/>
  </r>
  <r>
    <x v="12"/>
    <x v="60"/>
    <x v="14"/>
    <n v="1314.57"/>
    <n v="1245"/>
    <n v="1390"/>
    <n v="1317.5"/>
    <n v="1450"/>
  </r>
  <r>
    <x v="12"/>
    <x v="60"/>
    <x v="14"/>
    <n v="1314.57"/>
    <n v="1245"/>
    <n v="1390"/>
    <n v="1317.5"/>
    <n v="1450"/>
  </r>
  <r>
    <x v="12"/>
    <x v="60"/>
    <x v="14"/>
    <n v="1314.57"/>
    <n v="1245"/>
    <n v="1390"/>
    <n v="1317.5"/>
    <n v="1450"/>
  </r>
  <r>
    <x v="12"/>
    <x v="60"/>
    <x v="14"/>
    <n v="1314.57"/>
    <n v="1245"/>
    <n v="1390"/>
    <n v="1317.5"/>
    <n v="1450"/>
  </r>
  <r>
    <x v="12"/>
    <x v="60"/>
    <x v="14"/>
    <n v="1314.57"/>
    <n v="1245"/>
    <n v="1390"/>
    <n v="1317.5"/>
    <n v="1450"/>
  </r>
  <r>
    <x v="12"/>
    <x v="60"/>
    <x v="14"/>
    <n v="1314.57"/>
    <n v="1245"/>
    <n v="1390"/>
    <n v="1317.5"/>
    <n v="1450"/>
  </r>
  <r>
    <x v="12"/>
    <x v="60"/>
    <x v="14"/>
    <n v="1314.57"/>
    <n v="1245"/>
    <n v="1390"/>
    <n v="1317.5"/>
    <n v="1450"/>
  </r>
  <r>
    <x v="12"/>
    <x v="60"/>
    <x v="14"/>
    <n v="1314.57"/>
    <n v="1245"/>
    <n v="1390"/>
    <n v="1317.5"/>
    <n v="1450"/>
  </r>
  <r>
    <x v="12"/>
    <x v="60"/>
    <x v="14"/>
    <n v="1314.57"/>
    <n v="1245"/>
    <n v="1390"/>
    <n v="1317.5"/>
    <n v="1450"/>
  </r>
  <r>
    <x v="12"/>
    <x v="60"/>
    <x v="14"/>
    <n v="1314.57"/>
    <n v="1245"/>
    <n v="1390"/>
    <n v="1317.5"/>
    <n v="1450"/>
  </r>
  <r>
    <x v="12"/>
    <x v="60"/>
    <x v="14"/>
    <n v="1314.57"/>
    <n v="1245"/>
    <n v="1390"/>
    <n v="1317.5"/>
    <n v="1450"/>
  </r>
  <r>
    <x v="12"/>
    <x v="60"/>
    <x v="14"/>
    <n v="1314.57"/>
    <n v="1245"/>
    <n v="1390"/>
    <n v="1317.5"/>
    <n v="1450"/>
  </r>
  <r>
    <x v="12"/>
    <x v="60"/>
    <x v="14"/>
    <n v="1314.57"/>
    <n v="1245"/>
    <n v="1390"/>
    <n v="1317.5"/>
    <n v="1450"/>
  </r>
  <r>
    <x v="12"/>
    <x v="60"/>
    <x v="14"/>
    <n v="1314.57"/>
    <n v="1245"/>
    <n v="1390"/>
    <n v="1317.5"/>
    <n v="1450"/>
  </r>
  <r>
    <x v="12"/>
    <x v="60"/>
    <x v="14"/>
    <n v="1314.57"/>
    <n v="1245"/>
    <n v="1390"/>
    <n v="1317.5"/>
    <n v="1450"/>
  </r>
  <r>
    <x v="12"/>
    <x v="60"/>
    <x v="14"/>
    <n v="1314.57"/>
    <n v="1245"/>
    <n v="1390"/>
    <n v="1317.5"/>
    <n v="1450"/>
  </r>
  <r>
    <x v="12"/>
    <x v="60"/>
    <x v="14"/>
    <n v="1314.57"/>
    <n v="1245"/>
    <n v="1390"/>
    <n v="1317.5"/>
    <n v="1450"/>
  </r>
  <r>
    <x v="12"/>
    <x v="60"/>
    <x v="14"/>
    <n v="1314.57"/>
    <n v="1245"/>
    <n v="1390"/>
    <n v="1317.5"/>
    <n v="145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7"/>
    <n v="1.4465300000000001"/>
    <n v="1.4359999999999999"/>
    <n v="1.554"/>
    <n v="1.4950000000000001"/>
    <n v="1180"/>
  </r>
  <r>
    <x v="12"/>
    <x v="60"/>
    <x v="0"/>
    <n v="1.9552499999999999"/>
    <n v="1.91"/>
    <n v="1.994"/>
    <n v="1.952"/>
    <n v="840"/>
  </r>
  <r>
    <x v="12"/>
    <x v="60"/>
    <x v="0"/>
    <n v="1.9552499999999999"/>
    <n v="1.91"/>
    <n v="1.994"/>
    <n v="1.952"/>
    <n v="840"/>
  </r>
  <r>
    <x v="12"/>
    <x v="60"/>
    <x v="0"/>
    <n v="1.9552499999999999"/>
    <n v="1.91"/>
    <n v="1.994"/>
    <n v="1.952"/>
    <n v="840"/>
  </r>
  <r>
    <x v="12"/>
    <x v="26"/>
    <x v="14"/>
    <n v="1315.94"/>
    <n v="1245"/>
    <n v="1390"/>
    <n v="1317.5"/>
    <n v="1450"/>
  </r>
  <r>
    <x v="12"/>
    <x v="26"/>
    <x v="14"/>
    <n v="1315.94"/>
    <n v="1245"/>
    <n v="1390"/>
    <n v="1317.5"/>
    <n v="1450"/>
  </r>
  <r>
    <x v="12"/>
    <x v="26"/>
    <x v="14"/>
    <n v="1315.94"/>
    <n v="1245"/>
    <n v="1390"/>
    <n v="1317.5"/>
    <n v="1450"/>
  </r>
  <r>
    <x v="12"/>
    <x v="26"/>
    <x v="14"/>
    <n v="1315.94"/>
    <n v="1245"/>
    <n v="1390"/>
    <n v="1317.5"/>
    <n v="1450"/>
  </r>
  <r>
    <x v="12"/>
    <x v="26"/>
    <x v="0"/>
    <n v="1.93953"/>
    <n v="1.91"/>
    <n v="1.994"/>
    <n v="1.952"/>
    <n v="840"/>
  </r>
  <r>
    <x v="12"/>
    <x v="26"/>
    <x v="0"/>
    <n v="1.93953"/>
    <n v="1.91"/>
    <n v="1.994"/>
    <n v="1.952"/>
    <n v="840"/>
  </r>
  <r>
    <x v="12"/>
    <x v="26"/>
    <x v="0"/>
    <n v="1.93953"/>
    <n v="1.91"/>
    <n v="1.994"/>
    <n v="1.952"/>
    <n v="840"/>
  </r>
  <r>
    <x v="12"/>
    <x v="26"/>
    <x v="0"/>
    <n v="1.93953"/>
    <n v="1.91"/>
    <n v="1.994"/>
    <n v="1.952"/>
    <n v="840"/>
  </r>
  <r>
    <x v="12"/>
    <x v="26"/>
    <x v="0"/>
    <n v="1.93953"/>
    <n v="1.91"/>
    <n v="1.994"/>
    <n v="1.952"/>
    <n v="840"/>
  </r>
  <r>
    <x v="12"/>
    <x v="26"/>
    <x v="0"/>
    <n v="1.93953"/>
    <n v="1.91"/>
    <n v="1.994"/>
    <n v="1.952"/>
    <n v="840"/>
  </r>
  <r>
    <x v="12"/>
    <x v="26"/>
    <x v="0"/>
    <n v="1.93953"/>
    <n v="1.91"/>
    <n v="1.994"/>
    <n v="1.952"/>
    <n v="840"/>
  </r>
  <r>
    <x v="12"/>
    <x v="26"/>
    <x v="0"/>
    <n v="1.93953"/>
    <n v="1.91"/>
    <n v="1.994"/>
    <n v="1.952"/>
    <n v="840"/>
  </r>
  <r>
    <x v="12"/>
    <x v="26"/>
    <x v="0"/>
    <n v="1.93953"/>
    <n v="1.91"/>
    <n v="1.994"/>
    <n v="1.952"/>
    <n v="840"/>
  </r>
  <r>
    <x v="12"/>
    <x v="26"/>
    <x v="0"/>
    <n v="1.93953"/>
    <n v="1.91"/>
    <n v="1.994"/>
    <n v="1.952"/>
    <n v="840"/>
  </r>
  <r>
    <x v="12"/>
    <x v="26"/>
    <x v="0"/>
    <n v="1.93953"/>
    <n v="1.91"/>
    <n v="1.994"/>
    <n v="1.952"/>
    <n v="840"/>
  </r>
  <r>
    <x v="12"/>
    <x v="26"/>
    <x v="0"/>
    <n v="1.93953"/>
    <n v="1.91"/>
    <n v="1.994"/>
    <n v="1.952"/>
    <n v="840"/>
  </r>
  <r>
    <x v="12"/>
    <x v="26"/>
    <x v="0"/>
    <n v="1.93953"/>
    <n v="1.91"/>
    <n v="1.994"/>
    <n v="1.952"/>
    <n v="840"/>
  </r>
  <r>
    <x v="12"/>
    <x v="26"/>
    <x v="0"/>
    <n v="1.93953"/>
    <n v="1.91"/>
    <n v="1.994"/>
    <n v="1.952"/>
    <n v="840"/>
  </r>
  <r>
    <x v="12"/>
    <x v="26"/>
    <x v="0"/>
    <n v="1.93953"/>
    <n v="1.91"/>
    <n v="1.994"/>
    <n v="1.952"/>
    <n v="840"/>
  </r>
  <r>
    <x v="12"/>
    <x v="26"/>
    <x v="0"/>
    <n v="1.93953"/>
    <n v="1.91"/>
    <n v="1.994"/>
    <n v="1.952"/>
    <n v="840"/>
  </r>
  <r>
    <x v="12"/>
    <x v="26"/>
    <x v="0"/>
    <n v="1.93953"/>
    <n v="1.91"/>
    <n v="1.994"/>
    <n v="1.952"/>
    <n v="840"/>
  </r>
  <r>
    <x v="12"/>
    <x v="26"/>
    <x v="0"/>
    <n v="1.93953"/>
    <n v="1.91"/>
    <n v="1.994"/>
    <n v="1.952"/>
    <n v="840"/>
  </r>
  <r>
    <x v="12"/>
    <x v="26"/>
    <x v="0"/>
    <n v="1.93953"/>
    <n v="1.91"/>
    <n v="1.994"/>
    <n v="1.952"/>
    <n v="840"/>
  </r>
  <r>
    <x v="12"/>
    <x v="26"/>
    <x v="0"/>
    <n v="1.93953"/>
    <n v="1.91"/>
    <n v="1.994"/>
    <n v="1.952"/>
    <n v="840"/>
  </r>
  <r>
    <x v="12"/>
    <x v="26"/>
    <x v="2"/>
    <n v="101.334"/>
    <n v="101"/>
    <n v="104.005"/>
    <n v="102.5025"/>
    <n v="300.5"/>
  </r>
  <r>
    <x v="12"/>
    <x v="26"/>
    <x v="2"/>
    <n v="101.334"/>
    <n v="101"/>
    <n v="104.005"/>
    <n v="102.5025"/>
    <n v="300.5"/>
  </r>
  <r>
    <x v="12"/>
    <x v="26"/>
    <x v="2"/>
    <n v="101.334"/>
    <n v="101"/>
    <n v="104.005"/>
    <n v="102.5025"/>
    <n v="300.5"/>
  </r>
  <r>
    <x v="12"/>
    <x v="26"/>
    <x v="2"/>
    <n v="101.334"/>
    <n v="101"/>
    <n v="104.005"/>
    <n v="102.5025"/>
    <n v="300.5"/>
  </r>
  <r>
    <x v="12"/>
    <x v="26"/>
    <x v="2"/>
    <n v="101.334"/>
    <n v="101"/>
    <n v="104.005"/>
    <n v="102.5025"/>
    <n v="300.5"/>
  </r>
  <r>
    <x v="12"/>
    <x v="26"/>
    <x v="2"/>
    <n v="101.334"/>
    <n v="101"/>
    <n v="104.005"/>
    <n v="102.5025"/>
    <n v="300.5"/>
  </r>
  <r>
    <x v="12"/>
    <x v="26"/>
    <x v="2"/>
    <n v="101.334"/>
    <n v="101"/>
    <n v="104.005"/>
    <n v="102.5025"/>
    <n v="300.5"/>
  </r>
  <r>
    <x v="12"/>
    <x v="26"/>
    <x v="2"/>
    <n v="101.334"/>
    <n v="101"/>
    <n v="104.005"/>
    <n v="102.5025"/>
    <n v="300.5"/>
  </r>
  <r>
    <x v="12"/>
    <x v="26"/>
    <x v="2"/>
    <n v="101.334"/>
    <n v="101"/>
    <n v="104.005"/>
    <n v="102.5025"/>
    <n v="300.5"/>
  </r>
  <r>
    <x v="12"/>
    <x v="26"/>
    <x v="2"/>
    <n v="101.334"/>
    <n v="101"/>
    <n v="104.005"/>
    <n v="102.5025"/>
    <n v="300.5"/>
  </r>
  <r>
    <x v="12"/>
    <x v="26"/>
    <x v="2"/>
    <n v="101.334"/>
    <n v="101"/>
    <n v="104.005"/>
    <n v="102.5025"/>
    <n v="300.5"/>
  </r>
  <r>
    <x v="12"/>
    <x v="26"/>
    <x v="2"/>
    <n v="101.334"/>
    <n v="101"/>
    <n v="104.005"/>
    <n v="102.5025"/>
    <n v="300.5"/>
  </r>
  <r>
    <x v="12"/>
    <x v="26"/>
    <x v="2"/>
    <n v="101.334"/>
    <n v="101"/>
    <n v="104.005"/>
    <n v="102.5025"/>
    <n v="300.5"/>
  </r>
  <r>
    <x v="12"/>
    <x v="26"/>
    <x v="2"/>
    <n v="101.334"/>
    <n v="101"/>
    <n v="104.005"/>
    <n v="102.5025"/>
    <n v="300.5"/>
  </r>
  <r>
    <x v="12"/>
    <x v="26"/>
    <x v="2"/>
    <n v="101.334"/>
    <n v="101"/>
    <n v="104.005"/>
    <n v="102.5025"/>
    <n v="300.5"/>
  </r>
  <r>
    <x v="12"/>
    <x v="26"/>
    <x v="2"/>
    <n v="101.334"/>
    <n v="101"/>
    <n v="104.005"/>
    <n v="102.5025"/>
    <n v="300.5"/>
  </r>
  <r>
    <x v="12"/>
    <x v="26"/>
    <x v="2"/>
    <n v="101.334"/>
    <n v="101"/>
    <n v="104.005"/>
    <n v="102.5025"/>
    <n v="300.5"/>
  </r>
  <r>
    <x v="12"/>
    <x v="26"/>
    <x v="14"/>
    <n v="1315.94"/>
    <n v="1245"/>
    <n v="1390"/>
    <n v="1317.5"/>
    <n v="1450"/>
  </r>
  <r>
    <x v="12"/>
    <x v="26"/>
    <x v="14"/>
    <n v="1315.94"/>
    <n v="1245"/>
    <n v="1390"/>
    <n v="1317.5"/>
    <n v="1450"/>
  </r>
  <r>
    <x v="12"/>
    <x v="26"/>
    <x v="14"/>
    <n v="1315.94"/>
    <n v="1245"/>
    <n v="1390"/>
    <n v="1317.5"/>
    <n v="1450"/>
  </r>
  <r>
    <x v="12"/>
    <x v="26"/>
    <x v="14"/>
    <n v="1315.94"/>
    <n v="1245"/>
    <n v="1390"/>
    <n v="1317.5"/>
    <n v="1450"/>
  </r>
  <r>
    <x v="12"/>
    <x v="26"/>
    <x v="14"/>
    <n v="1315.94"/>
    <n v="1245"/>
    <n v="1390"/>
    <n v="1317.5"/>
    <n v="1450"/>
  </r>
  <r>
    <x v="12"/>
    <x v="26"/>
    <x v="14"/>
    <n v="1315.94"/>
    <n v="1245"/>
    <n v="1390"/>
    <n v="1317.5"/>
    <n v="1450"/>
  </r>
  <r>
    <x v="12"/>
    <x v="26"/>
    <x v="14"/>
    <n v="1315.94"/>
    <n v="1245"/>
    <n v="1390"/>
    <n v="1317.5"/>
    <n v="1450"/>
  </r>
  <r>
    <x v="12"/>
    <x v="26"/>
    <x v="14"/>
    <n v="1315.94"/>
    <n v="1245"/>
    <n v="1390"/>
    <n v="1317.5"/>
    <n v="1450"/>
  </r>
  <r>
    <x v="12"/>
    <x v="26"/>
    <x v="14"/>
    <n v="1315.94"/>
    <n v="1245"/>
    <n v="1390"/>
    <n v="1317.5"/>
    <n v="1450"/>
  </r>
  <r>
    <x v="12"/>
    <x v="26"/>
    <x v="14"/>
    <n v="1315.94"/>
    <n v="1245"/>
    <n v="1390"/>
    <n v="1317.5"/>
    <n v="1450"/>
  </r>
  <r>
    <x v="12"/>
    <x v="26"/>
    <x v="14"/>
    <n v="1315.94"/>
    <n v="1245"/>
    <n v="1390"/>
    <n v="1317.5"/>
    <n v="1450"/>
  </r>
  <r>
    <x v="12"/>
    <x v="26"/>
    <x v="14"/>
    <n v="1315.94"/>
    <n v="1245"/>
    <n v="1390"/>
    <n v="1317.5"/>
    <n v="1450"/>
  </r>
  <r>
    <x v="12"/>
    <x v="26"/>
    <x v="14"/>
    <n v="1315.94"/>
    <n v="1245"/>
    <n v="1390"/>
    <n v="1317.5"/>
    <n v="1450"/>
  </r>
  <r>
    <x v="12"/>
    <x v="26"/>
    <x v="14"/>
    <n v="1315.94"/>
    <n v="1245"/>
    <n v="1390"/>
    <n v="1317.5"/>
    <n v="1450"/>
  </r>
  <r>
    <x v="12"/>
    <x v="26"/>
    <x v="14"/>
    <n v="1315.94"/>
    <n v="1245"/>
    <n v="1390"/>
    <n v="1317.5"/>
    <n v="1450"/>
  </r>
  <r>
    <x v="12"/>
    <x v="26"/>
    <x v="14"/>
    <n v="1315.94"/>
    <n v="1245"/>
    <n v="1390"/>
    <n v="1317.5"/>
    <n v="1450"/>
  </r>
  <r>
    <x v="12"/>
    <x v="26"/>
    <x v="14"/>
    <n v="1315.94"/>
    <n v="1245"/>
    <n v="1390"/>
    <n v="1317.5"/>
    <n v="1450"/>
  </r>
  <r>
    <x v="12"/>
    <x v="26"/>
    <x v="14"/>
    <n v="1315.94"/>
    <n v="1245"/>
    <n v="1390"/>
    <n v="1317.5"/>
    <n v="1450"/>
  </r>
  <r>
    <x v="12"/>
    <x v="26"/>
    <x v="14"/>
    <n v="1315.94"/>
    <n v="1245"/>
    <n v="1390"/>
    <n v="1317.5"/>
    <n v="1450"/>
  </r>
  <r>
    <x v="12"/>
    <x v="26"/>
    <x v="14"/>
    <n v="1315.94"/>
    <n v="1245"/>
    <n v="1390"/>
    <n v="1317.5"/>
    <n v="1450"/>
  </r>
  <r>
    <x v="12"/>
    <x v="26"/>
    <x v="14"/>
    <n v="1315.94"/>
    <n v="1245"/>
    <n v="1390"/>
    <n v="1317.5"/>
    <n v="1450"/>
  </r>
  <r>
    <x v="12"/>
    <x v="26"/>
    <x v="14"/>
    <n v="1315.94"/>
    <n v="1245"/>
    <n v="1390"/>
    <n v="1317.5"/>
    <n v="1450"/>
  </r>
  <r>
    <x v="12"/>
    <x v="26"/>
    <x v="14"/>
    <n v="1315.94"/>
    <n v="1245"/>
    <n v="1390"/>
    <n v="1317.5"/>
    <n v="1450"/>
  </r>
  <r>
    <x v="12"/>
    <x v="26"/>
    <x v="14"/>
    <n v="1315.94"/>
    <n v="1245"/>
    <n v="1390"/>
    <n v="1317.5"/>
    <n v="1450"/>
  </r>
  <r>
    <x v="12"/>
    <x v="26"/>
    <x v="14"/>
    <n v="1315.94"/>
    <n v="1245"/>
    <n v="1390"/>
    <n v="1317.5"/>
    <n v="1450"/>
  </r>
  <r>
    <x v="12"/>
    <x v="26"/>
    <x v="14"/>
    <n v="1315.94"/>
    <n v="1245"/>
    <n v="1390"/>
    <n v="1317.5"/>
    <n v="1450"/>
  </r>
  <r>
    <x v="12"/>
    <x v="26"/>
    <x v="14"/>
    <n v="1315.94"/>
    <n v="1245"/>
    <n v="1390"/>
    <n v="1317.5"/>
    <n v="145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7"/>
    <n v="1.4458200000000001"/>
    <n v="1.4359999999999999"/>
    <n v="1.554"/>
    <n v="1.4950000000000001"/>
    <n v="1180"/>
  </r>
  <r>
    <x v="12"/>
    <x v="26"/>
    <x v="0"/>
    <n v="1.93953"/>
    <n v="1.91"/>
    <n v="1.994"/>
    <n v="1.952"/>
    <n v="840"/>
  </r>
  <r>
    <x v="12"/>
    <x v="26"/>
    <x v="0"/>
    <n v="1.93953"/>
    <n v="1.91"/>
    <n v="1.994"/>
    <n v="1.952"/>
    <n v="840"/>
  </r>
  <r>
    <x v="12"/>
    <x v="26"/>
    <x v="0"/>
    <n v="1.93953"/>
    <n v="1.91"/>
    <n v="1.994"/>
    <n v="1.952"/>
    <n v="840"/>
  </r>
  <r>
    <x v="12"/>
    <x v="0"/>
    <x v="14"/>
    <n v="1320.2"/>
    <n v="1245"/>
    <n v="1390"/>
    <n v="1317.5"/>
    <n v="1450"/>
  </r>
  <r>
    <x v="12"/>
    <x v="0"/>
    <x v="14"/>
    <n v="1320.2"/>
    <n v="1245"/>
    <n v="1390"/>
    <n v="1317.5"/>
    <n v="1450"/>
  </r>
  <r>
    <x v="12"/>
    <x v="0"/>
    <x v="14"/>
    <n v="1320.2"/>
    <n v="1245"/>
    <n v="1390"/>
    <n v="1317.5"/>
    <n v="1450"/>
  </r>
  <r>
    <x v="12"/>
    <x v="0"/>
    <x v="14"/>
    <n v="1320.2"/>
    <n v="1245"/>
    <n v="1390"/>
    <n v="1317.5"/>
    <n v="1450"/>
  </r>
  <r>
    <x v="12"/>
    <x v="0"/>
    <x v="14"/>
    <n v="1320.2"/>
    <n v="1245"/>
    <n v="1390"/>
    <n v="1317.5"/>
    <n v="1450"/>
  </r>
  <r>
    <x v="12"/>
    <x v="0"/>
    <x v="14"/>
    <n v="1320.2"/>
    <n v="1245"/>
    <n v="1390"/>
    <n v="1317.5"/>
    <n v="1450"/>
  </r>
  <r>
    <x v="12"/>
    <x v="0"/>
    <x v="14"/>
    <n v="1320.2"/>
    <n v="1245"/>
    <n v="1390"/>
    <n v="1317.5"/>
    <n v="1450"/>
  </r>
  <r>
    <x v="12"/>
    <x v="0"/>
    <x v="14"/>
    <n v="1320.2"/>
    <n v="1245"/>
    <n v="1390"/>
    <n v="1317.5"/>
    <n v="1450"/>
  </r>
  <r>
    <x v="12"/>
    <x v="0"/>
    <x v="14"/>
    <n v="1320.2"/>
    <n v="1245"/>
    <n v="1390"/>
    <n v="1317.5"/>
    <n v="1450"/>
  </r>
  <r>
    <x v="12"/>
    <x v="0"/>
    <x v="14"/>
    <n v="1320.2"/>
    <n v="1245"/>
    <n v="1390"/>
    <n v="1317.5"/>
    <n v="1450"/>
  </r>
  <r>
    <x v="12"/>
    <x v="0"/>
    <x v="14"/>
    <n v="1320.2"/>
    <n v="1245"/>
    <n v="1390"/>
    <n v="1317.5"/>
    <n v="1450"/>
  </r>
  <r>
    <x v="12"/>
    <x v="0"/>
    <x v="14"/>
    <n v="1320.2"/>
    <n v="1245"/>
    <n v="1390"/>
    <n v="1317.5"/>
    <n v="1450"/>
  </r>
  <r>
    <x v="12"/>
    <x v="0"/>
    <x v="14"/>
    <n v="1320.2"/>
    <n v="1245"/>
    <n v="1390"/>
    <n v="1317.5"/>
    <n v="1450"/>
  </r>
  <r>
    <x v="12"/>
    <x v="0"/>
    <x v="14"/>
    <n v="1320.2"/>
    <n v="1245"/>
    <n v="1390"/>
    <n v="1317.5"/>
    <n v="1450"/>
  </r>
  <r>
    <x v="12"/>
    <x v="0"/>
    <x v="14"/>
    <n v="1320.2"/>
    <n v="1245"/>
    <n v="1390"/>
    <n v="1317.5"/>
    <n v="1450"/>
  </r>
  <r>
    <x v="12"/>
    <x v="0"/>
    <x v="14"/>
    <n v="1320.2"/>
    <n v="1245"/>
    <n v="1390"/>
    <n v="1317.5"/>
    <n v="1450"/>
  </r>
  <r>
    <x v="12"/>
    <x v="0"/>
    <x v="14"/>
    <n v="1320.2"/>
    <n v="1245"/>
    <n v="1390"/>
    <n v="1317.5"/>
    <n v="1450"/>
  </r>
  <r>
    <x v="12"/>
    <x v="0"/>
    <x v="14"/>
    <n v="1320.2"/>
    <n v="1245"/>
    <n v="1390"/>
    <n v="1317.5"/>
    <n v="1450"/>
  </r>
  <r>
    <x v="12"/>
    <x v="0"/>
    <x v="7"/>
    <n v="1.45089"/>
    <n v="1.4359999999999999"/>
    <n v="1.554"/>
    <n v="1.4950000000000001"/>
    <n v="1180"/>
  </r>
  <r>
    <x v="12"/>
    <x v="0"/>
    <x v="0"/>
    <n v="1.96217"/>
    <n v="1.91"/>
    <n v="1.994"/>
    <n v="1.952"/>
    <n v="840"/>
  </r>
  <r>
    <x v="12"/>
    <x v="0"/>
    <x v="0"/>
    <n v="1.96217"/>
    <n v="1.91"/>
    <n v="1.994"/>
    <n v="1.952"/>
    <n v="840"/>
  </r>
  <r>
    <x v="12"/>
    <x v="0"/>
    <x v="0"/>
    <n v="1.96217"/>
    <n v="1.91"/>
    <n v="1.994"/>
    <n v="1.952"/>
    <n v="840"/>
  </r>
  <r>
    <x v="12"/>
    <x v="0"/>
    <x v="0"/>
    <n v="1.96217"/>
    <n v="1.91"/>
    <n v="1.994"/>
    <n v="1.952"/>
    <n v="840"/>
  </r>
  <r>
    <x v="12"/>
    <x v="0"/>
    <x v="0"/>
    <n v="1.96217"/>
    <n v="1.91"/>
    <n v="1.994"/>
    <n v="1.952"/>
    <n v="840"/>
  </r>
  <r>
    <x v="12"/>
    <x v="0"/>
    <x v="0"/>
    <n v="1.96217"/>
    <n v="1.91"/>
    <n v="1.994"/>
    <n v="1.952"/>
    <n v="840"/>
  </r>
  <r>
    <x v="12"/>
    <x v="0"/>
    <x v="0"/>
    <n v="1.96217"/>
    <n v="1.91"/>
    <n v="1.994"/>
    <n v="1.952"/>
    <n v="840"/>
  </r>
  <r>
    <x v="12"/>
    <x v="0"/>
    <x v="0"/>
    <n v="1.96217"/>
    <n v="1.91"/>
    <n v="1.994"/>
    <n v="1.952"/>
    <n v="840"/>
  </r>
  <r>
    <x v="12"/>
    <x v="0"/>
    <x v="0"/>
    <n v="1.96217"/>
    <n v="1.91"/>
    <n v="1.994"/>
    <n v="1.952"/>
    <n v="840"/>
  </r>
  <r>
    <x v="12"/>
    <x v="0"/>
    <x v="0"/>
    <n v="1.96217"/>
    <n v="1.91"/>
    <n v="1.994"/>
    <n v="1.952"/>
    <n v="840"/>
  </r>
  <r>
    <x v="12"/>
    <x v="0"/>
    <x v="0"/>
    <n v="1.96217"/>
    <n v="1.91"/>
    <n v="1.994"/>
    <n v="1.952"/>
    <n v="840"/>
  </r>
  <r>
    <x v="12"/>
    <x v="0"/>
    <x v="0"/>
    <n v="1.96217"/>
    <n v="1.91"/>
    <n v="1.994"/>
    <n v="1.952"/>
    <n v="840"/>
  </r>
  <r>
    <x v="12"/>
    <x v="0"/>
    <x v="0"/>
    <n v="1.96217"/>
    <n v="1.91"/>
    <n v="1.994"/>
    <n v="1.952"/>
    <n v="840"/>
  </r>
  <r>
    <x v="12"/>
    <x v="0"/>
    <x v="0"/>
    <n v="1.96217"/>
    <n v="1.91"/>
    <n v="1.994"/>
    <n v="1.952"/>
    <n v="840"/>
  </r>
  <r>
    <x v="12"/>
    <x v="0"/>
    <x v="0"/>
    <n v="1.96217"/>
    <n v="1.91"/>
    <n v="1.994"/>
    <n v="1.952"/>
    <n v="840"/>
  </r>
  <r>
    <x v="12"/>
    <x v="0"/>
    <x v="0"/>
    <n v="1.96217"/>
    <n v="1.91"/>
    <n v="1.994"/>
    <n v="1.952"/>
    <n v="840"/>
  </r>
  <r>
    <x v="12"/>
    <x v="0"/>
    <x v="0"/>
    <n v="1.96217"/>
    <n v="1.91"/>
    <n v="1.994"/>
    <n v="1.952"/>
    <n v="840"/>
  </r>
  <r>
    <x v="12"/>
    <x v="0"/>
    <x v="0"/>
    <n v="1.96217"/>
    <n v="1.91"/>
    <n v="1.994"/>
    <n v="1.952"/>
    <n v="840"/>
  </r>
  <r>
    <x v="12"/>
    <x v="0"/>
    <x v="0"/>
    <n v="1.96217"/>
    <n v="1.91"/>
    <n v="1.994"/>
    <n v="1.952"/>
    <n v="840"/>
  </r>
  <r>
    <x v="12"/>
    <x v="0"/>
    <x v="0"/>
    <n v="1.96217"/>
    <n v="1.91"/>
    <n v="1.994"/>
    <n v="1.952"/>
    <n v="840"/>
  </r>
  <r>
    <x v="12"/>
    <x v="0"/>
    <x v="0"/>
    <n v="1.96217"/>
    <n v="1.91"/>
    <n v="1.994"/>
    <n v="1.952"/>
    <n v="840"/>
  </r>
  <r>
    <x v="12"/>
    <x v="0"/>
    <x v="0"/>
    <n v="1.96217"/>
    <n v="1.91"/>
    <n v="1.994"/>
    <n v="1.952"/>
    <n v="840"/>
  </r>
  <r>
    <x v="12"/>
    <x v="0"/>
    <x v="0"/>
    <n v="1.96217"/>
    <n v="1.91"/>
    <n v="1.994"/>
    <n v="1.952"/>
    <n v="840"/>
  </r>
  <r>
    <x v="12"/>
    <x v="0"/>
    <x v="0"/>
    <n v="1.96217"/>
    <n v="1.91"/>
    <n v="1.994"/>
    <n v="1.952"/>
    <n v="840"/>
  </r>
  <r>
    <x v="12"/>
    <x v="0"/>
    <x v="0"/>
    <n v="1.96217"/>
    <n v="1.91"/>
    <n v="1.994"/>
    <n v="1.952"/>
    <n v="840"/>
  </r>
  <r>
    <x v="12"/>
    <x v="0"/>
    <x v="0"/>
    <n v="1.96217"/>
    <n v="1.91"/>
    <n v="1.994"/>
    <n v="1.952"/>
    <n v="840"/>
  </r>
  <r>
    <x v="12"/>
    <x v="0"/>
    <x v="0"/>
    <n v="1.96217"/>
    <n v="1.91"/>
    <n v="1.994"/>
    <n v="1.952"/>
    <n v="840"/>
  </r>
  <r>
    <x v="12"/>
    <x v="0"/>
    <x v="2"/>
    <n v="102.029"/>
    <n v="101"/>
    <n v="104.005"/>
    <n v="102.5025"/>
    <n v="300.5"/>
  </r>
  <r>
    <x v="12"/>
    <x v="0"/>
    <x v="2"/>
    <n v="102.029"/>
    <n v="101"/>
    <n v="104.005"/>
    <n v="102.5025"/>
    <n v="300.5"/>
  </r>
  <r>
    <x v="12"/>
    <x v="0"/>
    <x v="2"/>
    <n v="102.029"/>
    <n v="101"/>
    <n v="104.005"/>
    <n v="102.5025"/>
    <n v="300.5"/>
  </r>
  <r>
    <x v="12"/>
    <x v="0"/>
    <x v="2"/>
    <n v="102.029"/>
    <n v="101"/>
    <n v="104.005"/>
    <n v="102.5025"/>
    <n v="300.5"/>
  </r>
  <r>
    <x v="12"/>
    <x v="0"/>
    <x v="2"/>
    <n v="102.029"/>
    <n v="101"/>
    <n v="104.005"/>
    <n v="102.5025"/>
    <n v="300.5"/>
  </r>
  <r>
    <x v="12"/>
    <x v="0"/>
    <x v="2"/>
    <n v="102.029"/>
    <n v="101"/>
    <n v="104.005"/>
    <n v="102.5025"/>
    <n v="300.5"/>
  </r>
  <r>
    <x v="12"/>
    <x v="0"/>
    <x v="2"/>
    <n v="102.029"/>
    <n v="101"/>
    <n v="104.005"/>
    <n v="102.5025"/>
    <n v="300.5"/>
  </r>
  <r>
    <x v="12"/>
    <x v="0"/>
    <x v="2"/>
    <n v="102.029"/>
    <n v="101"/>
    <n v="104.005"/>
    <n v="102.5025"/>
    <n v="300.5"/>
  </r>
  <r>
    <x v="12"/>
    <x v="0"/>
    <x v="2"/>
    <n v="102.029"/>
    <n v="101"/>
    <n v="104.005"/>
    <n v="102.5025"/>
    <n v="300.5"/>
  </r>
  <r>
    <x v="12"/>
    <x v="0"/>
    <x v="2"/>
    <n v="102.029"/>
    <n v="101"/>
    <n v="104.005"/>
    <n v="102.5025"/>
    <n v="300.5"/>
  </r>
  <r>
    <x v="12"/>
    <x v="0"/>
    <x v="2"/>
    <n v="102.029"/>
    <n v="101"/>
    <n v="104.005"/>
    <n v="102.5025"/>
    <n v="300.5"/>
  </r>
  <r>
    <x v="12"/>
    <x v="0"/>
    <x v="2"/>
    <n v="102.029"/>
    <n v="101"/>
    <n v="104.005"/>
    <n v="102.5025"/>
    <n v="300.5"/>
  </r>
  <r>
    <x v="12"/>
    <x v="0"/>
    <x v="2"/>
    <n v="102.029"/>
    <n v="101"/>
    <n v="104.005"/>
    <n v="102.5025"/>
    <n v="300.5"/>
  </r>
  <r>
    <x v="12"/>
    <x v="0"/>
    <x v="2"/>
    <n v="102.029"/>
    <n v="101"/>
    <n v="104.005"/>
    <n v="102.5025"/>
    <n v="300.5"/>
  </r>
  <r>
    <x v="12"/>
    <x v="0"/>
    <x v="2"/>
    <n v="102.029"/>
    <n v="101"/>
    <n v="104.005"/>
    <n v="102.5025"/>
    <n v="300.5"/>
  </r>
  <r>
    <x v="12"/>
    <x v="0"/>
    <x v="2"/>
    <n v="102.029"/>
    <n v="101"/>
    <n v="104.005"/>
    <n v="102.5025"/>
    <n v="300.5"/>
  </r>
  <r>
    <x v="12"/>
    <x v="0"/>
    <x v="2"/>
    <n v="102.029"/>
    <n v="101"/>
    <n v="104.005"/>
    <n v="102.5025"/>
    <n v="300.5"/>
  </r>
  <r>
    <x v="12"/>
    <x v="0"/>
    <x v="2"/>
    <n v="102.029"/>
    <n v="101"/>
    <n v="104.005"/>
    <n v="102.5025"/>
    <n v="300.5"/>
  </r>
  <r>
    <x v="12"/>
    <x v="0"/>
    <x v="2"/>
    <n v="102.029"/>
    <n v="101"/>
    <n v="104.005"/>
    <n v="102.5025"/>
    <n v="300.5"/>
  </r>
  <r>
    <x v="12"/>
    <x v="0"/>
    <x v="2"/>
    <n v="102.029"/>
    <n v="101"/>
    <n v="104.005"/>
    <n v="102.5025"/>
    <n v="300.5"/>
  </r>
  <r>
    <x v="12"/>
    <x v="0"/>
    <x v="2"/>
    <n v="102.029"/>
    <n v="101"/>
    <n v="104.005"/>
    <n v="102.5025"/>
    <n v="300.5"/>
  </r>
  <r>
    <x v="12"/>
    <x v="0"/>
    <x v="2"/>
    <n v="102.029"/>
    <n v="101"/>
    <n v="104.005"/>
    <n v="102.5025"/>
    <n v="300.5"/>
  </r>
  <r>
    <x v="12"/>
    <x v="0"/>
    <x v="2"/>
    <n v="102.029"/>
    <n v="101"/>
    <n v="104.005"/>
    <n v="102.5025"/>
    <n v="300.5"/>
  </r>
  <r>
    <x v="12"/>
    <x v="0"/>
    <x v="14"/>
    <n v="1320.2"/>
    <n v="1245"/>
    <n v="1390"/>
    <n v="1317.5"/>
    <n v="1450"/>
  </r>
  <r>
    <x v="12"/>
    <x v="0"/>
    <x v="14"/>
    <n v="1320.2"/>
    <n v="1245"/>
    <n v="1390"/>
    <n v="1317.5"/>
    <n v="1450"/>
  </r>
  <r>
    <x v="12"/>
    <x v="0"/>
    <x v="14"/>
    <n v="1320.2"/>
    <n v="1245"/>
    <n v="1390"/>
    <n v="1317.5"/>
    <n v="1450"/>
  </r>
  <r>
    <x v="12"/>
    <x v="0"/>
    <x v="14"/>
    <n v="1320.2"/>
    <n v="1245"/>
    <n v="1390"/>
    <n v="1317.5"/>
    <n v="1450"/>
  </r>
  <r>
    <x v="12"/>
    <x v="0"/>
    <x v="14"/>
    <n v="1320.2"/>
    <n v="1245"/>
    <n v="1390"/>
    <n v="1317.5"/>
    <n v="1450"/>
  </r>
  <r>
    <x v="12"/>
    <x v="0"/>
    <x v="14"/>
    <n v="1320.2"/>
    <n v="1245"/>
    <n v="1390"/>
    <n v="1317.5"/>
    <n v="1450"/>
  </r>
  <r>
    <x v="12"/>
    <x v="0"/>
    <x v="14"/>
    <n v="1320.2"/>
    <n v="1245"/>
    <n v="1390"/>
    <n v="1317.5"/>
    <n v="1450"/>
  </r>
  <r>
    <x v="12"/>
    <x v="0"/>
    <x v="14"/>
    <n v="1320.2"/>
    <n v="1245"/>
    <n v="1390"/>
    <n v="1317.5"/>
    <n v="1450"/>
  </r>
  <r>
    <x v="12"/>
    <x v="0"/>
    <x v="14"/>
    <n v="1320.2"/>
    <n v="1245"/>
    <n v="1390"/>
    <n v="1317.5"/>
    <n v="1450"/>
  </r>
  <r>
    <x v="12"/>
    <x v="0"/>
    <x v="14"/>
    <n v="1320.2"/>
    <n v="1245"/>
    <n v="1390"/>
    <n v="1317.5"/>
    <n v="1450"/>
  </r>
  <r>
    <x v="12"/>
    <x v="0"/>
    <x v="14"/>
    <n v="1320.2"/>
    <n v="1245"/>
    <n v="1390"/>
    <n v="1317.5"/>
    <n v="1450"/>
  </r>
  <r>
    <x v="12"/>
    <x v="0"/>
    <x v="14"/>
    <n v="1320.2"/>
    <n v="1245"/>
    <n v="1390"/>
    <n v="1317.5"/>
    <n v="1450"/>
  </r>
  <r>
    <x v="12"/>
    <x v="0"/>
    <x v="14"/>
    <n v="1320.2"/>
    <n v="1245"/>
    <n v="1390"/>
    <n v="1317.5"/>
    <n v="145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0"/>
    <x v="7"/>
    <n v="1.45089"/>
    <n v="1.4359999999999999"/>
    <n v="1.554"/>
    <n v="1.4950000000000001"/>
    <n v="1180"/>
  </r>
  <r>
    <x v="12"/>
    <x v="1"/>
    <x v="14"/>
    <n v="1338.5"/>
    <n v="1245"/>
    <n v="1390"/>
    <n v="1317.5"/>
    <n v="1450"/>
  </r>
  <r>
    <x v="12"/>
    <x v="1"/>
    <x v="14"/>
    <n v="1338.5"/>
    <n v="1245"/>
    <n v="1390"/>
    <n v="1317.5"/>
    <n v="1450"/>
  </r>
  <r>
    <x v="12"/>
    <x v="1"/>
    <x v="14"/>
    <n v="1338.5"/>
    <n v="1245"/>
    <n v="1390"/>
    <n v="1317.5"/>
    <n v="1450"/>
  </r>
  <r>
    <x v="12"/>
    <x v="1"/>
    <x v="14"/>
    <n v="1338.5"/>
    <n v="1245"/>
    <n v="1390"/>
    <n v="1317.5"/>
    <n v="1450"/>
  </r>
  <r>
    <x v="12"/>
    <x v="1"/>
    <x v="14"/>
    <n v="1338.5"/>
    <n v="1245"/>
    <n v="1390"/>
    <n v="1317.5"/>
    <n v="1450"/>
  </r>
  <r>
    <x v="12"/>
    <x v="1"/>
    <x v="14"/>
    <n v="1338.5"/>
    <n v="1245"/>
    <n v="1390"/>
    <n v="1317.5"/>
    <n v="1450"/>
  </r>
  <r>
    <x v="12"/>
    <x v="1"/>
    <x v="14"/>
    <n v="1338.5"/>
    <n v="1245"/>
    <n v="1390"/>
    <n v="1317.5"/>
    <n v="1450"/>
  </r>
  <r>
    <x v="12"/>
    <x v="1"/>
    <x v="14"/>
    <n v="1338.5"/>
    <n v="1245"/>
    <n v="1390"/>
    <n v="1317.5"/>
    <n v="1450"/>
  </r>
  <r>
    <x v="12"/>
    <x v="1"/>
    <x v="14"/>
    <n v="1338.5"/>
    <n v="1245"/>
    <n v="1390"/>
    <n v="1317.5"/>
    <n v="1450"/>
  </r>
  <r>
    <x v="12"/>
    <x v="1"/>
    <x v="14"/>
    <n v="1338.5"/>
    <n v="1245"/>
    <n v="1390"/>
    <n v="1317.5"/>
    <n v="1450"/>
  </r>
  <r>
    <x v="12"/>
    <x v="1"/>
    <x v="14"/>
    <n v="1338.5"/>
    <n v="1245"/>
    <n v="1390"/>
    <n v="1317.5"/>
    <n v="1450"/>
  </r>
  <r>
    <x v="12"/>
    <x v="1"/>
    <x v="14"/>
    <n v="1338.5"/>
    <n v="1245"/>
    <n v="1390"/>
    <n v="1317.5"/>
    <n v="1450"/>
  </r>
  <r>
    <x v="12"/>
    <x v="1"/>
    <x v="14"/>
    <n v="1338.5"/>
    <n v="1245"/>
    <n v="1390"/>
    <n v="1317.5"/>
    <n v="1450"/>
  </r>
  <r>
    <x v="12"/>
    <x v="1"/>
    <x v="14"/>
    <n v="1338.5"/>
    <n v="1245"/>
    <n v="1390"/>
    <n v="1317.5"/>
    <n v="1450"/>
  </r>
  <r>
    <x v="12"/>
    <x v="1"/>
    <x v="7"/>
    <n v="1.44716"/>
    <n v="1.4359999999999999"/>
    <n v="1.554"/>
    <n v="1.4950000000000001"/>
    <n v="1180"/>
  </r>
  <r>
    <x v="12"/>
    <x v="1"/>
    <x v="0"/>
    <n v="1.94255"/>
    <n v="1.91"/>
    <n v="1.994"/>
    <n v="1.952"/>
    <n v="840"/>
  </r>
  <r>
    <x v="12"/>
    <x v="1"/>
    <x v="0"/>
    <n v="1.94255"/>
    <n v="1.91"/>
    <n v="1.994"/>
    <n v="1.952"/>
    <n v="840"/>
  </r>
  <r>
    <x v="12"/>
    <x v="1"/>
    <x v="0"/>
    <n v="1.94255"/>
    <n v="1.91"/>
    <n v="1.994"/>
    <n v="1.952"/>
    <n v="840"/>
  </r>
  <r>
    <x v="12"/>
    <x v="1"/>
    <x v="0"/>
    <n v="1.94255"/>
    <n v="1.91"/>
    <n v="1.994"/>
    <n v="1.952"/>
    <n v="840"/>
  </r>
  <r>
    <x v="12"/>
    <x v="1"/>
    <x v="0"/>
    <n v="1.94255"/>
    <n v="1.91"/>
    <n v="1.994"/>
    <n v="1.952"/>
    <n v="840"/>
  </r>
  <r>
    <x v="12"/>
    <x v="1"/>
    <x v="0"/>
    <n v="1.94255"/>
    <n v="1.91"/>
    <n v="1.994"/>
    <n v="1.952"/>
    <n v="840"/>
  </r>
  <r>
    <x v="12"/>
    <x v="1"/>
    <x v="0"/>
    <n v="1.94255"/>
    <n v="1.91"/>
    <n v="1.994"/>
    <n v="1.952"/>
    <n v="840"/>
  </r>
  <r>
    <x v="12"/>
    <x v="1"/>
    <x v="0"/>
    <n v="1.94255"/>
    <n v="1.91"/>
    <n v="1.994"/>
    <n v="1.952"/>
    <n v="840"/>
  </r>
  <r>
    <x v="12"/>
    <x v="1"/>
    <x v="0"/>
    <n v="1.94255"/>
    <n v="1.91"/>
    <n v="1.994"/>
    <n v="1.952"/>
    <n v="840"/>
  </r>
  <r>
    <x v="12"/>
    <x v="1"/>
    <x v="0"/>
    <n v="1.94255"/>
    <n v="1.91"/>
    <n v="1.994"/>
    <n v="1.952"/>
    <n v="840"/>
  </r>
  <r>
    <x v="12"/>
    <x v="1"/>
    <x v="0"/>
    <n v="1.94255"/>
    <n v="1.91"/>
    <n v="1.994"/>
    <n v="1.952"/>
    <n v="840"/>
  </r>
  <r>
    <x v="12"/>
    <x v="1"/>
    <x v="0"/>
    <n v="1.94255"/>
    <n v="1.91"/>
    <n v="1.994"/>
    <n v="1.952"/>
    <n v="840"/>
  </r>
  <r>
    <x v="12"/>
    <x v="1"/>
    <x v="0"/>
    <n v="1.94255"/>
    <n v="1.91"/>
    <n v="1.994"/>
    <n v="1.952"/>
    <n v="840"/>
  </r>
  <r>
    <x v="12"/>
    <x v="1"/>
    <x v="0"/>
    <n v="1.94255"/>
    <n v="1.91"/>
    <n v="1.994"/>
    <n v="1.952"/>
    <n v="840"/>
  </r>
  <r>
    <x v="12"/>
    <x v="1"/>
    <x v="0"/>
    <n v="1.94255"/>
    <n v="1.91"/>
    <n v="1.994"/>
    <n v="1.952"/>
    <n v="840"/>
  </r>
  <r>
    <x v="12"/>
    <x v="1"/>
    <x v="0"/>
    <n v="1.94255"/>
    <n v="1.91"/>
    <n v="1.994"/>
    <n v="1.952"/>
    <n v="840"/>
  </r>
  <r>
    <x v="12"/>
    <x v="1"/>
    <x v="0"/>
    <n v="1.94255"/>
    <n v="1.91"/>
    <n v="1.994"/>
    <n v="1.952"/>
    <n v="840"/>
  </r>
  <r>
    <x v="12"/>
    <x v="1"/>
    <x v="0"/>
    <n v="1.94255"/>
    <n v="1.91"/>
    <n v="1.994"/>
    <n v="1.952"/>
    <n v="840"/>
  </r>
  <r>
    <x v="12"/>
    <x v="1"/>
    <x v="0"/>
    <n v="1.94255"/>
    <n v="1.91"/>
    <n v="1.994"/>
    <n v="1.952"/>
    <n v="840"/>
  </r>
  <r>
    <x v="12"/>
    <x v="1"/>
    <x v="0"/>
    <n v="1.94255"/>
    <n v="1.91"/>
    <n v="1.994"/>
    <n v="1.952"/>
    <n v="840"/>
  </r>
  <r>
    <x v="12"/>
    <x v="1"/>
    <x v="0"/>
    <n v="1.94255"/>
    <n v="1.91"/>
    <n v="1.994"/>
    <n v="1.952"/>
    <n v="840"/>
  </r>
  <r>
    <x v="12"/>
    <x v="1"/>
    <x v="0"/>
    <n v="1.94255"/>
    <n v="1.91"/>
    <n v="1.994"/>
    <n v="1.952"/>
    <n v="840"/>
  </r>
  <r>
    <x v="12"/>
    <x v="1"/>
    <x v="0"/>
    <n v="1.94255"/>
    <n v="1.91"/>
    <n v="1.994"/>
    <n v="1.952"/>
    <n v="840"/>
  </r>
  <r>
    <x v="12"/>
    <x v="1"/>
    <x v="0"/>
    <n v="1.94255"/>
    <n v="1.91"/>
    <n v="1.994"/>
    <n v="1.952"/>
    <n v="840"/>
  </r>
  <r>
    <x v="12"/>
    <x v="1"/>
    <x v="0"/>
    <n v="1.94255"/>
    <n v="1.91"/>
    <n v="1.994"/>
    <n v="1.952"/>
    <n v="840"/>
  </r>
  <r>
    <x v="12"/>
    <x v="1"/>
    <x v="0"/>
    <n v="1.94255"/>
    <n v="1.91"/>
    <n v="1.994"/>
    <n v="1.952"/>
    <n v="840"/>
  </r>
  <r>
    <x v="12"/>
    <x v="1"/>
    <x v="2"/>
    <n v="101.325"/>
    <n v="101"/>
    <n v="104.005"/>
    <n v="102.5025"/>
    <n v="300.5"/>
  </r>
  <r>
    <x v="12"/>
    <x v="1"/>
    <x v="2"/>
    <n v="101.325"/>
    <n v="101"/>
    <n v="104.005"/>
    <n v="102.5025"/>
    <n v="300.5"/>
  </r>
  <r>
    <x v="12"/>
    <x v="1"/>
    <x v="2"/>
    <n v="101.325"/>
    <n v="101"/>
    <n v="104.005"/>
    <n v="102.5025"/>
    <n v="300.5"/>
  </r>
  <r>
    <x v="12"/>
    <x v="1"/>
    <x v="2"/>
    <n v="101.325"/>
    <n v="101"/>
    <n v="104.005"/>
    <n v="102.5025"/>
    <n v="300.5"/>
  </r>
  <r>
    <x v="12"/>
    <x v="1"/>
    <x v="2"/>
    <n v="101.325"/>
    <n v="101"/>
    <n v="104.005"/>
    <n v="102.5025"/>
    <n v="300.5"/>
  </r>
  <r>
    <x v="12"/>
    <x v="1"/>
    <x v="2"/>
    <n v="101.325"/>
    <n v="101"/>
    <n v="104.005"/>
    <n v="102.5025"/>
    <n v="300.5"/>
  </r>
  <r>
    <x v="12"/>
    <x v="1"/>
    <x v="2"/>
    <n v="101.325"/>
    <n v="101"/>
    <n v="104.005"/>
    <n v="102.5025"/>
    <n v="300.5"/>
  </r>
  <r>
    <x v="12"/>
    <x v="1"/>
    <x v="2"/>
    <n v="101.325"/>
    <n v="101"/>
    <n v="104.005"/>
    <n v="102.5025"/>
    <n v="300.5"/>
  </r>
  <r>
    <x v="12"/>
    <x v="1"/>
    <x v="2"/>
    <n v="101.325"/>
    <n v="101"/>
    <n v="104.005"/>
    <n v="102.5025"/>
    <n v="300.5"/>
  </r>
  <r>
    <x v="12"/>
    <x v="1"/>
    <x v="2"/>
    <n v="101.325"/>
    <n v="101"/>
    <n v="104.005"/>
    <n v="102.5025"/>
    <n v="300.5"/>
  </r>
  <r>
    <x v="12"/>
    <x v="1"/>
    <x v="2"/>
    <n v="101.325"/>
    <n v="101"/>
    <n v="104.005"/>
    <n v="102.5025"/>
    <n v="300.5"/>
  </r>
  <r>
    <x v="12"/>
    <x v="1"/>
    <x v="2"/>
    <n v="101.325"/>
    <n v="101"/>
    <n v="104.005"/>
    <n v="102.5025"/>
    <n v="300.5"/>
  </r>
  <r>
    <x v="12"/>
    <x v="1"/>
    <x v="2"/>
    <n v="101.325"/>
    <n v="101"/>
    <n v="104.005"/>
    <n v="102.5025"/>
    <n v="300.5"/>
  </r>
  <r>
    <x v="12"/>
    <x v="1"/>
    <x v="2"/>
    <n v="101.325"/>
    <n v="101"/>
    <n v="104.005"/>
    <n v="102.5025"/>
    <n v="300.5"/>
  </r>
  <r>
    <x v="12"/>
    <x v="1"/>
    <x v="2"/>
    <n v="101.325"/>
    <n v="101"/>
    <n v="104.005"/>
    <n v="102.5025"/>
    <n v="300.5"/>
  </r>
  <r>
    <x v="12"/>
    <x v="1"/>
    <x v="2"/>
    <n v="101.325"/>
    <n v="101"/>
    <n v="104.005"/>
    <n v="102.5025"/>
    <n v="300.5"/>
  </r>
  <r>
    <x v="12"/>
    <x v="1"/>
    <x v="2"/>
    <n v="101.325"/>
    <n v="101"/>
    <n v="104.005"/>
    <n v="102.5025"/>
    <n v="300.5"/>
  </r>
  <r>
    <x v="12"/>
    <x v="1"/>
    <x v="2"/>
    <n v="101.325"/>
    <n v="101"/>
    <n v="104.005"/>
    <n v="102.5025"/>
    <n v="300.5"/>
  </r>
  <r>
    <x v="12"/>
    <x v="1"/>
    <x v="2"/>
    <n v="101.325"/>
    <n v="101"/>
    <n v="104.005"/>
    <n v="102.5025"/>
    <n v="300.5"/>
  </r>
  <r>
    <x v="12"/>
    <x v="1"/>
    <x v="2"/>
    <n v="101.325"/>
    <n v="101"/>
    <n v="104.005"/>
    <n v="102.5025"/>
    <n v="300.5"/>
  </r>
  <r>
    <x v="12"/>
    <x v="1"/>
    <x v="14"/>
    <n v="1338.5"/>
    <n v="1245"/>
    <n v="1390"/>
    <n v="1317.5"/>
    <n v="1450"/>
  </r>
  <r>
    <x v="12"/>
    <x v="1"/>
    <x v="14"/>
    <n v="1338.5"/>
    <n v="1245"/>
    <n v="1390"/>
    <n v="1317.5"/>
    <n v="1450"/>
  </r>
  <r>
    <x v="12"/>
    <x v="1"/>
    <x v="14"/>
    <n v="1338.5"/>
    <n v="1245"/>
    <n v="1390"/>
    <n v="1317.5"/>
    <n v="1450"/>
  </r>
  <r>
    <x v="12"/>
    <x v="1"/>
    <x v="14"/>
    <n v="1338.5"/>
    <n v="1245"/>
    <n v="1390"/>
    <n v="1317.5"/>
    <n v="1450"/>
  </r>
  <r>
    <x v="12"/>
    <x v="1"/>
    <x v="14"/>
    <n v="1338.5"/>
    <n v="1245"/>
    <n v="1390"/>
    <n v="1317.5"/>
    <n v="1450"/>
  </r>
  <r>
    <x v="12"/>
    <x v="1"/>
    <x v="14"/>
    <n v="1338.5"/>
    <n v="1245"/>
    <n v="1390"/>
    <n v="1317.5"/>
    <n v="1450"/>
  </r>
  <r>
    <x v="12"/>
    <x v="1"/>
    <x v="14"/>
    <n v="1338.5"/>
    <n v="1245"/>
    <n v="1390"/>
    <n v="1317.5"/>
    <n v="1450"/>
  </r>
  <r>
    <x v="12"/>
    <x v="1"/>
    <x v="14"/>
    <n v="1338.5"/>
    <n v="1245"/>
    <n v="1390"/>
    <n v="1317.5"/>
    <n v="1450"/>
  </r>
  <r>
    <x v="12"/>
    <x v="1"/>
    <x v="14"/>
    <n v="1338.5"/>
    <n v="1245"/>
    <n v="1390"/>
    <n v="1317.5"/>
    <n v="1450"/>
  </r>
  <r>
    <x v="12"/>
    <x v="1"/>
    <x v="14"/>
    <n v="1338.5"/>
    <n v="1245"/>
    <n v="1390"/>
    <n v="1317.5"/>
    <n v="1450"/>
  </r>
  <r>
    <x v="12"/>
    <x v="1"/>
    <x v="14"/>
    <n v="1338.5"/>
    <n v="1245"/>
    <n v="1390"/>
    <n v="1317.5"/>
    <n v="1450"/>
  </r>
  <r>
    <x v="12"/>
    <x v="1"/>
    <x v="14"/>
    <n v="1338.5"/>
    <n v="1245"/>
    <n v="1390"/>
    <n v="1317.5"/>
    <n v="1450"/>
  </r>
  <r>
    <x v="12"/>
    <x v="1"/>
    <x v="14"/>
    <n v="1338.5"/>
    <n v="1245"/>
    <n v="1390"/>
    <n v="1317.5"/>
    <n v="1450"/>
  </r>
  <r>
    <x v="12"/>
    <x v="1"/>
    <x v="14"/>
    <n v="1338.5"/>
    <n v="1245"/>
    <n v="1390"/>
    <n v="1317.5"/>
    <n v="1450"/>
  </r>
  <r>
    <x v="12"/>
    <x v="1"/>
    <x v="14"/>
    <n v="1338.5"/>
    <n v="1245"/>
    <n v="1390"/>
    <n v="1317.5"/>
    <n v="1450"/>
  </r>
  <r>
    <x v="12"/>
    <x v="1"/>
    <x v="14"/>
    <n v="1338.5"/>
    <n v="1245"/>
    <n v="1390"/>
    <n v="1317.5"/>
    <n v="1450"/>
  </r>
  <r>
    <x v="12"/>
    <x v="1"/>
    <x v="14"/>
    <n v="1338.5"/>
    <n v="1245"/>
    <n v="1390"/>
    <n v="1317.5"/>
    <n v="145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1"/>
    <x v="7"/>
    <n v="1.44716"/>
    <n v="1.4359999999999999"/>
    <n v="1.554"/>
    <n v="1.4950000000000001"/>
    <n v="1180"/>
  </r>
  <r>
    <x v="12"/>
    <x v="2"/>
    <x v="14"/>
    <n v="1310.7380000000001"/>
    <n v="1245"/>
    <n v="1390"/>
    <n v="1317.5"/>
    <n v="1450"/>
  </r>
  <r>
    <x v="12"/>
    <x v="2"/>
    <x v="14"/>
    <n v="1310.7380000000001"/>
    <n v="1245"/>
    <n v="1390"/>
    <n v="1317.5"/>
    <n v="1450"/>
  </r>
  <r>
    <x v="12"/>
    <x v="2"/>
    <x v="14"/>
    <n v="1310.7380000000001"/>
    <n v="1245"/>
    <n v="1390"/>
    <n v="1317.5"/>
    <n v="1450"/>
  </r>
  <r>
    <x v="12"/>
    <x v="2"/>
    <x v="14"/>
    <n v="1310.7380000000001"/>
    <n v="1245"/>
    <n v="1390"/>
    <n v="1317.5"/>
    <n v="1450"/>
  </r>
  <r>
    <x v="12"/>
    <x v="2"/>
    <x v="14"/>
    <n v="1310.7380000000001"/>
    <n v="1245"/>
    <n v="1390"/>
    <n v="1317.5"/>
    <n v="1450"/>
  </r>
  <r>
    <x v="12"/>
    <x v="2"/>
    <x v="14"/>
    <n v="1310.7380000000001"/>
    <n v="1245"/>
    <n v="1390"/>
    <n v="1317.5"/>
    <n v="1450"/>
  </r>
  <r>
    <x v="12"/>
    <x v="2"/>
    <x v="14"/>
    <n v="1310.7380000000001"/>
    <n v="1245"/>
    <n v="1390"/>
    <n v="1317.5"/>
    <n v="1450"/>
  </r>
  <r>
    <x v="12"/>
    <x v="2"/>
    <x v="14"/>
    <n v="1310.7380000000001"/>
    <n v="1245"/>
    <n v="1390"/>
    <n v="1317.5"/>
    <n v="1450"/>
  </r>
  <r>
    <x v="12"/>
    <x v="2"/>
    <x v="14"/>
    <n v="1310.7380000000001"/>
    <n v="1245"/>
    <n v="1390"/>
    <n v="1317.5"/>
    <n v="1450"/>
  </r>
  <r>
    <x v="12"/>
    <x v="2"/>
    <x v="14"/>
    <n v="1310.7380000000001"/>
    <n v="1245"/>
    <n v="1390"/>
    <n v="1317.5"/>
    <n v="1450"/>
  </r>
  <r>
    <x v="12"/>
    <x v="2"/>
    <x v="14"/>
    <n v="1310.7380000000001"/>
    <n v="1245"/>
    <n v="1390"/>
    <n v="1317.5"/>
    <n v="1450"/>
  </r>
  <r>
    <x v="12"/>
    <x v="2"/>
    <x v="14"/>
    <n v="1310.7380000000001"/>
    <n v="1245"/>
    <n v="1390"/>
    <n v="1317.5"/>
    <n v="1450"/>
  </r>
  <r>
    <x v="12"/>
    <x v="2"/>
    <x v="14"/>
    <n v="1310.7380000000001"/>
    <n v="1245"/>
    <n v="1390"/>
    <n v="1317.5"/>
    <n v="1450"/>
  </r>
  <r>
    <x v="12"/>
    <x v="2"/>
    <x v="7"/>
    <n v="1.43926"/>
    <n v="1.4359999999999999"/>
    <n v="1.554"/>
    <n v="1.4950000000000001"/>
    <n v="1180"/>
  </r>
  <r>
    <x v="12"/>
    <x v="2"/>
    <x v="7"/>
    <n v="1.43926"/>
    <n v="1.4359999999999999"/>
    <n v="1.554"/>
    <n v="1.4950000000000001"/>
    <n v="1180"/>
  </r>
  <r>
    <x v="12"/>
    <x v="2"/>
    <x v="0"/>
    <n v="1.96492"/>
    <n v="1.91"/>
    <n v="1.994"/>
    <n v="1.952"/>
    <n v="840"/>
  </r>
  <r>
    <x v="12"/>
    <x v="2"/>
    <x v="0"/>
    <n v="1.96492"/>
    <n v="1.91"/>
    <n v="1.994"/>
    <n v="1.952"/>
    <n v="840"/>
  </r>
  <r>
    <x v="12"/>
    <x v="2"/>
    <x v="0"/>
    <n v="1.96492"/>
    <n v="1.91"/>
    <n v="1.994"/>
    <n v="1.952"/>
    <n v="840"/>
  </r>
  <r>
    <x v="12"/>
    <x v="2"/>
    <x v="0"/>
    <n v="1.96492"/>
    <n v="1.91"/>
    <n v="1.994"/>
    <n v="1.952"/>
    <n v="840"/>
  </r>
  <r>
    <x v="12"/>
    <x v="2"/>
    <x v="0"/>
    <n v="1.96492"/>
    <n v="1.91"/>
    <n v="1.994"/>
    <n v="1.952"/>
    <n v="840"/>
  </r>
  <r>
    <x v="12"/>
    <x v="2"/>
    <x v="0"/>
    <n v="1.96492"/>
    <n v="1.91"/>
    <n v="1.994"/>
    <n v="1.952"/>
    <n v="840"/>
  </r>
  <r>
    <x v="12"/>
    <x v="2"/>
    <x v="0"/>
    <n v="1.96492"/>
    <n v="1.91"/>
    <n v="1.994"/>
    <n v="1.952"/>
    <n v="840"/>
  </r>
  <r>
    <x v="12"/>
    <x v="2"/>
    <x v="0"/>
    <n v="1.96492"/>
    <n v="1.91"/>
    <n v="1.994"/>
    <n v="1.952"/>
    <n v="840"/>
  </r>
  <r>
    <x v="12"/>
    <x v="2"/>
    <x v="0"/>
    <n v="1.96492"/>
    <n v="1.91"/>
    <n v="1.994"/>
    <n v="1.952"/>
    <n v="840"/>
  </r>
  <r>
    <x v="12"/>
    <x v="2"/>
    <x v="0"/>
    <n v="1.96492"/>
    <n v="1.91"/>
    <n v="1.994"/>
    <n v="1.952"/>
    <n v="840"/>
  </r>
  <r>
    <x v="12"/>
    <x v="2"/>
    <x v="0"/>
    <n v="1.96492"/>
    <n v="1.91"/>
    <n v="1.994"/>
    <n v="1.952"/>
    <n v="840"/>
  </r>
  <r>
    <x v="12"/>
    <x v="2"/>
    <x v="0"/>
    <n v="1.96492"/>
    <n v="1.91"/>
    <n v="1.994"/>
    <n v="1.952"/>
    <n v="840"/>
  </r>
  <r>
    <x v="12"/>
    <x v="2"/>
    <x v="0"/>
    <n v="1.96492"/>
    <n v="1.91"/>
    <n v="1.994"/>
    <n v="1.952"/>
    <n v="840"/>
  </r>
  <r>
    <x v="12"/>
    <x v="2"/>
    <x v="0"/>
    <n v="1.96492"/>
    <n v="1.91"/>
    <n v="1.994"/>
    <n v="1.952"/>
    <n v="840"/>
  </r>
  <r>
    <x v="12"/>
    <x v="2"/>
    <x v="0"/>
    <n v="1.96492"/>
    <n v="1.91"/>
    <n v="1.994"/>
    <n v="1.952"/>
    <n v="840"/>
  </r>
  <r>
    <x v="12"/>
    <x v="2"/>
    <x v="0"/>
    <n v="1.96492"/>
    <n v="1.91"/>
    <n v="1.994"/>
    <n v="1.952"/>
    <n v="840"/>
  </r>
  <r>
    <x v="12"/>
    <x v="2"/>
    <x v="0"/>
    <n v="1.96492"/>
    <n v="1.91"/>
    <n v="1.994"/>
    <n v="1.952"/>
    <n v="840"/>
  </r>
  <r>
    <x v="12"/>
    <x v="2"/>
    <x v="0"/>
    <n v="1.96492"/>
    <n v="1.91"/>
    <n v="1.994"/>
    <n v="1.952"/>
    <n v="840"/>
  </r>
  <r>
    <x v="12"/>
    <x v="2"/>
    <x v="0"/>
    <n v="1.96492"/>
    <n v="1.91"/>
    <n v="1.994"/>
    <n v="1.952"/>
    <n v="840"/>
  </r>
  <r>
    <x v="12"/>
    <x v="2"/>
    <x v="0"/>
    <n v="1.96492"/>
    <n v="1.91"/>
    <n v="1.994"/>
    <n v="1.952"/>
    <n v="840"/>
  </r>
  <r>
    <x v="12"/>
    <x v="2"/>
    <x v="0"/>
    <n v="1.96492"/>
    <n v="1.91"/>
    <n v="1.994"/>
    <n v="1.952"/>
    <n v="840"/>
  </r>
  <r>
    <x v="12"/>
    <x v="2"/>
    <x v="0"/>
    <n v="1.96492"/>
    <n v="1.91"/>
    <n v="1.994"/>
    <n v="1.952"/>
    <n v="840"/>
  </r>
  <r>
    <x v="12"/>
    <x v="2"/>
    <x v="0"/>
    <n v="1.96492"/>
    <n v="1.91"/>
    <n v="1.994"/>
    <n v="1.952"/>
    <n v="840"/>
  </r>
  <r>
    <x v="12"/>
    <x v="2"/>
    <x v="0"/>
    <n v="1.96492"/>
    <n v="1.91"/>
    <n v="1.994"/>
    <n v="1.952"/>
    <n v="840"/>
  </r>
  <r>
    <x v="12"/>
    <x v="2"/>
    <x v="0"/>
    <n v="1.96492"/>
    <n v="1.91"/>
    <n v="1.994"/>
    <n v="1.952"/>
    <n v="840"/>
  </r>
  <r>
    <x v="12"/>
    <x v="2"/>
    <x v="2"/>
    <n v="101.315"/>
    <n v="101"/>
    <n v="104.005"/>
    <n v="102.5025"/>
    <n v="300.5"/>
  </r>
  <r>
    <x v="12"/>
    <x v="2"/>
    <x v="2"/>
    <n v="101.315"/>
    <n v="101"/>
    <n v="104.005"/>
    <n v="102.5025"/>
    <n v="300.5"/>
  </r>
  <r>
    <x v="12"/>
    <x v="2"/>
    <x v="2"/>
    <n v="101.315"/>
    <n v="101"/>
    <n v="104.005"/>
    <n v="102.5025"/>
    <n v="300.5"/>
  </r>
  <r>
    <x v="12"/>
    <x v="2"/>
    <x v="2"/>
    <n v="101.315"/>
    <n v="101"/>
    <n v="104.005"/>
    <n v="102.5025"/>
    <n v="300.5"/>
  </r>
  <r>
    <x v="12"/>
    <x v="2"/>
    <x v="2"/>
    <n v="101.315"/>
    <n v="101"/>
    <n v="104.005"/>
    <n v="102.5025"/>
    <n v="300.5"/>
  </r>
  <r>
    <x v="12"/>
    <x v="2"/>
    <x v="2"/>
    <n v="101.315"/>
    <n v="101"/>
    <n v="104.005"/>
    <n v="102.5025"/>
    <n v="300.5"/>
  </r>
  <r>
    <x v="12"/>
    <x v="2"/>
    <x v="2"/>
    <n v="101.315"/>
    <n v="101"/>
    <n v="104.005"/>
    <n v="102.5025"/>
    <n v="300.5"/>
  </r>
  <r>
    <x v="12"/>
    <x v="2"/>
    <x v="2"/>
    <n v="101.315"/>
    <n v="101"/>
    <n v="104.005"/>
    <n v="102.5025"/>
    <n v="300.5"/>
  </r>
  <r>
    <x v="12"/>
    <x v="2"/>
    <x v="2"/>
    <n v="101.315"/>
    <n v="101"/>
    <n v="104.005"/>
    <n v="102.5025"/>
    <n v="300.5"/>
  </r>
  <r>
    <x v="12"/>
    <x v="2"/>
    <x v="2"/>
    <n v="101.315"/>
    <n v="101"/>
    <n v="104.005"/>
    <n v="102.5025"/>
    <n v="300.5"/>
  </r>
  <r>
    <x v="12"/>
    <x v="2"/>
    <x v="2"/>
    <n v="101.315"/>
    <n v="101"/>
    <n v="104.005"/>
    <n v="102.5025"/>
    <n v="300.5"/>
  </r>
  <r>
    <x v="12"/>
    <x v="2"/>
    <x v="2"/>
    <n v="101.315"/>
    <n v="101"/>
    <n v="104.005"/>
    <n v="102.5025"/>
    <n v="300.5"/>
  </r>
  <r>
    <x v="12"/>
    <x v="2"/>
    <x v="2"/>
    <n v="101.315"/>
    <n v="101"/>
    <n v="104.005"/>
    <n v="102.5025"/>
    <n v="300.5"/>
  </r>
  <r>
    <x v="12"/>
    <x v="2"/>
    <x v="2"/>
    <n v="101.315"/>
    <n v="101"/>
    <n v="104.005"/>
    <n v="102.5025"/>
    <n v="300.5"/>
  </r>
  <r>
    <x v="12"/>
    <x v="2"/>
    <x v="2"/>
    <n v="101.315"/>
    <n v="101"/>
    <n v="104.005"/>
    <n v="102.5025"/>
    <n v="300.5"/>
  </r>
  <r>
    <x v="12"/>
    <x v="2"/>
    <x v="2"/>
    <n v="101.315"/>
    <n v="101"/>
    <n v="104.005"/>
    <n v="102.5025"/>
    <n v="300.5"/>
  </r>
  <r>
    <x v="12"/>
    <x v="2"/>
    <x v="2"/>
    <n v="101.315"/>
    <n v="101"/>
    <n v="104.005"/>
    <n v="102.5025"/>
    <n v="300.5"/>
  </r>
  <r>
    <x v="12"/>
    <x v="2"/>
    <x v="2"/>
    <n v="101.315"/>
    <n v="101"/>
    <n v="104.005"/>
    <n v="102.5025"/>
    <n v="300.5"/>
  </r>
  <r>
    <x v="12"/>
    <x v="2"/>
    <x v="2"/>
    <n v="101.315"/>
    <n v="101"/>
    <n v="104.005"/>
    <n v="102.5025"/>
    <n v="300.5"/>
  </r>
  <r>
    <x v="12"/>
    <x v="2"/>
    <x v="14"/>
    <n v="1310.7380000000001"/>
    <n v="1245"/>
    <n v="1390"/>
    <n v="1317.5"/>
    <n v="1450"/>
  </r>
  <r>
    <x v="12"/>
    <x v="2"/>
    <x v="14"/>
    <n v="1310.7380000000001"/>
    <n v="1245"/>
    <n v="1390"/>
    <n v="1317.5"/>
    <n v="1450"/>
  </r>
  <r>
    <x v="12"/>
    <x v="2"/>
    <x v="14"/>
    <n v="1310.7380000000001"/>
    <n v="1245"/>
    <n v="1390"/>
    <n v="1317.5"/>
    <n v="1450"/>
  </r>
  <r>
    <x v="12"/>
    <x v="2"/>
    <x v="14"/>
    <n v="1310.7380000000001"/>
    <n v="1245"/>
    <n v="1390"/>
    <n v="1317.5"/>
    <n v="1450"/>
  </r>
  <r>
    <x v="12"/>
    <x v="2"/>
    <x v="14"/>
    <n v="1310.7380000000001"/>
    <n v="1245"/>
    <n v="1390"/>
    <n v="1317.5"/>
    <n v="1450"/>
  </r>
  <r>
    <x v="12"/>
    <x v="2"/>
    <x v="14"/>
    <n v="1310.7380000000001"/>
    <n v="1245"/>
    <n v="1390"/>
    <n v="1317.5"/>
    <n v="1450"/>
  </r>
  <r>
    <x v="12"/>
    <x v="2"/>
    <x v="14"/>
    <n v="1310.7380000000001"/>
    <n v="1245"/>
    <n v="1390"/>
    <n v="1317.5"/>
    <n v="1450"/>
  </r>
  <r>
    <x v="12"/>
    <x v="2"/>
    <x v="14"/>
    <n v="1310.7380000000001"/>
    <n v="1245"/>
    <n v="1390"/>
    <n v="1317.5"/>
    <n v="1450"/>
  </r>
  <r>
    <x v="12"/>
    <x v="2"/>
    <x v="14"/>
    <n v="1310.7380000000001"/>
    <n v="1245"/>
    <n v="1390"/>
    <n v="1317.5"/>
    <n v="1450"/>
  </r>
  <r>
    <x v="12"/>
    <x v="2"/>
    <x v="14"/>
    <n v="1310.7380000000001"/>
    <n v="1245"/>
    <n v="1390"/>
    <n v="1317.5"/>
    <n v="1450"/>
  </r>
  <r>
    <x v="12"/>
    <x v="2"/>
    <x v="14"/>
    <n v="1310.7380000000001"/>
    <n v="1245"/>
    <n v="1390"/>
    <n v="1317.5"/>
    <n v="1450"/>
  </r>
  <r>
    <x v="12"/>
    <x v="2"/>
    <x v="14"/>
    <n v="1310.7380000000001"/>
    <n v="1245"/>
    <n v="1390"/>
    <n v="1317.5"/>
    <n v="1450"/>
  </r>
  <r>
    <x v="12"/>
    <x v="2"/>
    <x v="14"/>
    <n v="1310.7380000000001"/>
    <n v="1245"/>
    <n v="1390"/>
    <n v="1317.5"/>
    <n v="1450"/>
  </r>
  <r>
    <x v="12"/>
    <x v="2"/>
    <x v="14"/>
    <n v="1310.7380000000001"/>
    <n v="1245"/>
    <n v="1390"/>
    <n v="1317.5"/>
    <n v="1450"/>
  </r>
  <r>
    <x v="12"/>
    <x v="2"/>
    <x v="14"/>
    <n v="1310.7380000000001"/>
    <n v="1245"/>
    <n v="1390"/>
    <n v="1317.5"/>
    <n v="1450"/>
  </r>
  <r>
    <x v="12"/>
    <x v="2"/>
    <x v="14"/>
    <n v="1310.7380000000001"/>
    <n v="1245"/>
    <n v="1390"/>
    <n v="1317.5"/>
    <n v="1450"/>
  </r>
  <r>
    <x v="12"/>
    <x v="2"/>
    <x v="14"/>
    <n v="1310.7380000000001"/>
    <n v="1245"/>
    <n v="1390"/>
    <n v="1317.5"/>
    <n v="1450"/>
  </r>
  <r>
    <x v="12"/>
    <x v="2"/>
    <x v="14"/>
    <n v="1310.7380000000001"/>
    <n v="1245"/>
    <n v="1390"/>
    <n v="1317.5"/>
    <n v="145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2"/>
    <x v="7"/>
    <n v="1.43926"/>
    <n v="1.4359999999999999"/>
    <n v="1.554"/>
    <n v="1.4950000000000001"/>
    <n v="1180"/>
  </r>
  <r>
    <x v="12"/>
    <x v="3"/>
    <x v="14"/>
    <n v="1306.9760000000001"/>
    <n v="1245"/>
    <n v="1390"/>
    <n v="1317.5"/>
    <n v="1450"/>
  </r>
  <r>
    <x v="12"/>
    <x v="3"/>
    <x v="14"/>
    <n v="1306.9760000000001"/>
    <n v="1245"/>
    <n v="1390"/>
    <n v="1317.5"/>
    <n v="1450"/>
  </r>
  <r>
    <x v="12"/>
    <x v="3"/>
    <x v="14"/>
    <n v="1306.9760000000001"/>
    <n v="1245"/>
    <n v="1390"/>
    <n v="1317.5"/>
    <n v="1450"/>
  </r>
  <r>
    <x v="12"/>
    <x v="3"/>
    <x v="14"/>
    <n v="1306.9760000000001"/>
    <n v="1245"/>
    <n v="1390"/>
    <n v="1317.5"/>
    <n v="1450"/>
  </r>
  <r>
    <x v="12"/>
    <x v="3"/>
    <x v="14"/>
    <n v="1306.9760000000001"/>
    <n v="1245"/>
    <n v="1390"/>
    <n v="1317.5"/>
    <n v="1450"/>
  </r>
  <r>
    <x v="12"/>
    <x v="3"/>
    <x v="14"/>
    <n v="1306.9760000000001"/>
    <n v="1245"/>
    <n v="1390"/>
    <n v="1317.5"/>
    <n v="1450"/>
  </r>
  <r>
    <x v="12"/>
    <x v="3"/>
    <x v="14"/>
    <n v="1306.9760000000001"/>
    <n v="1245"/>
    <n v="1390"/>
    <n v="1317.5"/>
    <n v="1450"/>
  </r>
  <r>
    <x v="12"/>
    <x v="3"/>
    <x v="14"/>
    <n v="1306.9760000000001"/>
    <n v="1245"/>
    <n v="1390"/>
    <n v="1317.5"/>
    <n v="1450"/>
  </r>
  <r>
    <x v="12"/>
    <x v="3"/>
    <x v="14"/>
    <n v="1306.9760000000001"/>
    <n v="1245"/>
    <n v="1390"/>
    <n v="1317.5"/>
    <n v="1450"/>
  </r>
  <r>
    <x v="12"/>
    <x v="3"/>
    <x v="14"/>
    <n v="1306.9760000000001"/>
    <n v="1245"/>
    <n v="1390"/>
    <n v="1317.5"/>
    <n v="1450"/>
  </r>
  <r>
    <x v="12"/>
    <x v="3"/>
    <x v="14"/>
    <n v="1306.9760000000001"/>
    <n v="1245"/>
    <n v="1390"/>
    <n v="1317.5"/>
    <n v="1450"/>
  </r>
  <r>
    <x v="12"/>
    <x v="3"/>
    <x v="14"/>
    <n v="1306.9760000000001"/>
    <n v="1245"/>
    <n v="1390"/>
    <n v="1317.5"/>
    <n v="1450"/>
  </r>
  <r>
    <x v="12"/>
    <x v="3"/>
    <x v="14"/>
    <n v="1306.9760000000001"/>
    <n v="1245"/>
    <n v="1390"/>
    <n v="1317.5"/>
    <n v="1450"/>
  </r>
  <r>
    <x v="12"/>
    <x v="3"/>
    <x v="14"/>
    <n v="1306.9760000000001"/>
    <n v="1245"/>
    <n v="1390"/>
    <n v="1317.5"/>
    <n v="1450"/>
  </r>
  <r>
    <x v="12"/>
    <x v="3"/>
    <x v="14"/>
    <n v="1306.9760000000001"/>
    <n v="1245"/>
    <n v="1390"/>
    <n v="1317.5"/>
    <n v="1450"/>
  </r>
  <r>
    <x v="12"/>
    <x v="3"/>
    <x v="14"/>
    <n v="1306.9760000000001"/>
    <n v="1245"/>
    <n v="1390"/>
    <n v="1317.5"/>
    <n v="1450"/>
  </r>
  <r>
    <x v="12"/>
    <x v="3"/>
    <x v="14"/>
    <n v="1306.9760000000001"/>
    <n v="1245"/>
    <n v="1390"/>
    <n v="1317.5"/>
    <n v="1450"/>
  </r>
  <r>
    <x v="12"/>
    <x v="3"/>
    <x v="14"/>
    <n v="1306.9760000000001"/>
    <n v="1245"/>
    <n v="1390"/>
    <n v="1317.5"/>
    <n v="1450"/>
  </r>
  <r>
    <x v="12"/>
    <x v="3"/>
    <x v="14"/>
    <n v="1306.9760000000001"/>
    <n v="1245"/>
    <n v="1390"/>
    <n v="1317.5"/>
    <n v="1450"/>
  </r>
  <r>
    <x v="12"/>
    <x v="3"/>
    <x v="14"/>
    <n v="1306.9760000000001"/>
    <n v="1245"/>
    <n v="1390"/>
    <n v="1317.5"/>
    <n v="1450"/>
  </r>
  <r>
    <x v="12"/>
    <x v="3"/>
    <x v="14"/>
    <n v="1306.9760000000001"/>
    <n v="1245"/>
    <n v="1390"/>
    <n v="1317.5"/>
    <n v="1450"/>
  </r>
  <r>
    <x v="12"/>
    <x v="3"/>
    <x v="14"/>
    <n v="1306.9760000000001"/>
    <n v="1245"/>
    <n v="1390"/>
    <n v="1317.5"/>
    <n v="1450"/>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0"/>
    <n v="1.9835499999999999"/>
    <n v="1.91"/>
    <n v="1.994"/>
    <n v="1.952"/>
    <n v="840"/>
  </r>
  <r>
    <x v="12"/>
    <x v="3"/>
    <x v="0"/>
    <n v="1.9835499999999999"/>
    <n v="1.91"/>
    <n v="1.994"/>
    <n v="1.952"/>
    <n v="840"/>
  </r>
  <r>
    <x v="12"/>
    <x v="3"/>
    <x v="0"/>
    <n v="1.9835499999999999"/>
    <n v="1.91"/>
    <n v="1.994"/>
    <n v="1.952"/>
    <n v="840"/>
  </r>
  <r>
    <x v="12"/>
    <x v="3"/>
    <x v="0"/>
    <n v="1.9835499999999999"/>
    <n v="1.91"/>
    <n v="1.994"/>
    <n v="1.952"/>
    <n v="840"/>
  </r>
  <r>
    <x v="12"/>
    <x v="3"/>
    <x v="0"/>
    <n v="1.9835499999999999"/>
    <n v="1.91"/>
    <n v="1.994"/>
    <n v="1.952"/>
    <n v="840"/>
  </r>
  <r>
    <x v="12"/>
    <x v="3"/>
    <x v="0"/>
    <n v="1.9835499999999999"/>
    <n v="1.91"/>
    <n v="1.994"/>
    <n v="1.952"/>
    <n v="840"/>
  </r>
  <r>
    <x v="12"/>
    <x v="3"/>
    <x v="0"/>
    <n v="1.9835499999999999"/>
    <n v="1.91"/>
    <n v="1.994"/>
    <n v="1.952"/>
    <n v="840"/>
  </r>
  <r>
    <x v="12"/>
    <x v="3"/>
    <x v="0"/>
    <n v="1.9835499999999999"/>
    <n v="1.91"/>
    <n v="1.994"/>
    <n v="1.952"/>
    <n v="840"/>
  </r>
  <r>
    <x v="12"/>
    <x v="3"/>
    <x v="0"/>
    <n v="1.9835499999999999"/>
    <n v="1.91"/>
    <n v="1.994"/>
    <n v="1.952"/>
    <n v="840"/>
  </r>
  <r>
    <x v="12"/>
    <x v="3"/>
    <x v="0"/>
    <n v="1.9835499999999999"/>
    <n v="1.91"/>
    <n v="1.994"/>
    <n v="1.952"/>
    <n v="840"/>
  </r>
  <r>
    <x v="12"/>
    <x v="3"/>
    <x v="0"/>
    <n v="1.9835499999999999"/>
    <n v="1.91"/>
    <n v="1.994"/>
    <n v="1.952"/>
    <n v="840"/>
  </r>
  <r>
    <x v="12"/>
    <x v="3"/>
    <x v="0"/>
    <n v="1.9835499999999999"/>
    <n v="1.91"/>
    <n v="1.994"/>
    <n v="1.952"/>
    <n v="840"/>
  </r>
  <r>
    <x v="12"/>
    <x v="3"/>
    <x v="0"/>
    <n v="1.9835499999999999"/>
    <n v="1.91"/>
    <n v="1.994"/>
    <n v="1.952"/>
    <n v="840"/>
  </r>
  <r>
    <x v="12"/>
    <x v="3"/>
    <x v="0"/>
    <n v="1.9835499999999999"/>
    <n v="1.91"/>
    <n v="1.994"/>
    <n v="1.952"/>
    <n v="840"/>
  </r>
  <r>
    <x v="12"/>
    <x v="3"/>
    <x v="0"/>
    <n v="1.9835499999999999"/>
    <n v="1.91"/>
    <n v="1.994"/>
    <n v="1.952"/>
    <n v="840"/>
  </r>
  <r>
    <x v="12"/>
    <x v="3"/>
    <x v="0"/>
    <n v="1.9835499999999999"/>
    <n v="1.91"/>
    <n v="1.994"/>
    <n v="1.952"/>
    <n v="840"/>
  </r>
  <r>
    <x v="12"/>
    <x v="3"/>
    <x v="0"/>
    <n v="1.9835499999999999"/>
    <n v="1.91"/>
    <n v="1.994"/>
    <n v="1.952"/>
    <n v="840"/>
  </r>
  <r>
    <x v="12"/>
    <x v="3"/>
    <x v="0"/>
    <n v="1.9835499999999999"/>
    <n v="1.91"/>
    <n v="1.994"/>
    <n v="1.952"/>
    <n v="840"/>
  </r>
  <r>
    <x v="12"/>
    <x v="3"/>
    <x v="0"/>
    <n v="1.9835499999999999"/>
    <n v="1.91"/>
    <n v="1.994"/>
    <n v="1.952"/>
    <n v="840"/>
  </r>
  <r>
    <x v="12"/>
    <x v="3"/>
    <x v="0"/>
    <n v="1.9835499999999999"/>
    <n v="1.91"/>
    <n v="1.994"/>
    <n v="1.952"/>
    <n v="840"/>
  </r>
  <r>
    <x v="12"/>
    <x v="3"/>
    <x v="0"/>
    <n v="1.9835499999999999"/>
    <n v="1.91"/>
    <n v="1.994"/>
    <n v="1.952"/>
    <n v="840"/>
  </r>
  <r>
    <x v="12"/>
    <x v="3"/>
    <x v="0"/>
    <n v="1.9835499999999999"/>
    <n v="1.91"/>
    <n v="1.994"/>
    <n v="1.952"/>
    <n v="840"/>
  </r>
  <r>
    <x v="12"/>
    <x v="3"/>
    <x v="0"/>
    <n v="1.9835499999999999"/>
    <n v="1.91"/>
    <n v="1.994"/>
    <n v="1.952"/>
    <n v="840"/>
  </r>
  <r>
    <x v="12"/>
    <x v="3"/>
    <x v="0"/>
    <n v="1.9835499999999999"/>
    <n v="1.91"/>
    <n v="1.994"/>
    <n v="1.952"/>
    <n v="840"/>
  </r>
  <r>
    <x v="12"/>
    <x v="3"/>
    <x v="0"/>
    <n v="1.9835499999999999"/>
    <n v="1.91"/>
    <n v="1.994"/>
    <n v="1.952"/>
    <n v="840"/>
  </r>
  <r>
    <x v="12"/>
    <x v="3"/>
    <x v="0"/>
    <n v="1.9835499999999999"/>
    <n v="1.91"/>
    <n v="1.994"/>
    <n v="1.952"/>
    <n v="840"/>
  </r>
  <r>
    <x v="12"/>
    <x v="3"/>
    <x v="2"/>
    <n v="101.804"/>
    <n v="101"/>
    <n v="104.005"/>
    <n v="102.5025"/>
    <n v="300.5"/>
  </r>
  <r>
    <x v="12"/>
    <x v="3"/>
    <x v="2"/>
    <n v="101.804"/>
    <n v="101"/>
    <n v="104.005"/>
    <n v="102.5025"/>
    <n v="300.5"/>
  </r>
  <r>
    <x v="12"/>
    <x v="3"/>
    <x v="2"/>
    <n v="101.804"/>
    <n v="101"/>
    <n v="104.005"/>
    <n v="102.5025"/>
    <n v="300.5"/>
  </r>
  <r>
    <x v="12"/>
    <x v="3"/>
    <x v="2"/>
    <n v="101.804"/>
    <n v="101"/>
    <n v="104.005"/>
    <n v="102.5025"/>
    <n v="300.5"/>
  </r>
  <r>
    <x v="12"/>
    <x v="3"/>
    <x v="2"/>
    <n v="101.804"/>
    <n v="101"/>
    <n v="104.005"/>
    <n v="102.5025"/>
    <n v="300.5"/>
  </r>
  <r>
    <x v="12"/>
    <x v="3"/>
    <x v="2"/>
    <n v="101.804"/>
    <n v="101"/>
    <n v="104.005"/>
    <n v="102.5025"/>
    <n v="300.5"/>
  </r>
  <r>
    <x v="12"/>
    <x v="3"/>
    <x v="2"/>
    <n v="101.804"/>
    <n v="101"/>
    <n v="104.005"/>
    <n v="102.5025"/>
    <n v="300.5"/>
  </r>
  <r>
    <x v="12"/>
    <x v="3"/>
    <x v="2"/>
    <n v="101.804"/>
    <n v="101"/>
    <n v="104.005"/>
    <n v="102.5025"/>
    <n v="300.5"/>
  </r>
  <r>
    <x v="12"/>
    <x v="3"/>
    <x v="2"/>
    <n v="101.804"/>
    <n v="101"/>
    <n v="104.005"/>
    <n v="102.5025"/>
    <n v="300.5"/>
  </r>
  <r>
    <x v="12"/>
    <x v="3"/>
    <x v="2"/>
    <n v="101.804"/>
    <n v="101"/>
    <n v="104.005"/>
    <n v="102.5025"/>
    <n v="300.5"/>
  </r>
  <r>
    <x v="12"/>
    <x v="3"/>
    <x v="2"/>
    <n v="101.804"/>
    <n v="101"/>
    <n v="104.005"/>
    <n v="102.5025"/>
    <n v="300.5"/>
  </r>
  <r>
    <x v="12"/>
    <x v="3"/>
    <x v="2"/>
    <n v="101.804"/>
    <n v="101"/>
    <n v="104.005"/>
    <n v="102.5025"/>
    <n v="300.5"/>
  </r>
  <r>
    <x v="12"/>
    <x v="3"/>
    <x v="2"/>
    <n v="101.804"/>
    <n v="101"/>
    <n v="104.005"/>
    <n v="102.5025"/>
    <n v="300.5"/>
  </r>
  <r>
    <x v="12"/>
    <x v="3"/>
    <x v="2"/>
    <n v="101.804"/>
    <n v="101"/>
    <n v="104.005"/>
    <n v="102.5025"/>
    <n v="300.5"/>
  </r>
  <r>
    <x v="12"/>
    <x v="3"/>
    <x v="2"/>
    <n v="101.804"/>
    <n v="101"/>
    <n v="104.005"/>
    <n v="102.5025"/>
    <n v="300.5"/>
  </r>
  <r>
    <x v="12"/>
    <x v="3"/>
    <x v="2"/>
    <n v="101.804"/>
    <n v="101"/>
    <n v="104.005"/>
    <n v="102.5025"/>
    <n v="300.5"/>
  </r>
  <r>
    <x v="12"/>
    <x v="3"/>
    <x v="2"/>
    <n v="101.804"/>
    <n v="101"/>
    <n v="104.005"/>
    <n v="102.5025"/>
    <n v="300.5"/>
  </r>
  <r>
    <x v="12"/>
    <x v="3"/>
    <x v="2"/>
    <n v="101.804"/>
    <n v="101"/>
    <n v="104.005"/>
    <n v="102.5025"/>
    <n v="300.5"/>
  </r>
  <r>
    <x v="12"/>
    <x v="3"/>
    <x v="2"/>
    <n v="101.804"/>
    <n v="101"/>
    <n v="104.005"/>
    <n v="102.5025"/>
    <n v="300.5"/>
  </r>
  <r>
    <x v="12"/>
    <x v="3"/>
    <x v="14"/>
    <n v="1306.9760000000001"/>
    <n v="1245"/>
    <n v="1390"/>
    <n v="1317.5"/>
    <n v="1450"/>
  </r>
  <r>
    <x v="12"/>
    <x v="3"/>
    <x v="14"/>
    <n v="1306.9760000000001"/>
    <n v="1245"/>
    <n v="1390"/>
    <n v="1317.5"/>
    <n v="1450"/>
  </r>
  <r>
    <x v="12"/>
    <x v="3"/>
    <x v="14"/>
    <n v="1306.9760000000001"/>
    <n v="1245"/>
    <n v="1390"/>
    <n v="1317.5"/>
    <n v="1450"/>
  </r>
  <r>
    <x v="12"/>
    <x v="3"/>
    <x v="14"/>
    <n v="1306.9760000000001"/>
    <n v="1245"/>
    <n v="1390"/>
    <n v="1317.5"/>
    <n v="1450"/>
  </r>
  <r>
    <x v="12"/>
    <x v="3"/>
    <x v="14"/>
    <n v="1306.9760000000001"/>
    <n v="1245"/>
    <n v="1390"/>
    <n v="1317.5"/>
    <n v="1450"/>
  </r>
  <r>
    <x v="12"/>
    <x v="3"/>
    <x v="14"/>
    <n v="1306.9760000000001"/>
    <n v="1245"/>
    <n v="1390"/>
    <n v="1317.5"/>
    <n v="1450"/>
  </r>
  <r>
    <x v="12"/>
    <x v="3"/>
    <x v="14"/>
    <n v="1306.9760000000001"/>
    <n v="1245"/>
    <n v="1390"/>
    <n v="1317.5"/>
    <n v="1450"/>
  </r>
  <r>
    <x v="12"/>
    <x v="3"/>
    <x v="14"/>
    <n v="1306.9760000000001"/>
    <n v="1245"/>
    <n v="1390"/>
    <n v="1317.5"/>
    <n v="1450"/>
  </r>
  <r>
    <x v="12"/>
    <x v="3"/>
    <x v="14"/>
    <n v="1306.9760000000001"/>
    <n v="1245"/>
    <n v="1390"/>
    <n v="1317.5"/>
    <n v="1450"/>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3"/>
    <x v="7"/>
    <n v="1.42883"/>
    <n v="1.42401"/>
    <n v="1.554"/>
    <n v="1.4890049999999999"/>
    <n v="1299.9000000000001"/>
  </r>
  <r>
    <x v="12"/>
    <x v="4"/>
    <x v="14"/>
    <n v="1293.624"/>
    <n v="1245"/>
    <n v="1390"/>
    <n v="1317.5"/>
    <n v="1450"/>
  </r>
  <r>
    <x v="12"/>
    <x v="4"/>
    <x v="14"/>
    <n v="1293.624"/>
    <n v="1245"/>
    <n v="1390"/>
    <n v="1317.5"/>
    <n v="1450"/>
  </r>
  <r>
    <x v="12"/>
    <x v="4"/>
    <x v="14"/>
    <n v="1293.624"/>
    <n v="1245"/>
    <n v="1390"/>
    <n v="1317.5"/>
    <n v="1450"/>
  </r>
  <r>
    <x v="12"/>
    <x v="4"/>
    <x v="14"/>
    <n v="1293.624"/>
    <n v="1245"/>
    <n v="1390"/>
    <n v="1317.5"/>
    <n v="1450"/>
  </r>
  <r>
    <x v="12"/>
    <x v="4"/>
    <x v="14"/>
    <n v="1293.624"/>
    <n v="1245"/>
    <n v="1390"/>
    <n v="1317.5"/>
    <n v="1450"/>
  </r>
  <r>
    <x v="12"/>
    <x v="4"/>
    <x v="14"/>
    <n v="1293.624"/>
    <n v="1245"/>
    <n v="1390"/>
    <n v="1317.5"/>
    <n v="1450"/>
  </r>
  <r>
    <x v="12"/>
    <x v="4"/>
    <x v="14"/>
    <n v="1293.624"/>
    <n v="1245"/>
    <n v="1390"/>
    <n v="1317.5"/>
    <n v="1450"/>
  </r>
  <r>
    <x v="12"/>
    <x v="4"/>
    <x v="14"/>
    <n v="1293.624"/>
    <n v="1245"/>
    <n v="1390"/>
    <n v="1317.5"/>
    <n v="1450"/>
  </r>
  <r>
    <x v="12"/>
    <x v="4"/>
    <x v="14"/>
    <n v="1293.624"/>
    <n v="1245"/>
    <n v="1390"/>
    <n v="1317.5"/>
    <n v="1450"/>
  </r>
  <r>
    <x v="12"/>
    <x v="4"/>
    <x v="14"/>
    <n v="1293.624"/>
    <n v="1245"/>
    <n v="1390"/>
    <n v="1317.5"/>
    <n v="1450"/>
  </r>
  <r>
    <x v="12"/>
    <x v="4"/>
    <x v="14"/>
    <n v="1293.624"/>
    <n v="1245"/>
    <n v="1390"/>
    <n v="1317.5"/>
    <n v="1450"/>
  </r>
  <r>
    <x v="12"/>
    <x v="4"/>
    <x v="14"/>
    <n v="1293.624"/>
    <n v="1245"/>
    <n v="1390"/>
    <n v="1317.5"/>
    <n v="1450"/>
  </r>
  <r>
    <x v="12"/>
    <x v="4"/>
    <x v="14"/>
    <n v="1293.624"/>
    <n v="1245"/>
    <n v="1390"/>
    <n v="1317.5"/>
    <n v="1450"/>
  </r>
  <r>
    <x v="12"/>
    <x v="4"/>
    <x v="14"/>
    <n v="1293.624"/>
    <n v="1245"/>
    <n v="1390"/>
    <n v="1317.5"/>
    <n v="1450"/>
  </r>
  <r>
    <x v="12"/>
    <x v="4"/>
    <x v="14"/>
    <n v="1293.624"/>
    <n v="1245"/>
    <n v="1390"/>
    <n v="1317.5"/>
    <n v="1450"/>
  </r>
  <r>
    <x v="12"/>
    <x v="4"/>
    <x v="14"/>
    <n v="1293.624"/>
    <n v="1245"/>
    <n v="1390"/>
    <n v="1317.5"/>
    <n v="1450"/>
  </r>
  <r>
    <x v="12"/>
    <x v="4"/>
    <x v="14"/>
    <n v="1293.624"/>
    <n v="1245"/>
    <n v="1390"/>
    <n v="1317.5"/>
    <n v="1450"/>
  </r>
  <r>
    <x v="12"/>
    <x v="4"/>
    <x v="14"/>
    <n v="1293.624"/>
    <n v="1245"/>
    <n v="1390"/>
    <n v="1317.5"/>
    <n v="1450"/>
  </r>
  <r>
    <x v="12"/>
    <x v="4"/>
    <x v="14"/>
    <n v="1293.624"/>
    <n v="1245"/>
    <n v="1390"/>
    <n v="1317.5"/>
    <n v="1450"/>
  </r>
  <r>
    <x v="12"/>
    <x v="4"/>
    <x v="14"/>
    <n v="1293.624"/>
    <n v="1245"/>
    <n v="1390"/>
    <n v="1317.5"/>
    <n v="1450"/>
  </r>
  <r>
    <x v="12"/>
    <x v="4"/>
    <x v="14"/>
    <n v="1293.624"/>
    <n v="1245"/>
    <n v="1390"/>
    <n v="1317.5"/>
    <n v="1450"/>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0"/>
    <n v="1.97536"/>
    <n v="1.91"/>
    <n v="1.9940199999999999"/>
    <n v="1.95201"/>
    <n v="840.2"/>
  </r>
  <r>
    <x v="12"/>
    <x v="4"/>
    <x v="0"/>
    <n v="1.97536"/>
    <n v="1.91"/>
    <n v="1.9940199999999999"/>
    <n v="1.95201"/>
    <n v="840.2"/>
  </r>
  <r>
    <x v="12"/>
    <x v="4"/>
    <x v="0"/>
    <n v="1.97536"/>
    <n v="1.91"/>
    <n v="1.9940199999999999"/>
    <n v="1.95201"/>
    <n v="840.2"/>
  </r>
  <r>
    <x v="12"/>
    <x v="4"/>
    <x v="0"/>
    <n v="1.97536"/>
    <n v="1.91"/>
    <n v="1.9940199999999999"/>
    <n v="1.95201"/>
    <n v="840.2"/>
  </r>
  <r>
    <x v="12"/>
    <x v="4"/>
    <x v="0"/>
    <n v="1.97536"/>
    <n v="1.91"/>
    <n v="1.9940199999999999"/>
    <n v="1.95201"/>
    <n v="840.2"/>
  </r>
  <r>
    <x v="12"/>
    <x v="4"/>
    <x v="0"/>
    <n v="1.97536"/>
    <n v="1.91"/>
    <n v="1.9940199999999999"/>
    <n v="1.95201"/>
    <n v="840.2"/>
  </r>
  <r>
    <x v="12"/>
    <x v="4"/>
    <x v="0"/>
    <n v="1.97536"/>
    <n v="1.91"/>
    <n v="1.9940199999999999"/>
    <n v="1.95201"/>
    <n v="840.2"/>
  </r>
  <r>
    <x v="12"/>
    <x v="4"/>
    <x v="0"/>
    <n v="1.97536"/>
    <n v="1.91"/>
    <n v="1.9940199999999999"/>
    <n v="1.95201"/>
    <n v="840.2"/>
  </r>
  <r>
    <x v="12"/>
    <x v="4"/>
    <x v="0"/>
    <n v="1.97536"/>
    <n v="1.91"/>
    <n v="1.9940199999999999"/>
    <n v="1.95201"/>
    <n v="840.2"/>
  </r>
  <r>
    <x v="12"/>
    <x v="4"/>
    <x v="0"/>
    <n v="1.97536"/>
    <n v="1.91"/>
    <n v="1.9940199999999999"/>
    <n v="1.95201"/>
    <n v="840.2"/>
  </r>
  <r>
    <x v="12"/>
    <x v="4"/>
    <x v="0"/>
    <n v="1.97536"/>
    <n v="1.91"/>
    <n v="1.9940199999999999"/>
    <n v="1.95201"/>
    <n v="840.2"/>
  </r>
  <r>
    <x v="12"/>
    <x v="4"/>
    <x v="0"/>
    <n v="1.97536"/>
    <n v="1.91"/>
    <n v="1.9940199999999999"/>
    <n v="1.95201"/>
    <n v="840.2"/>
  </r>
  <r>
    <x v="12"/>
    <x v="4"/>
    <x v="0"/>
    <n v="1.97536"/>
    <n v="1.91"/>
    <n v="1.9940199999999999"/>
    <n v="1.95201"/>
    <n v="840.2"/>
  </r>
  <r>
    <x v="12"/>
    <x v="4"/>
    <x v="0"/>
    <n v="1.97536"/>
    <n v="1.91"/>
    <n v="1.9940199999999999"/>
    <n v="1.95201"/>
    <n v="840.2"/>
  </r>
  <r>
    <x v="12"/>
    <x v="4"/>
    <x v="0"/>
    <n v="1.97536"/>
    <n v="1.91"/>
    <n v="1.9940199999999999"/>
    <n v="1.95201"/>
    <n v="840.2"/>
  </r>
  <r>
    <x v="12"/>
    <x v="4"/>
    <x v="0"/>
    <n v="1.97536"/>
    <n v="1.91"/>
    <n v="1.9940199999999999"/>
    <n v="1.95201"/>
    <n v="840.2"/>
  </r>
  <r>
    <x v="12"/>
    <x v="4"/>
    <x v="0"/>
    <n v="1.97536"/>
    <n v="1.91"/>
    <n v="1.9940199999999999"/>
    <n v="1.95201"/>
    <n v="840.2"/>
  </r>
  <r>
    <x v="12"/>
    <x v="4"/>
    <x v="0"/>
    <n v="1.97536"/>
    <n v="1.91"/>
    <n v="1.9940199999999999"/>
    <n v="1.95201"/>
    <n v="840.2"/>
  </r>
  <r>
    <x v="12"/>
    <x v="4"/>
    <x v="0"/>
    <n v="1.97536"/>
    <n v="1.91"/>
    <n v="1.9940199999999999"/>
    <n v="1.95201"/>
    <n v="840.2"/>
  </r>
  <r>
    <x v="12"/>
    <x v="4"/>
    <x v="0"/>
    <n v="1.97536"/>
    <n v="1.91"/>
    <n v="1.9940199999999999"/>
    <n v="1.95201"/>
    <n v="840.2"/>
  </r>
  <r>
    <x v="12"/>
    <x v="4"/>
    <x v="0"/>
    <n v="1.97536"/>
    <n v="1.91"/>
    <n v="1.9940199999999999"/>
    <n v="1.95201"/>
    <n v="840.2"/>
  </r>
  <r>
    <x v="12"/>
    <x v="4"/>
    <x v="0"/>
    <n v="1.97536"/>
    <n v="1.91"/>
    <n v="1.9940199999999999"/>
    <n v="1.95201"/>
    <n v="840.2"/>
  </r>
  <r>
    <x v="12"/>
    <x v="4"/>
    <x v="0"/>
    <n v="1.97536"/>
    <n v="1.91"/>
    <n v="1.9940199999999999"/>
    <n v="1.95201"/>
    <n v="840.2"/>
  </r>
  <r>
    <x v="12"/>
    <x v="4"/>
    <x v="0"/>
    <n v="1.97536"/>
    <n v="1.91"/>
    <n v="1.9940199999999999"/>
    <n v="1.95201"/>
    <n v="840.2"/>
  </r>
  <r>
    <x v="12"/>
    <x v="4"/>
    <x v="0"/>
    <n v="1.97536"/>
    <n v="1.91"/>
    <n v="1.9940199999999999"/>
    <n v="1.95201"/>
    <n v="840.2"/>
  </r>
  <r>
    <x v="12"/>
    <x v="4"/>
    <x v="0"/>
    <n v="1.97536"/>
    <n v="1.91"/>
    <n v="1.9940199999999999"/>
    <n v="1.95201"/>
    <n v="840.2"/>
  </r>
  <r>
    <x v="12"/>
    <x v="4"/>
    <x v="0"/>
    <n v="1.97536"/>
    <n v="1.91"/>
    <n v="1.9940199999999999"/>
    <n v="1.95201"/>
    <n v="840.2"/>
  </r>
  <r>
    <x v="12"/>
    <x v="4"/>
    <x v="0"/>
    <n v="1.97536"/>
    <n v="1.91"/>
    <n v="1.9940199999999999"/>
    <n v="1.95201"/>
    <n v="840.2"/>
  </r>
  <r>
    <x v="12"/>
    <x v="4"/>
    <x v="2"/>
    <n v="102.596"/>
    <n v="101"/>
    <n v="104.005"/>
    <n v="102.5025"/>
    <n v="300.5"/>
  </r>
  <r>
    <x v="12"/>
    <x v="4"/>
    <x v="2"/>
    <n v="102.596"/>
    <n v="101"/>
    <n v="104.005"/>
    <n v="102.5025"/>
    <n v="300.5"/>
  </r>
  <r>
    <x v="12"/>
    <x v="4"/>
    <x v="2"/>
    <n v="102.596"/>
    <n v="101"/>
    <n v="104.005"/>
    <n v="102.5025"/>
    <n v="300.5"/>
  </r>
  <r>
    <x v="12"/>
    <x v="4"/>
    <x v="2"/>
    <n v="102.596"/>
    <n v="101"/>
    <n v="104.005"/>
    <n v="102.5025"/>
    <n v="300.5"/>
  </r>
  <r>
    <x v="12"/>
    <x v="4"/>
    <x v="2"/>
    <n v="102.596"/>
    <n v="101"/>
    <n v="104.005"/>
    <n v="102.5025"/>
    <n v="300.5"/>
  </r>
  <r>
    <x v="12"/>
    <x v="4"/>
    <x v="2"/>
    <n v="102.596"/>
    <n v="101"/>
    <n v="104.005"/>
    <n v="102.5025"/>
    <n v="300.5"/>
  </r>
  <r>
    <x v="12"/>
    <x v="4"/>
    <x v="2"/>
    <n v="102.596"/>
    <n v="101"/>
    <n v="104.005"/>
    <n v="102.5025"/>
    <n v="300.5"/>
  </r>
  <r>
    <x v="12"/>
    <x v="4"/>
    <x v="2"/>
    <n v="102.596"/>
    <n v="101"/>
    <n v="104.005"/>
    <n v="102.5025"/>
    <n v="300.5"/>
  </r>
  <r>
    <x v="12"/>
    <x v="4"/>
    <x v="2"/>
    <n v="102.596"/>
    <n v="101"/>
    <n v="104.005"/>
    <n v="102.5025"/>
    <n v="300.5"/>
  </r>
  <r>
    <x v="12"/>
    <x v="4"/>
    <x v="2"/>
    <n v="102.596"/>
    <n v="101"/>
    <n v="104.005"/>
    <n v="102.5025"/>
    <n v="300.5"/>
  </r>
  <r>
    <x v="12"/>
    <x v="4"/>
    <x v="2"/>
    <n v="102.596"/>
    <n v="101"/>
    <n v="104.005"/>
    <n v="102.5025"/>
    <n v="300.5"/>
  </r>
  <r>
    <x v="12"/>
    <x v="4"/>
    <x v="2"/>
    <n v="102.596"/>
    <n v="101"/>
    <n v="104.005"/>
    <n v="102.5025"/>
    <n v="300.5"/>
  </r>
  <r>
    <x v="12"/>
    <x v="4"/>
    <x v="2"/>
    <n v="102.596"/>
    <n v="101"/>
    <n v="104.005"/>
    <n v="102.5025"/>
    <n v="300.5"/>
  </r>
  <r>
    <x v="12"/>
    <x v="4"/>
    <x v="2"/>
    <n v="102.596"/>
    <n v="101"/>
    <n v="104.005"/>
    <n v="102.5025"/>
    <n v="300.5"/>
  </r>
  <r>
    <x v="12"/>
    <x v="4"/>
    <x v="2"/>
    <n v="102.596"/>
    <n v="101"/>
    <n v="104.005"/>
    <n v="102.5025"/>
    <n v="300.5"/>
  </r>
  <r>
    <x v="12"/>
    <x v="4"/>
    <x v="2"/>
    <n v="102.596"/>
    <n v="101"/>
    <n v="104.005"/>
    <n v="102.5025"/>
    <n v="300.5"/>
  </r>
  <r>
    <x v="12"/>
    <x v="4"/>
    <x v="2"/>
    <n v="102.596"/>
    <n v="101"/>
    <n v="104.005"/>
    <n v="102.5025"/>
    <n v="300.5"/>
  </r>
  <r>
    <x v="12"/>
    <x v="4"/>
    <x v="2"/>
    <n v="102.596"/>
    <n v="101"/>
    <n v="104.005"/>
    <n v="102.5025"/>
    <n v="300.5"/>
  </r>
  <r>
    <x v="12"/>
    <x v="4"/>
    <x v="2"/>
    <n v="102.596"/>
    <n v="101"/>
    <n v="104.005"/>
    <n v="102.5025"/>
    <n v="300.5"/>
  </r>
  <r>
    <x v="12"/>
    <x v="4"/>
    <x v="14"/>
    <n v="1293.624"/>
    <n v="1245"/>
    <n v="1390"/>
    <n v="1317.5"/>
    <n v="1450"/>
  </r>
  <r>
    <x v="12"/>
    <x v="4"/>
    <x v="14"/>
    <n v="1293.624"/>
    <n v="1245"/>
    <n v="1390"/>
    <n v="1317.5"/>
    <n v="1450"/>
  </r>
  <r>
    <x v="12"/>
    <x v="4"/>
    <x v="14"/>
    <n v="1293.624"/>
    <n v="1245"/>
    <n v="1390"/>
    <n v="1317.5"/>
    <n v="1450"/>
  </r>
  <r>
    <x v="12"/>
    <x v="4"/>
    <x v="14"/>
    <n v="1293.624"/>
    <n v="1245"/>
    <n v="1390"/>
    <n v="1317.5"/>
    <n v="1450"/>
  </r>
  <r>
    <x v="12"/>
    <x v="4"/>
    <x v="14"/>
    <n v="1293.624"/>
    <n v="1245"/>
    <n v="1390"/>
    <n v="1317.5"/>
    <n v="1450"/>
  </r>
  <r>
    <x v="12"/>
    <x v="4"/>
    <x v="14"/>
    <n v="1293.624"/>
    <n v="1245"/>
    <n v="1390"/>
    <n v="1317.5"/>
    <n v="1450"/>
  </r>
  <r>
    <x v="12"/>
    <x v="4"/>
    <x v="14"/>
    <n v="1293.624"/>
    <n v="1245"/>
    <n v="1390"/>
    <n v="1317.5"/>
    <n v="1450"/>
  </r>
  <r>
    <x v="12"/>
    <x v="4"/>
    <x v="14"/>
    <n v="1293.624"/>
    <n v="1245"/>
    <n v="1390"/>
    <n v="1317.5"/>
    <n v="1450"/>
  </r>
  <r>
    <x v="12"/>
    <x v="4"/>
    <x v="14"/>
    <n v="1293.624"/>
    <n v="1245"/>
    <n v="1390"/>
    <n v="1317.5"/>
    <n v="1450"/>
  </r>
  <r>
    <x v="12"/>
    <x v="4"/>
    <x v="14"/>
    <n v="1293.624"/>
    <n v="1245"/>
    <n v="1390"/>
    <n v="1317.5"/>
    <n v="1450"/>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4"/>
    <x v="7"/>
    <n v="1.44102"/>
    <n v="1.42401"/>
    <n v="1.554"/>
    <n v="1.4890049999999999"/>
    <n v="1299.9000000000001"/>
  </r>
  <r>
    <x v="12"/>
    <x v="5"/>
    <x v="14"/>
    <n v="1309.3599999999999"/>
    <n v="1245"/>
    <n v="1390"/>
    <n v="1317.5"/>
    <n v="1450"/>
  </r>
  <r>
    <x v="12"/>
    <x v="5"/>
    <x v="14"/>
    <n v="1309.3599999999999"/>
    <n v="1245"/>
    <n v="1390"/>
    <n v="1317.5"/>
    <n v="1450"/>
  </r>
  <r>
    <x v="12"/>
    <x v="5"/>
    <x v="14"/>
    <n v="1309.3599999999999"/>
    <n v="1245"/>
    <n v="1390"/>
    <n v="1317.5"/>
    <n v="1450"/>
  </r>
  <r>
    <x v="12"/>
    <x v="5"/>
    <x v="14"/>
    <n v="1309.3599999999999"/>
    <n v="1245"/>
    <n v="1390"/>
    <n v="1317.5"/>
    <n v="1450"/>
  </r>
  <r>
    <x v="12"/>
    <x v="5"/>
    <x v="14"/>
    <n v="1309.3599999999999"/>
    <n v="1245"/>
    <n v="1390"/>
    <n v="1317.5"/>
    <n v="1450"/>
  </r>
  <r>
    <x v="12"/>
    <x v="5"/>
    <x v="14"/>
    <n v="1309.3599999999999"/>
    <n v="1245"/>
    <n v="1390"/>
    <n v="1317.5"/>
    <n v="1450"/>
  </r>
  <r>
    <x v="12"/>
    <x v="5"/>
    <x v="14"/>
    <n v="1309.3599999999999"/>
    <n v="1245"/>
    <n v="1390"/>
    <n v="1317.5"/>
    <n v="1450"/>
  </r>
  <r>
    <x v="12"/>
    <x v="5"/>
    <x v="14"/>
    <n v="1309.3599999999999"/>
    <n v="1245"/>
    <n v="1390"/>
    <n v="1317.5"/>
    <n v="1450"/>
  </r>
  <r>
    <x v="12"/>
    <x v="5"/>
    <x v="14"/>
    <n v="1309.3599999999999"/>
    <n v="1245"/>
    <n v="1390"/>
    <n v="1317.5"/>
    <n v="1450"/>
  </r>
  <r>
    <x v="12"/>
    <x v="5"/>
    <x v="14"/>
    <n v="1309.3599999999999"/>
    <n v="1245"/>
    <n v="1390"/>
    <n v="1317.5"/>
    <n v="1450"/>
  </r>
  <r>
    <x v="12"/>
    <x v="5"/>
    <x v="14"/>
    <n v="1309.3599999999999"/>
    <n v="1245"/>
    <n v="1390"/>
    <n v="1317.5"/>
    <n v="1450"/>
  </r>
  <r>
    <x v="12"/>
    <x v="5"/>
    <x v="14"/>
    <n v="1309.3599999999999"/>
    <n v="1245"/>
    <n v="1390"/>
    <n v="1317.5"/>
    <n v="1450"/>
  </r>
  <r>
    <x v="12"/>
    <x v="5"/>
    <x v="14"/>
    <n v="1309.3599999999999"/>
    <n v="1245"/>
    <n v="1390"/>
    <n v="1317.5"/>
    <n v="1450"/>
  </r>
  <r>
    <x v="12"/>
    <x v="5"/>
    <x v="14"/>
    <n v="1309.3599999999999"/>
    <n v="1245"/>
    <n v="1390"/>
    <n v="1317.5"/>
    <n v="1450"/>
  </r>
  <r>
    <x v="12"/>
    <x v="5"/>
    <x v="14"/>
    <n v="1309.3599999999999"/>
    <n v="1245"/>
    <n v="1390"/>
    <n v="1317.5"/>
    <n v="1450"/>
  </r>
  <r>
    <x v="12"/>
    <x v="5"/>
    <x v="14"/>
    <n v="1309.3599999999999"/>
    <n v="1245"/>
    <n v="1390"/>
    <n v="1317.5"/>
    <n v="1450"/>
  </r>
  <r>
    <x v="12"/>
    <x v="5"/>
    <x v="14"/>
    <n v="1309.3599999999999"/>
    <n v="1245"/>
    <n v="1390"/>
    <n v="1317.5"/>
    <n v="1450"/>
  </r>
  <r>
    <x v="12"/>
    <x v="5"/>
    <x v="14"/>
    <n v="1309.3599999999999"/>
    <n v="1245"/>
    <n v="1390"/>
    <n v="1317.5"/>
    <n v="1450"/>
  </r>
  <r>
    <x v="12"/>
    <x v="5"/>
    <x v="14"/>
    <n v="1309.3599999999999"/>
    <n v="1245"/>
    <n v="1390"/>
    <n v="1317.5"/>
    <n v="1450"/>
  </r>
  <r>
    <x v="12"/>
    <x v="5"/>
    <x v="14"/>
    <n v="1309.3599999999999"/>
    <n v="1245"/>
    <n v="1390"/>
    <n v="1317.5"/>
    <n v="1450"/>
  </r>
  <r>
    <x v="12"/>
    <x v="5"/>
    <x v="14"/>
    <n v="1309.3599999999999"/>
    <n v="1245"/>
    <n v="1390"/>
    <n v="1317.5"/>
    <n v="1450"/>
  </r>
  <r>
    <x v="12"/>
    <x v="5"/>
    <x v="14"/>
    <n v="1309.3599999999999"/>
    <n v="1245"/>
    <n v="1390"/>
    <n v="1317.5"/>
    <n v="1450"/>
  </r>
  <r>
    <x v="12"/>
    <x v="5"/>
    <x v="14"/>
    <n v="1309.3599999999999"/>
    <n v="1245"/>
    <n v="1390"/>
    <n v="1317.5"/>
    <n v="1450"/>
  </r>
  <r>
    <x v="12"/>
    <x v="5"/>
    <x v="14"/>
    <n v="1309.3599999999999"/>
    <n v="1245"/>
    <n v="1390"/>
    <n v="1317.5"/>
    <n v="1450"/>
  </r>
  <r>
    <x v="12"/>
    <x v="5"/>
    <x v="14"/>
    <n v="1309.3599999999999"/>
    <n v="1245"/>
    <n v="1390"/>
    <n v="1317.5"/>
    <n v="1450"/>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0"/>
    <n v="1.98126"/>
    <n v="1.91"/>
    <n v="2.0024099999999998"/>
    <n v="1.956205"/>
    <n v="924.1"/>
  </r>
  <r>
    <x v="12"/>
    <x v="5"/>
    <x v="0"/>
    <n v="1.98126"/>
    <n v="1.91"/>
    <n v="2.0024099999999998"/>
    <n v="1.956205"/>
    <n v="924.1"/>
  </r>
  <r>
    <x v="12"/>
    <x v="5"/>
    <x v="0"/>
    <n v="1.98126"/>
    <n v="1.91"/>
    <n v="2.0024099999999998"/>
    <n v="1.956205"/>
    <n v="924.1"/>
  </r>
  <r>
    <x v="12"/>
    <x v="5"/>
    <x v="0"/>
    <n v="1.98126"/>
    <n v="1.91"/>
    <n v="2.0024099999999998"/>
    <n v="1.956205"/>
    <n v="924.1"/>
  </r>
  <r>
    <x v="12"/>
    <x v="5"/>
    <x v="0"/>
    <n v="1.98126"/>
    <n v="1.91"/>
    <n v="2.0024099999999998"/>
    <n v="1.956205"/>
    <n v="924.1"/>
  </r>
  <r>
    <x v="12"/>
    <x v="5"/>
    <x v="0"/>
    <n v="1.98126"/>
    <n v="1.91"/>
    <n v="2.0024099999999998"/>
    <n v="1.956205"/>
    <n v="924.1"/>
  </r>
  <r>
    <x v="12"/>
    <x v="5"/>
    <x v="0"/>
    <n v="1.98126"/>
    <n v="1.91"/>
    <n v="2.0024099999999998"/>
    <n v="1.956205"/>
    <n v="924.1"/>
  </r>
  <r>
    <x v="12"/>
    <x v="5"/>
    <x v="0"/>
    <n v="1.98126"/>
    <n v="1.91"/>
    <n v="2.0024099999999998"/>
    <n v="1.956205"/>
    <n v="924.1"/>
  </r>
  <r>
    <x v="12"/>
    <x v="5"/>
    <x v="0"/>
    <n v="1.98126"/>
    <n v="1.91"/>
    <n v="2.0024099999999998"/>
    <n v="1.956205"/>
    <n v="924.1"/>
  </r>
  <r>
    <x v="12"/>
    <x v="5"/>
    <x v="0"/>
    <n v="1.98126"/>
    <n v="1.91"/>
    <n v="2.0024099999999998"/>
    <n v="1.956205"/>
    <n v="924.1"/>
  </r>
  <r>
    <x v="12"/>
    <x v="5"/>
    <x v="0"/>
    <n v="1.98126"/>
    <n v="1.91"/>
    <n v="2.0024099999999998"/>
    <n v="1.956205"/>
    <n v="924.1"/>
  </r>
  <r>
    <x v="12"/>
    <x v="5"/>
    <x v="0"/>
    <n v="1.98126"/>
    <n v="1.91"/>
    <n v="2.0024099999999998"/>
    <n v="1.956205"/>
    <n v="924.1"/>
  </r>
  <r>
    <x v="12"/>
    <x v="5"/>
    <x v="0"/>
    <n v="1.98126"/>
    <n v="1.91"/>
    <n v="2.0024099999999998"/>
    <n v="1.956205"/>
    <n v="924.1"/>
  </r>
  <r>
    <x v="12"/>
    <x v="5"/>
    <x v="0"/>
    <n v="1.98126"/>
    <n v="1.91"/>
    <n v="2.0024099999999998"/>
    <n v="1.956205"/>
    <n v="924.1"/>
  </r>
  <r>
    <x v="12"/>
    <x v="5"/>
    <x v="0"/>
    <n v="1.98126"/>
    <n v="1.91"/>
    <n v="2.0024099999999998"/>
    <n v="1.956205"/>
    <n v="924.1"/>
  </r>
  <r>
    <x v="12"/>
    <x v="5"/>
    <x v="0"/>
    <n v="1.98126"/>
    <n v="1.91"/>
    <n v="2.0024099999999998"/>
    <n v="1.956205"/>
    <n v="924.1"/>
  </r>
  <r>
    <x v="12"/>
    <x v="5"/>
    <x v="0"/>
    <n v="1.98126"/>
    <n v="1.91"/>
    <n v="2.0024099999999998"/>
    <n v="1.956205"/>
    <n v="924.1"/>
  </r>
  <r>
    <x v="12"/>
    <x v="5"/>
    <x v="0"/>
    <n v="1.98126"/>
    <n v="1.91"/>
    <n v="2.0024099999999998"/>
    <n v="1.956205"/>
    <n v="924.1"/>
  </r>
  <r>
    <x v="12"/>
    <x v="5"/>
    <x v="0"/>
    <n v="1.98126"/>
    <n v="1.91"/>
    <n v="2.0024099999999998"/>
    <n v="1.956205"/>
    <n v="924.1"/>
  </r>
  <r>
    <x v="12"/>
    <x v="5"/>
    <x v="0"/>
    <n v="1.98126"/>
    <n v="1.91"/>
    <n v="2.0024099999999998"/>
    <n v="1.956205"/>
    <n v="924.1"/>
  </r>
  <r>
    <x v="12"/>
    <x v="5"/>
    <x v="0"/>
    <n v="1.98126"/>
    <n v="1.91"/>
    <n v="2.0024099999999998"/>
    <n v="1.956205"/>
    <n v="924.1"/>
  </r>
  <r>
    <x v="12"/>
    <x v="5"/>
    <x v="0"/>
    <n v="1.98126"/>
    <n v="1.91"/>
    <n v="2.0024099999999998"/>
    <n v="1.956205"/>
    <n v="924.1"/>
  </r>
  <r>
    <x v="12"/>
    <x v="5"/>
    <x v="0"/>
    <n v="1.98126"/>
    <n v="1.91"/>
    <n v="2.0024099999999998"/>
    <n v="1.956205"/>
    <n v="924.1"/>
  </r>
  <r>
    <x v="12"/>
    <x v="5"/>
    <x v="0"/>
    <n v="1.98126"/>
    <n v="1.91"/>
    <n v="2.0024099999999998"/>
    <n v="1.956205"/>
    <n v="924.1"/>
  </r>
  <r>
    <x v="12"/>
    <x v="5"/>
    <x v="0"/>
    <n v="1.98126"/>
    <n v="1.91"/>
    <n v="2.0024099999999998"/>
    <n v="1.956205"/>
    <n v="924.1"/>
  </r>
  <r>
    <x v="12"/>
    <x v="5"/>
    <x v="0"/>
    <n v="1.98126"/>
    <n v="1.91"/>
    <n v="2.0024099999999998"/>
    <n v="1.956205"/>
    <n v="924.1"/>
  </r>
  <r>
    <x v="12"/>
    <x v="5"/>
    <x v="0"/>
    <n v="1.98126"/>
    <n v="1.91"/>
    <n v="2.0024099999999998"/>
    <n v="1.956205"/>
    <n v="924.1"/>
  </r>
  <r>
    <x v="12"/>
    <x v="5"/>
    <x v="0"/>
    <n v="1.98126"/>
    <n v="1.91"/>
    <n v="2.0024099999999998"/>
    <n v="1.956205"/>
    <n v="924.1"/>
  </r>
  <r>
    <x v="12"/>
    <x v="5"/>
    <x v="0"/>
    <n v="1.98126"/>
    <n v="1.91"/>
    <n v="2.0024099999999998"/>
    <n v="1.956205"/>
    <n v="924.1"/>
  </r>
  <r>
    <x v="12"/>
    <x v="5"/>
    <x v="0"/>
    <n v="1.98126"/>
    <n v="1.91"/>
    <n v="2.0024099999999998"/>
    <n v="1.956205"/>
    <n v="924.1"/>
  </r>
  <r>
    <x v="12"/>
    <x v="5"/>
    <x v="2"/>
    <n v="102.017"/>
    <n v="101"/>
    <n v="104.005"/>
    <n v="102.5025"/>
    <n v="300.5"/>
  </r>
  <r>
    <x v="12"/>
    <x v="5"/>
    <x v="2"/>
    <n v="102.017"/>
    <n v="101"/>
    <n v="104.005"/>
    <n v="102.5025"/>
    <n v="300.5"/>
  </r>
  <r>
    <x v="12"/>
    <x v="5"/>
    <x v="2"/>
    <n v="102.017"/>
    <n v="101"/>
    <n v="104.005"/>
    <n v="102.5025"/>
    <n v="300.5"/>
  </r>
  <r>
    <x v="12"/>
    <x v="5"/>
    <x v="2"/>
    <n v="102.017"/>
    <n v="101"/>
    <n v="104.005"/>
    <n v="102.5025"/>
    <n v="300.5"/>
  </r>
  <r>
    <x v="12"/>
    <x v="5"/>
    <x v="2"/>
    <n v="102.017"/>
    <n v="101"/>
    <n v="104.005"/>
    <n v="102.5025"/>
    <n v="300.5"/>
  </r>
  <r>
    <x v="12"/>
    <x v="5"/>
    <x v="2"/>
    <n v="102.017"/>
    <n v="101"/>
    <n v="104.005"/>
    <n v="102.5025"/>
    <n v="300.5"/>
  </r>
  <r>
    <x v="12"/>
    <x v="5"/>
    <x v="2"/>
    <n v="102.017"/>
    <n v="101"/>
    <n v="104.005"/>
    <n v="102.5025"/>
    <n v="300.5"/>
  </r>
  <r>
    <x v="12"/>
    <x v="5"/>
    <x v="2"/>
    <n v="102.017"/>
    <n v="101"/>
    <n v="104.005"/>
    <n v="102.5025"/>
    <n v="300.5"/>
  </r>
  <r>
    <x v="12"/>
    <x v="5"/>
    <x v="2"/>
    <n v="102.017"/>
    <n v="101"/>
    <n v="104.005"/>
    <n v="102.5025"/>
    <n v="300.5"/>
  </r>
  <r>
    <x v="12"/>
    <x v="5"/>
    <x v="2"/>
    <n v="102.017"/>
    <n v="101"/>
    <n v="104.005"/>
    <n v="102.5025"/>
    <n v="300.5"/>
  </r>
  <r>
    <x v="12"/>
    <x v="5"/>
    <x v="2"/>
    <n v="102.017"/>
    <n v="101"/>
    <n v="104.005"/>
    <n v="102.5025"/>
    <n v="300.5"/>
  </r>
  <r>
    <x v="12"/>
    <x v="5"/>
    <x v="2"/>
    <n v="102.017"/>
    <n v="101"/>
    <n v="104.005"/>
    <n v="102.5025"/>
    <n v="300.5"/>
  </r>
  <r>
    <x v="12"/>
    <x v="5"/>
    <x v="2"/>
    <n v="102.017"/>
    <n v="101"/>
    <n v="104.005"/>
    <n v="102.5025"/>
    <n v="300.5"/>
  </r>
  <r>
    <x v="12"/>
    <x v="5"/>
    <x v="2"/>
    <n v="102.017"/>
    <n v="101"/>
    <n v="104.005"/>
    <n v="102.5025"/>
    <n v="300.5"/>
  </r>
  <r>
    <x v="12"/>
    <x v="5"/>
    <x v="2"/>
    <n v="102.017"/>
    <n v="101"/>
    <n v="104.005"/>
    <n v="102.5025"/>
    <n v="300.5"/>
  </r>
  <r>
    <x v="12"/>
    <x v="5"/>
    <x v="2"/>
    <n v="102.017"/>
    <n v="101"/>
    <n v="104.005"/>
    <n v="102.5025"/>
    <n v="300.5"/>
  </r>
  <r>
    <x v="12"/>
    <x v="5"/>
    <x v="2"/>
    <n v="102.017"/>
    <n v="101"/>
    <n v="104.005"/>
    <n v="102.5025"/>
    <n v="300.5"/>
  </r>
  <r>
    <x v="12"/>
    <x v="5"/>
    <x v="2"/>
    <n v="102.017"/>
    <n v="101"/>
    <n v="104.005"/>
    <n v="102.5025"/>
    <n v="300.5"/>
  </r>
  <r>
    <x v="12"/>
    <x v="5"/>
    <x v="2"/>
    <n v="102.017"/>
    <n v="101"/>
    <n v="104.005"/>
    <n v="102.5025"/>
    <n v="300.5"/>
  </r>
  <r>
    <x v="12"/>
    <x v="5"/>
    <x v="14"/>
    <n v="1309.3599999999999"/>
    <n v="1245"/>
    <n v="1390"/>
    <n v="1317.5"/>
    <n v="1450"/>
  </r>
  <r>
    <x v="12"/>
    <x v="5"/>
    <x v="14"/>
    <n v="1309.3599999999999"/>
    <n v="1245"/>
    <n v="1390"/>
    <n v="1317.5"/>
    <n v="1450"/>
  </r>
  <r>
    <x v="12"/>
    <x v="5"/>
    <x v="14"/>
    <n v="1309.3599999999999"/>
    <n v="1245"/>
    <n v="1390"/>
    <n v="1317.5"/>
    <n v="1450"/>
  </r>
  <r>
    <x v="12"/>
    <x v="5"/>
    <x v="14"/>
    <n v="1309.3599999999999"/>
    <n v="1245"/>
    <n v="1390"/>
    <n v="1317.5"/>
    <n v="1450"/>
  </r>
  <r>
    <x v="12"/>
    <x v="5"/>
    <x v="14"/>
    <n v="1309.3599999999999"/>
    <n v="1245"/>
    <n v="1390"/>
    <n v="1317.5"/>
    <n v="1450"/>
  </r>
  <r>
    <x v="12"/>
    <x v="5"/>
    <x v="14"/>
    <n v="1309.3599999999999"/>
    <n v="1245"/>
    <n v="1390"/>
    <n v="1317.5"/>
    <n v="1450"/>
  </r>
  <r>
    <x v="12"/>
    <x v="5"/>
    <x v="14"/>
    <n v="1309.3599999999999"/>
    <n v="1245"/>
    <n v="1390"/>
    <n v="1317.5"/>
    <n v="1450"/>
  </r>
  <r>
    <x v="12"/>
    <x v="5"/>
    <x v="14"/>
    <n v="1309.3599999999999"/>
    <n v="1245"/>
    <n v="1390"/>
    <n v="1317.5"/>
    <n v="1450"/>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5"/>
    <x v="7"/>
    <n v="1.4453499999999999"/>
    <n v="1.42401"/>
    <n v="1.554"/>
    <n v="1.4890049999999999"/>
    <n v="1299.9000000000001"/>
  </r>
  <r>
    <x v="12"/>
    <x v="6"/>
    <x v="7"/>
    <n v="1.43953"/>
    <n v="1.42401"/>
    <n v="1.554"/>
    <n v="1.4890049999999999"/>
    <n v="1299.9000000000001"/>
  </r>
  <r>
    <x v="12"/>
    <x v="6"/>
    <x v="7"/>
    <n v="1.43953"/>
    <n v="1.42401"/>
    <n v="1.554"/>
    <n v="1.4890049999999999"/>
    <n v="1299.9000000000001"/>
  </r>
  <r>
    <x v="12"/>
    <x v="6"/>
    <x v="7"/>
    <n v="1.43953"/>
    <n v="1.42401"/>
    <n v="1.554"/>
    <n v="1.4890049999999999"/>
    <n v="1299.9000000000001"/>
  </r>
  <r>
    <x v="12"/>
    <x v="6"/>
    <x v="7"/>
    <n v="1.43953"/>
    <n v="1.42401"/>
    <n v="1.554"/>
    <n v="1.4890049999999999"/>
    <n v="1299.9000000000001"/>
  </r>
  <r>
    <x v="12"/>
    <x v="6"/>
    <x v="7"/>
    <n v="1.43953"/>
    <n v="1.42401"/>
    <n v="1.554"/>
    <n v="1.4890049999999999"/>
    <n v="1299.9000000000001"/>
  </r>
  <r>
    <x v="12"/>
    <x v="6"/>
    <x v="7"/>
    <n v="1.43953"/>
    <n v="1.42401"/>
    <n v="1.554"/>
    <n v="1.4890049999999999"/>
    <n v="1299.9000000000001"/>
  </r>
  <r>
    <x v="12"/>
    <x v="6"/>
    <x v="7"/>
    <n v="1.43953"/>
    <n v="1.42401"/>
    <n v="1.554"/>
    <n v="1.4890049999999999"/>
    <n v="1299.9000000000001"/>
  </r>
  <r>
    <x v="12"/>
    <x v="6"/>
    <x v="7"/>
    <n v="1.43953"/>
    <n v="1.42401"/>
    <n v="1.554"/>
    <n v="1.4890049999999999"/>
    <n v="1299.9000000000001"/>
  </r>
  <r>
    <x v="12"/>
    <x v="6"/>
    <x v="7"/>
    <n v="1.43953"/>
    <n v="1.42401"/>
    <n v="1.554"/>
    <n v="1.4890049999999999"/>
    <n v="1299.9000000000001"/>
  </r>
  <r>
    <x v="12"/>
    <x v="6"/>
    <x v="7"/>
    <n v="1.43953"/>
    <n v="1.42401"/>
    <n v="1.554"/>
    <n v="1.4890049999999999"/>
    <n v="1299.9000000000001"/>
  </r>
  <r>
    <x v="12"/>
    <x v="6"/>
    <x v="7"/>
    <n v="1.43953"/>
    <n v="1.42401"/>
    <n v="1.554"/>
    <n v="1.4890049999999999"/>
    <n v="1299.9000000000001"/>
  </r>
  <r>
    <x v="12"/>
    <x v="6"/>
    <x v="7"/>
    <n v="1.43953"/>
    <n v="1.42401"/>
    <n v="1.554"/>
    <n v="1.4890049999999999"/>
    <n v="1299.9000000000001"/>
  </r>
  <r>
    <x v="12"/>
    <x v="6"/>
    <x v="7"/>
    <n v="1.43953"/>
    <n v="1.42401"/>
    <n v="1.554"/>
    <n v="1.4890049999999999"/>
    <n v="1299.9000000000001"/>
  </r>
  <r>
    <x v="12"/>
    <x v="6"/>
    <x v="7"/>
    <n v="1.43953"/>
    <n v="1.42401"/>
    <n v="1.554"/>
    <n v="1.4890049999999999"/>
    <n v="1299.9000000000001"/>
  </r>
  <r>
    <x v="12"/>
    <x v="6"/>
    <x v="7"/>
    <n v="1.43953"/>
    <n v="1.42401"/>
    <n v="1.554"/>
    <n v="1.4890049999999999"/>
    <n v="1299.9000000000001"/>
  </r>
  <r>
    <x v="12"/>
    <x v="6"/>
    <x v="7"/>
    <n v="1.43953"/>
    <n v="1.42401"/>
    <n v="1.554"/>
    <n v="1.4890049999999999"/>
    <n v="1299.9000000000001"/>
  </r>
  <r>
    <x v="12"/>
    <x v="6"/>
    <x v="7"/>
    <n v="1.43953"/>
    <n v="1.42401"/>
    <n v="1.554"/>
    <n v="1.4890049999999999"/>
    <n v="1299.9000000000001"/>
  </r>
  <r>
    <x v="12"/>
    <x v="6"/>
    <x v="7"/>
    <n v="1.43953"/>
    <n v="1.42401"/>
    <n v="1.554"/>
    <n v="1.4890049999999999"/>
    <n v="1299.9000000000001"/>
  </r>
  <r>
    <x v="12"/>
    <x v="6"/>
    <x v="7"/>
    <n v="1.43953"/>
    <n v="1.42401"/>
    <n v="1.554"/>
    <n v="1.4890049999999999"/>
    <n v="1299.9000000000001"/>
  </r>
  <r>
    <x v="12"/>
    <x v="6"/>
    <x v="7"/>
    <n v="1.43953"/>
    <n v="1.42401"/>
    <n v="1.554"/>
    <n v="1.4890049999999999"/>
    <n v="1299.9000000000001"/>
  </r>
  <r>
    <x v="12"/>
    <x v="6"/>
    <x v="7"/>
    <n v="1.43953"/>
    <n v="1.42401"/>
    <n v="1.554"/>
    <n v="1.4890049999999999"/>
    <n v="1299.9000000000001"/>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14"/>
    <n v="1280.826"/>
    <n v="1245"/>
    <n v="1390"/>
    <n v="1317.5"/>
    <n v="1450"/>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0"/>
    <n v="1.97037"/>
    <n v="1.91"/>
    <n v="2.0024099999999998"/>
    <n v="1.956205"/>
    <n v="924.1"/>
  </r>
  <r>
    <x v="12"/>
    <x v="7"/>
    <x v="0"/>
    <n v="1.97037"/>
    <n v="1.91"/>
    <n v="2.0024099999999998"/>
    <n v="1.956205"/>
    <n v="924.1"/>
  </r>
  <r>
    <x v="12"/>
    <x v="7"/>
    <x v="0"/>
    <n v="1.97037"/>
    <n v="1.91"/>
    <n v="2.0024099999999998"/>
    <n v="1.956205"/>
    <n v="924.1"/>
  </r>
  <r>
    <x v="12"/>
    <x v="7"/>
    <x v="0"/>
    <n v="1.97037"/>
    <n v="1.91"/>
    <n v="2.0024099999999998"/>
    <n v="1.956205"/>
    <n v="924.1"/>
  </r>
  <r>
    <x v="12"/>
    <x v="7"/>
    <x v="0"/>
    <n v="1.97037"/>
    <n v="1.91"/>
    <n v="2.0024099999999998"/>
    <n v="1.956205"/>
    <n v="924.1"/>
  </r>
  <r>
    <x v="12"/>
    <x v="7"/>
    <x v="0"/>
    <n v="1.97037"/>
    <n v="1.91"/>
    <n v="2.0024099999999998"/>
    <n v="1.956205"/>
    <n v="924.1"/>
  </r>
  <r>
    <x v="12"/>
    <x v="7"/>
    <x v="0"/>
    <n v="1.97037"/>
    <n v="1.91"/>
    <n v="2.0024099999999998"/>
    <n v="1.956205"/>
    <n v="924.1"/>
  </r>
  <r>
    <x v="12"/>
    <x v="7"/>
    <x v="0"/>
    <n v="1.97037"/>
    <n v="1.91"/>
    <n v="2.0024099999999998"/>
    <n v="1.956205"/>
    <n v="924.1"/>
  </r>
  <r>
    <x v="12"/>
    <x v="7"/>
    <x v="0"/>
    <n v="1.97037"/>
    <n v="1.91"/>
    <n v="2.0024099999999998"/>
    <n v="1.956205"/>
    <n v="924.1"/>
  </r>
  <r>
    <x v="12"/>
    <x v="7"/>
    <x v="0"/>
    <n v="1.97037"/>
    <n v="1.91"/>
    <n v="2.0024099999999998"/>
    <n v="1.956205"/>
    <n v="924.1"/>
  </r>
  <r>
    <x v="12"/>
    <x v="7"/>
    <x v="0"/>
    <n v="1.97037"/>
    <n v="1.91"/>
    <n v="2.0024099999999998"/>
    <n v="1.956205"/>
    <n v="924.1"/>
  </r>
  <r>
    <x v="12"/>
    <x v="7"/>
    <x v="0"/>
    <n v="1.97037"/>
    <n v="1.91"/>
    <n v="2.0024099999999998"/>
    <n v="1.956205"/>
    <n v="924.1"/>
  </r>
  <r>
    <x v="12"/>
    <x v="7"/>
    <x v="0"/>
    <n v="1.97037"/>
    <n v="1.91"/>
    <n v="2.0024099999999998"/>
    <n v="1.956205"/>
    <n v="924.1"/>
  </r>
  <r>
    <x v="12"/>
    <x v="7"/>
    <x v="0"/>
    <n v="1.97037"/>
    <n v="1.91"/>
    <n v="2.0024099999999998"/>
    <n v="1.956205"/>
    <n v="924.1"/>
  </r>
  <r>
    <x v="12"/>
    <x v="7"/>
    <x v="0"/>
    <n v="1.97037"/>
    <n v="1.91"/>
    <n v="2.0024099999999998"/>
    <n v="1.956205"/>
    <n v="924.1"/>
  </r>
  <r>
    <x v="12"/>
    <x v="7"/>
    <x v="0"/>
    <n v="1.97037"/>
    <n v="1.91"/>
    <n v="2.0024099999999998"/>
    <n v="1.956205"/>
    <n v="924.1"/>
  </r>
  <r>
    <x v="12"/>
    <x v="7"/>
    <x v="0"/>
    <n v="1.97037"/>
    <n v="1.91"/>
    <n v="2.0024099999999998"/>
    <n v="1.956205"/>
    <n v="924.1"/>
  </r>
  <r>
    <x v="12"/>
    <x v="7"/>
    <x v="0"/>
    <n v="1.97037"/>
    <n v="1.91"/>
    <n v="2.0024099999999998"/>
    <n v="1.956205"/>
    <n v="924.1"/>
  </r>
  <r>
    <x v="12"/>
    <x v="7"/>
    <x v="0"/>
    <n v="1.97037"/>
    <n v="1.91"/>
    <n v="2.0024099999999998"/>
    <n v="1.956205"/>
    <n v="924.1"/>
  </r>
  <r>
    <x v="12"/>
    <x v="7"/>
    <x v="0"/>
    <n v="1.97037"/>
    <n v="1.91"/>
    <n v="2.0024099999999998"/>
    <n v="1.956205"/>
    <n v="924.1"/>
  </r>
  <r>
    <x v="12"/>
    <x v="7"/>
    <x v="0"/>
    <n v="1.97037"/>
    <n v="1.91"/>
    <n v="2.0024099999999998"/>
    <n v="1.956205"/>
    <n v="924.1"/>
  </r>
  <r>
    <x v="12"/>
    <x v="7"/>
    <x v="0"/>
    <n v="1.97037"/>
    <n v="1.91"/>
    <n v="2.0024099999999998"/>
    <n v="1.956205"/>
    <n v="924.1"/>
  </r>
  <r>
    <x v="12"/>
    <x v="7"/>
    <x v="0"/>
    <n v="1.97037"/>
    <n v="1.91"/>
    <n v="2.0024099999999998"/>
    <n v="1.956205"/>
    <n v="924.1"/>
  </r>
  <r>
    <x v="12"/>
    <x v="7"/>
    <x v="0"/>
    <n v="1.97037"/>
    <n v="1.91"/>
    <n v="2.0024099999999998"/>
    <n v="1.956205"/>
    <n v="924.1"/>
  </r>
  <r>
    <x v="12"/>
    <x v="7"/>
    <x v="0"/>
    <n v="1.97037"/>
    <n v="1.91"/>
    <n v="2.0024099999999998"/>
    <n v="1.956205"/>
    <n v="924.1"/>
  </r>
  <r>
    <x v="12"/>
    <x v="7"/>
    <x v="0"/>
    <n v="1.97037"/>
    <n v="1.91"/>
    <n v="2.0024099999999998"/>
    <n v="1.956205"/>
    <n v="924.1"/>
  </r>
  <r>
    <x v="12"/>
    <x v="7"/>
    <x v="0"/>
    <n v="1.97037"/>
    <n v="1.91"/>
    <n v="2.0024099999999998"/>
    <n v="1.956205"/>
    <n v="924.1"/>
  </r>
  <r>
    <x v="12"/>
    <x v="7"/>
    <x v="0"/>
    <n v="1.97037"/>
    <n v="1.91"/>
    <n v="2.0024099999999998"/>
    <n v="1.956205"/>
    <n v="924.1"/>
  </r>
  <r>
    <x v="12"/>
    <x v="7"/>
    <x v="0"/>
    <n v="1.97037"/>
    <n v="1.91"/>
    <n v="2.0024099999999998"/>
    <n v="1.956205"/>
    <n v="924.1"/>
  </r>
  <r>
    <x v="12"/>
    <x v="7"/>
    <x v="2"/>
    <n v="103.934"/>
    <n v="101"/>
    <n v="104.20399999999999"/>
    <n v="102.602"/>
    <n v="320.39999999999998"/>
  </r>
  <r>
    <x v="12"/>
    <x v="7"/>
    <x v="2"/>
    <n v="103.934"/>
    <n v="101"/>
    <n v="104.20399999999999"/>
    <n v="102.602"/>
    <n v="320.39999999999998"/>
  </r>
  <r>
    <x v="12"/>
    <x v="7"/>
    <x v="2"/>
    <n v="103.934"/>
    <n v="101"/>
    <n v="104.20399999999999"/>
    <n v="102.602"/>
    <n v="320.39999999999998"/>
  </r>
  <r>
    <x v="12"/>
    <x v="7"/>
    <x v="2"/>
    <n v="103.934"/>
    <n v="101"/>
    <n v="104.20399999999999"/>
    <n v="102.602"/>
    <n v="320.39999999999998"/>
  </r>
  <r>
    <x v="12"/>
    <x v="7"/>
    <x v="2"/>
    <n v="103.934"/>
    <n v="101"/>
    <n v="104.20399999999999"/>
    <n v="102.602"/>
    <n v="320.39999999999998"/>
  </r>
  <r>
    <x v="12"/>
    <x v="7"/>
    <x v="2"/>
    <n v="103.934"/>
    <n v="101"/>
    <n v="104.20399999999999"/>
    <n v="102.602"/>
    <n v="320.39999999999998"/>
  </r>
  <r>
    <x v="12"/>
    <x v="7"/>
    <x v="2"/>
    <n v="103.934"/>
    <n v="101"/>
    <n v="104.20399999999999"/>
    <n v="102.602"/>
    <n v="320.39999999999998"/>
  </r>
  <r>
    <x v="12"/>
    <x v="7"/>
    <x v="2"/>
    <n v="103.934"/>
    <n v="101"/>
    <n v="104.20399999999999"/>
    <n v="102.602"/>
    <n v="320.39999999999998"/>
  </r>
  <r>
    <x v="12"/>
    <x v="7"/>
    <x v="2"/>
    <n v="103.934"/>
    <n v="101"/>
    <n v="104.20399999999999"/>
    <n v="102.602"/>
    <n v="320.39999999999998"/>
  </r>
  <r>
    <x v="12"/>
    <x v="7"/>
    <x v="2"/>
    <n v="103.934"/>
    <n v="101"/>
    <n v="104.20399999999999"/>
    <n v="102.602"/>
    <n v="320.39999999999998"/>
  </r>
  <r>
    <x v="12"/>
    <x v="7"/>
    <x v="2"/>
    <n v="103.934"/>
    <n v="101"/>
    <n v="104.20399999999999"/>
    <n v="102.602"/>
    <n v="320.39999999999998"/>
  </r>
  <r>
    <x v="12"/>
    <x v="7"/>
    <x v="2"/>
    <n v="103.934"/>
    <n v="101"/>
    <n v="104.20399999999999"/>
    <n v="102.602"/>
    <n v="320.39999999999998"/>
  </r>
  <r>
    <x v="12"/>
    <x v="7"/>
    <x v="2"/>
    <n v="103.934"/>
    <n v="101"/>
    <n v="104.20399999999999"/>
    <n v="102.602"/>
    <n v="320.39999999999998"/>
  </r>
  <r>
    <x v="12"/>
    <x v="7"/>
    <x v="2"/>
    <n v="103.934"/>
    <n v="101"/>
    <n v="104.20399999999999"/>
    <n v="102.602"/>
    <n v="320.39999999999998"/>
  </r>
  <r>
    <x v="12"/>
    <x v="7"/>
    <x v="2"/>
    <n v="103.934"/>
    <n v="101"/>
    <n v="104.20399999999999"/>
    <n v="102.602"/>
    <n v="320.39999999999998"/>
  </r>
  <r>
    <x v="12"/>
    <x v="7"/>
    <x v="2"/>
    <n v="103.934"/>
    <n v="101"/>
    <n v="104.20399999999999"/>
    <n v="102.602"/>
    <n v="320.39999999999998"/>
  </r>
  <r>
    <x v="12"/>
    <x v="7"/>
    <x v="2"/>
    <n v="103.934"/>
    <n v="101"/>
    <n v="104.20399999999999"/>
    <n v="102.602"/>
    <n v="320.39999999999998"/>
  </r>
  <r>
    <x v="12"/>
    <x v="7"/>
    <x v="2"/>
    <n v="103.934"/>
    <n v="101"/>
    <n v="104.20399999999999"/>
    <n v="102.602"/>
    <n v="320.39999999999998"/>
  </r>
  <r>
    <x v="12"/>
    <x v="7"/>
    <x v="2"/>
    <n v="103.934"/>
    <n v="101"/>
    <n v="104.20399999999999"/>
    <n v="102.602"/>
    <n v="320.39999999999998"/>
  </r>
  <r>
    <x v="12"/>
    <x v="7"/>
    <x v="2"/>
    <n v="103.934"/>
    <n v="101"/>
    <n v="104.20399999999999"/>
    <n v="102.602"/>
    <n v="320.39999999999998"/>
  </r>
  <r>
    <x v="12"/>
    <x v="7"/>
    <x v="2"/>
    <n v="103.934"/>
    <n v="101"/>
    <n v="104.20399999999999"/>
    <n v="102.602"/>
    <n v="320.39999999999998"/>
  </r>
  <r>
    <x v="12"/>
    <x v="7"/>
    <x v="2"/>
    <n v="103.934"/>
    <n v="101"/>
    <n v="104.20399999999999"/>
    <n v="102.602"/>
    <n v="320.39999999999998"/>
  </r>
  <r>
    <x v="12"/>
    <x v="7"/>
    <x v="2"/>
    <n v="103.934"/>
    <n v="101"/>
    <n v="104.20399999999999"/>
    <n v="102.602"/>
    <n v="320.39999999999998"/>
  </r>
  <r>
    <x v="12"/>
    <x v="7"/>
    <x v="2"/>
    <n v="103.934"/>
    <n v="101"/>
    <n v="104.20399999999999"/>
    <n v="102.602"/>
    <n v="320.39999999999998"/>
  </r>
  <r>
    <x v="12"/>
    <x v="7"/>
    <x v="2"/>
    <n v="103.934"/>
    <n v="101"/>
    <n v="104.20399999999999"/>
    <n v="102.602"/>
    <n v="320.39999999999998"/>
  </r>
  <r>
    <x v="12"/>
    <x v="7"/>
    <x v="2"/>
    <n v="103.934"/>
    <n v="101"/>
    <n v="104.20399999999999"/>
    <n v="102.602"/>
    <n v="320.39999999999998"/>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7"/>
    <x v="7"/>
    <n v="1.42012"/>
    <n v="1.41971"/>
    <n v="1.554"/>
    <n v="1.486855"/>
    <n v="1342.9"/>
  </r>
  <r>
    <x v="12"/>
    <x v="8"/>
    <x v="14"/>
    <n v="1286.96"/>
    <n v="1245"/>
    <n v="1390"/>
    <n v="1317.5"/>
    <n v="1450"/>
  </r>
  <r>
    <x v="12"/>
    <x v="8"/>
    <x v="14"/>
    <n v="1286.96"/>
    <n v="1245"/>
    <n v="1390"/>
    <n v="1317.5"/>
    <n v="1450"/>
  </r>
  <r>
    <x v="12"/>
    <x v="8"/>
    <x v="14"/>
    <n v="1286.96"/>
    <n v="1245"/>
    <n v="1390"/>
    <n v="1317.5"/>
    <n v="1450"/>
  </r>
  <r>
    <x v="12"/>
    <x v="8"/>
    <x v="14"/>
    <n v="1286.96"/>
    <n v="1245"/>
    <n v="1390"/>
    <n v="1317.5"/>
    <n v="1450"/>
  </r>
  <r>
    <x v="12"/>
    <x v="8"/>
    <x v="14"/>
    <n v="1286.96"/>
    <n v="1245"/>
    <n v="1390"/>
    <n v="1317.5"/>
    <n v="1450"/>
  </r>
  <r>
    <x v="12"/>
    <x v="8"/>
    <x v="14"/>
    <n v="1286.96"/>
    <n v="1245"/>
    <n v="1390"/>
    <n v="1317.5"/>
    <n v="1450"/>
  </r>
  <r>
    <x v="12"/>
    <x v="8"/>
    <x v="14"/>
    <n v="1286.96"/>
    <n v="1245"/>
    <n v="1390"/>
    <n v="1317.5"/>
    <n v="1450"/>
  </r>
  <r>
    <x v="12"/>
    <x v="8"/>
    <x v="14"/>
    <n v="1286.96"/>
    <n v="1245"/>
    <n v="1390"/>
    <n v="1317.5"/>
    <n v="1450"/>
  </r>
  <r>
    <x v="12"/>
    <x v="8"/>
    <x v="14"/>
    <n v="1286.96"/>
    <n v="1245"/>
    <n v="1390"/>
    <n v="1317.5"/>
    <n v="1450"/>
  </r>
  <r>
    <x v="12"/>
    <x v="8"/>
    <x v="14"/>
    <n v="1286.96"/>
    <n v="1245"/>
    <n v="1390"/>
    <n v="1317.5"/>
    <n v="1450"/>
  </r>
  <r>
    <x v="12"/>
    <x v="8"/>
    <x v="14"/>
    <n v="1286.96"/>
    <n v="1245"/>
    <n v="1390"/>
    <n v="1317.5"/>
    <n v="1450"/>
  </r>
  <r>
    <x v="12"/>
    <x v="8"/>
    <x v="14"/>
    <n v="1286.96"/>
    <n v="1245"/>
    <n v="1390"/>
    <n v="1317.5"/>
    <n v="1450"/>
  </r>
  <r>
    <x v="12"/>
    <x v="8"/>
    <x v="14"/>
    <n v="1286.96"/>
    <n v="1245"/>
    <n v="1390"/>
    <n v="1317.5"/>
    <n v="1450"/>
  </r>
  <r>
    <x v="12"/>
    <x v="8"/>
    <x v="14"/>
    <n v="1286.96"/>
    <n v="1245"/>
    <n v="1390"/>
    <n v="1317.5"/>
    <n v="1450"/>
  </r>
  <r>
    <x v="12"/>
    <x v="8"/>
    <x v="14"/>
    <n v="1286.96"/>
    <n v="1245"/>
    <n v="1390"/>
    <n v="1317.5"/>
    <n v="1450"/>
  </r>
  <r>
    <x v="12"/>
    <x v="8"/>
    <x v="14"/>
    <n v="1286.96"/>
    <n v="1245"/>
    <n v="1390"/>
    <n v="1317.5"/>
    <n v="1450"/>
  </r>
  <r>
    <x v="12"/>
    <x v="8"/>
    <x v="14"/>
    <n v="1286.96"/>
    <n v="1245"/>
    <n v="1390"/>
    <n v="1317.5"/>
    <n v="1450"/>
  </r>
  <r>
    <x v="12"/>
    <x v="8"/>
    <x v="14"/>
    <n v="1286.96"/>
    <n v="1245"/>
    <n v="1390"/>
    <n v="1317.5"/>
    <n v="1450"/>
  </r>
  <r>
    <x v="12"/>
    <x v="8"/>
    <x v="14"/>
    <n v="1286.96"/>
    <n v="1245"/>
    <n v="1390"/>
    <n v="1317.5"/>
    <n v="1450"/>
  </r>
  <r>
    <x v="12"/>
    <x v="8"/>
    <x v="14"/>
    <n v="1286.96"/>
    <n v="1245"/>
    <n v="1390"/>
    <n v="1317.5"/>
    <n v="1450"/>
  </r>
  <r>
    <x v="12"/>
    <x v="8"/>
    <x v="14"/>
    <n v="1286.96"/>
    <n v="1245"/>
    <n v="1390"/>
    <n v="1317.5"/>
    <n v="1450"/>
  </r>
  <r>
    <x v="12"/>
    <x v="8"/>
    <x v="14"/>
    <n v="1286.96"/>
    <n v="1245"/>
    <n v="1390"/>
    <n v="1317.5"/>
    <n v="1450"/>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0"/>
    <n v="1.98454"/>
    <n v="1.91"/>
    <n v="2.0024099999999998"/>
    <n v="1.956205"/>
    <n v="924.1"/>
  </r>
  <r>
    <x v="12"/>
    <x v="8"/>
    <x v="0"/>
    <n v="1.98454"/>
    <n v="1.91"/>
    <n v="2.0024099999999998"/>
    <n v="1.956205"/>
    <n v="924.1"/>
  </r>
  <r>
    <x v="12"/>
    <x v="8"/>
    <x v="0"/>
    <n v="1.98454"/>
    <n v="1.91"/>
    <n v="2.0024099999999998"/>
    <n v="1.956205"/>
    <n v="924.1"/>
  </r>
  <r>
    <x v="12"/>
    <x v="8"/>
    <x v="0"/>
    <n v="1.98454"/>
    <n v="1.91"/>
    <n v="2.0024099999999998"/>
    <n v="1.956205"/>
    <n v="924.1"/>
  </r>
  <r>
    <x v="12"/>
    <x v="8"/>
    <x v="0"/>
    <n v="1.98454"/>
    <n v="1.91"/>
    <n v="2.0024099999999998"/>
    <n v="1.956205"/>
    <n v="924.1"/>
  </r>
  <r>
    <x v="12"/>
    <x v="8"/>
    <x v="0"/>
    <n v="1.98454"/>
    <n v="1.91"/>
    <n v="2.0024099999999998"/>
    <n v="1.956205"/>
    <n v="924.1"/>
  </r>
  <r>
    <x v="12"/>
    <x v="8"/>
    <x v="0"/>
    <n v="1.98454"/>
    <n v="1.91"/>
    <n v="2.0024099999999998"/>
    <n v="1.956205"/>
    <n v="924.1"/>
  </r>
  <r>
    <x v="12"/>
    <x v="8"/>
    <x v="0"/>
    <n v="1.98454"/>
    <n v="1.91"/>
    <n v="2.0024099999999998"/>
    <n v="1.956205"/>
    <n v="924.1"/>
  </r>
  <r>
    <x v="12"/>
    <x v="8"/>
    <x v="0"/>
    <n v="1.98454"/>
    <n v="1.91"/>
    <n v="2.0024099999999998"/>
    <n v="1.956205"/>
    <n v="924.1"/>
  </r>
  <r>
    <x v="12"/>
    <x v="8"/>
    <x v="0"/>
    <n v="1.98454"/>
    <n v="1.91"/>
    <n v="2.0024099999999998"/>
    <n v="1.956205"/>
    <n v="924.1"/>
  </r>
  <r>
    <x v="12"/>
    <x v="8"/>
    <x v="0"/>
    <n v="1.98454"/>
    <n v="1.91"/>
    <n v="2.0024099999999998"/>
    <n v="1.956205"/>
    <n v="924.1"/>
  </r>
  <r>
    <x v="12"/>
    <x v="8"/>
    <x v="0"/>
    <n v="1.98454"/>
    <n v="1.91"/>
    <n v="2.0024099999999998"/>
    <n v="1.956205"/>
    <n v="924.1"/>
  </r>
  <r>
    <x v="12"/>
    <x v="8"/>
    <x v="0"/>
    <n v="1.98454"/>
    <n v="1.91"/>
    <n v="2.0024099999999998"/>
    <n v="1.956205"/>
    <n v="924.1"/>
  </r>
  <r>
    <x v="12"/>
    <x v="8"/>
    <x v="0"/>
    <n v="1.98454"/>
    <n v="1.91"/>
    <n v="2.0024099999999998"/>
    <n v="1.956205"/>
    <n v="924.1"/>
  </r>
  <r>
    <x v="12"/>
    <x v="8"/>
    <x v="0"/>
    <n v="1.98454"/>
    <n v="1.91"/>
    <n v="2.0024099999999998"/>
    <n v="1.956205"/>
    <n v="924.1"/>
  </r>
  <r>
    <x v="12"/>
    <x v="8"/>
    <x v="0"/>
    <n v="1.98454"/>
    <n v="1.91"/>
    <n v="2.0024099999999998"/>
    <n v="1.956205"/>
    <n v="924.1"/>
  </r>
  <r>
    <x v="12"/>
    <x v="8"/>
    <x v="0"/>
    <n v="1.98454"/>
    <n v="1.91"/>
    <n v="2.0024099999999998"/>
    <n v="1.956205"/>
    <n v="924.1"/>
  </r>
  <r>
    <x v="12"/>
    <x v="8"/>
    <x v="0"/>
    <n v="1.98454"/>
    <n v="1.91"/>
    <n v="2.0024099999999998"/>
    <n v="1.956205"/>
    <n v="924.1"/>
  </r>
  <r>
    <x v="12"/>
    <x v="8"/>
    <x v="0"/>
    <n v="1.98454"/>
    <n v="1.91"/>
    <n v="2.0024099999999998"/>
    <n v="1.956205"/>
    <n v="924.1"/>
  </r>
  <r>
    <x v="12"/>
    <x v="8"/>
    <x v="0"/>
    <n v="1.98454"/>
    <n v="1.91"/>
    <n v="2.0024099999999998"/>
    <n v="1.956205"/>
    <n v="924.1"/>
  </r>
  <r>
    <x v="12"/>
    <x v="8"/>
    <x v="0"/>
    <n v="1.98454"/>
    <n v="1.91"/>
    <n v="2.0024099999999998"/>
    <n v="1.956205"/>
    <n v="924.1"/>
  </r>
  <r>
    <x v="12"/>
    <x v="8"/>
    <x v="0"/>
    <n v="1.98454"/>
    <n v="1.91"/>
    <n v="2.0024099999999998"/>
    <n v="1.956205"/>
    <n v="924.1"/>
  </r>
  <r>
    <x v="12"/>
    <x v="8"/>
    <x v="0"/>
    <n v="1.98454"/>
    <n v="1.91"/>
    <n v="2.0024099999999998"/>
    <n v="1.956205"/>
    <n v="924.1"/>
  </r>
  <r>
    <x v="12"/>
    <x v="8"/>
    <x v="0"/>
    <n v="1.98454"/>
    <n v="1.91"/>
    <n v="2.0024099999999998"/>
    <n v="1.956205"/>
    <n v="924.1"/>
  </r>
  <r>
    <x v="12"/>
    <x v="8"/>
    <x v="0"/>
    <n v="1.98454"/>
    <n v="1.91"/>
    <n v="2.0024099999999998"/>
    <n v="1.956205"/>
    <n v="924.1"/>
  </r>
  <r>
    <x v="12"/>
    <x v="8"/>
    <x v="2"/>
    <n v="104.054"/>
    <n v="101"/>
    <n v="104.20399999999999"/>
    <n v="102.602"/>
    <n v="320.39999999999998"/>
  </r>
  <r>
    <x v="12"/>
    <x v="8"/>
    <x v="2"/>
    <n v="104.054"/>
    <n v="101"/>
    <n v="104.20399999999999"/>
    <n v="102.602"/>
    <n v="320.39999999999998"/>
  </r>
  <r>
    <x v="12"/>
    <x v="8"/>
    <x v="2"/>
    <n v="104.054"/>
    <n v="101"/>
    <n v="104.20399999999999"/>
    <n v="102.602"/>
    <n v="320.39999999999998"/>
  </r>
  <r>
    <x v="12"/>
    <x v="8"/>
    <x v="2"/>
    <n v="104.054"/>
    <n v="101"/>
    <n v="104.20399999999999"/>
    <n v="102.602"/>
    <n v="320.39999999999998"/>
  </r>
  <r>
    <x v="12"/>
    <x v="8"/>
    <x v="2"/>
    <n v="104.054"/>
    <n v="101"/>
    <n v="104.20399999999999"/>
    <n v="102.602"/>
    <n v="320.39999999999998"/>
  </r>
  <r>
    <x v="12"/>
    <x v="8"/>
    <x v="2"/>
    <n v="104.054"/>
    <n v="101"/>
    <n v="104.20399999999999"/>
    <n v="102.602"/>
    <n v="320.39999999999998"/>
  </r>
  <r>
    <x v="12"/>
    <x v="8"/>
    <x v="2"/>
    <n v="104.054"/>
    <n v="101"/>
    <n v="104.20399999999999"/>
    <n v="102.602"/>
    <n v="320.39999999999998"/>
  </r>
  <r>
    <x v="12"/>
    <x v="8"/>
    <x v="2"/>
    <n v="104.054"/>
    <n v="101"/>
    <n v="104.20399999999999"/>
    <n v="102.602"/>
    <n v="320.39999999999998"/>
  </r>
  <r>
    <x v="12"/>
    <x v="8"/>
    <x v="2"/>
    <n v="104.054"/>
    <n v="101"/>
    <n v="104.20399999999999"/>
    <n v="102.602"/>
    <n v="320.39999999999998"/>
  </r>
  <r>
    <x v="12"/>
    <x v="8"/>
    <x v="2"/>
    <n v="104.054"/>
    <n v="101"/>
    <n v="104.20399999999999"/>
    <n v="102.602"/>
    <n v="320.39999999999998"/>
  </r>
  <r>
    <x v="12"/>
    <x v="8"/>
    <x v="2"/>
    <n v="104.054"/>
    <n v="101"/>
    <n v="104.20399999999999"/>
    <n v="102.602"/>
    <n v="320.39999999999998"/>
  </r>
  <r>
    <x v="12"/>
    <x v="8"/>
    <x v="2"/>
    <n v="104.054"/>
    <n v="101"/>
    <n v="104.20399999999999"/>
    <n v="102.602"/>
    <n v="320.39999999999998"/>
  </r>
  <r>
    <x v="12"/>
    <x v="8"/>
    <x v="2"/>
    <n v="104.054"/>
    <n v="101"/>
    <n v="104.20399999999999"/>
    <n v="102.602"/>
    <n v="320.39999999999998"/>
  </r>
  <r>
    <x v="12"/>
    <x v="8"/>
    <x v="2"/>
    <n v="104.054"/>
    <n v="101"/>
    <n v="104.20399999999999"/>
    <n v="102.602"/>
    <n v="320.39999999999998"/>
  </r>
  <r>
    <x v="12"/>
    <x v="8"/>
    <x v="2"/>
    <n v="104.054"/>
    <n v="101"/>
    <n v="104.20399999999999"/>
    <n v="102.602"/>
    <n v="320.39999999999998"/>
  </r>
  <r>
    <x v="12"/>
    <x v="8"/>
    <x v="2"/>
    <n v="104.054"/>
    <n v="101"/>
    <n v="104.20399999999999"/>
    <n v="102.602"/>
    <n v="320.39999999999998"/>
  </r>
  <r>
    <x v="12"/>
    <x v="8"/>
    <x v="2"/>
    <n v="104.054"/>
    <n v="101"/>
    <n v="104.20399999999999"/>
    <n v="102.602"/>
    <n v="320.39999999999998"/>
  </r>
  <r>
    <x v="12"/>
    <x v="8"/>
    <x v="2"/>
    <n v="104.054"/>
    <n v="101"/>
    <n v="104.20399999999999"/>
    <n v="102.602"/>
    <n v="320.39999999999998"/>
  </r>
  <r>
    <x v="12"/>
    <x v="8"/>
    <x v="2"/>
    <n v="104.054"/>
    <n v="101"/>
    <n v="104.20399999999999"/>
    <n v="102.602"/>
    <n v="320.39999999999998"/>
  </r>
  <r>
    <x v="12"/>
    <x v="8"/>
    <x v="2"/>
    <n v="104.054"/>
    <n v="101"/>
    <n v="104.20399999999999"/>
    <n v="102.602"/>
    <n v="320.39999999999998"/>
  </r>
  <r>
    <x v="12"/>
    <x v="8"/>
    <x v="2"/>
    <n v="104.054"/>
    <n v="101"/>
    <n v="104.20399999999999"/>
    <n v="102.602"/>
    <n v="320.39999999999998"/>
  </r>
  <r>
    <x v="12"/>
    <x v="8"/>
    <x v="14"/>
    <n v="1286.96"/>
    <n v="1245"/>
    <n v="1390"/>
    <n v="1317.5"/>
    <n v="1450"/>
  </r>
  <r>
    <x v="12"/>
    <x v="8"/>
    <x v="14"/>
    <n v="1286.96"/>
    <n v="1245"/>
    <n v="1390"/>
    <n v="1317.5"/>
    <n v="1450"/>
  </r>
  <r>
    <x v="12"/>
    <x v="8"/>
    <x v="14"/>
    <n v="1286.96"/>
    <n v="1245"/>
    <n v="1390"/>
    <n v="1317.5"/>
    <n v="1450"/>
  </r>
  <r>
    <x v="12"/>
    <x v="8"/>
    <x v="14"/>
    <n v="1286.96"/>
    <n v="1245"/>
    <n v="1390"/>
    <n v="1317.5"/>
    <n v="1450"/>
  </r>
  <r>
    <x v="12"/>
    <x v="8"/>
    <x v="14"/>
    <n v="1286.96"/>
    <n v="1245"/>
    <n v="1390"/>
    <n v="1317.5"/>
    <n v="1450"/>
  </r>
  <r>
    <x v="12"/>
    <x v="8"/>
    <x v="14"/>
    <n v="1286.96"/>
    <n v="1245"/>
    <n v="1390"/>
    <n v="1317.5"/>
    <n v="1450"/>
  </r>
  <r>
    <x v="12"/>
    <x v="8"/>
    <x v="14"/>
    <n v="1286.96"/>
    <n v="1245"/>
    <n v="1390"/>
    <n v="1317.5"/>
    <n v="1450"/>
  </r>
  <r>
    <x v="12"/>
    <x v="8"/>
    <x v="14"/>
    <n v="1286.96"/>
    <n v="1245"/>
    <n v="1390"/>
    <n v="1317.5"/>
    <n v="1450"/>
  </r>
  <r>
    <x v="12"/>
    <x v="8"/>
    <x v="14"/>
    <n v="1286.96"/>
    <n v="1245"/>
    <n v="1390"/>
    <n v="1317.5"/>
    <n v="1450"/>
  </r>
  <r>
    <x v="12"/>
    <x v="8"/>
    <x v="14"/>
    <n v="1286.96"/>
    <n v="1245"/>
    <n v="1390"/>
    <n v="1317.5"/>
    <n v="1450"/>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8"/>
    <x v="7"/>
    <n v="1.4052800000000001"/>
    <n v="1.41971"/>
    <n v="1.554"/>
    <n v="1.486855"/>
    <n v="1342.9"/>
  </r>
  <r>
    <x v="12"/>
    <x v="9"/>
    <x v="14"/>
    <n v="1268.645"/>
    <n v="1245"/>
    <n v="1390"/>
    <n v="1317.5"/>
    <n v="1450"/>
  </r>
  <r>
    <x v="12"/>
    <x v="9"/>
    <x v="14"/>
    <n v="1268.645"/>
    <n v="1245"/>
    <n v="1390"/>
    <n v="1317.5"/>
    <n v="1450"/>
  </r>
  <r>
    <x v="12"/>
    <x v="9"/>
    <x v="14"/>
    <n v="1268.645"/>
    <n v="1245"/>
    <n v="1390"/>
    <n v="1317.5"/>
    <n v="1450"/>
  </r>
  <r>
    <x v="12"/>
    <x v="9"/>
    <x v="14"/>
    <n v="1268.645"/>
    <n v="1245"/>
    <n v="1390"/>
    <n v="1317.5"/>
    <n v="1450"/>
  </r>
  <r>
    <x v="12"/>
    <x v="9"/>
    <x v="14"/>
    <n v="1268.645"/>
    <n v="1245"/>
    <n v="1390"/>
    <n v="1317.5"/>
    <n v="1450"/>
  </r>
  <r>
    <x v="12"/>
    <x v="9"/>
    <x v="14"/>
    <n v="1268.645"/>
    <n v="1245"/>
    <n v="1390"/>
    <n v="1317.5"/>
    <n v="1450"/>
  </r>
  <r>
    <x v="12"/>
    <x v="9"/>
    <x v="14"/>
    <n v="1268.645"/>
    <n v="1245"/>
    <n v="1390"/>
    <n v="1317.5"/>
    <n v="1450"/>
  </r>
  <r>
    <x v="12"/>
    <x v="9"/>
    <x v="14"/>
    <n v="1268.645"/>
    <n v="1245"/>
    <n v="1390"/>
    <n v="1317.5"/>
    <n v="1450"/>
  </r>
  <r>
    <x v="12"/>
    <x v="9"/>
    <x v="14"/>
    <n v="1268.645"/>
    <n v="1245"/>
    <n v="1390"/>
    <n v="1317.5"/>
    <n v="1450"/>
  </r>
  <r>
    <x v="12"/>
    <x v="9"/>
    <x v="14"/>
    <n v="1268.645"/>
    <n v="1245"/>
    <n v="1390"/>
    <n v="1317.5"/>
    <n v="1450"/>
  </r>
  <r>
    <x v="12"/>
    <x v="9"/>
    <x v="14"/>
    <n v="1268.645"/>
    <n v="1245"/>
    <n v="1390"/>
    <n v="1317.5"/>
    <n v="1450"/>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0"/>
    <n v="1.9586699999999999"/>
    <n v="1.91"/>
    <n v="2.0024099999999998"/>
    <n v="1.956205"/>
    <n v="924.1"/>
  </r>
  <r>
    <x v="12"/>
    <x v="9"/>
    <x v="0"/>
    <n v="1.9586699999999999"/>
    <n v="1.91"/>
    <n v="2.0024099999999998"/>
    <n v="1.956205"/>
    <n v="924.1"/>
  </r>
  <r>
    <x v="12"/>
    <x v="9"/>
    <x v="0"/>
    <n v="1.9586699999999999"/>
    <n v="1.91"/>
    <n v="2.0024099999999998"/>
    <n v="1.956205"/>
    <n v="924.1"/>
  </r>
  <r>
    <x v="12"/>
    <x v="9"/>
    <x v="0"/>
    <n v="1.9586699999999999"/>
    <n v="1.91"/>
    <n v="2.0024099999999998"/>
    <n v="1.956205"/>
    <n v="924.1"/>
  </r>
  <r>
    <x v="12"/>
    <x v="9"/>
    <x v="0"/>
    <n v="1.9586699999999999"/>
    <n v="1.91"/>
    <n v="2.0024099999999998"/>
    <n v="1.956205"/>
    <n v="924.1"/>
  </r>
  <r>
    <x v="12"/>
    <x v="9"/>
    <x v="0"/>
    <n v="1.9586699999999999"/>
    <n v="1.91"/>
    <n v="2.0024099999999998"/>
    <n v="1.956205"/>
    <n v="924.1"/>
  </r>
  <r>
    <x v="12"/>
    <x v="9"/>
    <x v="0"/>
    <n v="1.9586699999999999"/>
    <n v="1.91"/>
    <n v="2.0024099999999998"/>
    <n v="1.956205"/>
    <n v="924.1"/>
  </r>
  <r>
    <x v="12"/>
    <x v="9"/>
    <x v="0"/>
    <n v="1.9586699999999999"/>
    <n v="1.91"/>
    <n v="2.0024099999999998"/>
    <n v="1.956205"/>
    <n v="924.1"/>
  </r>
  <r>
    <x v="12"/>
    <x v="9"/>
    <x v="0"/>
    <n v="1.9586699999999999"/>
    <n v="1.91"/>
    <n v="2.0024099999999998"/>
    <n v="1.956205"/>
    <n v="924.1"/>
  </r>
  <r>
    <x v="12"/>
    <x v="9"/>
    <x v="0"/>
    <n v="1.9586699999999999"/>
    <n v="1.91"/>
    <n v="2.0024099999999998"/>
    <n v="1.956205"/>
    <n v="924.1"/>
  </r>
  <r>
    <x v="12"/>
    <x v="9"/>
    <x v="0"/>
    <n v="1.9586699999999999"/>
    <n v="1.91"/>
    <n v="2.0024099999999998"/>
    <n v="1.956205"/>
    <n v="924.1"/>
  </r>
  <r>
    <x v="12"/>
    <x v="9"/>
    <x v="0"/>
    <n v="1.9586699999999999"/>
    <n v="1.91"/>
    <n v="2.0024099999999998"/>
    <n v="1.956205"/>
    <n v="924.1"/>
  </r>
  <r>
    <x v="12"/>
    <x v="9"/>
    <x v="0"/>
    <n v="1.9586699999999999"/>
    <n v="1.91"/>
    <n v="2.0024099999999998"/>
    <n v="1.956205"/>
    <n v="924.1"/>
  </r>
  <r>
    <x v="12"/>
    <x v="9"/>
    <x v="0"/>
    <n v="1.9586699999999999"/>
    <n v="1.91"/>
    <n v="2.0024099999999998"/>
    <n v="1.956205"/>
    <n v="924.1"/>
  </r>
  <r>
    <x v="12"/>
    <x v="9"/>
    <x v="0"/>
    <n v="1.9586699999999999"/>
    <n v="1.91"/>
    <n v="2.0024099999999998"/>
    <n v="1.956205"/>
    <n v="924.1"/>
  </r>
  <r>
    <x v="12"/>
    <x v="9"/>
    <x v="0"/>
    <n v="1.9586699999999999"/>
    <n v="1.91"/>
    <n v="2.0024099999999998"/>
    <n v="1.956205"/>
    <n v="924.1"/>
  </r>
  <r>
    <x v="12"/>
    <x v="9"/>
    <x v="0"/>
    <n v="1.9586699999999999"/>
    <n v="1.91"/>
    <n v="2.0024099999999998"/>
    <n v="1.956205"/>
    <n v="924.1"/>
  </r>
  <r>
    <x v="12"/>
    <x v="9"/>
    <x v="0"/>
    <n v="1.9586699999999999"/>
    <n v="1.91"/>
    <n v="2.0024099999999998"/>
    <n v="1.956205"/>
    <n v="924.1"/>
  </r>
  <r>
    <x v="12"/>
    <x v="9"/>
    <x v="0"/>
    <n v="1.9586699999999999"/>
    <n v="1.91"/>
    <n v="2.0024099999999998"/>
    <n v="1.956205"/>
    <n v="924.1"/>
  </r>
  <r>
    <x v="12"/>
    <x v="9"/>
    <x v="0"/>
    <n v="1.9586699999999999"/>
    <n v="1.91"/>
    <n v="2.0024099999999998"/>
    <n v="1.956205"/>
    <n v="924.1"/>
  </r>
  <r>
    <x v="12"/>
    <x v="9"/>
    <x v="0"/>
    <n v="1.9586699999999999"/>
    <n v="1.91"/>
    <n v="2.0024099999999998"/>
    <n v="1.956205"/>
    <n v="924.1"/>
  </r>
  <r>
    <x v="12"/>
    <x v="9"/>
    <x v="2"/>
    <n v="105.066"/>
    <n v="101"/>
    <n v="104.20399999999999"/>
    <n v="102.602"/>
    <n v="320.39999999999998"/>
  </r>
  <r>
    <x v="12"/>
    <x v="9"/>
    <x v="2"/>
    <n v="105.066"/>
    <n v="101"/>
    <n v="104.20399999999999"/>
    <n v="102.602"/>
    <n v="320.39999999999998"/>
  </r>
  <r>
    <x v="12"/>
    <x v="9"/>
    <x v="2"/>
    <n v="105.066"/>
    <n v="101"/>
    <n v="104.20399999999999"/>
    <n v="102.602"/>
    <n v="320.39999999999998"/>
  </r>
  <r>
    <x v="12"/>
    <x v="9"/>
    <x v="2"/>
    <n v="105.066"/>
    <n v="101"/>
    <n v="104.20399999999999"/>
    <n v="102.602"/>
    <n v="320.39999999999998"/>
  </r>
  <r>
    <x v="12"/>
    <x v="9"/>
    <x v="2"/>
    <n v="105.066"/>
    <n v="101"/>
    <n v="104.20399999999999"/>
    <n v="102.602"/>
    <n v="320.39999999999998"/>
  </r>
  <r>
    <x v="12"/>
    <x v="9"/>
    <x v="2"/>
    <n v="105.066"/>
    <n v="101"/>
    <n v="104.20399999999999"/>
    <n v="102.602"/>
    <n v="320.39999999999998"/>
  </r>
  <r>
    <x v="12"/>
    <x v="9"/>
    <x v="2"/>
    <n v="105.066"/>
    <n v="101"/>
    <n v="104.20399999999999"/>
    <n v="102.602"/>
    <n v="320.39999999999998"/>
  </r>
  <r>
    <x v="12"/>
    <x v="9"/>
    <x v="2"/>
    <n v="105.066"/>
    <n v="101"/>
    <n v="104.20399999999999"/>
    <n v="102.602"/>
    <n v="320.39999999999998"/>
  </r>
  <r>
    <x v="12"/>
    <x v="9"/>
    <x v="2"/>
    <n v="105.066"/>
    <n v="101"/>
    <n v="104.20399999999999"/>
    <n v="102.602"/>
    <n v="320.39999999999998"/>
  </r>
  <r>
    <x v="12"/>
    <x v="9"/>
    <x v="2"/>
    <n v="105.066"/>
    <n v="101"/>
    <n v="104.20399999999999"/>
    <n v="102.602"/>
    <n v="320.39999999999998"/>
  </r>
  <r>
    <x v="12"/>
    <x v="9"/>
    <x v="2"/>
    <n v="105.066"/>
    <n v="101"/>
    <n v="104.20399999999999"/>
    <n v="102.602"/>
    <n v="320.39999999999998"/>
  </r>
  <r>
    <x v="12"/>
    <x v="9"/>
    <x v="2"/>
    <n v="105.066"/>
    <n v="101"/>
    <n v="104.20399999999999"/>
    <n v="102.602"/>
    <n v="320.39999999999998"/>
  </r>
  <r>
    <x v="12"/>
    <x v="9"/>
    <x v="2"/>
    <n v="105.066"/>
    <n v="101"/>
    <n v="104.20399999999999"/>
    <n v="102.602"/>
    <n v="320.39999999999998"/>
  </r>
  <r>
    <x v="12"/>
    <x v="9"/>
    <x v="2"/>
    <n v="105.066"/>
    <n v="101"/>
    <n v="104.20399999999999"/>
    <n v="102.602"/>
    <n v="320.39999999999998"/>
  </r>
  <r>
    <x v="12"/>
    <x v="9"/>
    <x v="2"/>
    <n v="105.066"/>
    <n v="101"/>
    <n v="104.20399999999999"/>
    <n v="102.602"/>
    <n v="320.39999999999998"/>
  </r>
  <r>
    <x v="12"/>
    <x v="9"/>
    <x v="2"/>
    <n v="105.066"/>
    <n v="101"/>
    <n v="104.20399999999999"/>
    <n v="102.602"/>
    <n v="320.39999999999998"/>
  </r>
  <r>
    <x v="12"/>
    <x v="9"/>
    <x v="2"/>
    <n v="105.066"/>
    <n v="101"/>
    <n v="104.20399999999999"/>
    <n v="102.602"/>
    <n v="320.39999999999998"/>
  </r>
  <r>
    <x v="12"/>
    <x v="9"/>
    <x v="2"/>
    <n v="105.066"/>
    <n v="101"/>
    <n v="104.20399999999999"/>
    <n v="102.602"/>
    <n v="320.39999999999998"/>
  </r>
  <r>
    <x v="12"/>
    <x v="9"/>
    <x v="2"/>
    <n v="105.066"/>
    <n v="101"/>
    <n v="104.20399999999999"/>
    <n v="102.602"/>
    <n v="320.39999999999998"/>
  </r>
  <r>
    <x v="12"/>
    <x v="9"/>
    <x v="14"/>
    <n v="1268.645"/>
    <n v="1245"/>
    <n v="1390"/>
    <n v="1317.5"/>
    <n v="1450"/>
  </r>
  <r>
    <x v="12"/>
    <x v="9"/>
    <x v="14"/>
    <n v="1268.645"/>
    <n v="1245"/>
    <n v="1390"/>
    <n v="1317.5"/>
    <n v="1450"/>
  </r>
  <r>
    <x v="12"/>
    <x v="9"/>
    <x v="14"/>
    <n v="1268.645"/>
    <n v="1245"/>
    <n v="1390"/>
    <n v="1317.5"/>
    <n v="1450"/>
  </r>
  <r>
    <x v="12"/>
    <x v="9"/>
    <x v="14"/>
    <n v="1268.645"/>
    <n v="1245"/>
    <n v="1390"/>
    <n v="1317.5"/>
    <n v="1450"/>
  </r>
  <r>
    <x v="12"/>
    <x v="9"/>
    <x v="14"/>
    <n v="1268.645"/>
    <n v="1245"/>
    <n v="1390"/>
    <n v="1317.5"/>
    <n v="1450"/>
  </r>
  <r>
    <x v="12"/>
    <x v="9"/>
    <x v="14"/>
    <n v="1268.645"/>
    <n v="1245"/>
    <n v="1390"/>
    <n v="1317.5"/>
    <n v="1450"/>
  </r>
  <r>
    <x v="12"/>
    <x v="9"/>
    <x v="14"/>
    <n v="1268.645"/>
    <n v="1245"/>
    <n v="1390"/>
    <n v="1317.5"/>
    <n v="1450"/>
  </r>
  <r>
    <x v="12"/>
    <x v="9"/>
    <x v="14"/>
    <n v="1268.645"/>
    <n v="1245"/>
    <n v="1390"/>
    <n v="1317.5"/>
    <n v="1450"/>
  </r>
  <r>
    <x v="12"/>
    <x v="9"/>
    <x v="14"/>
    <n v="1268.645"/>
    <n v="1245"/>
    <n v="1390"/>
    <n v="1317.5"/>
    <n v="1450"/>
  </r>
  <r>
    <x v="12"/>
    <x v="9"/>
    <x v="14"/>
    <n v="1268.645"/>
    <n v="1245"/>
    <n v="1390"/>
    <n v="1317.5"/>
    <n v="1450"/>
  </r>
  <r>
    <x v="12"/>
    <x v="9"/>
    <x v="14"/>
    <n v="1268.645"/>
    <n v="1245"/>
    <n v="1390"/>
    <n v="1317.5"/>
    <n v="1450"/>
  </r>
  <r>
    <x v="12"/>
    <x v="9"/>
    <x v="14"/>
    <n v="1268.645"/>
    <n v="1245"/>
    <n v="1390"/>
    <n v="1317.5"/>
    <n v="1450"/>
  </r>
  <r>
    <x v="12"/>
    <x v="9"/>
    <x v="14"/>
    <n v="1268.645"/>
    <n v="1245"/>
    <n v="1390"/>
    <n v="1317.5"/>
    <n v="1450"/>
  </r>
  <r>
    <x v="12"/>
    <x v="9"/>
    <x v="14"/>
    <n v="1268.645"/>
    <n v="1245"/>
    <n v="1390"/>
    <n v="1317.5"/>
    <n v="1450"/>
  </r>
  <r>
    <x v="12"/>
    <x v="9"/>
    <x v="14"/>
    <n v="1268.645"/>
    <n v="1245"/>
    <n v="1390"/>
    <n v="1317.5"/>
    <n v="1450"/>
  </r>
  <r>
    <x v="12"/>
    <x v="9"/>
    <x v="14"/>
    <n v="1268.645"/>
    <n v="1245"/>
    <n v="1390"/>
    <n v="1317.5"/>
    <n v="1450"/>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9"/>
    <x v="7"/>
    <n v="1.37869"/>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7"/>
    <n v="1.4338500000000001"/>
    <n v="1.41971"/>
    <n v="1.554"/>
    <n v="1.486855"/>
    <n v="1342.9"/>
  </r>
  <r>
    <x v="12"/>
    <x v="10"/>
    <x v="0"/>
    <n v="1.9958499999999999"/>
    <n v="1.91"/>
    <n v="2.0024099999999998"/>
    <n v="1.956205"/>
    <n v="924.1"/>
  </r>
  <r>
    <x v="12"/>
    <x v="10"/>
    <x v="0"/>
    <n v="1.9958499999999999"/>
    <n v="1.91"/>
    <n v="2.0024099999999998"/>
    <n v="1.956205"/>
    <n v="924.1"/>
  </r>
  <r>
    <x v="12"/>
    <x v="10"/>
    <x v="0"/>
    <n v="1.9958499999999999"/>
    <n v="1.91"/>
    <n v="2.0024099999999998"/>
    <n v="1.956205"/>
    <n v="924.1"/>
  </r>
  <r>
    <x v="12"/>
    <x v="10"/>
    <x v="0"/>
    <n v="1.9958499999999999"/>
    <n v="1.91"/>
    <n v="2.0024099999999998"/>
    <n v="1.956205"/>
    <n v="924.1"/>
  </r>
  <r>
    <x v="12"/>
    <x v="10"/>
    <x v="0"/>
    <n v="1.9958499999999999"/>
    <n v="1.91"/>
    <n v="2.0024099999999998"/>
    <n v="1.956205"/>
    <n v="924.1"/>
  </r>
  <r>
    <x v="12"/>
    <x v="10"/>
    <x v="0"/>
    <n v="1.9958499999999999"/>
    <n v="1.91"/>
    <n v="2.0024099999999998"/>
    <n v="1.956205"/>
    <n v="924.1"/>
  </r>
  <r>
    <x v="12"/>
    <x v="10"/>
    <x v="0"/>
    <n v="1.9958499999999999"/>
    <n v="1.91"/>
    <n v="2.0024099999999998"/>
    <n v="1.956205"/>
    <n v="924.1"/>
  </r>
  <r>
    <x v="12"/>
    <x v="10"/>
    <x v="0"/>
    <n v="1.9958499999999999"/>
    <n v="1.91"/>
    <n v="2.0024099999999998"/>
    <n v="1.956205"/>
    <n v="924.1"/>
  </r>
  <r>
    <x v="12"/>
    <x v="10"/>
    <x v="0"/>
    <n v="1.9958499999999999"/>
    <n v="1.91"/>
    <n v="2.0024099999999998"/>
    <n v="1.956205"/>
    <n v="924.1"/>
  </r>
  <r>
    <x v="12"/>
    <x v="10"/>
    <x v="0"/>
    <n v="1.9958499999999999"/>
    <n v="1.91"/>
    <n v="2.0024099999999998"/>
    <n v="1.956205"/>
    <n v="924.1"/>
  </r>
  <r>
    <x v="12"/>
    <x v="10"/>
    <x v="0"/>
    <n v="1.9958499999999999"/>
    <n v="1.91"/>
    <n v="2.0024099999999998"/>
    <n v="1.956205"/>
    <n v="924.1"/>
  </r>
  <r>
    <x v="12"/>
    <x v="10"/>
    <x v="0"/>
    <n v="1.9958499999999999"/>
    <n v="1.91"/>
    <n v="2.0024099999999998"/>
    <n v="1.956205"/>
    <n v="924.1"/>
  </r>
  <r>
    <x v="12"/>
    <x v="10"/>
    <x v="0"/>
    <n v="1.9958499999999999"/>
    <n v="1.91"/>
    <n v="2.0024099999999998"/>
    <n v="1.956205"/>
    <n v="924.1"/>
  </r>
  <r>
    <x v="12"/>
    <x v="10"/>
    <x v="0"/>
    <n v="1.9958499999999999"/>
    <n v="1.91"/>
    <n v="2.0024099999999998"/>
    <n v="1.956205"/>
    <n v="924.1"/>
  </r>
  <r>
    <x v="12"/>
    <x v="10"/>
    <x v="0"/>
    <n v="1.9958499999999999"/>
    <n v="1.91"/>
    <n v="2.0024099999999998"/>
    <n v="1.956205"/>
    <n v="924.1"/>
  </r>
  <r>
    <x v="12"/>
    <x v="10"/>
    <x v="0"/>
    <n v="1.9958499999999999"/>
    <n v="1.91"/>
    <n v="2.0024099999999998"/>
    <n v="1.956205"/>
    <n v="924.1"/>
  </r>
  <r>
    <x v="12"/>
    <x v="10"/>
    <x v="0"/>
    <n v="1.9958499999999999"/>
    <n v="1.91"/>
    <n v="2.0024099999999998"/>
    <n v="1.956205"/>
    <n v="924.1"/>
  </r>
  <r>
    <x v="12"/>
    <x v="10"/>
    <x v="0"/>
    <n v="1.9958499999999999"/>
    <n v="1.91"/>
    <n v="2.0024099999999998"/>
    <n v="1.956205"/>
    <n v="924.1"/>
  </r>
  <r>
    <x v="12"/>
    <x v="10"/>
    <x v="2"/>
    <n v="107.29600000000001"/>
    <n v="101"/>
    <n v="107.2"/>
    <n v="104.1"/>
    <n v="620"/>
  </r>
  <r>
    <x v="12"/>
    <x v="10"/>
    <x v="2"/>
    <n v="107.29600000000001"/>
    <n v="101"/>
    <n v="107.2"/>
    <n v="104.1"/>
    <n v="620"/>
  </r>
  <r>
    <x v="12"/>
    <x v="10"/>
    <x v="2"/>
    <n v="107.29600000000001"/>
    <n v="101"/>
    <n v="107.2"/>
    <n v="104.1"/>
    <n v="620"/>
  </r>
  <r>
    <x v="12"/>
    <x v="10"/>
    <x v="2"/>
    <n v="107.29600000000001"/>
    <n v="101"/>
    <n v="107.2"/>
    <n v="104.1"/>
    <n v="620"/>
  </r>
  <r>
    <x v="12"/>
    <x v="10"/>
    <x v="2"/>
    <n v="107.29600000000001"/>
    <n v="101"/>
    <n v="107.2"/>
    <n v="104.1"/>
    <n v="620"/>
  </r>
  <r>
    <x v="12"/>
    <x v="10"/>
    <x v="2"/>
    <n v="107.29600000000001"/>
    <n v="101"/>
    <n v="107.2"/>
    <n v="104.1"/>
    <n v="620"/>
  </r>
  <r>
    <x v="12"/>
    <x v="10"/>
    <x v="2"/>
    <n v="107.29600000000001"/>
    <n v="101"/>
    <n v="107.2"/>
    <n v="104.1"/>
    <n v="620"/>
  </r>
  <r>
    <x v="12"/>
    <x v="10"/>
    <x v="2"/>
    <n v="107.29600000000001"/>
    <n v="101"/>
    <n v="107.2"/>
    <n v="104.1"/>
    <n v="620"/>
  </r>
  <r>
    <x v="12"/>
    <x v="10"/>
    <x v="2"/>
    <n v="107.29600000000001"/>
    <n v="101"/>
    <n v="107.2"/>
    <n v="104.1"/>
    <n v="620"/>
  </r>
  <r>
    <x v="12"/>
    <x v="10"/>
    <x v="2"/>
    <n v="107.29600000000001"/>
    <n v="101"/>
    <n v="107.2"/>
    <n v="104.1"/>
    <n v="620"/>
  </r>
  <r>
    <x v="12"/>
    <x v="10"/>
    <x v="2"/>
    <n v="107.29600000000001"/>
    <n v="101"/>
    <n v="107.2"/>
    <n v="104.1"/>
    <n v="620"/>
  </r>
  <r>
    <x v="12"/>
    <x v="10"/>
    <x v="2"/>
    <n v="107.29600000000001"/>
    <n v="101"/>
    <n v="107.2"/>
    <n v="104.1"/>
    <n v="620"/>
  </r>
  <r>
    <x v="12"/>
    <x v="10"/>
    <x v="2"/>
    <n v="107.29600000000001"/>
    <n v="101"/>
    <n v="107.2"/>
    <n v="104.1"/>
    <n v="620"/>
  </r>
  <r>
    <x v="12"/>
    <x v="10"/>
    <x v="2"/>
    <n v="107.29600000000001"/>
    <n v="101"/>
    <n v="107.2"/>
    <n v="104.1"/>
    <n v="620"/>
  </r>
  <r>
    <x v="12"/>
    <x v="10"/>
    <x v="2"/>
    <n v="107.29600000000001"/>
    <n v="101"/>
    <n v="107.2"/>
    <n v="104.1"/>
    <n v="620"/>
  </r>
  <r>
    <x v="12"/>
    <x v="10"/>
    <x v="2"/>
    <n v="107.29600000000001"/>
    <n v="101"/>
    <n v="107.2"/>
    <n v="104.1"/>
    <n v="620"/>
  </r>
  <r>
    <x v="12"/>
    <x v="10"/>
    <x v="2"/>
    <n v="107.29600000000001"/>
    <n v="101"/>
    <n v="107.2"/>
    <n v="104.1"/>
    <n v="620"/>
  </r>
  <r>
    <x v="12"/>
    <x v="10"/>
    <x v="2"/>
    <n v="107.29600000000001"/>
    <n v="101"/>
    <n v="107.2"/>
    <n v="104.1"/>
    <n v="620"/>
  </r>
  <r>
    <x v="12"/>
    <x v="10"/>
    <x v="2"/>
    <n v="107.29600000000001"/>
    <n v="101"/>
    <n v="107.2"/>
    <n v="104.1"/>
    <n v="620"/>
  </r>
  <r>
    <x v="12"/>
    <x v="10"/>
    <x v="2"/>
    <n v="107.29600000000001"/>
    <n v="101"/>
    <n v="107.2"/>
    <n v="104.1"/>
    <n v="620"/>
  </r>
  <r>
    <x v="12"/>
    <x v="10"/>
    <x v="2"/>
    <n v="107.29600000000001"/>
    <n v="101"/>
    <n v="107.2"/>
    <n v="104.1"/>
    <n v="620"/>
  </r>
  <r>
    <x v="12"/>
    <x v="10"/>
    <x v="14"/>
    <n v="1229.4490000000001"/>
    <n v="1245"/>
    <n v="1390"/>
    <n v="1317.5"/>
    <n v="1450"/>
  </r>
  <r>
    <x v="12"/>
    <x v="10"/>
    <x v="14"/>
    <n v="1229.4490000000001"/>
    <n v="1245"/>
    <n v="1390"/>
    <n v="1317.5"/>
    <n v="1450"/>
  </r>
  <r>
    <x v="12"/>
    <x v="10"/>
    <x v="14"/>
    <n v="1229.4490000000001"/>
    <n v="1245"/>
    <n v="1390"/>
    <n v="1317.5"/>
    <n v="1450"/>
  </r>
  <r>
    <x v="12"/>
    <x v="10"/>
    <x v="14"/>
    <n v="1229.4490000000001"/>
    <n v="1245"/>
    <n v="1390"/>
    <n v="1317.5"/>
    <n v="1450"/>
  </r>
  <r>
    <x v="12"/>
    <x v="10"/>
    <x v="14"/>
    <n v="1229.4490000000001"/>
    <n v="1245"/>
    <n v="1390"/>
    <n v="1317.5"/>
    <n v="1450"/>
  </r>
  <r>
    <x v="12"/>
    <x v="10"/>
    <x v="14"/>
    <n v="1229.4490000000001"/>
    <n v="1245"/>
    <n v="1390"/>
    <n v="1317.5"/>
    <n v="1450"/>
  </r>
  <r>
    <x v="12"/>
    <x v="10"/>
    <x v="14"/>
    <n v="1229.4490000000001"/>
    <n v="1245"/>
    <n v="1390"/>
    <n v="1317.5"/>
    <n v="1450"/>
  </r>
  <r>
    <x v="12"/>
    <x v="10"/>
    <x v="14"/>
    <n v="1229.4490000000001"/>
    <n v="1245"/>
    <n v="1390"/>
    <n v="1317.5"/>
    <n v="1450"/>
  </r>
  <r>
    <x v="12"/>
    <x v="10"/>
    <x v="14"/>
    <n v="1229.4490000000001"/>
    <n v="1245"/>
    <n v="1390"/>
    <n v="1317.5"/>
    <n v="1450"/>
  </r>
  <r>
    <x v="12"/>
    <x v="10"/>
    <x v="14"/>
    <n v="1229.4490000000001"/>
    <n v="1245"/>
    <n v="1390"/>
    <n v="1317.5"/>
    <n v="1450"/>
  </r>
  <r>
    <x v="12"/>
    <x v="10"/>
    <x v="14"/>
    <n v="1229.4490000000001"/>
    <n v="1245"/>
    <n v="1390"/>
    <n v="1317.5"/>
    <n v="1450"/>
  </r>
  <r>
    <x v="12"/>
    <x v="10"/>
    <x v="14"/>
    <n v="1229.4490000000001"/>
    <n v="1245"/>
    <n v="1390"/>
    <n v="1317.5"/>
    <n v="1450"/>
  </r>
  <r>
    <x v="12"/>
    <x v="10"/>
    <x v="14"/>
    <n v="1229.4490000000001"/>
    <n v="1245"/>
    <n v="1390"/>
    <n v="1317.5"/>
    <n v="1450"/>
  </r>
  <r>
    <x v="12"/>
    <x v="10"/>
    <x v="14"/>
    <n v="1229.4490000000001"/>
    <n v="1245"/>
    <n v="1390"/>
    <n v="1317.5"/>
    <n v="1450"/>
  </r>
  <r>
    <x v="12"/>
    <x v="10"/>
    <x v="14"/>
    <n v="1229.4490000000001"/>
    <n v="1245"/>
    <n v="1390"/>
    <n v="1317.5"/>
    <n v="1450"/>
  </r>
  <r>
    <x v="12"/>
    <x v="10"/>
    <x v="14"/>
    <n v="1229.4490000000001"/>
    <n v="1245"/>
    <n v="1390"/>
    <n v="1317.5"/>
    <n v="1450"/>
  </r>
  <r>
    <x v="12"/>
    <x v="10"/>
    <x v="14"/>
    <n v="1229.4490000000001"/>
    <n v="1245"/>
    <n v="1390"/>
    <n v="1317.5"/>
    <n v="1450"/>
  </r>
  <r>
    <x v="12"/>
    <x v="10"/>
    <x v="14"/>
    <n v="1229.4490000000001"/>
    <n v="1245"/>
    <n v="1390"/>
    <n v="1317.5"/>
    <n v="1450"/>
  </r>
  <r>
    <x v="12"/>
    <x v="10"/>
    <x v="14"/>
    <n v="1229.4490000000001"/>
    <n v="1245"/>
    <n v="1390"/>
    <n v="1317.5"/>
    <n v="1450"/>
  </r>
  <r>
    <x v="12"/>
    <x v="10"/>
    <x v="14"/>
    <n v="1229.4490000000001"/>
    <n v="1245"/>
    <n v="1390"/>
    <n v="1317.5"/>
    <n v="1450"/>
  </r>
  <r>
    <x v="12"/>
    <x v="10"/>
    <x v="14"/>
    <n v="1229.4490000000001"/>
    <n v="1245"/>
    <n v="1390"/>
    <n v="1317.5"/>
    <n v="1450"/>
  </r>
  <r>
    <x v="12"/>
    <x v="10"/>
    <x v="14"/>
    <n v="1229.4490000000001"/>
    <n v="1245"/>
    <n v="1390"/>
    <n v="1317.5"/>
    <n v="1450"/>
  </r>
  <r>
    <x v="12"/>
    <x v="10"/>
    <x v="14"/>
    <n v="1229.4490000000001"/>
    <n v="1245"/>
    <n v="1390"/>
    <n v="1317.5"/>
    <n v="1450"/>
  </r>
  <r>
    <x v="12"/>
    <x v="11"/>
    <x v="0"/>
    <n v="2.00278"/>
    <n v="1.91"/>
    <n v="2.0024099999999998"/>
    <n v="1.956205"/>
    <n v="924.1"/>
  </r>
  <r>
    <x v="12"/>
    <x v="11"/>
    <x v="0"/>
    <n v="2.00278"/>
    <n v="1.91"/>
    <n v="2.0024099999999998"/>
    <n v="1.956205"/>
    <n v="924.1"/>
  </r>
  <r>
    <x v="12"/>
    <x v="11"/>
    <x v="0"/>
    <n v="2.00278"/>
    <n v="1.91"/>
    <n v="2.0024099999999998"/>
    <n v="1.956205"/>
    <n v="924.1"/>
  </r>
  <r>
    <x v="12"/>
    <x v="11"/>
    <x v="0"/>
    <n v="2.00278"/>
    <n v="1.91"/>
    <n v="2.0024099999999998"/>
    <n v="1.956205"/>
    <n v="924.1"/>
  </r>
  <r>
    <x v="12"/>
    <x v="11"/>
    <x v="0"/>
    <n v="2.00278"/>
    <n v="1.91"/>
    <n v="2.0024099999999998"/>
    <n v="1.956205"/>
    <n v="924.1"/>
  </r>
  <r>
    <x v="12"/>
    <x v="11"/>
    <x v="0"/>
    <n v="2.00278"/>
    <n v="1.91"/>
    <n v="2.0024099999999998"/>
    <n v="1.956205"/>
    <n v="924.1"/>
  </r>
  <r>
    <x v="12"/>
    <x v="11"/>
    <x v="0"/>
    <n v="2.00278"/>
    <n v="1.91"/>
    <n v="2.0024099999999998"/>
    <n v="1.956205"/>
    <n v="924.1"/>
  </r>
  <r>
    <x v="12"/>
    <x v="11"/>
    <x v="0"/>
    <n v="2.00278"/>
    <n v="1.91"/>
    <n v="2.0024099999999998"/>
    <n v="1.956205"/>
    <n v="924.1"/>
  </r>
  <r>
    <x v="12"/>
    <x v="11"/>
    <x v="0"/>
    <n v="2.00278"/>
    <n v="1.91"/>
    <n v="2.0024099999999998"/>
    <n v="1.956205"/>
    <n v="924.1"/>
  </r>
  <r>
    <x v="12"/>
    <x v="11"/>
    <x v="0"/>
    <n v="2.00278"/>
    <n v="1.91"/>
    <n v="2.0024099999999998"/>
    <n v="1.956205"/>
    <n v="924.1"/>
  </r>
  <r>
    <x v="12"/>
    <x v="11"/>
    <x v="0"/>
    <n v="2.00278"/>
    <n v="1.91"/>
    <n v="2.0024099999999998"/>
    <n v="1.956205"/>
    <n v="924.1"/>
  </r>
  <r>
    <x v="12"/>
    <x v="11"/>
    <x v="0"/>
    <n v="2.00278"/>
    <n v="1.91"/>
    <n v="2.0024099999999998"/>
    <n v="1.956205"/>
    <n v="924.1"/>
  </r>
  <r>
    <x v="12"/>
    <x v="11"/>
    <x v="2"/>
    <n v="109.005"/>
    <n v="101"/>
    <n v="109.19799999999999"/>
    <n v="105.099"/>
    <n v="819.8"/>
  </r>
  <r>
    <x v="12"/>
    <x v="11"/>
    <x v="2"/>
    <n v="109.005"/>
    <n v="101"/>
    <n v="109.19799999999999"/>
    <n v="105.099"/>
    <n v="819.8"/>
  </r>
  <r>
    <x v="12"/>
    <x v="11"/>
    <x v="2"/>
    <n v="109.005"/>
    <n v="101"/>
    <n v="109.19799999999999"/>
    <n v="105.099"/>
    <n v="819.8"/>
  </r>
  <r>
    <x v="12"/>
    <x v="11"/>
    <x v="2"/>
    <n v="109.005"/>
    <n v="101"/>
    <n v="109.19799999999999"/>
    <n v="105.099"/>
    <n v="819.8"/>
  </r>
  <r>
    <x v="12"/>
    <x v="11"/>
    <x v="2"/>
    <n v="109.005"/>
    <n v="101"/>
    <n v="109.19799999999999"/>
    <n v="105.099"/>
    <n v="819.8"/>
  </r>
  <r>
    <x v="12"/>
    <x v="11"/>
    <x v="2"/>
    <n v="109.005"/>
    <n v="101"/>
    <n v="109.19799999999999"/>
    <n v="105.099"/>
    <n v="819.8"/>
  </r>
  <r>
    <x v="12"/>
    <x v="11"/>
    <x v="2"/>
    <n v="109.005"/>
    <n v="101"/>
    <n v="109.19799999999999"/>
    <n v="105.099"/>
    <n v="819.8"/>
  </r>
  <r>
    <x v="12"/>
    <x v="11"/>
    <x v="2"/>
    <n v="109.005"/>
    <n v="101"/>
    <n v="109.19799999999999"/>
    <n v="105.099"/>
    <n v="819.8"/>
  </r>
  <r>
    <x v="12"/>
    <x v="11"/>
    <x v="2"/>
    <n v="109.005"/>
    <n v="101"/>
    <n v="109.19799999999999"/>
    <n v="105.099"/>
    <n v="819.8"/>
  </r>
  <r>
    <x v="12"/>
    <x v="11"/>
    <x v="2"/>
    <n v="109.005"/>
    <n v="101"/>
    <n v="109.19799999999999"/>
    <n v="105.099"/>
    <n v="819.8"/>
  </r>
  <r>
    <x v="12"/>
    <x v="11"/>
    <x v="2"/>
    <n v="109.005"/>
    <n v="101"/>
    <n v="109.19799999999999"/>
    <n v="105.099"/>
    <n v="819.8"/>
  </r>
  <r>
    <x v="12"/>
    <x v="11"/>
    <x v="2"/>
    <n v="109.005"/>
    <n v="101"/>
    <n v="109.19799999999999"/>
    <n v="105.099"/>
    <n v="819.8"/>
  </r>
  <r>
    <x v="12"/>
    <x v="11"/>
    <x v="2"/>
    <n v="109.005"/>
    <n v="101"/>
    <n v="109.19799999999999"/>
    <n v="105.099"/>
    <n v="819.8"/>
  </r>
  <r>
    <x v="12"/>
    <x v="11"/>
    <x v="2"/>
    <n v="109.005"/>
    <n v="101"/>
    <n v="109.19799999999999"/>
    <n v="105.099"/>
    <n v="819.8"/>
  </r>
  <r>
    <x v="12"/>
    <x v="11"/>
    <x v="2"/>
    <n v="109.005"/>
    <n v="101"/>
    <n v="109.19799999999999"/>
    <n v="105.099"/>
    <n v="819.8"/>
  </r>
  <r>
    <x v="12"/>
    <x v="11"/>
    <x v="2"/>
    <n v="109.005"/>
    <n v="101"/>
    <n v="109.19799999999999"/>
    <n v="105.099"/>
    <n v="819.8"/>
  </r>
  <r>
    <x v="12"/>
    <x v="11"/>
    <x v="2"/>
    <n v="109.005"/>
    <n v="101"/>
    <n v="109.19799999999999"/>
    <n v="105.099"/>
    <n v="819.8"/>
  </r>
  <r>
    <x v="12"/>
    <x v="11"/>
    <x v="2"/>
    <n v="109.005"/>
    <n v="101"/>
    <n v="109.19799999999999"/>
    <n v="105.099"/>
    <n v="819.8"/>
  </r>
  <r>
    <x v="12"/>
    <x v="11"/>
    <x v="2"/>
    <n v="109.005"/>
    <n v="101"/>
    <n v="109.19799999999999"/>
    <n v="105.099"/>
    <n v="819.8"/>
  </r>
  <r>
    <x v="12"/>
    <x v="11"/>
    <x v="2"/>
    <n v="109.005"/>
    <n v="101"/>
    <n v="109.19799999999999"/>
    <n v="105.099"/>
    <n v="819.8"/>
  </r>
  <r>
    <x v="12"/>
    <x v="11"/>
    <x v="2"/>
    <n v="109.005"/>
    <n v="101"/>
    <n v="109.19799999999999"/>
    <n v="105.099"/>
    <n v="819.8"/>
  </r>
  <r>
    <x v="12"/>
    <x v="11"/>
    <x v="2"/>
    <n v="109.005"/>
    <n v="101"/>
    <n v="109.19799999999999"/>
    <n v="105.099"/>
    <n v="819.8"/>
  </r>
  <r>
    <x v="12"/>
    <x v="11"/>
    <x v="2"/>
    <n v="109.005"/>
    <n v="101"/>
    <n v="109.19799999999999"/>
    <n v="105.099"/>
    <n v="819.8"/>
  </r>
  <r>
    <x v="12"/>
    <x v="11"/>
    <x v="14"/>
    <n v="1215.3499999999999"/>
    <n v="1245"/>
    <n v="1390"/>
    <n v="1317.5"/>
    <n v="1450"/>
  </r>
  <r>
    <x v="12"/>
    <x v="11"/>
    <x v="14"/>
    <n v="1215.3499999999999"/>
    <n v="1245"/>
    <n v="1390"/>
    <n v="1317.5"/>
    <n v="1450"/>
  </r>
  <r>
    <x v="12"/>
    <x v="11"/>
    <x v="14"/>
    <n v="1215.3499999999999"/>
    <n v="1245"/>
    <n v="1390"/>
    <n v="1317.5"/>
    <n v="1450"/>
  </r>
  <r>
    <x v="12"/>
    <x v="11"/>
    <x v="14"/>
    <n v="1215.3499999999999"/>
    <n v="1245"/>
    <n v="1390"/>
    <n v="1317.5"/>
    <n v="1450"/>
  </r>
  <r>
    <x v="12"/>
    <x v="11"/>
    <x v="14"/>
    <n v="1215.3499999999999"/>
    <n v="1245"/>
    <n v="1390"/>
    <n v="1317.5"/>
    <n v="1450"/>
  </r>
  <r>
    <x v="12"/>
    <x v="11"/>
    <x v="14"/>
    <n v="1215.3499999999999"/>
    <n v="1245"/>
    <n v="1390"/>
    <n v="1317.5"/>
    <n v="1450"/>
  </r>
  <r>
    <x v="12"/>
    <x v="11"/>
    <x v="14"/>
    <n v="1215.3499999999999"/>
    <n v="1245"/>
    <n v="1390"/>
    <n v="1317.5"/>
    <n v="1450"/>
  </r>
  <r>
    <x v="12"/>
    <x v="11"/>
    <x v="14"/>
    <n v="1215.3499999999999"/>
    <n v="1245"/>
    <n v="1390"/>
    <n v="1317.5"/>
    <n v="1450"/>
  </r>
  <r>
    <x v="12"/>
    <x v="11"/>
    <x v="14"/>
    <n v="1215.3499999999999"/>
    <n v="1245"/>
    <n v="1390"/>
    <n v="1317.5"/>
    <n v="1450"/>
  </r>
  <r>
    <x v="12"/>
    <x v="11"/>
    <x v="14"/>
    <n v="1215.3499999999999"/>
    <n v="1245"/>
    <n v="1390"/>
    <n v="1317.5"/>
    <n v="1450"/>
  </r>
  <r>
    <x v="12"/>
    <x v="11"/>
    <x v="14"/>
    <n v="1215.3499999999999"/>
    <n v="1245"/>
    <n v="1390"/>
    <n v="1317.5"/>
    <n v="1450"/>
  </r>
  <r>
    <x v="12"/>
    <x v="11"/>
    <x v="14"/>
    <n v="1215.3499999999999"/>
    <n v="1245"/>
    <n v="1390"/>
    <n v="1317.5"/>
    <n v="1450"/>
  </r>
  <r>
    <x v="12"/>
    <x v="11"/>
    <x v="14"/>
    <n v="1215.3499999999999"/>
    <n v="1245"/>
    <n v="1390"/>
    <n v="1317.5"/>
    <n v="1450"/>
  </r>
  <r>
    <x v="12"/>
    <x v="11"/>
    <x v="14"/>
    <n v="1215.3499999999999"/>
    <n v="1245"/>
    <n v="1390"/>
    <n v="1317.5"/>
    <n v="1450"/>
  </r>
  <r>
    <x v="12"/>
    <x v="11"/>
    <x v="14"/>
    <n v="1215.3499999999999"/>
    <n v="1245"/>
    <n v="1390"/>
    <n v="1317.5"/>
    <n v="1450"/>
  </r>
  <r>
    <x v="12"/>
    <x v="11"/>
    <x v="14"/>
    <n v="1215.3499999999999"/>
    <n v="1245"/>
    <n v="1390"/>
    <n v="1317.5"/>
    <n v="1450"/>
  </r>
  <r>
    <x v="12"/>
    <x v="11"/>
    <x v="14"/>
    <n v="1215.3499999999999"/>
    <n v="1245"/>
    <n v="1390"/>
    <n v="1317.5"/>
    <n v="1450"/>
  </r>
  <r>
    <x v="12"/>
    <x v="11"/>
    <x v="14"/>
    <n v="1215.3499999999999"/>
    <n v="1245"/>
    <n v="1390"/>
    <n v="1317.5"/>
    <n v="1450"/>
  </r>
  <r>
    <x v="12"/>
    <x v="11"/>
    <x v="14"/>
    <n v="1215.3499999999999"/>
    <n v="1245"/>
    <n v="1390"/>
    <n v="1317.5"/>
    <n v="1450"/>
  </r>
  <r>
    <x v="12"/>
    <x v="11"/>
    <x v="14"/>
    <n v="1215.3499999999999"/>
    <n v="1245"/>
    <n v="1390"/>
    <n v="1317.5"/>
    <n v="1450"/>
  </r>
  <r>
    <x v="12"/>
    <x v="11"/>
    <x v="14"/>
    <n v="1215.3499999999999"/>
    <n v="1245"/>
    <n v="1390"/>
    <n v="1317.5"/>
    <n v="1450"/>
  </r>
  <r>
    <x v="12"/>
    <x v="11"/>
    <x v="14"/>
    <n v="1215.3499999999999"/>
    <n v="1245"/>
    <n v="1390"/>
    <n v="1317.5"/>
    <n v="1450"/>
  </r>
  <r>
    <x v="12"/>
    <x v="11"/>
    <x v="14"/>
    <n v="1215.3499999999999"/>
    <n v="1245"/>
    <n v="1390"/>
    <n v="1317.5"/>
    <n v="1450"/>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7"/>
    <n v="1.43668"/>
    <n v="1.41971"/>
    <n v="1.554"/>
    <n v="1.486855"/>
    <n v="1342.9"/>
  </r>
  <r>
    <x v="12"/>
    <x v="11"/>
    <x v="0"/>
    <n v="2.00278"/>
    <n v="1.91"/>
    <n v="2.0024099999999998"/>
    <n v="1.956205"/>
    <n v="924.1"/>
  </r>
  <r>
    <x v="12"/>
    <x v="12"/>
    <x v="0"/>
    <n v="2.0630500000000001"/>
    <n v="1.91"/>
    <n v="2.0219999999999998"/>
    <n v="1.966"/>
    <n v="1120"/>
  </r>
  <r>
    <x v="12"/>
    <x v="12"/>
    <x v="0"/>
    <n v="2.0630500000000001"/>
    <n v="1.91"/>
    <n v="2.0219999999999998"/>
    <n v="1.966"/>
    <n v="1120"/>
  </r>
  <r>
    <x v="12"/>
    <x v="12"/>
    <x v="0"/>
    <n v="2.0630500000000001"/>
    <n v="1.91"/>
    <n v="2.0219999999999998"/>
    <n v="1.966"/>
    <n v="1120"/>
  </r>
  <r>
    <x v="12"/>
    <x v="12"/>
    <x v="0"/>
    <n v="2.0630500000000001"/>
    <n v="1.91"/>
    <n v="2.0219999999999998"/>
    <n v="1.966"/>
    <n v="1120"/>
  </r>
  <r>
    <x v="12"/>
    <x v="12"/>
    <x v="0"/>
    <n v="2.0630500000000001"/>
    <n v="1.91"/>
    <n v="2.0219999999999998"/>
    <n v="1.966"/>
    <n v="1120"/>
  </r>
  <r>
    <x v="12"/>
    <x v="12"/>
    <x v="0"/>
    <n v="2.0630500000000001"/>
    <n v="1.91"/>
    <n v="2.0219999999999998"/>
    <n v="1.966"/>
    <n v="1120"/>
  </r>
  <r>
    <x v="12"/>
    <x v="12"/>
    <x v="0"/>
    <n v="2.0630500000000001"/>
    <n v="1.91"/>
    <n v="2.0219999999999998"/>
    <n v="1.966"/>
    <n v="1120"/>
  </r>
  <r>
    <x v="12"/>
    <x v="12"/>
    <x v="0"/>
    <n v="2.0630500000000001"/>
    <n v="1.91"/>
    <n v="2.0219999999999998"/>
    <n v="1.966"/>
    <n v="1120"/>
  </r>
  <r>
    <x v="12"/>
    <x v="12"/>
    <x v="0"/>
    <n v="2.0630500000000001"/>
    <n v="1.91"/>
    <n v="2.0219999999999998"/>
    <n v="1.966"/>
    <n v="1120"/>
  </r>
  <r>
    <x v="12"/>
    <x v="12"/>
    <x v="0"/>
    <n v="2.0630500000000001"/>
    <n v="1.91"/>
    <n v="2.0219999999999998"/>
    <n v="1.966"/>
    <n v="1120"/>
  </r>
  <r>
    <x v="12"/>
    <x v="12"/>
    <x v="0"/>
    <n v="2.0630500000000001"/>
    <n v="1.91"/>
    <n v="2.0219999999999998"/>
    <n v="1.966"/>
    <n v="1120"/>
  </r>
  <r>
    <x v="12"/>
    <x v="12"/>
    <x v="0"/>
    <n v="2.0630500000000001"/>
    <n v="1.91"/>
    <n v="2.0219999999999998"/>
    <n v="1.966"/>
    <n v="1120"/>
  </r>
  <r>
    <x v="12"/>
    <x v="12"/>
    <x v="2"/>
    <n v="109.28"/>
    <n v="101"/>
    <n v="109.19799999999999"/>
    <n v="105.099"/>
    <n v="819.8"/>
  </r>
  <r>
    <x v="12"/>
    <x v="12"/>
    <x v="2"/>
    <n v="109.28"/>
    <n v="101"/>
    <n v="109.19799999999999"/>
    <n v="105.099"/>
    <n v="819.8"/>
  </r>
  <r>
    <x v="12"/>
    <x v="12"/>
    <x v="2"/>
    <n v="109.28"/>
    <n v="101"/>
    <n v="109.19799999999999"/>
    <n v="105.099"/>
    <n v="819.8"/>
  </r>
  <r>
    <x v="12"/>
    <x v="12"/>
    <x v="2"/>
    <n v="109.28"/>
    <n v="101"/>
    <n v="109.19799999999999"/>
    <n v="105.099"/>
    <n v="819.8"/>
  </r>
  <r>
    <x v="12"/>
    <x v="12"/>
    <x v="2"/>
    <n v="109.28"/>
    <n v="101"/>
    <n v="109.19799999999999"/>
    <n v="105.099"/>
    <n v="819.8"/>
  </r>
  <r>
    <x v="12"/>
    <x v="12"/>
    <x v="2"/>
    <n v="109.28"/>
    <n v="101"/>
    <n v="109.19799999999999"/>
    <n v="105.099"/>
    <n v="819.8"/>
  </r>
  <r>
    <x v="12"/>
    <x v="12"/>
    <x v="2"/>
    <n v="109.28"/>
    <n v="101"/>
    <n v="109.19799999999999"/>
    <n v="105.099"/>
    <n v="819.8"/>
  </r>
  <r>
    <x v="12"/>
    <x v="12"/>
    <x v="2"/>
    <n v="109.28"/>
    <n v="101"/>
    <n v="109.19799999999999"/>
    <n v="105.099"/>
    <n v="819.8"/>
  </r>
  <r>
    <x v="12"/>
    <x v="12"/>
    <x v="2"/>
    <n v="109.28"/>
    <n v="101"/>
    <n v="109.19799999999999"/>
    <n v="105.099"/>
    <n v="819.8"/>
  </r>
  <r>
    <x v="12"/>
    <x v="12"/>
    <x v="2"/>
    <n v="109.28"/>
    <n v="101"/>
    <n v="109.19799999999999"/>
    <n v="105.099"/>
    <n v="819.8"/>
  </r>
  <r>
    <x v="12"/>
    <x v="12"/>
    <x v="2"/>
    <n v="109.28"/>
    <n v="101"/>
    <n v="109.19799999999999"/>
    <n v="105.099"/>
    <n v="819.8"/>
  </r>
  <r>
    <x v="12"/>
    <x v="12"/>
    <x v="2"/>
    <n v="109.28"/>
    <n v="101"/>
    <n v="109.19799999999999"/>
    <n v="105.099"/>
    <n v="819.8"/>
  </r>
  <r>
    <x v="12"/>
    <x v="12"/>
    <x v="2"/>
    <n v="109.28"/>
    <n v="101"/>
    <n v="109.19799999999999"/>
    <n v="105.099"/>
    <n v="819.8"/>
  </r>
  <r>
    <x v="12"/>
    <x v="12"/>
    <x v="2"/>
    <n v="109.28"/>
    <n v="101"/>
    <n v="109.19799999999999"/>
    <n v="105.099"/>
    <n v="819.8"/>
  </r>
  <r>
    <x v="12"/>
    <x v="12"/>
    <x v="2"/>
    <n v="109.28"/>
    <n v="101"/>
    <n v="109.19799999999999"/>
    <n v="105.099"/>
    <n v="819.8"/>
  </r>
  <r>
    <x v="12"/>
    <x v="12"/>
    <x v="2"/>
    <n v="109.28"/>
    <n v="101"/>
    <n v="109.19799999999999"/>
    <n v="105.099"/>
    <n v="819.8"/>
  </r>
  <r>
    <x v="12"/>
    <x v="12"/>
    <x v="2"/>
    <n v="109.28"/>
    <n v="101"/>
    <n v="109.19799999999999"/>
    <n v="105.099"/>
    <n v="819.8"/>
  </r>
  <r>
    <x v="12"/>
    <x v="12"/>
    <x v="2"/>
    <n v="109.28"/>
    <n v="101"/>
    <n v="109.19799999999999"/>
    <n v="105.099"/>
    <n v="819.8"/>
  </r>
  <r>
    <x v="12"/>
    <x v="12"/>
    <x v="2"/>
    <n v="109.28"/>
    <n v="101"/>
    <n v="109.19799999999999"/>
    <n v="105.099"/>
    <n v="819.8"/>
  </r>
  <r>
    <x v="12"/>
    <x v="12"/>
    <x v="2"/>
    <n v="109.28"/>
    <n v="101"/>
    <n v="109.19799999999999"/>
    <n v="105.099"/>
    <n v="819.8"/>
  </r>
  <r>
    <x v="12"/>
    <x v="12"/>
    <x v="2"/>
    <n v="109.28"/>
    <n v="101"/>
    <n v="109.19799999999999"/>
    <n v="105.099"/>
    <n v="819.8"/>
  </r>
  <r>
    <x v="12"/>
    <x v="12"/>
    <x v="2"/>
    <n v="109.28"/>
    <n v="101"/>
    <n v="109.19799999999999"/>
    <n v="105.099"/>
    <n v="819.8"/>
  </r>
  <r>
    <x v="12"/>
    <x v="12"/>
    <x v="2"/>
    <n v="109.28"/>
    <n v="101"/>
    <n v="109.19799999999999"/>
    <n v="105.099"/>
    <n v="819.8"/>
  </r>
  <r>
    <x v="12"/>
    <x v="12"/>
    <x v="2"/>
    <n v="109.28"/>
    <n v="101"/>
    <n v="109.19799999999999"/>
    <n v="105.099"/>
    <n v="819.8"/>
  </r>
  <r>
    <x v="12"/>
    <x v="12"/>
    <x v="14"/>
    <n v="1218.116"/>
    <n v="1245"/>
    <n v="1390"/>
    <n v="1317.5"/>
    <n v="1450"/>
  </r>
  <r>
    <x v="12"/>
    <x v="12"/>
    <x v="14"/>
    <n v="1218.116"/>
    <n v="1245"/>
    <n v="1390"/>
    <n v="1317.5"/>
    <n v="1450"/>
  </r>
  <r>
    <x v="12"/>
    <x v="12"/>
    <x v="14"/>
    <n v="1218.116"/>
    <n v="1245"/>
    <n v="1390"/>
    <n v="1317.5"/>
    <n v="1450"/>
  </r>
  <r>
    <x v="12"/>
    <x v="12"/>
    <x v="14"/>
    <n v="1218.116"/>
    <n v="1245"/>
    <n v="1390"/>
    <n v="1317.5"/>
    <n v="1450"/>
  </r>
  <r>
    <x v="12"/>
    <x v="12"/>
    <x v="14"/>
    <n v="1218.116"/>
    <n v="1245"/>
    <n v="1390"/>
    <n v="1317.5"/>
    <n v="1450"/>
  </r>
  <r>
    <x v="12"/>
    <x v="12"/>
    <x v="14"/>
    <n v="1218.116"/>
    <n v="1245"/>
    <n v="1390"/>
    <n v="1317.5"/>
    <n v="1450"/>
  </r>
  <r>
    <x v="12"/>
    <x v="12"/>
    <x v="14"/>
    <n v="1218.116"/>
    <n v="1245"/>
    <n v="1390"/>
    <n v="1317.5"/>
    <n v="1450"/>
  </r>
  <r>
    <x v="12"/>
    <x v="12"/>
    <x v="14"/>
    <n v="1218.116"/>
    <n v="1245"/>
    <n v="1390"/>
    <n v="1317.5"/>
    <n v="1450"/>
  </r>
  <r>
    <x v="12"/>
    <x v="12"/>
    <x v="14"/>
    <n v="1218.116"/>
    <n v="1245"/>
    <n v="1390"/>
    <n v="1317.5"/>
    <n v="1450"/>
  </r>
  <r>
    <x v="12"/>
    <x v="12"/>
    <x v="14"/>
    <n v="1218.116"/>
    <n v="1245"/>
    <n v="1390"/>
    <n v="1317.5"/>
    <n v="1450"/>
  </r>
  <r>
    <x v="12"/>
    <x v="12"/>
    <x v="14"/>
    <n v="1218.116"/>
    <n v="1245"/>
    <n v="1390"/>
    <n v="1317.5"/>
    <n v="1450"/>
  </r>
  <r>
    <x v="12"/>
    <x v="12"/>
    <x v="14"/>
    <n v="1218.116"/>
    <n v="1245"/>
    <n v="1390"/>
    <n v="1317.5"/>
    <n v="1450"/>
  </r>
  <r>
    <x v="12"/>
    <x v="12"/>
    <x v="14"/>
    <n v="1218.116"/>
    <n v="1245"/>
    <n v="1390"/>
    <n v="1317.5"/>
    <n v="1450"/>
  </r>
  <r>
    <x v="12"/>
    <x v="12"/>
    <x v="14"/>
    <n v="1218.116"/>
    <n v="1245"/>
    <n v="1390"/>
    <n v="1317.5"/>
    <n v="1450"/>
  </r>
  <r>
    <x v="12"/>
    <x v="12"/>
    <x v="14"/>
    <n v="1218.116"/>
    <n v="1245"/>
    <n v="1390"/>
    <n v="1317.5"/>
    <n v="1450"/>
  </r>
  <r>
    <x v="12"/>
    <x v="12"/>
    <x v="14"/>
    <n v="1218.116"/>
    <n v="1245"/>
    <n v="1390"/>
    <n v="1317.5"/>
    <n v="1450"/>
  </r>
  <r>
    <x v="12"/>
    <x v="12"/>
    <x v="14"/>
    <n v="1218.116"/>
    <n v="1245"/>
    <n v="1390"/>
    <n v="1317.5"/>
    <n v="1450"/>
  </r>
  <r>
    <x v="12"/>
    <x v="12"/>
    <x v="14"/>
    <n v="1218.116"/>
    <n v="1245"/>
    <n v="1390"/>
    <n v="1317.5"/>
    <n v="1450"/>
  </r>
  <r>
    <x v="12"/>
    <x v="12"/>
    <x v="14"/>
    <n v="1218.116"/>
    <n v="1245"/>
    <n v="1390"/>
    <n v="1317.5"/>
    <n v="1450"/>
  </r>
  <r>
    <x v="12"/>
    <x v="12"/>
    <x v="14"/>
    <n v="1218.116"/>
    <n v="1245"/>
    <n v="1390"/>
    <n v="1317.5"/>
    <n v="1450"/>
  </r>
  <r>
    <x v="12"/>
    <x v="12"/>
    <x v="14"/>
    <n v="1218.116"/>
    <n v="1245"/>
    <n v="1390"/>
    <n v="1317.5"/>
    <n v="1450"/>
  </r>
  <r>
    <x v="12"/>
    <x v="12"/>
    <x v="14"/>
    <n v="1218.116"/>
    <n v="1245"/>
    <n v="1390"/>
    <n v="1317.5"/>
    <n v="1450"/>
  </r>
  <r>
    <x v="12"/>
    <x v="12"/>
    <x v="14"/>
    <n v="1218.116"/>
    <n v="1245"/>
    <n v="1390"/>
    <n v="1317.5"/>
    <n v="1450"/>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7"/>
    <n v="1.4462299999999999"/>
    <n v="1.41971"/>
    <n v="1.554"/>
    <n v="1.486855"/>
    <n v="1342.9"/>
  </r>
  <r>
    <x v="12"/>
    <x v="12"/>
    <x v="0"/>
    <n v="2.0630500000000001"/>
    <n v="1.91"/>
    <n v="2.0219999999999998"/>
    <n v="1.966"/>
    <n v="1120"/>
  </r>
  <r>
    <x v="12"/>
    <x v="12"/>
    <x v="0"/>
    <n v="2.0630500000000001"/>
    <n v="1.91"/>
    <n v="2.0219999999999998"/>
    <n v="1.966"/>
    <n v="1120"/>
  </r>
  <r>
    <x v="12"/>
    <x v="12"/>
    <x v="0"/>
    <n v="2.0630500000000001"/>
    <n v="1.91"/>
    <n v="2.0219999999999998"/>
    <n v="1.966"/>
    <n v="1120"/>
  </r>
  <r>
    <x v="12"/>
    <x v="12"/>
    <x v="0"/>
    <n v="2.0630500000000001"/>
    <n v="1.91"/>
    <n v="2.0219999999999998"/>
    <n v="1.966"/>
    <n v="1120"/>
  </r>
  <r>
    <x v="12"/>
    <x v="12"/>
    <x v="0"/>
    <n v="2.0630500000000001"/>
    <n v="1.91"/>
    <n v="2.0219999999999998"/>
    <n v="1.966"/>
    <n v="1120"/>
  </r>
  <r>
    <x v="12"/>
    <x v="12"/>
    <x v="0"/>
    <n v="2.0630500000000001"/>
    <n v="1.91"/>
    <n v="2.0219999999999998"/>
    <n v="1.966"/>
    <n v="1120"/>
  </r>
  <r>
    <x v="12"/>
    <x v="13"/>
    <x v="0"/>
    <n v="2.0533700000000001"/>
    <n v="1.91"/>
    <n v="2.0219999999999998"/>
    <n v="1.966"/>
    <n v="1120"/>
  </r>
  <r>
    <x v="12"/>
    <x v="13"/>
    <x v="0"/>
    <n v="2.0533700000000001"/>
    <n v="1.91"/>
    <n v="2.0219999999999998"/>
    <n v="1.966"/>
    <n v="1120"/>
  </r>
  <r>
    <x v="12"/>
    <x v="13"/>
    <x v="0"/>
    <n v="2.0533700000000001"/>
    <n v="1.91"/>
    <n v="2.0219999999999998"/>
    <n v="1.966"/>
    <n v="1120"/>
  </r>
  <r>
    <x v="12"/>
    <x v="13"/>
    <x v="0"/>
    <n v="2.0533700000000001"/>
    <n v="1.91"/>
    <n v="2.0219999999999998"/>
    <n v="1.966"/>
    <n v="1120"/>
  </r>
  <r>
    <x v="12"/>
    <x v="13"/>
    <x v="0"/>
    <n v="2.0533700000000001"/>
    <n v="1.91"/>
    <n v="2.0219999999999998"/>
    <n v="1.966"/>
    <n v="1120"/>
  </r>
  <r>
    <x v="12"/>
    <x v="13"/>
    <x v="0"/>
    <n v="2.0533700000000001"/>
    <n v="1.91"/>
    <n v="2.0219999999999998"/>
    <n v="1.966"/>
    <n v="1120"/>
  </r>
  <r>
    <x v="12"/>
    <x v="13"/>
    <x v="0"/>
    <n v="2.0533700000000001"/>
    <n v="1.91"/>
    <n v="2.0219999999999998"/>
    <n v="1.966"/>
    <n v="1120"/>
  </r>
  <r>
    <x v="12"/>
    <x v="13"/>
    <x v="0"/>
    <n v="2.0533700000000001"/>
    <n v="1.91"/>
    <n v="2.0219999999999998"/>
    <n v="1.966"/>
    <n v="1120"/>
  </r>
  <r>
    <x v="12"/>
    <x v="13"/>
    <x v="2"/>
    <n v="109.748"/>
    <n v="101"/>
    <n v="109.19799999999999"/>
    <n v="105.099"/>
    <n v="819.8"/>
  </r>
  <r>
    <x v="12"/>
    <x v="13"/>
    <x v="2"/>
    <n v="109.748"/>
    <n v="101"/>
    <n v="109.19799999999999"/>
    <n v="105.099"/>
    <n v="819.8"/>
  </r>
  <r>
    <x v="12"/>
    <x v="13"/>
    <x v="2"/>
    <n v="109.748"/>
    <n v="101"/>
    <n v="109.19799999999999"/>
    <n v="105.099"/>
    <n v="819.8"/>
  </r>
  <r>
    <x v="12"/>
    <x v="13"/>
    <x v="2"/>
    <n v="109.748"/>
    <n v="101"/>
    <n v="109.19799999999999"/>
    <n v="105.099"/>
    <n v="819.8"/>
  </r>
  <r>
    <x v="12"/>
    <x v="13"/>
    <x v="2"/>
    <n v="109.748"/>
    <n v="101"/>
    <n v="109.19799999999999"/>
    <n v="105.099"/>
    <n v="819.8"/>
  </r>
  <r>
    <x v="12"/>
    <x v="13"/>
    <x v="2"/>
    <n v="109.748"/>
    <n v="101"/>
    <n v="109.19799999999999"/>
    <n v="105.099"/>
    <n v="819.8"/>
  </r>
  <r>
    <x v="12"/>
    <x v="13"/>
    <x v="2"/>
    <n v="109.748"/>
    <n v="101"/>
    <n v="109.19799999999999"/>
    <n v="105.099"/>
    <n v="819.8"/>
  </r>
  <r>
    <x v="12"/>
    <x v="13"/>
    <x v="2"/>
    <n v="109.748"/>
    <n v="101"/>
    <n v="109.19799999999999"/>
    <n v="105.099"/>
    <n v="819.8"/>
  </r>
  <r>
    <x v="12"/>
    <x v="13"/>
    <x v="2"/>
    <n v="109.748"/>
    <n v="101"/>
    <n v="109.19799999999999"/>
    <n v="105.099"/>
    <n v="819.8"/>
  </r>
  <r>
    <x v="12"/>
    <x v="13"/>
    <x v="2"/>
    <n v="109.748"/>
    <n v="101"/>
    <n v="109.19799999999999"/>
    <n v="105.099"/>
    <n v="819.8"/>
  </r>
  <r>
    <x v="12"/>
    <x v="13"/>
    <x v="2"/>
    <n v="109.748"/>
    <n v="101"/>
    <n v="109.19799999999999"/>
    <n v="105.099"/>
    <n v="819.8"/>
  </r>
  <r>
    <x v="12"/>
    <x v="13"/>
    <x v="2"/>
    <n v="109.748"/>
    <n v="101"/>
    <n v="109.19799999999999"/>
    <n v="105.099"/>
    <n v="819.8"/>
  </r>
  <r>
    <x v="12"/>
    <x v="13"/>
    <x v="2"/>
    <n v="109.748"/>
    <n v="101"/>
    <n v="109.19799999999999"/>
    <n v="105.099"/>
    <n v="819.8"/>
  </r>
  <r>
    <x v="12"/>
    <x v="13"/>
    <x v="2"/>
    <n v="109.748"/>
    <n v="101"/>
    <n v="109.19799999999999"/>
    <n v="105.099"/>
    <n v="819.8"/>
  </r>
  <r>
    <x v="12"/>
    <x v="13"/>
    <x v="2"/>
    <n v="109.748"/>
    <n v="101"/>
    <n v="109.19799999999999"/>
    <n v="105.099"/>
    <n v="819.8"/>
  </r>
  <r>
    <x v="12"/>
    <x v="13"/>
    <x v="2"/>
    <n v="109.748"/>
    <n v="101"/>
    <n v="109.19799999999999"/>
    <n v="105.099"/>
    <n v="819.8"/>
  </r>
  <r>
    <x v="12"/>
    <x v="13"/>
    <x v="2"/>
    <n v="109.748"/>
    <n v="101"/>
    <n v="109.19799999999999"/>
    <n v="105.099"/>
    <n v="819.8"/>
  </r>
  <r>
    <x v="12"/>
    <x v="13"/>
    <x v="2"/>
    <n v="109.748"/>
    <n v="101"/>
    <n v="109.19799999999999"/>
    <n v="105.099"/>
    <n v="819.8"/>
  </r>
  <r>
    <x v="12"/>
    <x v="13"/>
    <x v="2"/>
    <n v="109.748"/>
    <n v="101"/>
    <n v="109.19799999999999"/>
    <n v="105.099"/>
    <n v="819.8"/>
  </r>
  <r>
    <x v="12"/>
    <x v="13"/>
    <x v="2"/>
    <n v="109.748"/>
    <n v="101"/>
    <n v="109.19799999999999"/>
    <n v="105.099"/>
    <n v="819.8"/>
  </r>
  <r>
    <x v="12"/>
    <x v="13"/>
    <x v="2"/>
    <n v="109.748"/>
    <n v="101"/>
    <n v="109.19799999999999"/>
    <n v="105.099"/>
    <n v="819.8"/>
  </r>
  <r>
    <x v="12"/>
    <x v="13"/>
    <x v="2"/>
    <n v="109.748"/>
    <n v="101"/>
    <n v="109.19799999999999"/>
    <n v="105.099"/>
    <n v="819.8"/>
  </r>
  <r>
    <x v="12"/>
    <x v="13"/>
    <x v="14"/>
    <n v="1191.03"/>
    <n v="1245"/>
    <n v="1390"/>
    <n v="1317.5"/>
    <n v="1450"/>
  </r>
  <r>
    <x v="12"/>
    <x v="13"/>
    <x v="14"/>
    <n v="1191.03"/>
    <n v="1245"/>
    <n v="1390"/>
    <n v="1317.5"/>
    <n v="1450"/>
  </r>
  <r>
    <x v="12"/>
    <x v="13"/>
    <x v="14"/>
    <n v="1191.03"/>
    <n v="1245"/>
    <n v="1390"/>
    <n v="1317.5"/>
    <n v="1450"/>
  </r>
  <r>
    <x v="12"/>
    <x v="13"/>
    <x v="14"/>
    <n v="1191.03"/>
    <n v="1245"/>
    <n v="1390"/>
    <n v="1317.5"/>
    <n v="1450"/>
  </r>
  <r>
    <x v="12"/>
    <x v="13"/>
    <x v="14"/>
    <n v="1191.03"/>
    <n v="1245"/>
    <n v="1390"/>
    <n v="1317.5"/>
    <n v="1450"/>
  </r>
  <r>
    <x v="12"/>
    <x v="13"/>
    <x v="14"/>
    <n v="1191.03"/>
    <n v="1245"/>
    <n v="1390"/>
    <n v="1317.5"/>
    <n v="1450"/>
  </r>
  <r>
    <x v="12"/>
    <x v="13"/>
    <x v="14"/>
    <n v="1191.03"/>
    <n v="1245"/>
    <n v="1390"/>
    <n v="1317.5"/>
    <n v="1450"/>
  </r>
  <r>
    <x v="12"/>
    <x v="13"/>
    <x v="14"/>
    <n v="1191.03"/>
    <n v="1245"/>
    <n v="1390"/>
    <n v="1317.5"/>
    <n v="1450"/>
  </r>
  <r>
    <x v="12"/>
    <x v="13"/>
    <x v="14"/>
    <n v="1191.03"/>
    <n v="1245"/>
    <n v="1390"/>
    <n v="1317.5"/>
    <n v="1450"/>
  </r>
  <r>
    <x v="12"/>
    <x v="13"/>
    <x v="14"/>
    <n v="1191.03"/>
    <n v="1245"/>
    <n v="1390"/>
    <n v="1317.5"/>
    <n v="1450"/>
  </r>
  <r>
    <x v="12"/>
    <x v="13"/>
    <x v="14"/>
    <n v="1191.03"/>
    <n v="1245"/>
    <n v="1390"/>
    <n v="1317.5"/>
    <n v="1450"/>
  </r>
  <r>
    <x v="12"/>
    <x v="13"/>
    <x v="14"/>
    <n v="1191.03"/>
    <n v="1245"/>
    <n v="1390"/>
    <n v="1317.5"/>
    <n v="1450"/>
  </r>
  <r>
    <x v="12"/>
    <x v="13"/>
    <x v="14"/>
    <n v="1191.03"/>
    <n v="1245"/>
    <n v="1390"/>
    <n v="1317.5"/>
    <n v="1450"/>
  </r>
  <r>
    <x v="12"/>
    <x v="13"/>
    <x v="14"/>
    <n v="1191.03"/>
    <n v="1245"/>
    <n v="1390"/>
    <n v="1317.5"/>
    <n v="1450"/>
  </r>
  <r>
    <x v="12"/>
    <x v="13"/>
    <x v="14"/>
    <n v="1191.03"/>
    <n v="1245"/>
    <n v="1390"/>
    <n v="1317.5"/>
    <n v="1450"/>
  </r>
  <r>
    <x v="12"/>
    <x v="13"/>
    <x v="14"/>
    <n v="1191.03"/>
    <n v="1245"/>
    <n v="1390"/>
    <n v="1317.5"/>
    <n v="1450"/>
  </r>
  <r>
    <x v="12"/>
    <x v="13"/>
    <x v="14"/>
    <n v="1191.03"/>
    <n v="1245"/>
    <n v="1390"/>
    <n v="1317.5"/>
    <n v="1450"/>
  </r>
  <r>
    <x v="12"/>
    <x v="13"/>
    <x v="14"/>
    <n v="1191.03"/>
    <n v="1245"/>
    <n v="1390"/>
    <n v="1317.5"/>
    <n v="1450"/>
  </r>
  <r>
    <x v="12"/>
    <x v="13"/>
    <x v="14"/>
    <n v="1191.03"/>
    <n v="1245"/>
    <n v="1390"/>
    <n v="1317.5"/>
    <n v="1450"/>
  </r>
  <r>
    <x v="12"/>
    <x v="13"/>
    <x v="14"/>
    <n v="1191.03"/>
    <n v="1245"/>
    <n v="1390"/>
    <n v="1317.5"/>
    <n v="1450"/>
  </r>
  <r>
    <x v="12"/>
    <x v="13"/>
    <x v="14"/>
    <n v="1191.03"/>
    <n v="1245"/>
    <n v="1390"/>
    <n v="1317.5"/>
    <n v="1450"/>
  </r>
  <r>
    <x v="12"/>
    <x v="13"/>
    <x v="14"/>
    <n v="1191.03"/>
    <n v="1245"/>
    <n v="1390"/>
    <n v="1317.5"/>
    <n v="1450"/>
  </r>
  <r>
    <x v="12"/>
    <x v="13"/>
    <x v="14"/>
    <n v="1191.03"/>
    <n v="1245"/>
    <n v="1390"/>
    <n v="1317.5"/>
    <n v="1450"/>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7"/>
    <n v="1.4422200000000001"/>
    <n v="1.41971"/>
    <n v="1.554"/>
    <n v="1.486855"/>
    <n v="1342.9"/>
  </r>
  <r>
    <x v="12"/>
    <x v="13"/>
    <x v="0"/>
    <n v="2.0533700000000001"/>
    <n v="1.91"/>
    <n v="2.0219999999999998"/>
    <n v="1.966"/>
    <n v="1120"/>
  </r>
  <r>
    <x v="12"/>
    <x v="13"/>
    <x v="0"/>
    <n v="2.0533700000000001"/>
    <n v="1.91"/>
    <n v="2.0219999999999998"/>
    <n v="1.966"/>
    <n v="1120"/>
  </r>
  <r>
    <x v="12"/>
    <x v="13"/>
    <x v="0"/>
    <n v="2.0533700000000001"/>
    <n v="1.91"/>
    <n v="2.0219999999999998"/>
    <n v="1.966"/>
    <n v="1120"/>
  </r>
  <r>
    <x v="12"/>
    <x v="13"/>
    <x v="0"/>
    <n v="2.0533700000000001"/>
    <n v="1.91"/>
    <n v="2.0219999999999998"/>
    <n v="1.966"/>
    <n v="1120"/>
  </r>
  <r>
    <x v="12"/>
    <x v="13"/>
    <x v="0"/>
    <n v="2.0533700000000001"/>
    <n v="1.91"/>
    <n v="2.0219999999999998"/>
    <n v="1.966"/>
    <n v="1120"/>
  </r>
  <r>
    <x v="12"/>
    <x v="13"/>
    <x v="0"/>
    <n v="2.0533700000000001"/>
    <n v="1.91"/>
    <n v="2.0219999999999998"/>
    <n v="1.966"/>
    <n v="1120"/>
  </r>
  <r>
    <x v="12"/>
    <x v="13"/>
    <x v="0"/>
    <n v="2.0533700000000001"/>
    <n v="1.91"/>
    <n v="2.0219999999999998"/>
    <n v="1.966"/>
    <n v="1120"/>
  </r>
  <r>
    <x v="12"/>
    <x v="13"/>
    <x v="0"/>
    <n v="2.0533700000000001"/>
    <n v="1.91"/>
    <n v="2.0219999999999998"/>
    <n v="1.966"/>
    <n v="1120"/>
  </r>
  <r>
    <x v="12"/>
    <x v="13"/>
    <x v="0"/>
    <n v="2.0533700000000001"/>
    <n v="1.91"/>
    <n v="2.0219999999999998"/>
    <n v="1.966"/>
    <n v="1120"/>
  </r>
  <r>
    <x v="12"/>
    <x v="13"/>
    <x v="0"/>
    <n v="2.0533700000000001"/>
    <n v="1.91"/>
    <n v="2.0219999999999998"/>
    <n v="1.966"/>
    <n v="1120"/>
  </r>
  <r>
    <x v="12"/>
    <x v="14"/>
    <x v="0"/>
    <n v="2.0558900000000002"/>
    <n v="1.91"/>
    <n v="2.0576599999999998"/>
    <n v="1.98383"/>
    <n v="1476.6"/>
  </r>
  <r>
    <x v="12"/>
    <x v="14"/>
    <x v="0"/>
    <n v="2.0558900000000002"/>
    <n v="1.91"/>
    <n v="2.0576599999999998"/>
    <n v="1.98383"/>
    <n v="1476.6"/>
  </r>
  <r>
    <x v="12"/>
    <x v="14"/>
    <x v="0"/>
    <n v="2.0558900000000002"/>
    <n v="1.91"/>
    <n v="2.0576599999999998"/>
    <n v="1.98383"/>
    <n v="1476.6"/>
  </r>
  <r>
    <x v="12"/>
    <x v="14"/>
    <x v="0"/>
    <n v="2.0558900000000002"/>
    <n v="1.91"/>
    <n v="2.0576599999999998"/>
    <n v="1.98383"/>
    <n v="1476.6"/>
  </r>
  <r>
    <x v="12"/>
    <x v="14"/>
    <x v="0"/>
    <n v="2.0558900000000002"/>
    <n v="1.91"/>
    <n v="2.0576599999999998"/>
    <n v="1.98383"/>
    <n v="1476.6"/>
  </r>
  <r>
    <x v="12"/>
    <x v="14"/>
    <x v="0"/>
    <n v="2.0558900000000002"/>
    <n v="1.91"/>
    <n v="2.0576599999999998"/>
    <n v="1.98383"/>
    <n v="1476.6"/>
  </r>
  <r>
    <x v="12"/>
    <x v="14"/>
    <x v="0"/>
    <n v="2.0558900000000002"/>
    <n v="1.91"/>
    <n v="2.0576599999999998"/>
    <n v="1.98383"/>
    <n v="1476.6"/>
  </r>
  <r>
    <x v="12"/>
    <x v="14"/>
    <x v="0"/>
    <n v="2.0558900000000002"/>
    <n v="1.91"/>
    <n v="2.0576599999999998"/>
    <n v="1.98383"/>
    <n v="1476.6"/>
  </r>
  <r>
    <x v="12"/>
    <x v="14"/>
    <x v="0"/>
    <n v="2.0558900000000002"/>
    <n v="1.91"/>
    <n v="2.0576599999999998"/>
    <n v="1.98383"/>
    <n v="1476.6"/>
  </r>
  <r>
    <x v="12"/>
    <x v="14"/>
    <x v="0"/>
    <n v="2.0558900000000002"/>
    <n v="1.91"/>
    <n v="2.0576599999999998"/>
    <n v="1.98383"/>
    <n v="1476.6"/>
  </r>
  <r>
    <x v="12"/>
    <x v="14"/>
    <x v="0"/>
    <n v="2.0558900000000002"/>
    <n v="1.91"/>
    <n v="2.0576599999999998"/>
    <n v="1.98383"/>
    <n v="1476.6"/>
  </r>
  <r>
    <x v="12"/>
    <x v="14"/>
    <x v="0"/>
    <n v="2.0558900000000002"/>
    <n v="1.91"/>
    <n v="2.0576599999999998"/>
    <n v="1.98383"/>
    <n v="1476.6"/>
  </r>
  <r>
    <x v="12"/>
    <x v="14"/>
    <x v="0"/>
    <n v="2.0558900000000002"/>
    <n v="1.91"/>
    <n v="2.0576599999999998"/>
    <n v="1.98383"/>
    <n v="1476.6"/>
  </r>
  <r>
    <x v="12"/>
    <x v="14"/>
    <x v="0"/>
    <n v="2.0558900000000002"/>
    <n v="1.91"/>
    <n v="2.0576599999999998"/>
    <n v="1.98383"/>
    <n v="1476.6"/>
  </r>
  <r>
    <x v="12"/>
    <x v="14"/>
    <x v="2"/>
    <n v="107.637"/>
    <n v="101"/>
    <n v="109.19799999999999"/>
    <n v="105.099"/>
    <n v="819.8"/>
  </r>
  <r>
    <x v="12"/>
    <x v="14"/>
    <x v="2"/>
    <n v="107.637"/>
    <n v="101"/>
    <n v="109.19799999999999"/>
    <n v="105.099"/>
    <n v="819.8"/>
  </r>
  <r>
    <x v="12"/>
    <x v="14"/>
    <x v="2"/>
    <n v="107.637"/>
    <n v="101"/>
    <n v="109.19799999999999"/>
    <n v="105.099"/>
    <n v="819.8"/>
  </r>
  <r>
    <x v="12"/>
    <x v="14"/>
    <x v="2"/>
    <n v="107.637"/>
    <n v="101"/>
    <n v="109.19799999999999"/>
    <n v="105.099"/>
    <n v="819.8"/>
  </r>
  <r>
    <x v="12"/>
    <x v="14"/>
    <x v="2"/>
    <n v="107.637"/>
    <n v="101"/>
    <n v="109.19799999999999"/>
    <n v="105.099"/>
    <n v="819.8"/>
  </r>
  <r>
    <x v="12"/>
    <x v="14"/>
    <x v="2"/>
    <n v="107.637"/>
    <n v="101"/>
    <n v="109.19799999999999"/>
    <n v="105.099"/>
    <n v="819.8"/>
  </r>
  <r>
    <x v="12"/>
    <x v="14"/>
    <x v="2"/>
    <n v="107.637"/>
    <n v="101"/>
    <n v="109.19799999999999"/>
    <n v="105.099"/>
    <n v="819.8"/>
  </r>
  <r>
    <x v="12"/>
    <x v="14"/>
    <x v="2"/>
    <n v="107.637"/>
    <n v="101"/>
    <n v="109.19799999999999"/>
    <n v="105.099"/>
    <n v="819.8"/>
  </r>
  <r>
    <x v="12"/>
    <x v="14"/>
    <x v="2"/>
    <n v="107.637"/>
    <n v="101"/>
    <n v="109.19799999999999"/>
    <n v="105.099"/>
    <n v="819.8"/>
  </r>
  <r>
    <x v="12"/>
    <x v="14"/>
    <x v="2"/>
    <n v="107.637"/>
    <n v="101"/>
    <n v="109.19799999999999"/>
    <n v="105.099"/>
    <n v="819.8"/>
  </r>
  <r>
    <x v="12"/>
    <x v="14"/>
    <x v="2"/>
    <n v="107.637"/>
    <n v="101"/>
    <n v="109.19799999999999"/>
    <n v="105.099"/>
    <n v="819.8"/>
  </r>
  <r>
    <x v="12"/>
    <x v="14"/>
    <x v="2"/>
    <n v="107.637"/>
    <n v="101"/>
    <n v="109.19799999999999"/>
    <n v="105.099"/>
    <n v="819.8"/>
  </r>
  <r>
    <x v="12"/>
    <x v="14"/>
    <x v="2"/>
    <n v="107.637"/>
    <n v="101"/>
    <n v="109.19799999999999"/>
    <n v="105.099"/>
    <n v="819.8"/>
  </r>
  <r>
    <x v="12"/>
    <x v="14"/>
    <x v="2"/>
    <n v="107.637"/>
    <n v="101"/>
    <n v="109.19799999999999"/>
    <n v="105.099"/>
    <n v="819.8"/>
  </r>
  <r>
    <x v="12"/>
    <x v="14"/>
    <x v="2"/>
    <n v="107.637"/>
    <n v="101"/>
    <n v="109.19799999999999"/>
    <n v="105.099"/>
    <n v="819.8"/>
  </r>
  <r>
    <x v="12"/>
    <x v="14"/>
    <x v="2"/>
    <n v="107.637"/>
    <n v="101"/>
    <n v="109.19799999999999"/>
    <n v="105.099"/>
    <n v="819.8"/>
  </r>
  <r>
    <x v="12"/>
    <x v="14"/>
    <x v="2"/>
    <n v="107.637"/>
    <n v="101"/>
    <n v="109.19799999999999"/>
    <n v="105.099"/>
    <n v="819.8"/>
  </r>
  <r>
    <x v="12"/>
    <x v="14"/>
    <x v="2"/>
    <n v="107.637"/>
    <n v="101"/>
    <n v="109.19799999999999"/>
    <n v="105.099"/>
    <n v="819.8"/>
  </r>
  <r>
    <x v="12"/>
    <x v="14"/>
    <x v="2"/>
    <n v="107.637"/>
    <n v="101"/>
    <n v="109.19799999999999"/>
    <n v="105.099"/>
    <n v="819.8"/>
  </r>
  <r>
    <x v="12"/>
    <x v="14"/>
    <x v="2"/>
    <n v="107.637"/>
    <n v="101"/>
    <n v="109.19799999999999"/>
    <n v="105.099"/>
    <n v="819.8"/>
  </r>
  <r>
    <x v="12"/>
    <x v="14"/>
    <x v="2"/>
    <n v="107.637"/>
    <n v="101"/>
    <n v="109.19799999999999"/>
    <n v="105.099"/>
    <n v="819.8"/>
  </r>
  <r>
    <x v="12"/>
    <x v="14"/>
    <x v="2"/>
    <n v="107.637"/>
    <n v="101"/>
    <n v="109.19799999999999"/>
    <n v="105.099"/>
    <n v="819.8"/>
  </r>
  <r>
    <x v="12"/>
    <x v="14"/>
    <x v="2"/>
    <n v="107.637"/>
    <n v="101"/>
    <n v="109.19799999999999"/>
    <n v="105.099"/>
    <n v="819.8"/>
  </r>
  <r>
    <x v="12"/>
    <x v="14"/>
    <x v="2"/>
    <n v="107.637"/>
    <n v="101"/>
    <n v="109.19799999999999"/>
    <n v="105.099"/>
    <n v="819.8"/>
  </r>
  <r>
    <x v="12"/>
    <x v="14"/>
    <x v="14"/>
    <n v="1222.92"/>
    <n v="1219.98"/>
    <n v="1390"/>
    <n v="1304.99"/>
    <n v="1700.2"/>
  </r>
  <r>
    <x v="12"/>
    <x v="14"/>
    <x v="14"/>
    <n v="1222.92"/>
    <n v="1219.98"/>
    <n v="1390"/>
    <n v="1304.99"/>
    <n v="1700.2"/>
  </r>
  <r>
    <x v="12"/>
    <x v="14"/>
    <x v="14"/>
    <n v="1222.92"/>
    <n v="1219.98"/>
    <n v="1390"/>
    <n v="1304.99"/>
    <n v="1700.2"/>
  </r>
  <r>
    <x v="12"/>
    <x v="14"/>
    <x v="14"/>
    <n v="1222.92"/>
    <n v="1219.98"/>
    <n v="1390"/>
    <n v="1304.99"/>
    <n v="1700.2"/>
  </r>
  <r>
    <x v="12"/>
    <x v="14"/>
    <x v="14"/>
    <n v="1222.92"/>
    <n v="1219.98"/>
    <n v="1390"/>
    <n v="1304.99"/>
    <n v="1700.2"/>
  </r>
  <r>
    <x v="12"/>
    <x v="14"/>
    <x v="14"/>
    <n v="1222.92"/>
    <n v="1219.98"/>
    <n v="1390"/>
    <n v="1304.99"/>
    <n v="1700.2"/>
  </r>
  <r>
    <x v="12"/>
    <x v="14"/>
    <x v="14"/>
    <n v="1222.92"/>
    <n v="1219.98"/>
    <n v="1390"/>
    <n v="1304.99"/>
    <n v="1700.2"/>
  </r>
  <r>
    <x v="12"/>
    <x v="14"/>
    <x v="14"/>
    <n v="1222.92"/>
    <n v="1219.98"/>
    <n v="1390"/>
    <n v="1304.99"/>
    <n v="1700.2"/>
  </r>
  <r>
    <x v="12"/>
    <x v="14"/>
    <x v="14"/>
    <n v="1222.92"/>
    <n v="1219.98"/>
    <n v="1390"/>
    <n v="1304.99"/>
    <n v="1700.2"/>
  </r>
  <r>
    <x v="12"/>
    <x v="14"/>
    <x v="14"/>
    <n v="1222.92"/>
    <n v="1219.98"/>
    <n v="1390"/>
    <n v="1304.99"/>
    <n v="1700.2"/>
  </r>
  <r>
    <x v="12"/>
    <x v="14"/>
    <x v="14"/>
    <n v="1222.92"/>
    <n v="1219.98"/>
    <n v="1390"/>
    <n v="1304.99"/>
    <n v="1700.2"/>
  </r>
  <r>
    <x v="12"/>
    <x v="14"/>
    <x v="14"/>
    <n v="1222.92"/>
    <n v="1219.98"/>
    <n v="1390"/>
    <n v="1304.99"/>
    <n v="1700.2"/>
  </r>
  <r>
    <x v="12"/>
    <x v="14"/>
    <x v="14"/>
    <n v="1222.92"/>
    <n v="1219.98"/>
    <n v="1390"/>
    <n v="1304.99"/>
    <n v="1700.2"/>
  </r>
  <r>
    <x v="12"/>
    <x v="14"/>
    <x v="14"/>
    <n v="1222.92"/>
    <n v="1219.98"/>
    <n v="1390"/>
    <n v="1304.99"/>
    <n v="1700.2"/>
  </r>
  <r>
    <x v="12"/>
    <x v="14"/>
    <x v="14"/>
    <n v="1222.92"/>
    <n v="1219.98"/>
    <n v="1390"/>
    <n v="1304.99"/>
    <n v="1700.2"/>
  </r>
  <r>
    <x v="12"/>
    <x v="14"/>
    <x v="14"/>
    <n v="1222.92"/>
    <n v="1219.98"/>
    <n v="1390"/>
    <n v="1304.99"/>
    <n v="1700.2"/>
  </r>
  <r>
    <x v="12"/>
    <x v="14"/>
    <x v="14"/>
    <n v="1222.92"/>
    <n v="1219.98"/>
    <n v="1390"/>
    <n v="1304.99"/>
    <n v="1700.2"/>
  </r>
  <r>
    <x v="12"/>
    <x v="14"/>
    <x v="14"/>
    <n v="1222.92"/>
    <n v="1219.98"/>
    <n v="1390"/>
    <n v="1304.99"/>
    <n v="1700.2"/>
  </r>
  <r>
    <x v="12"/>
    <x v="14"/>
    <x v="14"/>
    <n v="1222.92"/>
    <n v="1219.98"/>
    <n v="1390"/>
    <n v="1304.99"/>
    <n v="1700.2"/>
  </r>
  <r>
    <x v="12"/>
    <x v="14"/>
    <x v="14"/>
    <n v="1222.92"/>
    <n v="1219.98"/>
    <n v="1390"/>
    <n v="1304.99"/>
    <n v="1700.2"/>
  </r>
  <r>
    <x v="12"/>
    <x v="14"/>
    <x v="14"/>
    <n v="1222.92"/>
    <n v="1219.98"/>
    <n v="1390"/>
    <n v="1304.99"/>
    <n v="1700.2"/>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7"/>
    <n v="1.45343"/>
    <n v="1.41971"/>
    <n v="1.554"/>
    <n v="1.486855"/>
    <n v="1342.9"/>
  </r>
  <r>
    <x v="12"/>
    <x v="14"/>
    <x v="0"/>
    <n v="2.0558900000000002"/>
    <n v="1.91"/>
    <n v="2.0576599999999998"/>
    <n v="1.98383"/>
    <n v="1476.6"/>
  </r>
  <r>
    <x v="12"/>
    <x v="14"/>
    <x v="0"/>
    <n v="2.0558900000000002"/>
    <n v="1.91"/>
    <n v="2.0576599999999998"/>
    <n v="1.98383"/>
    <n v="1476.6"/>
  </r>
  <r>
    <x v="12"/>
    <x v="14"/>
    <x v="0"/>
    <n v="2.0558900000000002"/>
    <n v="1.91"/>
    <n v="2.0576599999999998"/>
    <n v="1.98383"/>
    <n v="1476.6"/>
  </r>
  <r>
    <x v="12"/>
    <x v="14"/>
    <x v="0"/>
    <n v="2.0558900000000002"/>
    <n v="1.91"/>
    <n v="2.0576599999999998"/>
    <n v="1.98383"/>
    <n v="1476.6"/>
  </r>
  <r>
    <x v="12"/>
    <x v="15"/>
    <x v="14"/>
    <n v="1237.8800000000001"/>
    <n v="1219.98"/>
    <n v="1390"/>
    <n v="1304.99"/>
    <n v="1700.2"/>
  </r>
  <r>
    <x v="12"/>
    <x v="15"/>
    <x v="14"/>
    <n v="1237.8800000000001"/>
    <n v="1219.98"/>
    <n v="1390"/>
    <n v="1304.99"/>
    <n v="1700.2"/>
  </r>
  <r>
    <x v="12"/>
    <x v="15"/>
    <x v="14"/>
    <n v="1237.8800000000001"/>
    <n v="1219.98"/>
    <n v="1390"/>
    <n v="1304.99"/>
    <n v="1700.2"/>
  </r>
  <r>
    <x v="12"/>
    <x v="15"/>
    <x v="14"/>
    <n v="1237.8800000000001"/>
    <n v="1219.98"/>
    <n v="1390"/>
    <n v="1304.99"/>
    <n v="1700.2"/>
  </r>
  <r>
    <x v="12"/>
    <x v="15"/>
    <x v="14"/>
    <n v="1237.8800000000001"/>
    <n v="1219.98"/>
    <n v="1390"/>
    <n v="1304.99"/>
    <n v="1700.2"/>
  </r>
  <r>
    <x v="12"/>
    <x v="15"/>
    <x v="14"/>
    <n v="1237.8800000000001"/>
    <n v="1219.98"/>
    <n v="1390"/>
    <n v="1304.99"/>
    <n v="1700.2"/>
  </r>
  <r>
    <x v="12"/>
    <x v="15"/>
    <x v="14"/>
    <n v="1237.8800000000001"/>
    <n v="1219.98"/>
    <n v="1390"/>
    <n v="1304.99"/>
    <n v="1700.2"/>
  </r>
  <r>
    <x v="12"/>
    <x v="15"/>
    <x v="14"/>
    <n v="1237.8800000000001"/>
    <n v="1219.98"/>
    <n v="1390"/>
    <n v="1304.99"/>
    <n v="1700.2"/>
  </r>
  <r>
    <x v="12"/>
    <x v="15"/>
    <x v="14"/>
    <n v="1237.8800000000001"/>
    <n v="1219.98"/>
    <n v="1390"/>
    <n v="1304.99"/>
    <n v="1700.2"/>
  </r>
  <r>
    <x v="12"/>
    <x v="15"/>
    <x v="14"/>
    <n v="1237.8800000000001"/>
    <n v="1219.98"/>
    <n v="1390"/>
    <n v="1304.99"/>
    <n v="1700.2"/>
  </r>
  <r>
    <x v="12"/>
    <x v="15"/>
    <x v="14"/>
    <n v="1237.8800000000001"/>
    <n v="1219.98"/>
    <n v="1390"/>
    <n v="1304.99"/>
    <n v="1700.2"/>
  </r>
  <r>
    <x v="12"/>
    <x v="15"/>
    <x v="14"/>
    <n v="1237.8800000000001"/>
    <n v="1219.98"/>
    <n v="1390"/>
    <n v="1304.99"/>
    <n v="1700.2"/>
  </r>
  <r>
    <x v="12"/>
    <x v="15"/>
    <x v="14"/>
    <n v="1237.8800000000001"/>
    <n v="1219.98"/>
    <n v="1390"/>
    <n v="1304.99"/>
    <n v="1700.2"/>
  </r>
  <r>
    <x v="12"/>
    <x v="15"/>
    <x v="14"/>
    <n v="1237.8800000000001"/>
    <n v="1219.98"/>
    <n v="1390"/>
    <n v="1304.99"/>
    <n v="1700.2"/>
  </r>
  <r>
    <x v="12"/>
    <x v="15"/>
    <x v="14"/>
    <n v="1237.8800000000001"/>
    <n v="1219.98"/>
    <n v="1390"/>
    <n v="1304.99"/>
    <n v="1700.2"/>
  </r>
  <r>
    <x v="12"/>
    <x v="15"/>
    <x v="14"/>
    <n v="1237.8800000000001"/>
    <n v="1219.98"/>
    <n v="1390"/>
    <n v="1304.99"/>
    <n v="1700.2"/>
  </r>
  <r>
    <x v="12"/>
    <x v="15"/>
    <x v="14"/>
    <n v="1237.8800000000001"/>
    <n v="1219.98"/>
    <n v="1390"/>
    <n v="1304.99"/>
    <n v="1700.2"/>
  </r>
  <r>
    <x v="12"/>
    <x v="15"/>
    <x v="14"/>
    <n v="1237.8800000000001"/>
    <n v="1219.98"/>
    <n v="1390"/>
    <n v="1304.99"/>
    <n v="1700.2"/>
  </r>
  <r>
    <x v="12"/>
    <x v="15"/>
    <x v="14"/>
    <n v="1237.8800000000001"/>
    <n v="1219.98"/>
    <n v="1390"/>
    <n v="1304.99"/>
    <n v="1700.2"/>
  </r>
  <r>
    <x v="12"/>
    <x v="15"/>
    <x v="14"/>
    <n v="1237.8800000000001"/>
    <n v="1219.98"/>
    <n v="1390"/>
    <n v="1304.99"/>
    <n v="1700.2"/>
  </r>
  <r>
    <x v="12"/>
    <x v="15"/>
    <x v="14"/>
    <n v="1237.8800000000001"/>
    <n v="1219.98"/>
    <n v="1390"/>
    <n v="1304.99"/>
    <n v="1700.2"/>
  </r>
  <r>
    <x v="12"/>
    <x v="15"/>
    <x v="14"/>
    <n v="1237.8800000000001"/>
    <n v="1219.98"/>
    <n v="1390"/>
    <n v="1304.99"/>
    <n v="1700.2"/>
  </r>
  <r>
    <x v="12"/>
    <x v="15"/>
    <x v="14"/>
    <n v="1237.8800000000001"/>
    <n v="1219.98"/>
    <n v="1390"/>
    <n v="1304.99"/>
    <n v="1700.2"/>
  </r>
  <r>
    <x v="12"/>
    <x v="15"/>
    <x v="0"/>
    <n v="2.0294599999999998"/>
    <n v="1.91"/>
    <n v="2.0621200000000002"/>
    <n v="1.9860599999999999"/>
    <n v="1521.2"/>
  </r>
  <r>
    <x v="12"/>
    <x v="15"/>
    <x v="0"/>
    <n v="2.0294599999999998"/>
    <n v="1.91"/>
    <n v="2.0621200000000002"/>
    <n v="1.9860599999999999"/>
    <n v="1521.2"/>
  </r>
  <r>
    <x v="12"/>
    <x v="15"/>
    <x v="0"/>
    <n v="2.0294599999999998"/>
    <n v="1.91"/>
    <n v="2.0621200000000002"/>
    <n v="1.9860599999999999"/>
    <n v="1521.2"/>
  </r>
  <r>
    <x v="12"/>
    <x v="15"/>
    <x v="0"/>
    <n v="2.0294599999999998"/>
    <n v="1.91"/>
    <n v="2.0621200000000002"/>
    <n v="1.9860599999999999"/>
    <n v="1521.2"/>
  </r>
  <r>
    <x v="12"/>
    <x v="15"/>
    <x v="0"/>
    <n v="2.0294599999999998"/>
    <n v="1.91"/>
    <n v="2.0621200000000002"/>
    <n v="1.9860599999999999"/>
    <n v="1521.2"/>
  </r>
  <r>
    <x v="12"/>
    <x v="15"/>
    <x v="0"/>
    <n v="2.0294599999999998"/>
    <n v="1.91"/>
    <n v="2.0621200000000002"/>
    <n v="1.9860599999999999"/>
    <n v="1521.2"/>
  </r>
  <r>
    <x v="12"/>
    <x v="15"/>
    <x v="0"/>
    <n v="2.0294599999999998"/>
    <n v="1.91"/>
    <n v="2.0621200000000002"/>
    <n v="1.9860599999999999"/>
    <n v="1521.2"/>
  </r>
  <r>
    <x v="12"/>
    <x v="15"/>
    <x v="0"/>
    <n v="2.0294599999999998"/>
    <n v="1.91"/>
    <n v="2.0621200000000002"/>
    <n v="1.9860599999999999"/>
    <n v="1521.2"/>
  </r>
  <r>
    <x v="12"/>
    <x v="15"/>
    <x v="0"/>
    <n v="2.0294599999999998"/>
    <n v="1.91"/>
    <n v="2.0621200000000002"/>
    <n v="1.9860599999999999"/>
    <n v="1521.2"/>
  </r>
  <r>
    <x v="12"/>
    <x v="15"/>
    <x v="0"/>
    <n v="2.0294599999999998"/>
    <n v="1.91"/>
    <n v="2.0621200000000002"/>
    <n v="1.9860599999999999"/>
    <n v="1521.2"/>
  </r>
  <r>
    <x v="12"/>
    <x v="15"/>
    <x v="0"/>
    <n v="2.0294599999999998"/>
    <n v="1.91"/>
    <n v="2.0621200000000002"/>
    <n v="1.9860599999999999"/>
    <n v="1521.2"/>
  </r>
  <r>
    <x v="12"/>
    <x v="15"/>
    <x v="0"/>
    <n v="2.0294599999999998"/>
    <n v="1.91"/>
    <n v="2.0621200000000002"/>
    <n v="1.9860599999999999"/>
    <n v="1521.2"/>
  </r>
  <r>
    <x v="12"/>
    <x v="15"/>
    <x v="0"/>
    <n v="2.0294599999999998"/>
    <n v="1.91"/>
    <n v="2.0621200000000002"/>
    <n v="1.9860599999999999"/>
    <n v="1521.2"/>
  </r>
  <r>
    <x v="12"/>
    <x v="15"/>
    <x v="0"/>
    <n v="2.0294599999999998"/>
    <n v="1.91"/>
    <n v="2.0621200000000002"/>
    <n v="1.9860599999999999"/>
    <n v="1521.2"/>
  </r>
  <r>
    <x v="12"/>
    <x v="15"/>
    <x v="0"/>
    <n v="2.0294599999999998"/>
    <n v="1.91"/>
    <n v="2.0621200000000002"/>
    <n v="1.9860599999999999"/>
    <n v="1521.2"/>
  </r>
  <r>
    <x v="12"/>
    <x v="15"/>
    <x v="0"/>
    <n v="2.0294599999999998"/>
    <n v="1.91"/>
    <n v="2.0621200000000002"/>
    <n v="1.9860599999999999"/>
    <n v="1521.2"/>
  </r>
  <r>
    <x v="12"/>
    <x v="15"/>
    <x v="0"/>
    <n v="2.0294599999999998"/>
    <n v="1.91"/>
    <n v="2.0621200000000002"/>
    <n v="1.9860599999999999"/>
    <n v="1521.2"/>
  </r>
  <r>
    <x v="12"/>
    <x v="15"/>
    <x v="0"/>
    <n v="2.0294599999999998"/>
    <n v="1.91"/>
    <n v="2.0621200000000002"/>
    <n v="1.9860599999999999"/>
    <n v="1521.2"/>
  </r>
  <r>
    <x v="12"/>
    <x v="15"/>
    <x v="0"/>
    <n v="2.0294599999999998"/>
    <n v="1.91"/>
    <n v="2.0621200000000002"/>
    <n v="1.9860599999999999"/>
    <n v="1521.2"/>
  </r>
  <r>
    <x v="12"/>
    <x v="15"/>
    <x v="0"/>
    <n v="2.0294599999999998"/>
    <n v="1.91"/>
    <n v="2.0621200000000002"/>
    <n v="1.9860599999999999"/>
    <n v="1521.2"/>
  </r>
  <r>
    <x v="12"/>
    <x v="15"/>
    <x v="0"/>
    <n v="2.0294599999999998"/>
    <n v="1.91"/>
    <n v="2.0621200000000002"/>
    <n v="1.9860599999999999"/>
    <n v="1521.2"/>
  </r>
  <r>
    <x v="12"/>
    <x v="15"/>
    <x v="0"/>
    <n v="2.0294599999999998"/>
    <n v="1.91"/>
    <n v="2.0621200000000002"/>
    <n v="1.9860599999999999"/>
    <n v="1521.2"/>
  </r>
  <r>
    <x v="12"/>
    <x v="15"/>
    <x v="0"/>
    <n v="2.0294599999999998"/>
    <n v="1.91"/>
    <n v="2.0621200000000002"/>
    <n v="1.9860599999999999"/>
    <n v="1521.2"/>
  </r>
  <r>
    <x v="12"/>
    <x v="15"/>
    <x v="0"/>
    <n v="2.0294599999999998"/>
    <n v="1.91"/>
    <n v="2.0621200000000002"/>
    <n v="1.9860599999999999"/>
    <n v="1521.2"/>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2"/>
    <n v="106.87"/>
    <n v="101"/>
    <n v="109.19799999999999"/>
    <n v="105.099"/>
    <n v="819.8"/>
  </r>
  <r>
    <x v="12"/>
    <x v="15"/>
    <x v="14"/>
    <n v="1237.8800000000001"/>
    <n v="1219.98"/>
    <n v="1390"/>
    <n v="1304.99"/>
    <n v="1700.2"/>
  </r>
  <r>
    <x v="12"/>
    <x v="15"/>
    <x v="14"/>
    <n v="1237.8800000000001"/>
    <n v="1219.98"/>
    <n v="1390"/>
    <n v="1304.99"/>
    <n v="1700.2"/>
  </r>
  <r>
    <x v="12"/>
    <x v="15"/>
    <x v="14"/>
    <n v="1237.8800000000001"/>
    <n v="1219.98"/>
    <n v="1390"/>
    <n v="1304.99"/>
    <n v="1700.2"/>
  </r>
  <r>
    <x v="12"/>
    <x v="15"/>
    <x v="14"/>
    <n v="1237.8800000000001"/>
    <n v="1219.98"/>
    <n v="1390"/>
    <n v="1304.99"/>
    <n v="1700.2"/>
  </r>
  <r>
    <x v="12"/>
    <x v="15"/>
    <x v="14"/>
    <n v="1237.8800000000001"/>
    <n v="1219.98"/>
    <n v="1390"/>
    <n v="1304.99"/>
    <n v="1700.2"/>
  </r>
  <r>
    <x v="12"/>
    <x v="15"/>
    <x v="14"/>
    <n v="1237.8800000000001"/>
    <n v="1219.98"/>
    <n v="1390"/>
    <n v="1304.99"/>
    <n v="1700.2"/>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7"/>
    <n v="1.4580200000000001"/>
    <n v="1.41971"/>
    <n v="1.554"/>
    <n v="1.486855"/>
    <n v="1342.9"/>
  </r>
  <r>
    <x v="12"/>
    <x v="15"/>
    <x v="0"/>
    <n v="2.0294599999999998"/>
    <n v="1.91"/>
    <n v="2.0621200000000002"/>
    <n v="1.9860599999999999"/>
    <n v="1521.2"/>
  </r>
  <r>
    <x v="12"/>
    <x v="15"/>
    <x v="0"/>
    <n v="2.0294599999999998"/>
    <n v="1.91"/>
    <n v="2.0621200000000002"/>
    <n v="1.9860599999999999"/>
    <n v="1521.2"/>
  </r>
  <r>
    <x v="12"/>
    <x v="15"/>
    <x v="0"/>
    <n v="2.0294599999999998"/>
    <n v="1.91"/>
    <n v="2.0621200000000002"/>
    <n v="1.9860599999999999"/>
    <n v="1521.2"/>
  </r>
  <r>
    <x v="12"/>
    <x v="15"/>
    <x v="0"/>
    <n v="2.0294599999999998"/>
    <n v="1.91"/>
    <n v="2.0621200000000002"/>
    <n v="1.9860599999999999"/>
    <n v="1521.2"/>
  </r>
  <r>
    <x v="12"/>
    <x v="15"/>
    <x v="0"/>
    <n v="2.0294599999999998"/>
    <n v="1.91"/>
    <n v="2.0621200000000002"/>
    <n v="1.9860599999999999"/>
    <n v="1521.2"/>
  </r>
  <r>
    <x v="12"/>
    <x v="16"/>
    <x v="14"/>
    <n v="1230.68"/>
    <n v="1219.98"/>
    <n v="1390"/>
    <n v="1304.99"/>
    <n v="1700.2"/>
  </r>
  <r>
    <x v="12"/>
    <x v="16"/>
    <x v="14"/>
    <n v="1230.68"/>
    <n v="1219.98"/>
    <n v="1390"/>
    <n v="1304.99"/>
    <n v="1700.2"/>
  </r>
  <r>
    <x v="12"/>
    <x v="16"/>
    <x v="14"/>
    <n v="1230.68"/>
    <n v="1219.98"/>
    <n v="1390"/>
    <n v="1304.99"/>
    <n v="1700.2"/>
  </r>
  <r>
    <x v="12"/>
    <x v="16"/>
    <x v="14"/>
    <n v="1230.68"/>
    <n v="1219.98"/>
    <n v="1390"/>
    <n v="1304.99"/>
    <n v="1700.2"/>
  </r>
  <r>
    <x v="12"/>
    <x v="16"/>
    <x v="14"/>
    <n v="1230.68"/>
    <n v="1219.98"/>
    <n v="1390"/>
    <n v="1304.99"/>
    <n v="1700.2"/>
  </r>
  <r>
    <x v="12"/>
    <x v="16"/>
    <x v="14"/>
    <n v="1230.68"/>
    <n v="1219.98"/>
    <n v="1390"/>
    <n v="1304.99"/>
    <n v="1700.2"/>
  </r>
  <r>
    <x v="12"/>
    <x v="16"/>
    <x v="0"/>
    <n v="2.0467200000000001"/>
    <n v="1.91"/>
    <n v="2.0621200000000002"/>
    <n v="1.9860599999999999"/>
    <n v="1521.2"/>
  </r>
  <r>
    <x v="12"/>
    <x v="16"/>
    <x v="0"/>
    <n v="2.0467200000000001"/>
    <n v="1.91"/>
    <n v="2.0621200000000002"/>
    <n v="1.9860599999999999"/>
    <n v="1521.2"/>
  </r>
  <r>
    <x v="12"/>
    <x v="16"/>
    <x v="0"/>
    <n v="2.0467200000000001"/>
    <n v="1.91"/>
    <n v="2.0621200000000002"/>
    <n v="1.9860599999999999"/>
    <n v="1521.2"/>
  </r>
  <r>
    <x v="12"/>
    <x v="16"/>
    <x v="0"/>
    <n v="2.0467200000000001"/>
    <n v="1.91"/>
    <n v="2.0621200000000002"/>
    <n v="1.9860599999999999"/>
    <n v="1521.2"/>
  </r>
  <r>
    <x v="12"/>
    <x v="16"/>
    <x v="0"/>
    <n v="2.0467200000000001"/>
    <n v="1.91"/>
    <n v="2.0621200000000002"/>
    <n v="1.9860599999999999"/>
    <n v="1521.2"/>
  </r>
  <r>
    <x v="12"/>
    <x v="16"/>
    <x v="0"/>
    <n v="2.0467200000000001"/>
    <n v="1.91"/>
    <n v="2.0621200000000002"/>
    <n v="1.9860599999999999"/>
    <n v="1521.2"/>
  </r>
  <r>
    <x v="12"/>
    <x v="16"/>
    <x v="0"/>
    <n v="2.0467200000000001"/>
    <n v="1.91"/>
    <n v="2.0621200000000002"/>
    <n v="1.9860599999999999"/>
    <n v="1521.2"/>
  </r>
  <r>
    <x v="12"/>
    <x v="16"/>
    <x v="0"/>
    <n v="2.0467200000000001"/>
    <n v="1.91"/>
    <n v="2.0621200000000002"/>
    <n v="1.9860599999999999"/>
    <n v="1521.2"/>
  </r>
  <r>
    <x v="12"/>
    <x v="16"/>
    <x v="0"/>
    <n v="2.0467200000000001"/>
    <n v="1.91"/>
    <n v="2.0621200000000002"/>
    <n v="1.9860599999999999"/>
    <n v="1521.2"/>
  </r>
  <r>
    <x v="12"/>
    <x v="16"/>
    <x v="0"/>
    <n v="2.0467200000000001"/>
    <n v="1.91"/>
    <n v="2.0621200000000002"/>
    <n v="1.9860599999999999"/>
    <n v="1521.2"/>
  </r>
  <r>
    <x v="12"/>
    <x v="16"/>
    <x v="0"/>
    <n v="2.0467200000000001"/>
    <n v="1.91"/>
    <n v="2.0621200000000002"/>
    <n v="1.9860599999999999"/>
    <n v="1521.2"/>
  </r>
  <r>
    <x v="12"/>
    <x v="16"/>
    <x v="0"/>
    <n v="2.0467200000000001"/>
    <n v="1.91"/>
    <n v="2.0621200000000002"/>
    <n v="1.9860599999999999"/>
    <n v="1521.2"/>
  </r>
  <r>
    <x v="12"/>
    <x v="16"/>
    <x v="0"/>
    <n v="2.0467200000000001"/>
    <n v="1.91"/>
    <n v="2.0621200000000002"/>
    <n v="1.9860599999999999"/>
    <n v="1521.2"/>
  </r>
  <r>
    <x v="12"/>
    <x v="16"/>
    <x v="0"/>
    <n v="2.0467200000000001"/>
    <n v="1.91"/>
    <n v="2.0621200000000002"/>
    <n v="1.9860599999999999"/>
    <n v="1521.2"/>
  </r>
  <r>
    <x v="12"/>
    <x v="16"/>
    <x v="2"/>
    <n v="108.14700000000001"/>
    <n v="101"/>
    <n v="109.19799999999999"/>
    <n v="105.099"/>
    <n v="819.8"/>
  </r>
  <r>
    <x v="12"/>
    <x v="16"/>
    <x v="2"/>
    <n v="108.14700000000001"/>
    <n v="101"/>
    <n v="109.19799999999999"/>
    <n v="105.099"/>
    <n v="819.8"/>
  </r>
  <r>
    <x v="12"/>
    <x v="16"/>
    <x v="2"/>
    <n v="108.14700000000001"/>
    <n v="101"/>
    <n v="109.19799999999999"/>
    <n v="105.099"/>
    <n v="819.8"/>
  </r>
  <r>
    <x v="12"/>
    <x v="16"/>
    <x v="2"/>
    <n v="108.14700000000001"/>
    <n v="101"/>
    <n v="109.19799999999999"/>
    <n v="105.099"/>
    <n v="819.8"/>
  </r>
  <r>
    <x v="12"/>
    <x v="16"/>
    <x v="2"/>
    <n v="108.14700000000001"/>
    <n v="101"/>
    <n v="109.19799999999999"/>
    <n v="105.099"/>
    <n v="819.8"/>
  </r>
  <r>
    <x v="12"/>
    <x v="16"/>
    <x v="2"/>
    <n v="108.14700000000001"/>
    <n v="101"/>
    <n v="109.19799999999999"/>
    <n v="105.099"/>
    <n v="819.8"/>
  </r>
  <r>
    <x v="12"/>
    <x v="16"/>
    <x v="2"/>
    <n v="108.14700000000001"/>
    <n v="101"/>
    <n v="109.19799999999999"/>
    <n v="105.099"/>
    <n v="819.8"/>
  </r>
  <r>
    <x v="12"/>
    <x v="16"/>
    <x v="2"/>
    <n v="108.14700000000001"/>
    <n v="101"/>
    <n v="109.19799999999999"/>
    <n v="105.099"/>
    <n v="819.8"/>
  </r>
  <r>
    <x v="12"/>
    <x v="16"/>
    <x v="2"/>
    <n v="108.14700000000001"/>
    <n v="101"/>
    <n v="109.19799999999999"/>
    <n v="105.099"/>
    <n v="819.8"/>
  </r>
  <r>
    <x v="12"/>
    <x v="16"/>
    <x v="2"/>
    <n v="108.14700000000001"/>
    <n v="101"/>
    <n v="109.19799999999999"/>
    <n v="105.099"/>
    <n v="819.8"/>
  </r>
  <r>
    <x v="12"/>
    <x v="16"/>
    <x v="2"/>
    <n v="108.14700000000001"/>
    <n v="101"/>
    <n v="109.19799999999999"/>
    <n v="105.099"/>
    <n v="819.8"/>
  </r>
  <r>
    <x v="12"/>
    <x v="16"/>
    <x v="2"/>
    <n v="108.14700000000001"/>
    <n v="101"/>
    <n v="109.19799999999999"/>
    <n v="105.099"/>
    <n v="819.8"/>
  </r>
  <r>
    <x v="12"/>
    <x v="16"/>
    <x v="2"/>
    <n v="108.14700000000001"/>
    <n v="101"/>
    <n v="109.19799999999999"/>
    <n v="105.099"/>
    <n v="819.8"/>
  </r>
  <r>
    <x v="12"/>
    <x v="16"/>
    <x v="2"/>
    <n v="108.14700000000001"/>
    <n v="101"/>
    <n v="109.19799999999999"/>
    <n v="105.099"/>
    <n v="819.8"/>
  </r>
  <r>
    <x v="12"/>
    <x v="16"/>
    <x v="2"/>
    <n v="108.14700000000001"/>
    <n v="101"/>
    <n v="109.19799999999999"/>
    <n v="105.099"/>
    <n v="819.8"/>
  </r>
  <r>
    <x v="12"/>
    <x v="16"/>
    <x v="2"/>
    <n v="108.14700000000001"/>
    <n v="101"/>
    <n v="109.19799999999999"/>
    <n v="105.099"/>
    <n v="819.8"/>
  </r>
  <r>
    <x v="12"/>
    <x v="16"/>
    <x v="2"/>
    <n v="108.14700000000001"/>
    <n v="101"/>
    <n v="109.19799999999999"/>
    <n v="105.099"/>
    <n v="819.8"/>
  </r>
  <r>
    <x v="12"/>
    <x v="16"/>
    <x v="2"/>
    <n v="108.14700000000001"/>
    <n v="101"/>
    <n v="109.19799999999999"/>
    <n v="105.099"/>
    <n v="819.8"/>
  </r>
  <r>
    <x v="12"/>
    <x v="16"/>
    <x v="2"/>
    <n v="108.14700000000001"/>
    <n v="101"/>
    <n v="109.19799999999999"/>
    <n v="105.099"/>
    <n v="819.8"/>
  </r>
  <r>
    <x v="12"/>
    <x v="16"/>
    <x v="2"/>
    <n v="108.14700000000001"/>
    <n v="101"/>
    <n v="109.19799999999999"/>
    <n v="105.099"/>
    <n v="819.8"/>
  </r>
  <r>
    <x v="12"/>
    <x v="16"/>
    <x v="2"/>
    <n v="108.14700000000001"/>
    <n v="101"/>
    <n v="109.19799999999999"/>
    <n v="105.099"/>
    <n v="819.8"/>
  </r>
  <r>
    <x v="12"/>
    <x v="16"/>
    <x v="2"/>
    <n v="108.14700000000001"/>
    <n v="101"/>
    <n v="109.19799999999999"/>
    <n v="105.099"/>
    <n v="819.8"/>
  </r>
  <r>
    <x v="12"/>
    <x v="16"/>
    <x v="2"/>
    <n v="108.14700000000001"/>
    <n v="101"/>
    <n v="109.19799999999999"/>
    <n v="105.099"/>
    <n v="819.8"/>
  </r>
  <r>
    <x v="12"/>
    <x v="16"/>
    <x v="2"/>
    <n v="108.14700000000001"/>
    <n v="101"/>
    <n v="109.19799999999999"/>
    <n v="105.099"/>
    <n v="819.8"/>
  </r>
  <r>
    <x v="12"/>
    <x v="16"/>
    <x v="2"/>
    <n v="108.14700000000001"/>
    <n v="101"/>
    <n v="109.19799999999999"/>
    <n v="105.099"/>
    <n v="819.8"/>
  </r>
  <r>
    <x v="12"/>
    <x v="16"/>
    <x v="2"/>
    <n v="108.14700000000001"/>
    <n v="101"/>
    <n v="109.19799999999999"/>
    <n v="105.099"/>
    <n v="819.8"/>
  </r>
  <r>
    <x v="12"/>
    <x v="16"/>
    <x v="2"/>
    <n v="108.14700000000001"/>
    <n v="101"/>
    <n v="109.19799999999999"/>
    <n v="105.099"/>
    <n v="819.8"/>
  </r>
  <r>
    <x v="12"/>
    <x v="16"/>
    <x v="2"/>
    <n v="108.14700000000001"/>
    <n v="101"/>
    <n v="109.19799999999999"/>
    <n v="105.099"/>
    <n v="819.8"/>
  </r>
  <r>
    <x v="12"/>
    <x v="16"/>
    <x v="2"/>
    <n v="108.14700000000001"/>
    <n v="101"/>
    <n v="109.19799999999999"/>
    <n v="105.099"/>
    <n v="819.8"/>
  </r>
  <r>
    <x v="12"/>
    <x v="16"/>
    <x v="14"/>
    <n v="1230.68"/>
    <n v="1219.98"/>
    <n v="1390"/>
    <n v="1304.99"/>
    <n v="1700.2"/>
  </r>
  <r>
    <x v="12"/>
    <x v="16"/>
    <x v="14"/>
    <n v="1230.68"/>
    <n v="1219.98"/>
    <n v="1390"/>
    <n v="1304.99"/>
    <n v="1700.2"/>
  </r>
  <r>
    <x v="12"/>
    <x v="16"/>
    <x v="14"/>
    <n v="1230.68"/>
    <n v="1219.98"/>
    <n v="1390"/>
    <n v="1304.99"/>
    <n v="1700.2"/>
  </r>
  <r>
    <x v="12"/>
    <x v="16"/>
    <x v="14"/>
    <n v="1230.68"/>
    <n v="1219.98"/>
    <n v="1390"/>
    <n v="1304.99"/>
    <n v="1700.2"/>
  </r>
  <r>
    <x v="12"/>
    <x v="16"/>
    <x v="14"/>
    <n v="1230.68"/>
    <n v="1219.98"/>
    <n v="1390"/>
    <n v="1304.99"/>
    <n v="1700.2"/>
  </r>
  <r>
    <x v="12"/>
    <x v="16"/>
    <x v="14"/>
    <n v="1230.68"/>
    <n v="1219.98"/>
    <n v="1390"/>
    <n v="1304.99"/>
    <n v="1700.2"/>
  </r>
  <r>
    <x v="12"/>
    <x v="16"/>
    <x v="14"/>
    <n v="1230.68"/>
    <n v="1219.98"/>
    <n v="1390"/>
    <n v="1304.99"/>
    <n v="1700.2"/>
  </r>
  <r>
    <x v="12"/>
    <x v="16"/>
    <x v="14"/>
    <n v="1230.68"/>
    <n v="1219.98"/>
    <n v="1390"/>
    <n v="1304.99"/>
    <n v="1700.2"/>
  </r>
  <r>
    <x v="12"/>
    <x v="16"/>
    <x v="14"/>
    <n v="1230.68"/>
    <n v="1219.98"/>
    <n v="1390"/>
    <n v="1304.99"/>
    <n v="1700.2"/>
  </r>
  <r>
    <x v="12"/>
    <x v="16"/>
    <x v="14"/>
    <n v="1230.68"/>
    <n v="1219.98"/>
    <n v="1390"/>
    <n v="1304.99"/>
    <n v="1700.2"/>
  </r>
  <r>
    <x v="12"/>
    <x v="16"/>
    <x v="14"/>
    <n v="1230.68"/>
    <n v="1219.98"/>
    <n v="1390"/>
    <n v="1304.99"/>
    <n v="1700.2"/>
  </r>
  <r>
    <x v="12"/>
    <x v="16"/>
    <x v="14"/>
    <n v="1230.68"/>
    <n v="1219.98"/>
    <n v="1390"/>
    <n v="1304.99"/>
    <n v="1700.2"/>
  </r>
  <r>
    <x v="12"/>
    <x v="16"/>
    <x v="14"/>
    <n v="1230.68"/>
    <n v="1219.98"/>
    <n v="1390"/>
    <n v="1304.99"/>
    <n v="1700.2"/>
  </r>
  <r>
    <x v="12"/>
    <x v="16"/>
    <x v="14"/>
    <n v="1230.68"/>
    <n v="1219.98"/>
    <n v="1390"/>
    <n v="1304.99"/>
    <n v="1700.2"/>
  </r>
  <r>
    <x v="12"/>
    <x v="16"/>
    <x v="14"/>
    <n v="1230.68"/>
    <n v="1219.98"/>
    <n v="1390"/>
    <n v="1304.99"/>
    <n v="1700.2"/>
  </r>
  <r>
    <x v="12"/>
    <x v="16"/>
    <x v="14"/>
    <n v="1230.68"/>
    <n v="1219.98"/>
    <n v="1390"/>
    <n v="1304.99"/>
    <n v="1700.2"/>
  </r>
  <r>
    <x v="12"/>
    <x v="16"/>
    <x v="14"/>
    <n v="1230.68"/>
    <n v="1219.98"/>
    <n v="1390"/>
    <n v="1304.99"/>
    <n v="1700.2"/>
  </r>
  <r>
    <x v="12"/>
    <x v="16"/>
    <x v="14"/>
    <n v="1230.68"/>
    <n v="1219.98"/>
    <n v="1390"/>
    <n v="1304.99"/>
    <n v="1700.2"/>
  </r>
  <r>
    <x v="12"/>
    <x v="16"/>
    <x v="14"/>
    <n v="1230.68"/>
    <n v="1219.98"/>
    <n v="1390"/>
    <n v="1304.99"/>
    <n v="1700.2"/>
  </r>
  <r>
    <x v="12"/>
    <x v="16"/>
    <x v="14"/>
    <n v="1230.68"/>
    <n v="1219.98"/>
    <n v="1390"/>
    <n v="1304.99"/>
    <n v="1700.2"/>
  </r>
  <r>
    <x v="12"/>
    <x v="16"/>
    <x v="14"/>
    <n v="1230.68"/>
    <n v="1219.98"/>
    <n v="1390"/>
    <n v="1304.99"/>
    <n v="1700.2"/>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7"/>
    <n v="1.44045"/>
    <n v="1.41971"/>
    <n v="1.554"/>
    <n v="1.486855"/>
    <n v="1342.9"/>
  </r>
  <r>
    <x v="12"/>
    <x v="16"/>
    <x v="0"/>
    <n v="2.0467200000000001"/>
    <n v="1.91"/>
    <n v="2.0621200000000002"/>
    <n v="1.9860599999999999"/>
    <n v="1521.2"/>
  </r>
  <r>
    <x v="12"/>
    <x v="16"/>
    <x v="0"/>
    <n v="2.0467200000000001"/>
    <n v="1.91"/>
    <n v="2.0621200000000002"/>
    <n v="1.9860599999999999"/>
    <n v="1521.2"/>
  </r>
  <r>
    <x v="12"/>
    <x v="16"/>
    <x v="0"/>
    <n v="2.0467200000000001"/>
    <n v="1.91"/>
    <n v="2.0621200000000002"/>
    <n v="1.9860599999999999"/>
    <n v="1521.2"/>
  </r>
  <r>
    <x v="12"/>
    <x v="16"/>
    <x v="0"/>
    <n v="2.0467200000000001"/>
    <n v="1.91"/>
    <n v="2.0621200000000002"/>
    <n v="1.9860599999999999"/>
    <n v="1521.2"/>
  </r>
  <r>
    <x v="12"/>
    <x v="16"/>
    <x v="0"/>
    <n v="2.0467200000000001"/>
    <n v="1.91"/>
    <n v="2.0621200000000002"/>
    <n v="1.9860599999999999"/>
    <n v="1521.2"/>
  </r>
  <r>
    <x v="12"/>
    <x v="16"/>
    <x v="0"/>
    <n v="2.0467200000000001"/>
    <n v="1.91"/>
    <n v="2.0621200000000002"/>
    <n v="1.9860599999999999"/>
    <n v="1521.2"/>
  </r>
  <r>
    <x v="12"/>
    <x v="16"/>
    <x v="0"/>
    <n v="2.0467200000000001"/>
    <n v="1.91"/>
    <n v="2.0621200000000002"/>
    <n v="1.9860599999999999"/>
    <n v="1521.2"/>
  </r>
  <r>
    <x v="12"/>
    <x v="16"/>
    <x v="0"/>
    <n v="2.0467200000000001"/>
    <n v="1.91"/>
    <n v="2.0621200000000002"/>
    <n v="1.9860599999999999"/>
    <n v="1521.2"/>
  </r>
  <r>
    <x v="12"/>
    <x v="16"/>
    <x v="0"/>
    <n v="2.0467200000000001"/>
    <n v="1.91"/>
    <n v="2.0621200000000002"/>
    <n v="1.9860599999999999"/>
    <n v="1521.2"/>
  </r>
  <r>
    <x v="12"/>
    <x v="16"/>
    <x v="0"/>
    <n v="2.0467200000000001"/>
    <n v="1.91"/>
    <n v="2.0621200000000002"/>
    <n v="1.9860599999999999"/>
    <n v="1521.2"/>
  </r>
  <r>
    <x v="12"/>
    <x v="17"/>
    <x v="0"/>
    <n v="2.0505"/>
    <n v="1.91"/>
    <n v="2.0621200000000002"/>
    <n v="1.9860599999999999"/>
    <n v="1521.2"/>
  </r>
  <r>
    <x v="12"/>
    <x v="17"/>
    <x v="0"/>
    <n v="2.0505"/>
    <n v="1.91"/>
    <n v="2.0621200000000002"/>
    <n v="1.9860599999999999"/>
    <n v="1521.2"/>
  </r>
  <r>
    <x v="12"/>
    <x v="17"/>
    <x v="0"/>
    <n v="2.0505"/>
    <n v="1.91"/>
    <n v="2.0621200000000002"/>
    <n v="1.9860599999999999"/>
    <n v="1521.2"/>
  </r>
  <r>
    <x v="12"/>
    <x v="17"/>
    <x v="0"/>
    <n v="2.0505"/>
    <n v="1.91"/>
    <n v="2.0621200000000002"/>
    <n v="1.9860599999999999"/>
    <n v="1521.2"/>
  </r>
  <r>
    <x v="12"/>
    <x v="17"/>
    <x v="0"/>
    <n v="2.0505"/>
    <n v="1.91"/>
    <n v="2.0621200000000002"/>
    <n v="1.9860599999999999"/>
    <n v="1521.2"/>
  </r>
  <r>
    <x v="12"/>
    <x v="17"/>
    <x v="0"/>
    <n v="2.0505"/>
    <n v="1.91"/>
    <n v="2.0621200000000002"/>
    <n v="1.9860599999999999"/>
    <n v="1521.2"/>
  </r>
  <r>
    <x v="12"/>
    <x v="17"/>
    <x v="0"/>
    <n v="2.0505"/>
    <n v="1.91"/>
    <n v="2.0621200000000002"/>
    <n v="1.9860599999999999"/>
    <n v="1521.2"/>
  </r>
  <r>
    <x v="12"/>
    <x v="17"/>
    <x v="2"/>
    <n v="112.30800000000001"/>
    <n v="101"/>
    <n v="109.19799999999999"/>
    <n v="105.099"/>
    <n v="819.8"/>
  </r>
  <r>
    <x v="12"/>
    <x v="17"/>
    <x v="2"/>
    <n v="112.30800000000001"/>
    <n v="101"/>
    <n v="109.19799999999999"/>
    <n v="105.099"/>
    <n v="819.8"/>
  </r>
  <r>
    <x v="12"/>
    <x v="17"/>
    <x v="2"/>
    <n v="112.30800000000001"/>
    <n v="101"/>
    <n v="109.19799999999999"/>
    <n v="105.099"/>
    <n v="819.8"/>
  </r>
  <r>
    <x v="12"/>
    <x v="17"/>
    <x v="2"/>
    <n v="112.30800000000001"/>
    <n v="101"/>
    <n v="109.19799999999999"/>
    <n v="105.099"/>
    <n v="819.8"/>
  </r>
  <r>
    <x v="12"/>
    <x v="17"/>
    <x v="2"/>
    <n v="112.30800000000001"/>
    <n v="101"/>
    <n v="109.19799999999999"/>
    <n v="105.099"/>
    <n v="819.8"/>
  </r>
  <r>
    <x v="12"/>
    <x v="17"/>
    <x v="2"/>
    <n v="112.30800000000001"/>
    <n v="101"/>
    <n v="109.19799999999999"/>
    <n v="105.099"/>
    <n v="819.8"/>
  </r>
  <r>
    <x v="12"/>
    <x v="17"/>
    <x v="2"/>
    <n v="112.30800000000001"/>
    <n v="101"/>
    <n v="109.19799999999999"/>
    <n v="105.099"/>
    <n v="819.8"/>
  </r>
  <r>
    <x v="12"/>
    <x v="17"/>
    <x v="2"/>
    <n v="112.30800000000001"/>
    <n v="101"/>
    <n v="109.19799999999999"/>
    <n v="105.099"/>
    <n v="819.8"/>
  </r>
  <r>
    <x v="12"/>
    <x v="17"/>
    <x v="2"/>
    <n v="112.30800000000001"/>
    <n v="101"/>
    <n v="109.19799999999999"/>
    <n v="105.099"/>
    <n v="819.8"/>
  </r>
  <r>
    <x v="12"/>
    <x v="17"/>
    <x v="2"/>
    <n v="112.30800000000001"/>
    <n v="101"/>
    <n v="109.19799999999999"/>
    <n v="105.099"/>
    <n v="819.8"/>
  </r>
  <r>
    <x v="12"/>
    <x v="17"/>
    <x v="2"/>
    <n v="112.30800000000001"/>
    <n v="101"/>
    <n v="109.19799999999999"/>
    <n v="105.099"/>
    <n v="819.8"/>
  </r>
  <r>
    <x v="12"/>
    <x v="17"/>
    <x v="2"/>
    <n v="112.30800000000001"/>
    <n v="101"/>
    <n v="109.19799999999999"/>
    <n v="105.099"/>
    <n v="819.8"/>
  </r>
  <r>
    <x v="12"/>
    <x v="17"/>
    <x v="2"/>
    <n v="112.30800000000001"/>
    <n v="101"/>
    <n v="109.19799999999999"/>
    <n v="105.099"/>
    <n v="819.8"/>
  </r>
  <r>
    <x v="12"/>
    <x v="17"/>
    <x v="2"/>
    <n v="112.30800000000001"/>
    <n v="101"/>
    <n v="109.19799999999999"/>
    <n v="105.099"/>
    <n v="819.8"/>
  </r>
  <r>
    <x v="12"/>
    <x v="17"/>
    <x v="2"/>
    <n v="112.30800000000001"/>
    <n v="101"/>
    <n v="109.19799999999999"/>
    <n v="105.099"/>
    <n v="819.8"/>
  </r>
  <r>
    <x v="12"/>
    <x v="17"/>
    <x v="2"/>
    <n v="112.30800000000001"/>
    <n v="101"/>
    <n v="109.19799999999999"/>
    <n v="105.099"/>
    <n v="819.8"/>
  </r>
  <r>
    <x v="12"/>
    <x v="17"/>
    <x v="2"/>
    <n v="112.30800000000001"/>
    <n v="101"/>
    <n v="109.19799999999999"/>
    <n v="105.099"/>
    <n v="819.8"/>
  </r>
  <r>
    <x v="12"/>
    <x v="17"/>
    <x v="2"/>
    <n v="112.30800000000001"/>
    <n v="101"/>
    <n v="109.19799999999999"/>
    <n v="105.099"/>
    <n v="819.8"/>
  </r>
  <r>
    <x v="12"/>
    <x v="17"/>
    <x v="2"/>
    <n v="112.30800000000001"/>
    <n v="101"/>
    <n v="109.19799999999999"/>
    <n v="105.099"/>
    <n v="819.8"/>
  </r>
  <r>
    <x v="12"/>
    <x v="17"/>
    <x v="2"/>
    <n v="112.30800000000001"/>
    <n v="101"/>
    <n v="109.19799999999999"/>
    <n v="105.099"/>
    <n v="819.8"/>
  </r>
  <r>
    <x v="12"/>
    <x v="17"/>
    <x v="2"/>
    <n v="112.30800000000001"/>
    <n v="101"/>
    <n v="109.19799999999999"/>
    <n v="105.099"/>
    <n v="819.8"/>
  </r>
  <r>
    <x v="12"/>
    <x v="17"/>
    <x v="2"/>
    <n v="112.30800000000001"/>
    <n v="101"/>
    <n v="109.19799999999999"/>
    <n v="105.099"/>
    <n v="819.8"/>
  </r>
  <r>
    <x v="12"/>
    <x v="17"/>
    <x v="2"/>
    <n v="112.30800000000001"/>
    <n v="101"/>
    <n v="109.19799999999999"/>
    <n v="105.099"/>
    <n v="819.8"/>
  </r>
  <r>
    <x v="12"/>
    <x v="17"/>
    <x v="2"/>
    <n v="112.30800000000001"/>
    <n v="101"/>
    <n v="109.19799999999999"/>
    <n v="105.099"/>
    <n v="819.8"/>
  </r>
  <r>
    <x v="12"/>
    <x v="17"/>
    <x v="2"/>
    <n v="112.30800000000001"/>
    <n v="101"/>
    <n v="109.19799999999999"/>
    <n v="105.099"/>
    <n v="819.8"/>
  </r>
  <r>
    <x v="12"/>
    <x v="17"/>
    <x v="2"/>
    <n v="112.30800000000001"/>
    <n v="101"/>
    <n v="109.19799999999999"/>
    <n v="105.099"/>
    <n v="819.8"/>
  </r>
  <r>
    <x v="12"/>
    <x v="17"/>
    <x v="2"/>
    <n v="112.30800000000001"/>
    <n v="101"/>
    <n v="109.19799999999999"/>
    <n v="105.099"/>
    <n v="819.8"/>
  </r>
  <r>
    <x v="12"/>
    <x v="17"/>
    <x v="2"/>
    <n v="112.30800000000001"/>
    <n v="101"/>
    <n v="109.19799999999999"/>
    <n v="105.099"/>
    <n v="819.8"/>
  </r>
  <r>
    <x v="12"/>
    <x v="17"/>
    <x v="2"/>
    <n v="112.30800000000001"/>
    <n v="101"/>
    <n v="109.19799999999999"/>
    <n v="105.099"/>
    <n v="819.8"/>
  </r>
  <r>
    <x v="12"/>
    <x v="17"/>
    <x v="14"/>
    <n v="1172.52"/>
    <n v="1219.98"/>
    <n v="1390"/>
    <n v="1304.99"/>
    <n v="1700.2"/>
  </r>
  <r>
    <x v="12"/>
    <x v="17"/>
    <x v="14"/>
    <n v="1172.52"/>
    <n v="1219.98"/>
    <n v="1390"/>
    <n v="1304.99"/>
    <n v="1700.2"/>
  </r>
  <r>
    <x v="12"/>
    <x v="17"/>
    <x v="14"/>
    <n v="1172.52"/>
    <n v="1219.98"/>
    <n v="1390"/>
    <n v="1304.99"/>
    <n v="1700.2"/>
  </r>
  <r>
    <x v="12"/>
    <x v="17"/>
    <x v="14"/>
    <n v="1172.52"/>
    <n v="1219.98"/>
    <n v="1390"/>
    <n v="1304.99"/>
    <n v="1700.2"/>
  </r>
  <r>
    <x v="12"/>
    <x v="17"/>
    <x v="14"/>
    <n v="1172.52"/>
    <n v="1219.98"/>
    <n v="1390"/>
    <n v="1304.99"/>
    <n v="1700.2"/>
  </r>
  <r>
    <x v="12"/>
    <x v="17"/>
    <x v="14"/>
    <n v="1172.52"/>
    <n v="1219.98"/>
    <n v="1390"/>
    <n v="1304.99"/>
    <n v="1700.2"/>
  </r>
  <r>
    <x v="12"/>
    <x v="17"/>
    <x v="14"/>
    <n v="1172.52"/>
    <n v="1219.98"/>
    <n v="1390"/>
    <n v="1304.99"/>
    <n v="1700.2"/>
  </r>
  <r>
    <x v="12"/>
    <x v="17"/>
    <x v="14"/>
    <n v="1172.52"/>
    <n v="1219.98"/>
    <n v="1390"/>
    <n v="1304.99"/>
    <n v="1700.2"/>
  </r>
  <r>
    <x v="12"/>
    <x v="17"/>
    <x v="14"/>
    <n v="1172.52"/>
    <n v="1219.98"/>
    <n v="1390"/>
    <n v="1304.99"/>
    <n v="1700.2"/>
  </r>
  <r>
    <x v="12"/>
    <x v="17"/>
    <x v="14"/>
    <n v="1172.52"/>
    <n v="1219.98"/>
    <n v="1390"/>
    <n v="1304.99"/>
    <n v="1700.2"/>
  </r>
  <r>
    <x v="12"/>
    <x v="17"/>
    <x v="14"/>
    <n v="1172.52"/>
    <n v="1219.98"/>
    <n v="1390"/>
    <n v="1304.99"/>
    <n v="1700.2"/>
  </r>
  <r>
    <x v="12"/>
    <x v="17"/>
    <x v="14"/>
    <n v="1172.52"/>
    <n v="1219.98"/>
    <n v="1390"/>
    <n v="1304.99"/>
    <n v="1700.2"/>
  </r>
  <r>
    <x v="12"/>
    <x v="17"/>
    <x v="14"/>
    <n v="1172.52"/>
    <n v="1219.98"/>
    <n v="1390"/>
    <n v="1304.99"/>
    <n v="1700.2"/>
  </r>
  <r>
    <x v="12"/>
    <x v="17"/>
    <x v="14"/>
    <n v="1172.52"/>
    <n v="1219.98"/>
    <n v="1390"/>
    <n v="1304.99"/>
    <n v="1700.2"/>
  </r>
  <r>
    <x v="12"/>
    <x v="17"/>
    <x v="14"/>
    <n v="1172.52"/>
    <n v="1219.98"/>
    <n v="1390"/>
    <n v="1304.99"/>
    <n v="1700.2"/>
  </r>
  <r>
    <x v="12"/>
    <x v="17"/>
    <x v="14"/>
    <n v="1172.52"/>
    <n v="1219.98"/>
    <n v="1390"/>
    <n v="1304.99"/>
    <n v="1700.2"/>
  </r>
  <r>
    <x v="12"/>
    <x v="17"/>
    <x v="14"/>
    <n v="1172.52"/>
    <n v="1219.98"/>
    <n v="1390"/>
    <n v="1304.99"/>
    <n v="1700.2"/>
  </r>
  <r>
    <x v="12"/>
    <x v="17"/>
    <x v="14"/>
    <n v="1172.52"/>
    <n v="1219.98"/>
    <n v="1390"/>
    <n v="1304.99"/>
    <n v="1700.2"/>
  </r>
  <r>
    <x v="12"/>
    <x v="17"/>
    <x v="14"/>
    <n v="1172.52"/>
    <n v="1219.98"/>
    <n v="1390"/>
    <n v="1304.99"/>
    <n v="1700.2"/>
  </r>
  <r>
    <x v="12"/>
    <x v="17"/>
    <x v="14"/>
    <n v="1172.52"/>
    <n v="1219.98"/>
    <n v="1390"/>
    <n v="1304.99"/>
    <n v="1700.2"/>
  </r>
  <r>
    <x v="12"/>
    <x v="17"/>
    <x v="14"/>
    <n v="1172.52"/>
    <n v="1219.98"/>
    <n v="1390"/>
    <n v="1304.99"/>
    <n v="1700.2"/>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7"/>
    <n v="1.4227000000000001"/>
    <n v="1.41971"/>
    <n v="1.554"/>
    <n v="1.486855"/>
    <n v="1342.9"/>
  </r>
  <r>
    <x v="12"/>
    <x v="17"/>
    <x v="0"/>
    <n v="2.0505"/>
    <n v="1.91"/>
    <n v="2.0621200000000002"/>
    <n v="1.9860599999999999"/>
    <n v="1521.2"/>
  </r>
  <r>
    <x v="12"/>
    <x v="17"/>
    <x v="0"/>
    <n v="2.0505"/>
    <n v="1.91"/>
    <n v="2.0621200000000002"/>
    <n v="1.9860599999999999"/>
    <n v="1521.2"/>
  </r>
  <r>
    <x v="12"/>
    <x v="17"/>
    <x v="0"/>
    <n v="2.0505"/>
    <n v="1.91"/>
    <n v="2.0621200000000002"/>
    <n v="1.9860599999999999"/>
    <n v="1521.2"/>
  </r>
  <r>
    <x v="12"/>
    <x v="17"/>
    <x v="0"/>
    <n v="2.0505"/>
    <n v="1.91"/>
    <n v="2.0621200000000002"/>
    <n v="1.9860599999999999"/>
    <n v="1521.2"/>
  </r>
  <r>
    <x v="12"/>
    <x v="17"/>
    <x v="0"/>
    <n v="2.0505"/>
    <n v="1.91"/>
    <n v="2.0621200000000002"/>
    <n v="1.9860599999999999"/>
    <n v="1521.2"/>
  </r>
  <r>
    <x v="12"/>
    <x v="17"/>
    <x v="0"/>
    <n v="2.0505"/>
    <n v="1.91"/>
    <n v="2.0621200000000002"/>
    <n v="1.9860599999999999"/>
    <n v="1521.2"/>
  </r>
  <r>
    <x v="12"/>
    <x v="17"/>
    <x v="0"/>
    <n v="2.0505"/>
    <n v="1.91"/>
    <n v="2.0621200000000002"/>
    <n v="1.9860599999999999"/>
    <n v="1521.2"/>
  </r>
  <r>
    <x v="12"/>
    <x v="17"/>
    <x v="0"/>
    <n v="2.0505"/>
    <n v="1.91"/>
    <n v="2.0621200000000002"/>
    <n v="1.9860599999999999"/>
    <n v="1521.2"/>
  </r>
  <r>
    <x v="12"/>
    <x v="17"/>
    <x v="0"/>
    <n v="2.0505"/>
    <n v="1.91"/>
    <n v="2.0621200000000002"/>
    <n v="1.9860599999999999"/>
    <n v="1521.2"/>
  </r>
  <r>
    <x v="12"/>
    <x v="17"/>
    <x v="0"/>
    <n v="2.0505"/>
    <n v="1.91"/>
    <n v="2.0621200000000002"/>
    <n v="1.9860599999999999"/>
    <n v="1521.2"/>
  </r>
  <r>
    <x v="12"/>
    <x v="17"/>
    <x v="0"/>
    <n v="2.0505"/>
    <n v="1.91"/>
    <n v="2.0621200000000002"/>
    <n v="1.9860599999999999"/>
    <n v="1521.2"/>
  </r>
  <r>
    <x v="12"/>
    <x v="18"/>
    <x v="0"/>
    <n v="2.04481"/>
    <n v="1.91"/>
    <n v="2.0621200000000002"/>
    <n v="1.9860599999999999"/>
    <n v="1521.2"/>
  </r>
  <r>
    <x v="12"/>
    <x v="18"/>
    <x v="2"/>
    <n v="114.58"/>
    <n v="101"/>
    <n v="109.19799999999999"/>
    <n v="105.099"/>
    <n v="819.8"/>
  </r>
  <r>
    <x v="12"/>
    <x v="18"/>
    <x v="2"/>
    <n v="114.58"/>
    <n v="101"/>
    <n v="109.19799999999999"/>
    <n v="105.099"/>
    <n v="819.8"/>
  </r>
  <r>
    <x v="12"/>
    <x v="18"/>
    <x v="2"/>
    <n v="114.58"/>
    <n v="101"/>
    <n v="109.19799999999999"/>
    <n v="105.099"/>
    <n v="819.8"/>
  </r>
  <r>
    <x v="12"/>
    <x v="18"/>
    <x v="2"/>
    <n v="114.58"/>
    <n v="101"/>
    <n v="109.19799999999999"/>
    <n v="105.099"/>
    <n v="819.8"/>
  </r>
  <r>
    <x v="12"/>
    <x v="18"/>
    <x v="2"/>
    <n v="114.58"/>
    <n v="101"/>
    <n v="109.19799999999999"/>
    <n v="105.099"/>
    <n v="819.8"/>
  </r>
  <r>
    <x v="12"/>
    <x v="18"/>
    <x v="2"/>
    <n v="114.58"/>
    <n v="101"/>
    <n v="109.19799999999999"/>
    <n v="105.099"/>
    <n v="819.8"/>
  </r>
  <r>
    <x v="12"/>
    <x v="18"/>
    <x v="2"/>
    <n v="114.58"/>
    <n v="101"/>
    <n v="109.19799999999999"/>
    <n v="105.099"/>
    <n v="819.8"/>
  </r>
  <r>
    <x v="12"/>
    <x v="18"/>
    <x v="2"/>
    <n v="114.58"/>
    <n v="101"/>
    <n v="109.19799999999999"/>
    <n v="105.099"/>
    <n v="819.8"/>
  </r>
  <r>
    <x v="12"/>
    <x v="18"/>
    <x v="2"/>
    <n v="114.58"/>
    <n v="101"/>
    <n v="109.19799999999999"/>
    <n v="105.099"/>
    <n v="819.8"/>
  </r>
  <r>
    <x v="12"/>
    <x v="18"/>
    <x v="2"/>
    <n v="114.58"/>
    <n v="101"/>
    <n v="109.19799999999999"/>
    <n v="105.099"/>
    <n v="819.8"/>
  </r>
  <r>
    <x v="12"/>
    <x v="18"/>
    <x v="2"/>
    <n v="114.58"/>
    <n v="101"/>
    <n v="109.19799999999999"/>
    <n v="105.099"/>
    <n v="819.8"/>
  </r>
  <r>
    <x v="12"/>
    <x v="18"/>
    <x v="2"/>
    <n v="114.58"/>
    <n v="101"/>
    <n v="109.19799999999999"/>
    <n v="105.099"/>
    <n v="819.8"/>
  </r>
  <r>
    <x v="12"/>
    <x v="18"/>
    <x v="2"/>
    <n v="114.58"/>
    <n v="101"/>
    <n v="109.19799999999999"/>
    <n v="105.099"/>
    <n v="819.8"/>
  </r>
  <r>
    <x v="12"/>
    <x v="18"/>
    <x v="2"/>
    <n v="114.58"/>
    <n v="101"/>
    <n v="109.19799999999999"/>
    <n v="105.099"/>
    <n v="819.8"/>
  </r>
  <r>
    <x v="12"/>
    <x v="18"/>
    <x v="2"/>
    <n v="114.58"/>
    <n v="101"/>
    <n v="109.19799999999999"/>
    <n v="105.099"/>
    <n v="819.8"/>
  </r>
  <r>
    <x v="12"/>
    <x v="18"/>
    <x v="2"/>
    <n v="114.58"/>
    <n v="101"/>
    <n v="109.19799999999999"/>
    <n v="105.099"/>
    <n v="819.8"/>
  </r>
  <r>
    <x v="12"/>
    <x v="18"/>
    <x v="2"/>
    <n v="114.58"/>
    <n v="101"/>
    <n v="109.19799999999999"/>
    <n v="105.099"/>
    <n v="819.8"/>
  </r>
  <r>
    <x v="12"/>
    <x v="18"/>
    <x v="2"/>
    <n v="114.58"/>
    <n v="101"/>
    <n v="109.19799999999999"/>
    <n v="105.099"/>
    <n v="819.8"/>
  </r>
  <r>
    <x v="12"/>
    <x v="18"/>
    <x v="2"/>
    <n v="114.58"/>
    <n v="101"/>
    <n v="109.19799999999999"/>
    <n v="105.099"/>
    <n v="819.8"/>
  </r>
  <r>
    <x v="12"/>
    <x v="18"/>
    <x v="2"/>
    <n v="114.58"/>
    <n v="101"/>
    <n v="109.19799999999999"/>
    <n v="105.099"/>
    <n v="819.8"/>
  </r>
  <r>
    <x v="12"/>
    <x v="18"/>
    <x v="2"/>
    <n v="114.58"/>
    <n v="101"/>
    <n v="109.19799999999999"/>
    <n v="105.099"/>
    <n v="819.8"/>
  </r>
  <r>
    <x v="12"/>
    <x v="18"/>
    <x v="2"/>
    <n v="114.58"/>
    <n v="101"/>
    <n v="109.19799999999999"/>
    <n v="105.099"/>
    <n v="819.8"/>
  </r>
  <r>
    <x v="12"/>
    <x v="18"/>
    <x v="2"/>
    <n v="114.58"/>
    <n v="101"/>
    <n v="109.19799999999999"/>
    <n v="105.099"/>
    <n v="819.8"/>
  </r>
  <r>
    <x v="12"/>
    <x v="18"/>
    <x v="2"/>
    <n v="114.58"/>
    <n v="101"/>
    <n v="109.19799999999999"/>
    <n v="105.099"/>
    <n v="819.8"/>
  </r>
  <r>
    <x v="12"/>
    <x v="18"/>
    <x v="2"/>
    <n v="114.58"/>
    <n v="101"/>
    <n v="109.19799999999999"/>
    <n v="105.099"/>
    <n v="819.8"/>
  </r>
  <r>
    <x v="12"/>
    <x v="18"/>
    <x v="2"/>
    <n v="114.58"/>
    <n v="101"/>
    <n v="109.19799999999999"/>
    <n v="105.099"/>
    <n v="819.8"/>
  </r>
  <r>
    <x v="12"/>
    <x v="18"/>
    <x v="2"/>
    <n v="114.58"/>
    <n v="101"/>
    <n v="109.19799999999999"/>
    <n v="105.099"/>
    <n v="819.8"/>
  </r>
  <r>
    <x v="12"/>
    <x v="18"/>
    <x v="2"/>
    <n v="114.58"/>
    <n v="101"/>
    <n v="109.19799999999999"/>
    <n v="105.099"/>
    <n v="819.8"/>
  </r>
  <r>
    <x v="12"/>
    <x v="18"/>
    <x v="2"/>
    <n v="114.58"/>
    <n v="101"/>
    <n v="109.19799999999999"/>
    <n v="105.099"/>
    <n v="819.8"/>
  </r>
  <r>
    <x v="12"/>
    <x v="18"/>
    <x v="14"/>
    <n v="1177.82"/>
    <n v="1219.98"/>
    <n v="1390"/>
    <n v="1304.99"/>
    <n v="1700.2"/>
  </r>
  <r>
    <x v="12"/>
    <x v="18"/>
    <x v="14"/>
    <n v="1177.82"/>
    <n v="1219.98"/>
    <n v="1390"/>
    <n v="1304.99"/>
    <n v="1700.2"/>
  </r>
  <r>
    <x v="12"/>
    <x v="18"/>
    <x v="14"/>
    <n v="1177.82"/>
    <n v="1219.98"/>
    <n v="1390"/>
    <n v="1304.99"/>
    <n v="1700.2"/>
  </r>
  <r>
    <x v="12"/>
    <x v="18"/>
    <x v="14"/>
    <n v="1177.82"/>
    <n v="1219.98"/>
    <n v="1390"/>
    <n v="1304.99"/>
    <n v="1700.2"/>
  </r>
  <r>
    <x v="12"/>
    <x v="18"/>
    <x v="14"/>
    <n v="1177.82"/>
    <n v="1219.98"/>
    <n v="1390"/>
    <n v="1304.99"/>
    <n v="1700.2"/>
  </r>
  <r>
    <x v="12"/>
    <x v="18"/>
    <x v="14"/>
    <n v="1177.82"/>
    <n v="1219.98"/>
    <n v="1390"/>
    <n v="1304.99"/>
    <n v="1700.2"/>
  </r>
  <r>
    <x v="12"/>
    <x v="18"/>
    <x v="14"/>
    <n v="1177.82"/>
    <n v="1219.98"/>
    <n v="1390"/>
    <n v="1304.99"/>
    <n v="1700.2"/>
  </r>
  <r>
    <x v="12"/>
    <x v="18"/>
    <x v="14"/>
    <n v="1177.82"/>
    <n v="1219.98"/>
    <n v="1390"/>
    <n v="1304.99"/>
    <n v="1700.2"/>
  </r>
  <r>
    <x v="12"/>
    <x v="18"/>
    <x v="14"/>
    <n v="1177.82"/>
    <n v="1219.98"/>
    <n v="1390"/>
    <n v="1304.99"/>
    <n v="1700.2"/>
  </r>
  <r>
    <x v="12"/>
    <x v="18"/>
    <x v="14"/>
    <n v="1177.82"/>
    <n v="1219.98"/>
    <n v="1390"/>
    <n v="1304.99"/>
    <n v="1700.2"/>
  </r>
  <r>
    <x v="12"/>
    <x v="18"/>
    <x v="14"/>
    <n v="1177.82"/>
    <n v="1219.98"/>
    <n v="1390"/>
    <n v="1304.99"/>
    <n v="1700.2"/>
  </r>
  <r>
    <x v="12"/>
    <x v="18"/>
    <x v="14"/>
    <n v="1177.82"/>
    <n v="1219.98"/>
    <n v="1390"/>
    <n v="1304.99"/>
    <n v="1700.2"/>
  </r>
  <r>
    <x v="12"/>
    <x v="18"/>
    <x v="14"/>
    <n v="1177.82"/>
    <n v="1219.98"/>
    <n v="1390"/>
    <n v="1304.99"/>
    <n v="1700.2"/>
  </r>
  <r>
    <x v="12"/>
    <x v="18"/>
    <x v="14"/>
    <n v="1177.82"/>
    <n v="1219.98"/>
    <n v="1390"/>
    <n v="1304.99"/>
    <n v="1700.2"/>
  </r>
  <r>
    <x v="12"/>
    <x v="18"/>
    <x v="14"/>
    <n v="1177.82"/>
    <n v="1219.98"/>
    <n v="1390"/>
    <n v="1304.99"/>
    <n v="1700.2"/>
  </r>
  <r>
    <x v="12"/>
    <x v="18"/>
    <x v="14"/>
    <n v="1177.82"/>
    <n v="1219.98"/>
    <n v="1390"/>
    <n v="1304.99"/>
    <n v="1700.2"/>
  </r>
  <r>
    <x v="12"/>
    <x v="18"/>
    <x v="14"/>
    <n v="1177.82"/>
    <n v="1219.98"/>
    <n v="1390"/>
    <n v="1304.99"/>
    <n v="1700.2"/>
  </r>
  <r>
    <x v="12"/>
    <x v="18"/>
    <x v="14"/>
    <n v="1177.82"/>
    <n v="1219.98"/>
    <n v="1390"/>
    <n v="1304.99"/>
    <n v="1700.2"/>
  </r>
  <r>
    <x v="12"/>
    <x v="18"/>
    <x v="14"/>
    <n v="1177.82"/>
    <n v="1219.98"/>
    <n v="1390"/>
    <n v="1304.99"/>
    <n v="1700.2"/>
  </r>
  <r>
    <x v="12"/>
    <x v="18"/>
    <x v="14"/>
    <n v="1177.82"/>
    <n v="1219.98"/>
    <n v="1390"/>
    <n v="1304.99"/>
    <n v="1700.2"/>
  </r>
  <r>
    <x v="12"/>
    <x v="18"/>
    <x v="14"/>
    <n v="1177.82"/>
    <n v="1219.98"/>
    <n v="1390"/>
    <n v="1304.99"/>
    <n v="1700.2"/>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7"/>
    <n v="1.4416"/>
    <n v="1.41971"/>
    <n v="1.554"/>
    <n v="1.486855"/>
    <n v="1342.9"/>
  </r>
  <r>
    <x v="12"/>
    <x v="18"/>
    <x v="0"/>
    <n v="2.04481"/>
    <n v="1.91"/>
    <n v="2.0621200000000002"/>
    <n v="1.9860599999999999"/>
    <n v="1521.2"/>
  </r>
  <r>
    <x v="12"/>
    <x v="18"/>
    <x v="0"/>
    <n v="2.04481"/>
    <n v="1.91"/>
    <n v="2.0621200000000002"/>
    <n v="1.9860599999999999"/>
    <n v="1521.2"/>
  </r>
  <r>
    <x v="12"/>
    <x v="18"/>
    <x v="0"/>
    <n v="2.04481"/>
    <n v="1.91"/>
    <n v="2.0621200000000002"/>
    <n v="1.9860599999999999"/>
    <n v="1521.2"/>
  </r>
  <r>
    <x v="12"/>
    <x v="18"/>
    <x v="0"/>
    <n v="2.04481"/>
    <n v="1.91"/>
    <n v="2.0621200000000002"/>
    <n v="1.9860599999999999"/>
    <n v="1521.2"/>
  </r>
  <r>
    <x v="12"/>
    <x v="18"/>
    <x v="0"/>
    <n v="2.04481"/>
    <n v="1.91"/>
    <n v="2.0621200000000002"/>
    <n v="1.9860599999999999"/>
    <n v="1521.2"/>
  </r>
  <r>
    <x v="12"/>
    <x v="18"/>
    <x v="0"/>
    <n v="2.04481"/>
    <n v="1.91"/>
    <n v="2.0621200000000002"/>
    <n v="1.9860599999999999"/>
    <n v="1521.2"/>
  </r>
  <r>
    <x v="12"/>
    <x v="18"/>
    <x v="0"/>
    <n v="2.04481"/>
    <n v="1.91"/>
    <n v="2.0621200000000002"/>
    <n v="1.9860599999999999"/>
    <n v="1521.2"/>
  </r>
  <r>
    <x v="12"/>
    <x v="18"/>
    <x v="0"/>
    <n v="2.04481"/>
    <n v="1.91"/>
    <n v="2.0621200000000002"/>
    <n v="1.9860599999999999"/>
    <n v="1521.2"/>
  </r>
  <r>
    <x v="12"/>
    <x v="18"/>
    <x v="0"/>
    <n v="2.04481"/>
    <n v="1.91"/>
    <n v="2.0621200000000002"/>
    <n v="1.9860599999999999"/>
    <n v="1521.2"/>
  </r>
  <r>
    <x v="12"/>
    <x v="18"/>
    <x v="0"/>
    <n v="2.04481"/>
    <n v="1.91"/>
    <n v="2.0621200000000002"/>
    <n v="1.9860599999999999"/>
    <n v="1521.2"/>
  </r>
  <r>
    <x v="12"/>
    <x v="18"/>
    <x v="0"/>
    <n v="2.04481"/>
    <n v="1.91"/>
    <n v="2.0621200000000002"/>
    <n v="1.9860599999999999"/>
    <n v="1521.2"/>
  </r>
  <r>
    <x v="12"/>
    <x v="18"/>
    <x v="0"/>
    <n v="2.04481"/>
    <n v="1.91"/>
    <n v="2.0621200000000002"/>
    <n v="1.9860599999999999"/>
    <n v="1521.2"/>
  </r>
  <r>
    <x v="12"/>
    <x v="18"/>
    <x v="0"/>
    <n v="2.04481"/>
    <n v="1.91"/>
    <n v="2.0621200000000002"/>
    <n v="1.9860599999999999"/>
    <n v="1521.2"/>
  </r>
  <r>
    <x v="12"/>
    <x v="18"/>
    <x v="0"/>
    <n v="2.04481"/>
    <n v="1.91"/>
    <n v="2.0621200000000002"/>
    <n v="1.9860599999999999"/>
    <n v="1521.2"/>
  </r>
  <r>
    <x v="12"/>
    <x v="18"/>
    <x v="0"/>
    <n v="2.04481"/>
    <n v="1.91"/>
    <n v="2.0621200000000002"/>
    <n v="1.9860599999999999"/>
    <n v="1521.2"/>
  </r>
  <r>
    <x v="12"/>
    <x v="19"/>
    <x v="2"/>
    <n v="116.229"/>
    <n v="101"/>
    <n v="109.19799999999999"/>
    <n v="105.099"/>
    <n v="819.8"/>
  </r>
  <r>
    <x v="12"/>
    <x v="19"/>
    <x v="2"/>
    <n v="116.229"/>
    <n v="101"/>
    <n v="109.19799999999999"/>
    <n v="105.099"/>
    <n v="819.8"/>
  </r>
  <r>
    <x v="12"/>
    <x v="19"/>
    <x v="2"/>
    <n v="116.229"/>
    <n v="101"/>
    <n v="109.19799999999999"/>
    <n v="105.099"/>
    <n v="819.8"/>
  </r>
  <r>
    <x v="12"/>
    <x v="19"/>
    <x v="2"/>
    <n v="116.229"/>
    <n v="101"/>
    <n v="109.19799999999999"/>
    <n v="105.099"/>
    <n v="819.8"/>
  </r>
  <r>
    <x v="12"/>
    <x v="19"/>
    <x v="2"/>
    <n v="116.229"/>
    <n v="101"/>
    <n v="109.19799999999999"/>
    <n v="105.099"/>
    <n v="819.8"/>
  </r>
  <r>
    <x v="12"/>
    <x v="19"/>
    <x v="2"/>
    <n v="116.229"/>
    <n v="101"/>
    <n v="109.19799999999999"/>
    <n v="105.099"/>
    <n v="819.8"/>
  </r>
  <r>
    <x v="12"/>
    <x v="19"/>
    <x v="2"/>
    <n v="116.229"/>
    <n v="101"/>
    <n v="109.19799999999999"/>
    <n v="105.099"/>
    <n v="819.8"/>
  </r>
  <r>
    <x v="12"/>
    <x v="19"/>
    <x v="2"/>
    <n v="116.229"/>
    <n v="101"/>
    <n v="109.19799999999999"/>
    <n v="105.099"/>
    <n v="819.8"/>
  </r>
  <r>
    <x v="12"/>
    <x v="19"/>
    <x v="2"/>
    <n v="116.229"/>
    <n v="101"/>
    <n v="109.19799999999999"/>
    <n v="105.099"/>
    <n v="819.8"/>
  </r>
  <r>
    <x v="12"/>
    <x v="19"/>
    <x v="2"/>
    <n v="116.229"/>
    <n v="101"/>
    <n v="109.19799999999999"/>
    <n v="105.099"/>
    <n v="819.8"/>
  </r>
  <r>
    <x v="12"/>
    <x v="19"/>
    <x v="2"/>
    <n v="116.229"/>
    <n v="101"/>
    <n v="109.19799999999999"/>
    <n v="105.099"/>
    <n v="819.8"/>
  </r>
  <r>
    <x v="12"/>
    <x v="19"/>
    <x v="2"/>
    <n v="116.229"/>
    <n v="101"/>
    <n v="109.19799999999999"/>
    <n v="105.099"/>
    <n v="819.8"/>
  </r>
  <r>
    <x v="12"/>
    <x v="19"/>
    <x v="2"/>
    <n v="116.229"/>
    <n v="101"/>
    <n v="109.19799999999999"/>
    <n v="105.099"/>
    <n v="819.8"/>
  </r>
  <r>
    <x v="12"/>
    <x v="19"/>
    <x v="2"/>
    <n v="116.229"/>
    <n v="101"/>
    <n v="109.19799999999999"/>
    <n v="105.099"/>
    <n v="819.8"/>
  </r>
  <r>
    <x v="12"/>
    <x v="19"/>
    <x v="2"/>
    <n v="116.229"/>
    <n v="101"/>
    <n v="109.19799999999999"/>
    <n v="105.099"/>
    <n v="819.8"/>
  </r>
  <r>
    <x v="12"/>
    <x v="19"/>
    <x v="2"/>
    <n v="116.229"/>
    <n v="101"/>
    <n v="109.19799999999999"/>
    <n v="105.099"/>
    <n v="819.8"/>
  </r>
  <r>
    <x v="12"/>
    <x v="19"/>
    <x v="2"/>
    <n v="116.229"/>
    <n v="101"/>
    <n v="109.19799999999999"/>
    <n v="105.099"/>
    <n v="819.8"/>
  </r>
  <r>
    <x v="12"/>
    <x v="19"/>
    <x v="2"/>
    <n v="116.229"/>
    <n v="101"/>
    <n v="109.19799999999999"/>
    <n v="105.099"/>
    <n v="819.8"/>
  </r>
  <r>
    <x v="12"/>
    <x v="19"/>
    <x v="2"/>
    <n v="116.229"/>
    <n v="101"/>
    <n v="109.19799999999999"/>
    <n v="105.099"/>
    <n v="819.8"/>
  </r>
  <r>
    <x v="12"/>
    <x v="19"/>
    <x v="2"/>
    <n v="116.229"/>
    <n v="101"/>
    <n v="109.19799999999999"/>
    <n v="105.099"/>
    <n v="819.8"/>
  </r>
  <r>
    <x v="12"/>
    <x v="19"/>
    <x v="2"/>
    <n v="116.229"/>
    <n v="101"/>
    <n v="109.19799999999999"/>
    <n v="105.099"/>
    <n v="819.8"/>
  </r>
  <r>
    <x v="12"/>
    <x v="19"/>
    <x v="2"/>
    <n v="116.229"/>
    <n v="101"/>
    <n v="109.19799999999999"/>
    <n v="105.099"/>
    <n v="819.8"/>
  </r>
  <r>
    <x v="12"/>
    <x v="19"/>
    <x v="2"/>
    <n v="116.229"/>
    <n v="101"/>
    <n v="109.19799999999999"/>
    <n v="105.099"/>
    <n v="819.8"/>
  </r>
  <r>
    <x v="12"/>
    <x v="19"/>
    <x v="14"/>
    <n v="1188.53"/>
    <n v="1219.98"/>
    <n v="1390"/>
    <n v="1304.99"/>
    <n v="1700.2"/>
  </r>
  <r>
    <x v="12"/>
    <x v="19"/>
    <x v="14"/>
    <n v="1188.53"/>
    <n v="1219.98"/>
    <n v="1390"/>
    <n v="1304.99"/>
    <n v="1700.2"/>
  </r>
  <r>
    <x v="12"/>
    <x v="19"/>
    <x v="14"/>
    <n v="1188.53"/>
    <n v="1219.98"/>
    <n v="1390"/>
    <n v="1304.99"/>
    <n v="1700.2"/>
  </r>
  <r>
    <x v="12"/>
    <x v="19"/>
    <x v="14"/>
    <n v="1188.53"/>
    <n v="1219.98"/>
    <n v="1390"/>
    <n v="1304.99"/>
    <n v="1700.2"/>
  </r>
  <r>
    <x v="12"/>
    <x v="19"/>
    <x v="14"/>
    <n v="1188.53"/>
    <n v="1219.98"/>
    <n v="1390"/>
    <n v="1304.99"/>
    <n v="1700.2"/>
  </r>
  <r>
    <x v="12"/>
    <x v="19"/>
    <x v="14"/>
    <n v="1188.53"/>
    <n v="1219.98"/>
    <n v="1390"/>
    <n v="1304.99"/>
    <n v="1700.2"/>
  </r>
  <r>
    <x v="12"/>
    <x v="19"/>
    <x v="14"/>
    <n v="1188.53"/>
    <n v="1219.98"/>
    <n v="1390"/>
    <n v="1304.99"/>
    <n v="1700.2"/>
  </r>
  <r>
    <x v="12"/>
    <x v="19"/>
    <x v="14"/>
    <n v="1188.53"/>
    <n v="1219.98"/>
    <n v="1390"/>
    <n v="1304.99"/>
    <n v="1700.2"/>
  </r>
  <r>
    <x v="12"/>
    <x v="19"/>
    <x v="14"/>
    <n v="1188.53"/>
    <n v="1219.98"/>
    <n v="1390"/>
    <n v="1304.99"/>
    <n v="1700.2"/>
  </r>
  <r>
    <x v="12"/>
    <x v="19"/>
    <x v="14"/>
    <n v="1188.53"/>
    <n v="1219.98"/>
    <n v="1390"/>
    <n v="1304.99"/>
    <n v="1700.2"/>
  </r>
  <r>
    <x v="12"/>
    <x v="19"/>
    <x v="14"/>
    <n v="1188.53"/>
    <n v="1219.98"/>
    <n v="1390"/>
    <n v="1304.99"/>
    <n v="1700.2"/>
  </r>
  <r>
    <x v="12"/>
    <x v="19"/>
    <x v="14"/>
    <n v="1188.53"/>
    <n v="1219.98"/>
    <n v="1390"/>
    <n v="1304.99"/>
    <n v="1700.2"/>
  </r>
  <r>
    <x v="12"/>
    <x v="19"/>
    <x v="14"/>
    <n v="1188.53"/>
    <n v="1219.98"/>
    <n v="1390"/>
    <n v="1304.99"/>
    <n v="1700.2"/>
  </r>
  <r>
    <x v="12"/>
    <x v="19"/>
    <x v="14"/>
    <n v="1188.53"/>
    <n v="1219.98"/>
    <n v="1390"/>
    <n v="1304.99"/>
    <n v="1700.2"/>
  </r>
  <r>
    <x v="12"/>
    <x v="19"/>
    <x v="14"/>
    <n v="1188.53"/>
    <n v="1219.98"/>
    <n v="1390"/>
    <n v="1304.99"/>
    <n v="1700.2"/>
  </r>
  <r>
    <x v="12"/>
    <x v="19"/>
    <x v="14"/>
    <n v="1188.53"/>
    <n v="1219.98"/>
    <n v="1390"/>
    <n v="1304.99"/>
    <n v="1700.2"/>
  </r>
  <r>
    <x v="12"/>
    <x v="19"/>
    <x v="14"/>
    <n v="1188.53"/>
    <n v="1219.98"/>
    <n v="1390"/>
    <n v="1304.99"/>
    <n v="1700.2"/>
  </r>
  <r>
    <x v="12"/>
    <x v="19"/>
    <x v="14"/>
    <n v="1188.53"/>
    <n v="1219.98"/>
    <n v="1390"/>
    <n v="1304.99"/>
    <n v="1700.2"/>
  </r>
  <r>
    <x v="12"/>
    <x v="19"/>
    <x v="14"/>
    <n v="1188.53"/>
    <n v="1219.98"/>
    <n v="1390"/>
    <n v="1304.99"/>
    <n v="1700.2"/>
  </r>
  <r>
    <x v="12"/>
    <x v="19"/>
    <x v="14"/>
    <n v="1188.53"/>
    <n v="1219.98"/>
    <n v="1390"/>
    <n v="1304.99"/>
    <n v="1700.2"/>
  </r>
  <r>
    <x v="12"/>
    <x v="19"/>
    <x v="14"/>
    <n v="1188.53"/>
    <n v="1219.98"/>
    <n v="1390"/>
    <n v="1304.99"/>
    <n v="1700.2"/>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7"/>
    <n v="1.43"/>
    <n v="1.41971"/>
    <n v="1.554"/>
    <n v="1.486855"/>
    <n v="1342.9"/>
  </r>
  <r>
    <x v="12"/>
    <x v="19"/>
    <x v="0"/>
    <n v="1.9801299999999999"/>
    <n v="1.91"/>
    <n v="2.0621200000000002"/>
    <n v="1.9860599999999999"/>
    <n v="1521.2"/>
  </r>
  <r>
    <x v="12"/>
    <x v="19"/>
    <x v="0"/>
    <n v="1.9801299999999999"/>
    <n v="1.91"/>
    <n v="2.0621200000000002"/>
    <n v="1.9860599999999999"/>
    <n v="1521.2"/>
  </r>
  <r>
    <x v="12"/>
    <x v="19"/>
    <x v="0"/>
    <n v="1.9801299999999999"/>
    <n v="1.91"/>
    <n v="2.0621200000000002"/>
    <n v="1.9860599999999999"/>
    <n v="1521.2"/>
  </r>
  <r>
    <x v="12"/>
    <x v="19"/>
    <x v="0"/>
    <n v="1.9801299999999999"/>
    <n v="1.91"/>
    <n v="2.0621200000000002"/>
    <n v="1.9860599999999999"/>
    <n v="1521.2"/>
  </r>
  <r>
    <x v="12"/>
    <x v="19"/>
    <x v="0"/>
    <n v="1.9801299999999999"/>
    <n v="1.91"/>
    <n v="2.0621200000000002"/>
    <n v="1.9860599999999999"/>
    <n v="1521.2"/>
  </r>
  <r>
    <x v="12"/>
    <x v="19"/>
    <x v="0"/>
    <n v="1.9801299999999999"/>
    <n v="1.91"/>
    <n v="2.0621200000000002"/>
    <n v="1.9860599999999999"/>
    <n v="1521.2"/>
  </r>
  <r>
    <x v="12"/>
    <x v="19"/>
    <x v="0"/>
    <n v="1.9801299999999999"/>
    <n v="1.91"/>
    <n v="2.0621200000000002"/>
    <n v="1.9860599999999999"/>
    <n v="1521.2"/>
  </r>
  <r>
    <x v="12"/>
    <x v="19"/>
    <x v="0"/>
    <n v="1.9801299999999999"/>
    <n v="1.91"/>
    <n v="2.0621200000000002"/>
    <n v="1.9860599999999999"/>
    <n v="1521.2"/>
  </r>
  <r>
    <x v="12"/>
    <x v="19"/>
    <x v="0"/>
    <n v="1.9801299999999999"/>
    <n v="1.91"/>
    <n v="2.0621200000000002"/>
    <n v="1.9860599999999999"/>
    <n v="1521.2"/>
  </r>
  <r>
    <x v="12"/>
    <x v="19"/>
    <x v="2"/>
    <n v="116.229"/>
    <n v="101"/>
    <n v="109.19799999999999"/>
    <n v="105.099"/>
    <n v="819.8"/>
  </r>
  <r>
    <x v="12"/>
    <x v="19"/>
    <x v="2"/>
    <n v="116.229"/>
    <n v="101"/>
    <n v="109.19799999999999"/>
    <n v="105.099"/>
    <n v="819.8"/>
  </r>
  <r>
    <x v="12"/>
    <x v="19"/>
    <x v="2"/>
    <n v="116.229"/>
    <n v="101"/>
    <n v="109.19799999999999"/>
    <n v="105.099"/>
    <n v="819.8"/>
  </r>
  <r>
    <x v="12"/>
    <x v="19"/>
    <x v="2"/>
    <n v="116.229"/>
    <n v="101"/>
    <n v="109.19799999999999"/>
    <n v="105.099"/>
    <n v="819.8"/>
  </r>
  <r>
    <x v="12"/>
    <x v="19"/>
    <x v="2"/>
    <n v="116.229"/>
    <n v="101"/>
    <n v="109.19799999999999"/>
    <n v="105.099"/>
    <n v="819.8"/>
  </r>
  <r>
    <x v="12"/>
    <x v="19"/>
    <x v="2"/>
    <n v="116.229"/>
    <n v="101"/>
    <n v="109.19799999999999"/>
    <n v="105.099"/>
    <n v="819.8"/>
  </r>
  <r>
    <x v="12"/>
    <x v="20"/>
    <x v="2"/>
    <n v="117.765"/>
    <n v="101"/>
    <n v="109.19799999999999"/>
    <n v="105.099"/>
    <n v="819.8"/>
  </r>
  <r>
    <x v="12"/>
    <x v="20"/>
    <x v="2"/>
    <n v="117.765"/>
    <n v="101"/>
    <n v="109.19799999999999"/>
    <n v="105.099"/>
    <n v="819.8"/>
  </r>
  <r>
    <x v="12"/>
    <x v="20"/>
    <x v="2"/>
    <n v="117.765"/>
    <n v="101"/>
    <n v="109.19799999999999"/>
    <n v="105.099"/>
    <n v="819.8"/>
  </r>
  <r>
    <x v="12"/>
    <x v="20"/>
    <x v="2"/>
    <n v="117.765"/>
    <n v="101"/>
    <n v="109.19799999999999"/>
    <n v="105.099"/>
    <n v="819.8"/>
  </r>
  <r>
    <x v="12"/>
    <x v="20"/>
    <x v="2"/>
    <n v="117.765"/>
    <n v="101"/>
    <n v="109.19799999999999"/>
    <n v="105.099"/>
    <n v="819.8"/>
  </r>
  <r>
    <x v="12"/>
    <x v="20"/>
    <x v="2"/>
    <n v="117.765"/>
    <n v="101"/>
    <n v="109.19799999999999"/>
    <n v="105.099"/>
    <n v="819.8"/>
  </r>
  <r>
    <x v="12"/>
    <x v="20"/>
    <x v="2"/>
    <n v="117.765"/>
    <n v="101"/>
    <n v="109.19799999999999"/>
    <n v="105.099"/>
    <n v="819.8"/>
  </r>
  <r>
    <x v="12"/>
    <x v="20"/>
    <x v="2"/>
    <n v="117.765"/>
    <n v="101"/>
    <n v="109.19799999999999"/>
    <n v="105.099"/>
    <n v="819.8"/>
  </r>
  <r>
    <x v="12"/>
    <x v="20"/>
    <x v="2"/>
    <n v="117.765"/>
    <n v="101"/>
    <n v="109.19799999999999"/>
    <n v="105.099"/>
    <n v="819.8"/>
  </r>
  <r>
    <x v="12"/>
    <x v="20"/>
    <x v="2"/>
    <n v="117.765"/>
    <n v="101"/>
    <n v="109.19799999999999"/>
    <n v="105.099"/>
    <n v="819.8"/>
  </r>
  <r>
    <x v="12"/>
    <x v="20"/>
    <x v="2"/>
    <n v="117.765"/>
    <n v="101"/>
    <n v="109.19799999999999"/>
    <n v="105.099"/>
    <n v="819.8"/>
  </r>
  <r>
    <x v="12"/>
    <x v="20"/>
    <x v="2"/>
    <n v="117.765"/>
    <n v="101"/>
    <n v="109.19799999999999"/>
    <n v="105.099"/>
    <n v="819.8"/>
  </r>
  <r>
    <x v="12"/>
    <x v="20"/>
    <x v="2"/>
    <n v="117.765"/>
    <n v="101"/>
    <n v="109.19799999999999"/>
    <n v="105.099"/>
    <n v="819.8"/>
  </r>
  <r>
    <x v="12"/>
    <x v="20"/>
    <x v="2"/>
    <n v="117.765"/>
    <n v="101"/>
    <n v="109.19799999999999"/>
    <n v="105.099"/>
    <n v="819.8"/>
  </r>
  <r>
    <x v="12"/>
    <x v="20"/>
    <x v="2"/>
    <n v="117.765"/>
    <n v="101"/>
    <n v="109.19799999999999"/>
    <n v="105.099"/>
    <n v="819.8"/>
  </r>
  <r>
    <x v="12"/>
    <x v="20"/>
    <x v="2"/>
    <n v="117.765"/>
    <n v="101"/>
    <n v="109.19799999999999"/>
    <n v="105.099"/>
    <n v="819.8"/>
  </r>
  <r>
    <x v="12"/>
    <x v="20"/>
    <x v="2"/>
    <n v="117.765"/>
    <n v="101"/>
    <n v="109.19799999999999"/>
    <n v="105.099"/>
    <n v="819.8"/>
  </r>
  <r>
    <x v="12"/>
    <x v="20"/>
    <x v="2"/>
    <n v="117.765"/>
    <n v="101"/>
    <n v="109.19799999999999"/>
    <n v="105.099"/>
    <n v="819.8"/>
  </r>
  <r>
    <x v="12"/>
    <x v="20"/>
    <x v="2"/>
    <n v="117.765"/>
    <n v="101"/>
    <n v="109.19799999999999"/>
    <n v="105.099"/>
    <n v="819.8"/>
  </r>
  <r>
    <x v="12"/>
    <x v="20"/>
    <x v="2"/>
    <n v="117.765"/>
    <n v="101"/>
    <n v="109.19799999999999"/>
    <n v="105.099"/>
    <n v="819.8"/>
  </r>
  <r>
    <x v="12"/>
    <x v="20"/>
    <x v="2"/>
    <n v="117.765"/>
    <n v="101"/>
    <n v="109.19799999999999"/>
    <n v="105.099"/>
    <n v="819.8"/>
  </r>
  <r>
    <x v="12"/>
    <x v="20"/>
    <x v="14"/>
    <n v="1201.29"/>
    <n v="1219.98"/>
    <n v="1390"/>
    <n v="1304.99"/>
    <n v="1700.2"/>
  </r>
  <r>
    <x v="12"/>
    <x v="20"/>
    <x v="14"/>
    <n v="1201.29"/>
    <n v="1219.98"/>
    <n v="1390"/>
    <n v="1304.99"/>
    <n v="1700.2"/>
  </r>
  <r>
    <x v="12"/>
    <x v="20"/>
    <x v="14"/>
    <n v="1201.29"/>
    <n v="1219.98"/>
    <n v="1390"/>
    <n v="1304.99"/>
    <n v="1700.2"/>
  </r>
  <r>
    <x v="12"/>
    <x v="20"/>
    <x v="14"/>
    <n v="1201.29"/>
    <n v="1219.98"/>
    <n v="1390"/>
    <n v="1304.99"/>
    <n v="1700.2"/>
  </r>
  <r>
    <x v="12"/>
    <x v="20"/>
    <x v="14"/>
    <n v="1201.29"/>
    <n v="1219.98"/>
    <n v="1390"/>
    <n v="1304.99"/>
    <n v="1700.2"/>
  </r>
  <r>
    <x v="12"/>
    <x v="20"/>
    <x v="14"/>
    <n v="1201.29"/>
    <n v="1219.98"/>
    <n v="1390"/>
    <n v="1304.99"/>
    <n v="1700.2"/>
  </r>
  <r>
    <x v="12"/>
    <x v="20"/>
    <x v="14"/>
    <n v="1201.29"/>
    <n v="1219.98"/>
    <n v="1390"/>
    <n v="1304.99"/>
    <n v="1700.2"/>
  </r>
  <r>
    <x v="12"/>
    <x v="20"/>
    <x v="14"/>
    <n v="1201.29"/>
    <n v="1219.98"/>
    <n v="1390"/>
    <n v="1304.99"/>
    <n v="1700.2"/>
  </r>
  <r>
    <x v="12"/>
    <x v="20"/>
    <x v="14"/>
    <n v="1201.29"/>
    <n v="1219.98"/>
    <n v="1390"/>
    <n v="1304.99"/>
    <n v="1700.2"/>
  </r>
  <r>
    <x v="12"/>
    <x v="20"/>
    <x v="14"/>
    <n v="1201.29"/>
    <n v="1219.98"/>
    <n v="1390"/>
    <n v="1304.99"/>
    <n v="1700.2"/>
  </r>
  <r>
    <x v="12"/>
    <x v="20"/>
    <x v="14"/>
    <n v="1201.29"/>
    <n v="1219.98"/>
    <n v="1390"/>
    <n v="1304.99"/>
    <n v="1700.2"/>
  </r>
  <r>
    <x v="12"/>
    <x v="20"/>
    <x v="14"/>
    <n v="1201.29"/>
    <n v="1219.98"/>
    <n v="1390"/>
    <n v="1304.99"/>
    <n v="1700.2"/>
  </r>
  <r>
    <x v="12"/>
    <x v="20"/>
    <x v="14"/>
    <n v="1201.29"/>
    <n v="1219.98"/>
    <n v="1390"/>
    <n v="1304.99"/>
    <n v="1700.2"/>
  </r>
  <r>
    <x v="12"/>
    <x v="20"/>
    <x v="14"/>
    <n v="1201.29"/>
    <n v="1219.98"/>
    <n v="1390"/>
    <n v="1304.99"/>
    <n v="1700.2"/>
  </r>
  <r>
    <x v="12"/>
    <x v="20"/>
    <x v="14"/>
    <n v="1201.29"/>
    <n v="1219.98"/>
    <n v="1390"/>
    <n v="1304.99"/>
    <n v="1700.2"/>
  </r>
  <r>
    <x v="12"/>
    <x v="20"/>
    <x v="14"/>
    <n v="1201.29"/>
    <n v="1219.98"/>
    <n v="1390"/>
    <n v="1304.99"/>
    <n v="1700.2"/>
  </r>
  <r>
    <x v="12"/>
    <x v="20"/>
    <x v="14"/>
    <n v="1201.29"/>
    <n v="1219.98"/>
    <n v="1390"/>
    <n v="1304.99"/>
    <n v="1700.2"/>
  </r>
  <r>
    <x v="12"/>
    <x v="20"/>
    <x v="14"/>
    <n v="1201.29"/>
    <n v="1219.98"/>
    <n v="1390"/>
    <n v="1304.99"/>
    <n v="1700.2"/>
  </r>
  <r>
    <x v="12"/>
    <x v="20"/>
    <x v="14"/>
    <n v="1201.29"/>
    <n v="1219.98"/>
    <n v="1390"/>
    <n v="1304.99"/>
    <n v="1700.2"/>
  </r>
  <r>
    <x v="12"/>
    <x v="20"/>
    <x v="14"/>
    <n v="1201.29"/>
    <n v="1219.98"/>
    <n v="1390"/>
    <n v="1304.99"/>
    <n v="1700.2"/>
  </r>
  <r>
    <x v="12"/>
    <x v="20"/>
    <x v="14"/>
    <n v="1201.29"/>
    <n v="1219.98"/>
    <n v="1390"/>
    <n v="1304.99"/>
    <n v="1700.2"/>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7"/>
    <n v="1.4284699999999999"/>
    <n v="1.41971"/>
    <n v="1.554"/>
    <n v="1.486855"/>
    <n v="1342.9"/>
  </r>
  <r>
    <x v="12"/>
    <x v="20"/>
    <x v="0"/>
    <n v="1.9839800000000001"/>
    <n v="1.91"/>
    <n v="2.0621200000000002"/>
    <n v="1.9860599999999999"/>
    <n v="1521.2"/>
  </r>
  <r>
    <x v="12"/>
    <x v="20"/>
    <x v="0"/>
    <n v="1.9839800000000001"/>
    <n v="1.91"/>
    <n v="2.0621200000000002"/>
    <n v="1.9860599999999999"/>
    <n v="1521.2"/>
  </r>
  <r>
    <x v="12"/>
    <x v="20"/>
    <x v="0"/>
    <n v="1.9839800000000001"/>
    <n v="1.91"/>
    <n v="2.0621200000000002"/>
    <n v="1.9860599999999999"/>
    <n v="1521.2"/>
  </r>
  <r>
    <x v="12"/>
    <x v="20"/>
    <x v="0"/>
    <n v="1.9839800000000001"/>
    <n v="1.91"/>
    <n v="2.0621200000000002"/>
    <n v="1.9860599999999999"/>
    <n v="1521.2"/>
  </r>
  <r>
    <x v="12"/>
    <x v="20"/>
    <x v="0"/>
    <n v="1.9839800000000001"/>
    <n v="1.91"/>
    <n v="2.0621200000000002"/>
    <n v="1.9860599999999999"/>
    <n v="1521.2"/>
  </r>
  <r>
    <x v="12"/>
    <x v="20"/>
    <x v="0"/>
    <n v="1.9839800000000001"/>
    <n v="1.91"/>
    <n v="2.0621200000000002"/>
    <n v="1.9860599999999999"/>
    <n v="1521.2"/>
  </r>
  <r>
    <x v="12"/>
    <x v="20"/>
    <x v="0"/>
    <n v="1.9839800000000001"/>
    <n v="1.91"/>
    <n v="2.0621200000000002"/>
    <n v="1.9860599999999999"/>
    <n v="1521.2"/>
  </r>
  <r>
    <x v="12"/>
    <x v="20"/>
    <x v="0"/>
    <n v="1.9839800000000001"/>
    <n v="1.91"/>
    <n v="2.0621200000000002"/>
    <n v="1.9860599999999999"/>
    <n v="1521.2"/>
  </r>
  <r>
    <x v="12"/>
    <x v="20"/>
    <x v="0"/>
    <n v="1.9839800000000001"/>
    <n v="1.91"/>
    <n v="2.0621200000000002"/>
    <n v="1.9860599999999999"/>
    <n v="1521.2"/>
  </r>
  <r>
    <x v="12"/>
    <x v="20"/>
    <x v="2"/>
    <n v="117.765"/>
    <n v="101"/>
    <n v="109.19799999999999"/>
    <n v="105.099"/>
    <n v="819.8"/>
  </r>
  <r>
    <x v="12"/>
    <x v="20"/>
    <x v="2"/>
    <n v="117.765"/>
    <n v="101"/>
    <n v="109.19799999999999"/>
    <n v="105.099"/>
    <n v="819.8"/>
  </r>
  <r>
    <x v="12"/>
    <x v="20"/>
    <x v="2"/>
    <n v="117.765"/>
    <n v="101"/>
    <n v="109.19799999999999"/>
    <n v="105.099"/>
    <n v="819.8"/>
  </r>
  <r>
    <x v="12"/>
    <x v="20"/>
    <x v="2"/>
    <n v="117.765"/>
    <n v="101"/>
    <n v="109.19799999999999"/>
    <n v="105.099"/>
    <n v="819.8"/>
  </r>
  <r>
    <x v="12"/>
    <x v="20"/>
    <x v="2"/>
    <n v="117.765"/>
    <n v="101"/>
    <n v="109.19799999999999"/>
    <n v="105.099"/>
    <n v="819.8"/>
  </r>
  <r>
    <x v="12"/>
    <x v="20"/>
    <x v="2"/>
    <n v="117.765"/>
    <n v="101"/>
    <n v="109.19799999999999"/>
    <n v="105.099"/>
    <n v="819.8"/>
  </r>
  <r>
    <x v="12"/>
    <x v="20"/>
    <x v="2"/>
    <n v="117.765"/>
    <n v="101"/>
    <n v="109.19799999999999"/>
    <n v="105.099"/>
    <n v="819.8"/>
  </r>
  <r>
    <x v="12"/>
    <x v="20"/>
    <x v="2"/>
    <n v="117.765"/>
    <n v="101"/>
    <n v="109.19799999999999"/>
    <n v="105.099"/>
    <n v="819.8"/>
  </r>
  <r>
    <x v="12"/>
    <x v="21"/>
    <x v="2"/>
    <n v="118.542"/>
    <n v="101"/>
    <n v="109.19799999999999"/>
    <n v="105.099"/>
    <n v="819.8"/>
  </r>
  <r>
    <x v="12"/>
    <x v="21"/>
    <x v="2"/>
    <n v="118.542"/>
    <n v="101"/>
    <n v="109.19799999999999"/>
    <n v="105.099"/>
    <n v="819.8"/>
  </r>
  <r>
    <x v="12"/>
    <x v="21"/>
    <x v="2"/>
    <n v="118.542"/>
    <n v="101"/>
    <n v="109.19799999999999"/>
    <n v="105.099"/>
    <n v="819.8"/>
  </r>
  <r>
    <x v="12"/>
    <x v="21"/>
    <x v="2"/>
    <n v="118.542"/>
    <n v="101"/>
    <n v="109.19799999999999"/>
    <n v="105.099"/>
    <n v="819.8"/>
  </r>
  <r>
    <x v="12"/>
    <x v="21"/>
    <x v="2"/>
    <n v="118.542"/>
    <n v="101"/>
    <n v="109.19799999999999"/>
    <n v="105.099"/>
    <n v="819.8"/>
  </r>
  <r>
    <x v="12"/>
    <x v="21"/>
    <x v="2"/>
    <n v="118.542"/>
    <n v="101"/>
    <n v="109.19799999999999"/>
    <n v="105.099"/>
    <n v="819.8"/>
  </r>
  <r>
    <x v="12"/>
    <x v="21"/>
    <x v="2"/>
    <n v="118.542"/>
    <n v="101"/>
    <n v="109.19799999999999"/>
    <n v="105.099"/>
    <n v="819.8"/>
  </r>
  <r>
    <x v="12"/>
    <x v="21"/>
    <x v="2"/>
    <n v="118.542"/>
    <n v="101"/>
    <n v="109.19799999999999"/>
    <n v="105.099"/>
    <n v="819.8"/>
  </r>
  <r>
    <x v="12"/>
    <x v="21"/>
    <x v="2"/>
    <n v="118.542"/>
    <n v="101"/>
    <n v="109.19799999999999"/>
    <n v="105.099"/>
    <n v="819.8"/>
  </r>
  <r>
    <x v="12"/>
    <x v="21"/>
    <x v="2"/>
    <n v="118.542"/>
    <n v="101"/>
    <n v="109.19799999999999"/>
    <n v="105.099"/>
    <n v="819.8"/>
  </r>
  <r>
    <x v="12"/>
    <x v="21"/>
    <x v="2"/>
    <n v="118.542"/>
    <n v="101"/>
    <n v="109.19799999999999"/>
    <n v="105.099"/>
    <n v="819.8"/>
  </r>
  <r>
    <x v="12"/>
    <x v="21"/>
    <x v="2"/>
    <n v="118.542"/>
    <n v="101"/>
    <n v="109.19799999999999"/>
    <n v="105.099"/>
    <n v="819.8"/>
  </r>
  <r>
    <x v="12"/>
    <x v="21"/>
    <x v="2"/>
    <n v="118.542"/>
    <n v="101"/>
    <n v="109.19799999999999"/>
    <n v="105.099"/>
    <n v="819.8"/>
  </r>
  <r>
    <x v="12"/>
    <x v="21"/>
    <x v="2"/>
    <n v="118.542"/>
    <n v="101"/>
    <n v="109.19799999999999"/>
    <n v="105.099"/>
    <n v="819.8"/>
  </r>
  <r>
    <x v="12"/>
    <x v="21"/>
    <x v="2"/>
    <n v="118.542"/>
    <n v="101"/>
    <n v="109.19799999999999"/>
    <n v="105.099"/>
    <n v="819.8"/>
  </r>
  <r>
    <x v="12"/>
    <x v="21"/>
    <x v="2"/>
    <n v="118.542"/>
    <n v="101"/>
    <n v="109.19799999999999"/>
    <n v="105.099"/>
    <n v="819.8"/>
  </r>
  <r>
    <x v="12"/>
    <x v="21"/>
    <x v="2"/>
    <n v="118.542"/>
    <n v="101"/>
    <n v="109.19799999999999"/>
    <n v="105.099"/>
    <n v="819.8"/>
  </r>
  <r>
    <x v="12"/>
    <x v="21"/>
    <x v="2"/>
    <n v="118.542"/>
    <n v="101"/>
    <n v="109.19799999999999"/>
    <n v="105.099"/>
    <n v="819.8"/>
  </r>
  <r>
    <x v="12"/>
    <x v="21"/>
    <x v="14"/>
    <n v="1167.106"/>
    <n v="1219.98"/>
    <n v="1390"/>
    <n v="1304.99"/>
    <n v="1700.2"/>
  </r>
  <r>
    <x v="12"/>
    <x v="21"/>
    <x v="14"/>
    <n v="1167.106"/>
    <n v="1219.98"/>
    <n v="1390"/>
    <n v="1304.99"/>
    <n v="1700.2"/>
  </r>
  <r>
    <x v="12"/>
    <x v="21"/>
    <x v="14"/>
    <n v="1167.106"/>
    <n v="1219.98"/>
    <n v="1390"/>
    <n v="1304.99"/>
    <n v="1700.2"/>
  </r>
  <r>
    <x v="12"/>
    <x v="21"/>
    <x v="14"/>
    <n v="1167.106"/>
    <n v="1219.98"/>
    <n v="1390"/>
    <n v="1304.99"/>
    <n v="1700.2"/>
  </r>
  <r>
    <x v="12"/>
    <x v="21"/>
    <x v="14"/>
    <n v="1167.106"/>
    <n v="1219.98"/>
    <n v="1390"/>
    <n v="1304.99"/>
    <n v="1700.2"/>
  </r>
  <r>
    <x v="12"/>
    <x v="21"/>
    <x v="14"/>
    <n v="1167.106"/>
    <n v="1219.98"/>
    <n v="1390"/>
    <n v="1304.99"/>
    <n v="1700.2"/>
  </r>
  <r>
    <x v="12"/>
    <x v="21"/>
    <x v="14"/>
    <n v="1167.106"/>
    <n v="1219.98"/>
    <n v="1390"/>
    <n v="1304.99"/>
    <n v="1700.2"/>
  </r>
  <r>
    <x v="12"/>
    <x v="21"/>
    <x v="14"/>
    <n v="1167.106"/>
    <n v="1219.98"/>
    <n v="1390"/>
    <n v="1304.99"/>
    <n v="1700.2"/>
  </r>
  <r>
    <x v="12"/>
    <x v="21"/>
    <x v="14"/>
    <n v="1167.106"/>
    <n v="1219.98"/>
    <n v="1390"/>
    <n v="1304.99"/>
    <n v="1700.2"/>
  </r>
  <r>
    <x v="12"/>
    <x v="21"/>
    <x v="14"/>
    <n v="1167.106"/>
    <n v="1219.98"/>
    <n v="1390"/>
    <n v="1304.99"/>
    <n v="1700.2"/>
  </r>
  <r>
    <x v="12"/>
    <x v="21"/>
    <x v="14"/>
    <n v="1167.106"/>
    <n v="1219.98"/>
    <n v="1390"/>
    <n v="1304.99"/>
    <n v="1700.2"/>
  </r>
  <r>
    <x v="12"/>
    <x v="21"/>
    <x v="14"/>
    <n v="1167.106"/>
    <n v="1219.98"/>
    <n v="1390"/>
    <n v="1304.99"/>
    <n v="1700.2"/>
  </r>
  <r>
    <x v="12"/>
    <x v="21"/>
    <x v="14"/>
    <n v="1167.106"/>
    <n v="1219.98"/>
    <n v="1390"/>
    <n v="1304.99"/>
    <n v="1700.2"/>
  </r>
  <r>
    <x v="12"/>
    <x v="21"/>
    <x v="14"/>
    <n v="1167.106"/>
    <n v="1219.98"/>
    <n v="1390"/>
    <n v="1304.99"/>
    <n v="1700.2"/>
  </r>
  <r>
    <x v="12"/>
    <x v="21"/>
    <x v="14"/>
    <n v="1167.106"/>
    <n v="1219.98"/>
    <n v="1390"/>
    <n v="1304.99"/>
    <n v="1700.2"/>
  </r>
  <r>
    <x v="12"/>
    <x v="21"/>
    <x v="14"/>
    <n v="1167.106"/>
    <n v="1219.98"/>
    <n v="1390"/>
    <n v="1304.99"/>
    <n v="1700.2"/>
  </r>
  <r>
    <x v="12"/>
    <x v="21"/>
    <x v="14"/>
    <n v="1167.106"/>
    <n v="1219.98"/>
    <n v="1390"/>
    <n v="1304.99"/>
    <n v="1700.2"/>
  </r>
  <r>
    <x v="12"/>
    <x v="21"/>
    <x v="14"/>
    <n v="1167.106"/>
    <n v="1219.98"/>
    <n v="1390"/>
    <n v="1304.99"/>
    <n v="1700.2"/>
  </r>
  <r>
    <x v="12"/>
    <x v="21"/>
    <x v="14"/>
    <n v="1167.106"/>
    <n v="1219.98"/>
    <n v="1390"/>
    <n v="1304.99"/>
    <n v="1700.2"/>
  </r>
  <r>
    <x v="12"/>
    <x v="21"/>
    <x v="14"/>
    <n v="1167.106"/>
    <n v="1219.98"/>
    <n v="1390"/>
    <n v="1304.99"/>
    <n v="1700.2"/>
  </r>
  <r>
    <x v="12"/>
    <x v="21"/>
    <x v="14"/>
    <n v="1167.106"/>
    <n v="1219.98"/>
    <n v="1390"/>
    <n v="1304.99"/>
    <n v="1700.2"/>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7"/>
    <n v="1.46258"/>
    <n v="1.41971"/>
    <n v="1.554"/>
    <n v="1.486855"/>
    <n v="1342.9"/>
  </r>
  <r>
    <x v="12"/>
    <x v="21"/>
    <x v="0"/>
    <n v="1.99255"/>
    <n v="1.91"/>
    <n v="2.0621200000000002"/>
    <n v="1.9860599999999999"/>
    <n v="1521.2"/>
  </r>
  <r>
    <x v="12"/>
    <x v="21"/>
    <x v="0"/>
    <n v="1.99255"/>
    <n v="1.91"/>
    <n v="2.0621200000000002"/>
    <n v="1.9860599999999999"/>
    <n v="1521.2"/>
  </r>
  <r>
    <x v="12"/>
    <x v="21"/>
    <x v="0"/>
    <n v="1.99255"/>
    <n v="1.91"/>
    <n v="2.0621200000000002"/>
    <n v="1.9860599999999999"/>
    <n v="1521.2"/>
  </r>
  <r>
    <x v="12"/>
    <x v="21"/>
    <x v="0"/>
    <n v="1.99255"/>
    <n v="1.91"/>
    <n v="2.0621200000000002"/>
    <n v="1.9860599999999999"/>
    <n v="1521.2"/>
  </r>
  <r>
    <x v="12"/>
    <x v="21"/>
    <x v="0"/>
    <n v="1.99255"/>
    <n v="1.91"/>
    <n v="2.0621200000000002"/>
    <n v="1.9860599999999999"/>
    <n v="1521.2"/>
  </r>
  <r>
    <x v="12"/>
    <x v="21"/>
    <x v="0"/>
    <n v="1.99255"/>
    <n v="1.91"/>
    <n v="2.0621200000000002"/>
    <n v="1.9860599999999999"/>
    <n v="1521.2"/>
  </r>
  <r>
    <x v="12"/>
    <x v="21"/>
    <x v="0"/>
    <n v="1.99255"/>
    <n v="1.91"/>
    <n v="2.0621200000000002"/>
    <n v="1.9860599999999999"/>
    <n v="1521.2"/>
  </r>
  <r>
    <x v="12"/>
    <x v="21"/>
    <x v="0"/>
    <n v="1.99255"/>
    <n v="1.91"/>
    <n v="2.0621200000000002"/>
    <n v="1.9860599999999999"/>
    <n v="1521.2"/>
  </r>
  <r>
    <x v="12"/>
    <x v="21"/>
    <x v="0"/>
    <n v="1.99255"/>
    <n v="1.91"/>
    <n v="2.0621200000000002"/>
    <n v="1.9860599999999999"/>
    <n v="1521.2"/>
  </r>
  <r>
    <x v="12"/>
    <x v="21"/>
    <x v="2"/>
    <n v="118.542"/>
    <n v="101"/>
    <n v="109.19799999999999"/>
    <n v="105.099"/>
    <n v="819.8"/>
  </r>
  <r>
    <x v="12"/>
    <x v="21"/>
    <x v="2"/>
    <n v="118.542"/>
    <n v="101"/>
    <n v="109.19799999999999"/>
    <n v="105.099"/>
    <n v="819.8"/>
  </r>
  <r>
    <x v="12"/>
    <x v="21"/>
    <x v="2"/>
    <n v="118.542"/>
    <n v="101"/>
    <n v="109.19799999999999"/>
    <n v="105.099"/>
    <n v="819.8"/>
  </r>
  <r>
    <x v="12"/>
    <x v="21"/>
    <x v="2"/>
    <n v="118.542"/>
    <n v="101"/>
    <n v="109.19799999999999"/>
    <n v="105.099"/>
    <n v="819.8"/>
  </r>
  <r>
    <x v="12"/>
    <x v="21"/>
    <x v="2"/>
    <n v="118.542"/>
    <n v="101"/>
    <n v="109.19799999999999"/>
    <n v="105.099"/>
    <n v="819.8"/>
  </r>
  <r>
    <x v="12"/>
    <x v="21"/>
    <x v="2"/>
    <n v="118.542"/>
    <n v="101"/>
    <n v="109.19799999999999"/>
    <n v="105.099"/>
    <n v="819.8"/>
  </r>
  <r>
    <x v="12"/>
    <x v="21"/>
    <x v="2"/>
    <n v="118.542"/>
    <n v="101"/>
    <n v="109.19799999999999"/>
    <n v="105.099"/>
    <n v="819.8"/>
  </r>
  <r>
    <x v="12"/>
    <x v="21"/>
    <x v="2"/>
    <n v="118.542"/>
    <n v="101"/>
    <n v="109.19799999999999"/>
    <n v="105.099"/>
    <n v="819.8"/>
  </r>
  <r>
    <x v="12"/>
    <x v="21"/>
    <x v="2"/>
    <n v="118.542"/>
    <n v="101"/>
    <n v="109.19799999999999"/>
    <n v="105.099"/>
    <n v="819.8"/>
  </r>
  <r>
    <x v="12"/>
    <x v="21"/>
    <x v="2"/>
    <n v="118.542"/>
    <n v="101"/>
    <n v="109.19799999999999"/>
    <n v="105.099"/>
    <n v="819.8"/>
  </r>
  <r>
    <x v="12"/>
    <x v="21"/>
    <x v="2"/>
    <n v="118.542"/>
    <n v="101"/>
    <n v="109.19799999999999"/>
    <n v="105.099"/>
    <n v="819.8"/>
  </r>
  <r>
    <x v="12"/>
    <x v="22"/>
    <x v="2"/>
    <n v="121.467"/>
    <n v="101"/>
    <n v="109.19799999999999"/>
    <n v="105.099"/>
    <n v="819.8"/>
  </r>
  <r>
    <x v="12"/>
    <x v="22"/>
    <x v="2"/>
    <n v="121.467"/>
    <n v="101"/>
    <n v="109.19799999999999"/>
    <n v="105.099"/>
    <n v="819.8"/>
  </r>
  <r>
    <x v="12"/>
    <x v="22"/>
    <x v="2"/>
    <n v="121.467"/>
    <n v="101"/>
    <n v="109.19799999999999"/>
    <n v="105.099"/>
    <n v="819.8"/>
  </r>
  <r>
    <x v="12"/>
    <x v="22"/>
    <x v="2"/>
    <n v="121.467"/>
    <n v="101"/>
    <n v="109.19799999999999"/>
    <n v="105.099"/>
    <n v="819.8"/>
  </r>
  <r>
    <x v="12"/>
    <x v="22"/>
    <x v="2"/>
    <n v="121.467"/>
    <n v="101"/>
    <n v="109.19799999999999"/>
    <n v="105.099"/>
    <n v="819.8"/>
  </r>
  <r>
    <x v="12"/>
    <x v="22"/>
    <x v="2"/>
    <n v="121.467"/>
    <n v="101"/>
    <n v="109.19799999999999"/>
    <n v="105.099"/>
    <n v="819.8"/>
  </r>
  <r>
    <x v="12"/>
    <x v="22"/>
    <x v="2"/>
    <n v="121.467"/>
    <n v="101"/>
    <n v="109.19799999999999"/>
    <n v="105.099"/>
    <n v="819.8"/>
  </r>
  <r>
    <x v="12"/>
    <x v="22"/>
    <x v="2"/>
    <n v="121.467"/>
    <n v="101"/>
    <n v="109.19799999999999"/>
    <n v="105.099"/>
    <n v="819.8"/>
  </r>
  <r>
    <x v="12"/>
    <x v="22"/>
    <x v="2"/>
    <n v="121.467"/>
    <n v="101"/>
    <n v="109.19799999999999"/>
    <n v="105.099"/>
    <n v="819.8"/>
  </r>
  <r>
    <x v="12"/>
    <x v="22"/>
    <x v="2"/>
    <n v="121.467"/>
    <n v="101"/>
    <n v="109.19799999999999"/>
    <n v="105.099"/>
    <n v="819.8"/>
  </r>
  <r>
    <x v="12"/>
    <x v="22"/>
    <x v="2"/>
    <n v="121.467"/>
    <n v="101"/>
    <n v="109.19799999999999"/>
    <n v="105.099"/>
    <n v="819.8"/>
  </r>
  <r>
    <x v="12"/>
    <x v="22"/>
    <x v="2"/>
    <n v="121.467"/>
    <n v="101"/>
    <n v="109.19799999999999"/>
    <n v="105.099"/>
    <n v="819.8"/>
  </r>
  <r>
    <x v="12"/>
    <x v="22"/>
    <x v="2"/>
    <n v="121.467"/>
    <n v="101"/>
    <n v="109.19799999999999"/>
    <n v="105.099"/>
    <n v="819.8"/>
  </r>
  <r>
    <x v="12"/>
    <x v="22"/>
    <x v="2"/>
    <n v="121.467"/>
    <n v="101"/>
    <n v="109.19799999999999"/>
    <n v="105.099"/>
    <n v="819.8"/>
  </r>
  <r>
    <x v="12"/>
    <x v="22"/>
    <x v="2"/>
    <n v="121.467"/>
    <n v="101"/>
    <n v="109.19799999999999"/>
    <n v="105.099"/>
    <n v="819.8"/>
  </r>
  <r>
    <x v="12"/>
    <x v="22"/>
    <x v="2"/>
    <n v="121.467"/>
    <n v="101"/>
    <n v="109.19799999999999"/>
    <n v="105.099"/>
    <n v="819.8"/>
  </r>
  <r>
    <x v="12"/>
    <x v="22"/>
    <x v="2"/>
    <n v="121.467"/>
    <n v="101"/>
    <n v="109.19799999999999"/>
    <n v="105.099"/>
    <n v="819.8"/>
  </r>
  <r>
    <x v="12"/>
    <x v="22"/>
    <x v="14"/>
    <n v="1192.0060000000001"/>
    <n v="1219.98"/>
    <n v="1390"/>
    <n v="1304.99"/>
    <n v="1700.2"/>
  </r>
  <r>
    <x v="12"/>
    <x v="22"/>
    <x v="14"/>
    <n v="1192.0060000000001"/>
    <n v="1219.98"/>
    <n v="1390"/>
    <n v="1304.99"/>
    <n v="1700.2"/>
  </r>
  <r>
    <x v="12"/>
    <x v="22"/>
    <x v="14"/>
    <n v="1192.0060000000001"/>
    <n v="1219.98"/>
    <n v="1390"/>
    <n v="1304.99"/>
    <n v="1700.2"/>
  </r>
  <r>
    <x v="12"/>
    <x v="22"/>
    <x v="14"/>
    <n v="1192.0060000000001"/>
    <n v="1219.98"/>
    <n v="1390"/>
    <n v="1304.99"/>
    <n v="1700.2"/>
  </r>
  <r>
    <x v="12"/>
    <x v="22"/>
    <x v="14"/>
    <n v="1192.0060000000001"/>
    <n v="1219.98"/>
    <n v="1390"/>
    <n v="1304.99"/>
    <n v="1700.2"/>
  </r>
  <r>
    <x v="12"/>
    <x v="22"/>
    <x v="14"/>
    <n v="1192.0060000000001"/>
    <n v="1219.98"/>
    <n v="1390"/>
    <n v="1304.99"/>
    <n v="1700.2"/>
  </r>
  <r>
    <x v="12"/>
    <x v="22"/>
    <x v="14"/>
    <n v="1192.0060000000001"/>
    <n v="1219.98"/>
    <n v="1390"/>
    <n v="1304.99"/>
    <n v="1700.2"/>
  </r>
  <r>
    <x v="12"/>
    <x v="22"/>
    <x v="14"/>
    <n v="1192.0060000000001"/>
    <n v="1219.98"/>
    <n v="1390"/>
    <n v="1304.99"/>
    <n v="1700.2"/>
  </r>
  <r>
    <x v="12"/>
    <x v="22"/>
    <x v="14"/>
    <n v="1192.0060000000001"/>
    <n v="1219.98"/>
    <n v="1390"/>
    <n v="1304.99"/>
    <n v="1700.2"/>
  </r>
  <r>
    <x v="12"/>
    <x v="22"/>
    <x v="14"/>
    <n v="1192.0060000000001"/>
    <n v="1219.98"/>
    <n v="1390"/>
    <n v="1304.99"/>
    <n v="1700.2"/>
  </r>
  <r>
    <x v="12"/>
    <x v="22"/>
    <x v="14"/>
    <n v="1192.0060000000001"/>
    <n v="1219.98"/>
    <n v="1390"/>
    <n v="1304.99"/>
    <n v="1700.2"/>
  </r>
  <r>
    <x v="12"/>
    <x v="22"/>
    <x v="14"/>
    <n v="1192.0060000000001"/>
    <n v="1219.98"/>
    <n v="1390"/>
    <n v="1304.99"/>
    <n v="1700.2"/>
  </r>
  <r>
    <x v="12"/>
    <x v="22"/>
    <x v="14"/>
    <n v="1192.0060000000001"/>
    <n v="1219.98"/>
    <n v="1390"/>
    <n v="1304.99"/>
    <n v="1700.2"/>
  </r>
  <r>
    <x v="12"/>
    <x v="22"/>
    <x v="14"/>
    <n v="1192.0060000000001"/>
    <n v="1219.98"/>
    <n v="1390"/>
    <n v="1304.99"/>
    <n v="1700.2"/>
  </r>
  <r>
    <x v="12"/>
    <x v="22"/>
    <x v="14"/>
    <n v="1192.0060000000001"/>
    <n v="1219.98"/>
    <n v="1390"/>
    <n v="1304.99"/>
    <n v="1700.2"/>
  </r>
  <r>
    <x v="12"/>
    <x v="22"/>
    <x v="14"/>
    <n v="1192.0060000000001"/>
    <n v="1219.98"/>
    <n v="1390"/>
    <n v="1304.99"/>
    <n v="1700.2"/>
  </r>
  <r>
    <x v="12"/>
    <x v="22"/>
    <x v="14"/>
    <n v="1192.0060000000001"/>
    <n v="1219.98"/>
    <n v="1390"/>
    <n v="1304.99"/>
    <n v="1700.2"/>
  </r>
  <r>
    <x v="12"/>
    <x v="22"/>
    <x v="14"/>
    <n v="1192.0060000000001"/>
    <n v="1219.98"/>
    <n v="1390"/>
    <n v="1304.99"/>
    <n v="1700.2"/>
  </r>
  <r>
    <x v="12"/>
    <x v="22"/>
    <x v="14"/>
    <n v="1192.0060000000001"/>
    <n v="1219.98"/>
    <n v="1390"/>
    <n v="1304.99"/>
    <n v="1700.2"/>
  </r>
  <r>
    <x v="12"/>
    <x v="22"/>
    <x v="14"/>
    <n v="1192.0060000000001"/>
    <n v="1219.98"/>
    <n v="1390"/>
    <n v="1304.99"/>
    <n v="1700.2"/>
  </r>
  <r>
    <x v="12"/>
    <x v="22"/>
    <x v="14"/>
    <n v="1192.0060000000001"/>
    <n v="1219.98"/>
    <n v="1390"/>
    <n v="1304.99"/>
    <n v="1700.2"/>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7"/>
    <n v="1.4763999999999999"/>
    <n v="1.41971"/>
    <n v="1.554"/>
    <n v="1.486855"/>
    <n v="1342.9"/>
  </r>
  <r>
    <x v="12"/>
    <x v="22"/>
    <x v="0"/>
    <n v="2.0185"/>
    <n v="1.91"/>
    <n v="2.0621200000000002"/>
    <n v="1.9860599999999999"/>
    <n v="1521.2"/>
  </r>
  <r>
    <x v="12"/>
    <x v="22"/>
    <x v="0"/>
    <n v="2.0185"/>
    <n v="1.91"/>
    <n v="2.0621200000000002"/>
    <n v="1.9860599999999999"/>
    <n v="1521.2"/>
  </r>
  <r>
    <x v="12"/>
    <x v="22"/>
    <x v="0"/>
    <n v="2.0185"/>
    <n v="1.91"/>
    <n v="2.0621200000000002"/>
    <n v="1.9860599999999999"/>
    <n v="1521.2"/>
  </r>
  <r>
    <x v="12"/>
    <x v="22"/>
    <x v="0"/>
    <n v="2.0185"/>
    <n v="1.91"/>
    <n v="2.0621200000000002"/>
    <n v="1.9860599999999999"/>
    <n v="1521.2"/>
  </r>
  <r>
    <x v="12"/>
    <x v="22"/>
    <x v="0"/>
    <n v="2.0185"/>
    <n v="1.91"/>
    <n v="2.0621200000000002"/>
    <n v="1.9860599999999999"/>
    <n v="1521.2"/>
  </r>
  <r>
    <x v="12"/>
    <x v="22"/>
    <x v="0"/>
    <n v="2.0185"/>
    <n v="1.91"/>
    <n v="2.0621200000000002"/>
    <n v="1.9860599999999999"/>
    <n v="1521.2"/>
  </r>
  <r>
    <x v="12"/>
    <x v="22"/>
    <x v="0"/>
    <n v="2.0185"/>
    <n v="1.91"/>
    <n v="2.0621200000000002"/>
    <n v="1.9860599999999999"/>
    <n v="1521.2"/>
  </r>
  <r>
    <x v="12"/>
    <x v="22"/>
    <x v="0"/>
    <n v="2.0185"/>
    <n v="1.91"/>
    <n v="2.0621200000000002"/>
    <n v="1.9860599999999999"/>
    <n v="1521.2"/>
  </r>
  <r>
    <x v="12"/>
    <x v="22"/>
    <x v="0"/>
    <n v="2.0185"/>
    <n v="1.91"/>
    <n v="2.0621200000000002"/>
    <n v="1.9860599999999999"/>
    <n v="1521.2"/>
  </r>
  <r>
    <x v="12"/>
    <x v="22"/>
    <x v="2"/>
    <n v="121.467"/>
    <n v="101"/>
    <n v="109.19799999999999"/>
    <n v="105.099"/>
    <n v="819.8"/>
  </r>
  <r>
    <x v="12"/>
    <x v="22"/>
    <x v="2"/>
    <n v="121.467"/>
    <n v="101"/>
    <n v="109.19799999999999"/>
    <n v="105.099"/>
    <n v="819.8"/>
  </r>
  <r>
    <x v="12"/>
    <x v="22"/>
    <x v="2"/>
    <n v="121.467"/>
    <n v="101"/>
    <n v="109.19799999999999"/>
    <n v="105.099"/>
    <n v="819.8"/>
  </r>
  <r>
    <x v="12"/>
    <x v="22"/>
    <x v="2"/>
    <n v="121.467"/>
    <n v="101"/>
    <n v="109.19799999999999"/>
    <n v="105.099"/>
    <n v="819.8"/>
  </r>
  <r>
    <x v="12"/>
    <x v="22"/>
    <x v="2"/>
    <n v="121.467"/>
    <n v="101"/>
    <n v="109.19799999999999"/>
    <n v="105.099"/>
    <n v="819.8"/>
  </r>
  <r>
    <x v="12"/>
    <x v="22"/>
    <x v="2"/>
    <n v="121.467"/>
    <n v="101"/>
    <n v="109.19799999999999"/>
    <n v="105.099"/>
    <n v="819.8"/>
  </r>
  <r>
    <x v="12"/>
    <x v="22"/>
    <x v="2"/>
    <n v="121.467"/>
    <n v="101"/>
    <n v="109.19799999999999"/>
    <n v="105.099"/>
    <n v="819.8"/>
  </r>
  <r>
    <x v="12"/>
    <x v="22"/>
    <x v="2"/>
    <n v="121.467"/>
    <n v="101"/>
    <n v="109.19799999999999"/>
    <n v="105.099"/>
    <n v="819.8"/>
  </r>
  <r>
    <x v="12"/>
    <x v="22"/>
    <x v="2"/>
    <n v="121.467"/>
    <n v="101"/>
    <n v="109.19799999999999"/>
    <n v="105.099"/>
    <n v="819.8"/>
  </r>
  <r>
    <x v="12"/>
    <x v="22"/>
    <x v="2"/>
    <n v="121.467"/>
    <n v="101"/>
    <n v="109.19799999999999"/>
    <n v="105.099"/>
    <n v="819.8"/>
  </r>
  <r>
    <x v="12"/>
    <x v="22"/>
    <x v="2"/>
    <n v="121.467"/>
    <n v="101"/>
    <n v="109.19799999999999"/>
    <n v="105.099"/>
    <n v="819.8"/>
  </r>
  <r>
    <x v="12"/>
    <x v="22"/>
    <x v="2"/>
    <n v="121.467"/>
    <n v="101"/>
    <n v="109.19799999999999"/>
    <n v="105.099"/>
    <n v="819.8"/>
  </r>
  <r>
    <x v="12"/>
    <x v="23"/>
    <x v="0"/>
    <n v="2.0183599999999999"/>
    <n v="1.91"/>
    <n v="2.0621200000000002"/>
    <n v="1.9860599999999999"/>
    <n v="1521.2"/>
  </r>
  <r>
    <x v="12"/>
    <x v="23"/>
    <x v="2"/>
    <n v="118.726"/>
    <n v="101"/>
    <n v="109.19799999999999"/>
    <n v="105.099"/>
    <n v="819.8"/>
  </r>
  <r>
    <x v="12"/>
    <x v="23"/>
    <x v="2"/>
    <n v="118.726"/>
    <n v="101"/>
    <n v="109.19799999999999"/>
    <n v="105.099"/>
    <n v="819.8"/>
  </r>
  <r>
    <x v="12"/>
    <x v="23"/>
    <x v="2"/>
    <n v="118.726"/>
    <n v="101"/>
    <n v="109.19799999999999"/>
    <n v="105.099"/>
    <n v="819.8"/>
  </r>
  <r>
    <x v="12"/>
    <x v="23"/>
    <x v="2"/>
    <n v="118.726"/>
    <n v="101"/>
    <n v="109.19799999999999"/>
    <n v="105.099"/>
    <n v="819.8"/>
  </r>
  <r>
    <x v="12"/>
    <x v="23"/>
    <x v="2"/>
    <n v="118.726"/>
    <n v="101"/>
    <n v="109.19799999999999"/>
    <n v="105.099"/>
    <n v="819.8"/>
  </r>
  <r>
    <x v="12"/>
    <x v="23"/>
    <x v="2"/>
    <n v="118.726"/>
    <n v="101"/>
    <n v="109.19799999999999"/>
    <n v="105.099"/>
    <n v="819.8"/>
  </r>
  <r>
    <x v="12"/>
    <x v="23"/>
    <x v="2"/>
    <n v="118.726"/>
    <n v="101"/>
    <n v="109.19799999999999"/>
    <n v="105.099"/>
    <n v="819.8"/>
  </r>
  <r>
    <x v="12"/>
    <x v="23"/>
    <x v="2"/>
    <n v="118.726"/>
    <n v="101"/>
    <n v="109.19799999999999"/>
    <n v="105.099"/>
    <n v="819.8"/>
  </r>
  <r>
    <x v="12"/>
    <x v="23"/>
    <x v="2"/>
    <n v="118.726"/>
    <n v="101"/>
    <n v="109.19799999999999"/>
    <n v="105.099"/>
    <n v="819.8"/>
  </r>
  <r>
    <x v="12"/>
    <x v="23"/>
    <x v="2"/>
    <n v="118.726"/>
    <n v="101"/>
    <n v="109.19799999999999"/>
    <n v="105.099"/>
    <n v="819.8"/>
  </r>
  <r>
    <x v="12"/>
    <x v="23"/>
    <x v="2"/>
    <n v="118.726"/>
    <n v="101"/>
    <n v="109.19799999999999"/>
    <n v="105.099"/>
    <n v="819.8"/>
  </r>
  <r>
    <x v="12"/>
    <x v="23"/>
    <x v="2"/>
    <n v="118.726"/>
    <n v="101"/>
    <n v="109.19799999999999"/>
    <n v="105.099"/>
    <n v="819.8"/>
  </r>
  <r>
    <x v="12"/>
    <x v="23"/>
    <x v="2"/>
    <n v="118.726"/>
    <n v="101"/>
    <n v="109.19799999999999"/>
    <n v="105.099"/>
    <n v="819.8"/>
  </r>
  <r>
    <x v="12"/>
    <x v="23"/>
    <x v="2"/>
    <n v="118.726"/>
    <n v="101"/>
    <n v="109.19799999999999"/>
    <n v="105.099"/>
    <n v="819.8"/>
  </r>
  <r>
    <x v="12"/>
    <x v="23"/>
    <x v="2"/>
    <n v="118.726"/>
    <n v="101"/>
    <n v="109.19799999999999"/>
    <n v="105.099"/>
    <n v="819.8"/>
  </r>
  <r>
    <x v="12"/>
    <x v="23"/>
    <x v="2"/>
    <n v="118.726"/>
    <n v="101"/>
    <n v="109.19799999999999"/>
    <n v="105.099"/>
    <n v="819.8"/>
  </r>
  <r>
    <x v="12"/>
    <x v="23"/>
    <x v="2"/>
    <n v="118.726"/>
    <n v="101"/>
    <n v="109.19799999999999"/>
    <n v="105.099"/>
    <n v="819.8"/>
  </r>
  <r>
    <x v="12"/>
    <x v="23"/>
    <x v="2"/>
    <n v="118.726"/>
    <n v="101"/>
    <n v="109.19799999999999"/>
    <n v="105.099"/>
    <n v="819.8"/>
  </r>
  <r>
    <x v="12"/>
    <x v="23"/>
    <x v="2"/>
    <n v="118.726"/>
    <n v="101"/>
    <n v="109.19799999999999"/>
    <n v="105.099"/>
    <n v="819.8"/>
  </r>
  <r>
    <x v="12"/>
    <x v="23"/>
    <x v="2"/>
    <n v="118.726"/>
    <n v="101"/>
    <n v="109.19799999999999"/>
    <n v="105.099"/>
    <n v="819.8"/>
  </r>
  <r>
    <x v="12"/>
    <x v="23"/>
    <x v="2"/>
    <n v="118.726"/>
    <n v="101"/>
    <n v="109.19799999999999"/>
    <n v="105.099"/>
    <n v="819.8"/>
  </r>
  <r>
    <x v="12"/>
    <x v="23"/>
    <x v="2"/>
    <n v="118.726"/>
    <n v="101"/>
    <n v="109.19799999999999"/>
    <n v="105.099"/>
    <n v="819.8"/>
  </r>
  <r>
    <x v="12"/>
    <x v="23"/>
    <x v="2"/>
    <n v="118.726"/>
    <n v="101"/>
    <n v="109.19799999999999"/>
    <n v="105.099"/>
    <n v="819.8"/>
  </r>
  <r>
    <x v="12"/>
    <x v="23"/>
    <x v="2"/>
    <n v="118.726"/>
    <n v="101"/>
    <n v="109.19799999999999"/>
    <n v="105.099"/>
    <n v="819.8"/>
  </r>
  <r>
    <x v="12"/>
    <x v="23"/>
    <x v="2"/>
    <n v="118.726"/>
    <n v="101"/>
    <n v="109.19799999999999"/>
    <n v="105.099"/>
    <n v="819.8"/>
  </r>
  <r>
    <x v="12"/>
    <x v="23"/>
    <x v="2"/>
    <n v="118.726"/>
    <n v="101"/>
    <n v="109.19799999999999"/>
    <n v="105.099"/>
    <n v="819.8"/>
  </r>
  <r>
    <x v="12"/>
    <x v="23"/>
    <x v="2"/>
    <n v="118.726"/>
    <n v="101"/>
    <n v="109.19799999999999"/>
    <n v="105.099"/>
    <n v="819.8"/>
  </r>
  <r>
    <x v="12"/>
    <x v="23"/>
    <x v="2"/>
    <n v="118.726"/>
    <n v="101"/>
    <n v="109.19799999999999"/>
    <n v="105.099"/>
    <n v="819.8"/>
  </r>
  <r>
    <x v="12"/>
    <x v="23"/>
    <x v="2"/>
    <n v="118.726"/>
    <n v="101"/>
    <n v="109.19799999999999"/>
    <n v="105.099"/>
    <n v="819.8"/>
  </r>
  <r>
    <x v="12"/>
    <x v="23"/>
    <x v="14"/>
    <n v="1222.396"/>
    <n v="1214.953"/>
    <n v="1390"/>
    <n v="1302.4765"/>
    <n v="1750.47"/>
  </r>
  <r>
    <x v="12"/>
    <x v="23"/>
    <x v="14"/>
    <n v="1222.396"/>
    <n v="1214.953"/>
    <n v="1390"/>
    <n v="1302.4765"/>
    <n v="1750.47"/>
  </r>
  <r>
    <x v="12"/>
    <x v="23"/>
    <x v="14"/>
    <n v="1222.396"/>
    <n v="1214.953"/>
    <n v="1390"/>
    <n v="1302.4765"/>
    <n v="1750.47"/>
  </r>
  <r>
    <x v="12"/>
    <x v="23"/>
    <x v="14"/>
    <n v="1222.396"/>
    <n v="1214.953"/>
    <n v="1390"/>
    <n v="1302.4765"/>
    <n v="1750.47"/>
  </r>
  <r>
    <x v="12"/>
    <x v="23"/>
    <x v="14"/>
    <n v="1222.396"/>
    <n v="1214.953"/>
    <n v="1390"/>
    <n v="1302.4765"/>
    <n v="1750.47"/>
  </r>
  <r>
    <x v="12"/>
    <x v="23"/>
    <x v="14"/>
    <n v="1222.396"/>
    <n v="1214.953"/>
    <n v="1390"/>
    <n v="1302.4765"/>
    <n v="1750.47"/>
  </r>
  <r>
    <x v="12"/>
    <x v="23"/>
    <x v="14"/>
    <n v="1222.396"/>
    <n v="1214.953"/>
    <n v="1390"/>
    <n v="1302.4765"/>
    <n v="1750.47"/>
  </r>
  <r>
    <x v="12"/>
    <x v="23"/>
    <x v="14"/>
    <n v="1222.396"/>
    <n v="1214.953"/>
    <n v="1390"/>
    <n v="1302.4765"/>
    <n v="1750.47"/>
  </r>
  <r>
    <x v="12"/>
    <x v="23"/>
    <x v="14"/>
    <n v="1222.396"/>
    <n v="1214.953"/>
    <n v="1390"/>
    <n v="1302.4765"/>
    <n v="1750.47"/>
  </r>
  <r>
    <x v="12"/>
    <x v="23"/>
    <x v="14"/>
    <n v="1222.396"/>
    <n v="1214.953"/>
    <n v="1390"/>
    <n v="1302.4765"/>
    <n v="1750.47"/>
  </r>
  <r>
    <x v="12"/>
    <x v="23"/>
    <x v="14"/>
    <n v="1222.396"/>
    <n v="1214.953"/>
    <n v="1390"/>
    <n v="1302.4765"/>
    <n v="1750.47"/>
  </r>
  <r>
    <x v="12"/>
    <x v="23"/>
    <x v="14"/>
    <n v="1222.396"/>
    <n v="1214.953"/>
    <n v="1390"/>
    <n v="1302.4765"/>
    <n v="1750.47"/>
  </r>
  <r>
    <x v="12"/>
    <x v="23"/>
    <x v="14"/>
    <n v="1222.396"/>
    <n v="1214.953"/>
    <n v="1390"/>
    <n v="1302.4765"/>
    <n v="1750.47"/>
  </r>
  <r>
    <x v="12"/>
    <x v="23"/>
    <x v="14"/>
    <n v="1222.396"/>
    <n v="1214.953"/>
    <n v="1390"/>
    <n v="1302.4765"/>
    <n v="1750.47"/>
  </r>
  <r>
    <x v="12"/>
    <x v="23"/>
    <x v="14"/>
    <n v="1222.396"/>
    <n v="1214.953"/>
    <n v="1390"/>
    <n v="1302.4765"/>
    <n v="1750.47"/>
  </r>
  <r>
    <x v="12"/>
    <x v="23"/>
    <x v="14"/>
    <n v="1222.396"/>
    <n v="1214.953"/>
    <n v="1390"/>
    <n v="1302.4765"/>
    <n v="1750.47"/>
  </r>
  <r>
    <x v="12"/>
    <x v="23"/>
    <x v="14"/>
    <n v="1222.396"/>
    <n v="1214.953"/>
    <n v="1390"/>
    <n v="1302.4765"/>
    <n v="1750.47"/>
  </r>
  <r>
    <x v="12"/>
    <x v="23"/>
    <x v="14"/>
    <n v="1222.396"/>
    <n v="1214.953"/>
    <n v="1390"/>
    <n v="1302.4765"/>
    <n v="1750.47"/>
  </r>
  <r>
    <x v="12"/>
    <x v="23"/>
    <x v="14"/>
    <n v="1222.396"/>
    <n v="1214.953"/>
    <n v="1390"/>
    <n v="1302.4765"/>
    <n v="1750.47"/>
  </r>
  <r>
    <x v="12"/>
    <x v="23"/>
    <x v="14"/>
    <n v="1222.396"/>
    <n v="1214.953"/>
    <n v="1390"/>
    <n v="1302.4765"/>
    <n v="1750.47"/>
  </r>
  <r>
    <x v="12"/>
    <x v="23"/>
    <x v="14"/>
    <n v="1222.396"/>
    <n v="1214.953"/>
    <n v="1390"/>
    <n v="1302.4765"/>
    <n v="1750.47"/>
  </r>
  <r>
    <x v="12"/>
    <x v="23"/>
    <x v="14"/>
    <n v="1222.396"/>
    <n v="1214.953"/>
    <n v="1390"/>
    <n v="1302.4765"/>
    <n v="1750.47"/>
  </r>
  <r>
    <x v="12"/>
    <x v="23"/>
    <x v="14"/>
    <n v="1222.396"/>
    <n v="1214.953"/>
    <n v="1390"/>
    <n v="1302.4765"/>
    <n v="1750.47"/>
  </r>
  <r>
    <x v="12"/>
    <x v="23"/>
    <x v="14"/>
    <n v="1222.396"/>
    <n v="1214.953"/>
    <n v="1390"/>
    <n v="1302.4765"/>
    <n v="1750.47"/>
  </r>
  <r>
    <x v="12"/>
    <x v="23"/>
    <x v="14"/>
    <n v="1222.396"/>
    <n v="1214.953"/>
    <n v="1390"/>
    <n v="1302.4765"/>
    <n v="1750.47"/>
  </r>
  <r>
    <x v="12"/>
    <x v="23"/>
    <x v="14"/>
    <n v="1222.396"/>
    <n v="1214.953"/>
    <n v="1390"/>
    <n v="1302.4765"/>
    <n v="1750.47"/>
  </r>
  <r>
    <x v="12"/>
    <x v="23"/>
    <x v="14"/>
    <n v="1222.396"/>
    <n v="1214.953"/>
    <n v="1390"/>
    <n v="1302.4765"/>
    <n v="1750.47"/>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7"/>
    <n v="1.51051"/>
    <n v="1.41971"/>
    <n v="1.554"/>
    <n v="1.486855"/>
    <n v="1342.9"/>
  </r>
  <r>
    <x v="12"/>
    <x v="23"/>
    <x v="0"/>
    <n v="2.0183599999999999"/>
    <n v="1.91"/>
    <n v="2.0621200000000002"/>
    <n v="1.9860599999999999"/>
    <n v="1521.2"/>
  </r>
  <r>
    <x v="12"/>
    <x v="23"/>
    <x v="0"/>
    <n v="2.0183599999999999"/>
    <n v="1.91"/>
    <n v="2.0621200000000002"/>
    <n v="1.9860599999999999"/>
    <n v="1521.2"/>
  </r>
  <r>
    <x v="12"/>
    <x v="23"/>
    <x v="0"/>
    <n v="2.0183599999999999"/>
    <n v="1.91"/>
    <n v="2.0621200000000002"/>
    <n v="1.9860599999999999"/>
    <n v="1521.2"/>
  </r>
  <r>
    <x v="12"/>
    <x v="23"/>
    <x v="0"/>
    <n v="2.0183599999999999"/>
    <n v="1.91"/>
    <n v="2.0621200000000002"/>
    <n v="1.9860599999999999"/>
    <n v="1521.2"/>
  </r>
  <r>
    <x v="12"/>
    <x v="23"/>
    <x v="0"/>
    <n v="2.0183599999999999"/>
    <n v="1.91"/>
    <n v="2.0621200000000002"/>
    <n v="1.9860599999999999"/>
    <n v="1521.2"/>
  </r>
  <r>
    <x v="12"/>
    <x v="23"/>
    <x v="0"/>
    <n v="2.0183599999999999"/>
    <n v="1.91"/>
    <n v="2.0621200000000002"/>
    <n v="1.9860599999999999"/>
    <n v="1521.2"/>
  </r>
  <r>
    <x v="12"/>
    <x v="23"/>
    <x v="0"/>
    <n v="2.0183599999999999"/>
    <n v="1.91"/>
    <n v="2.0621200000000002"/>
    <n v="1.9860599999999999"/>
    <n v="1521.2"/>
  </r>
  <r>
    <x v="12"/>
    <x v="23"/>
    <x v="0"/>
    <n v="2.0183599999999999"/>
    <n v="1.91"/>
    <n v="2.0621200000000002"/>
    <n v="1.9860599999999999"/>
    <n v="1521.2"/>
  </r>
  <r>
    <x v="12"/>
    <x v="23"/>
    <x v="0"/>
    <n v="2.0183599999999999"/>
    <n v="1.91"/>
    <n v="2.0621200000000002"/>
    <n v="1.9860599999999999"/>
    <n v="1521.2"/>
  </r>
  <r>
    <x v="12"/>
    <x v="23"/>
    <x v="0"/>
    <n v="2.0183599999999999"/>
    <n v="1.91"/>
    <n v="2.0621200000000002"/>
    <n v="1.9860599999999999"/>
    <n v="1521.2"/>
  </r>
  <r>
    <x v="12"/>
    <x v="23"/>
    <x v="0"/>
    <n v="2.0183599999999999"/>
    <n v="1.91"/>
    <n v="2.0621200000000002"/>
    <n v="1.9860599999999999"/>
    <n v="1521.2"/>
  </r>
  <r>
    <x v="12"/>
    <x v="23"/>
    <x v="0"/>
    <n v="2.0183599999999999"/>
    <n v="1.91"/>
    <n v="2.0621200000000002"/>
    <n v="1.9860599999999999"/>
    <n v="1521.2"/>
  </r>
  <r>
    <x v="12"/>
    <x v="23"/>
    <x v="0"/>
    <n v="2.0183599999999999"/>
    <n v="1.91"/>
    <n v="2.0621200000000002"/>
    <n v="1.9860599999999999"/>
    <n v="1521.2"/>
  </r>
  <r>
    <x v="12"/>
    <x v="23"/>
    <x v="0"/>
    <n v="2.0183599999999999"/>
    <n v="1.91"/>
    <n v="2.0621200000000002"/>
    <n v="1.9860599999999999"/>
    <n v="1521.2"/>
  </r>
  <r>
    <x v="12"/>
    <x v="23"/>
    <x v="0"/>
    <n v="2.0183599999999999"/>
    <n v="1.91"/>
    <n v="2.0621200000000002"/>
    <n v="1.9860599999999999"/>
    <n v="1521.2"/>
  </r>
  <r>
    <x v="12"/>
    <x v="23"/>
    <x v="0"/>
    <n v="2.0183599999999999"/>
    <n v="1.91"/>
    <n v="2.0621200000000002"/>
    <n v="1.9860599999999999"/>
    <n v="1521.2"/>
  </r>
  <r>
    <x v="12"/>
    <x v="23"/>
    <x v="0"/>
    <n v="2.0183599999999999"/>
    <n v="1.91"/>
    <n v="2.0621200000000002"/>
    <n v="1.9860599999999999"/>
    <n v="1521.2"/>
  </r>
  <r>
    <x v="12"/>
    <x v="23"/>
    <x v="0"/>
    <n v="2.0183599999999999"/>
    <n v="1.91"/>
    <n v="2.0621200000000002"/>
    <n v="1.9860599999999999"/>
    <n v="1521.2"/>
  </r>
  <r>
    <x v="12"/>
    <x v="23"/>
    <x v="0"/>
    <n v="2.0183599999999999"/>
    <n v="1.91"/>
    <n v="2.0621200000000002"/>
    <n v="1.9860599999999999"/>
    <n v="1521.2"/>
  </r>
  <r>
    <x v="12"/>
    <x v="23"/>
    <x v="0"/>
    <n v="2.0183599999999999"/>
    <n v="1.91"/>
    <n v="2.0621200000000002"/>
    <n v="1.9860599999999999"/>
    <n v="1521.2"/>
  </r>
  <r>
    <x v="12"/>
    <x v="23"/>
    <x v="0"/>
    <n v="2.0183599999999999"/>
    <n v="1.91"/>
    <n v="2.0621200000000002"/>
    <n v="1.9860599999999999"/>
    <n v="1521.2"/>
  </r>
  <r>
    <x v="12"/>
    <x v="23"/>
    <x v="0"/>
    <n v="2.0183599999999999"/>
    <n v="1.91"/>
    <n v="2.0621200000000002"/>
    <n v="1.9860599999999999"/>
    <n v="1521.2"/>
  </r>
  <r>
    <x v="12"/>
    <x v="23"/>
    <x v="0"/>
    <n v="2.0183599999999999"/>
    <n v="1.91"/>
    <n v="2.0621200000000002"/>
    <n v="1.9860599999999999"/>
    <n v="1521.2"/>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2"/>
    <x v="24"/>
    <x v="7"/>
    <n v="1.5160899999999999"/>
    <n v="1.41971"/>
    <n v="1.554"/>
    <n v="1.486855"/>
    <n v="1342.9"/>
  </r>
  <r>
    <x v="13"/>
    <x v="43"/>
    <x v="10"/>
    <m/>
    <n v="0.89232999999999996"/>
    <n v="0.89283000000000001"/>
    <n v="0.89258000000000004"/>
    <n v="5"/>
  </r>
  <r>
    <x v="13"/>
    <x v="43"/>
    <x v="10"/>
    <m/>
    <n v="0.89232999999999996"/>
    <n v="0.89283000000000001"/>
    <n v="0.89258000000000004"/>
    <n v="5"/>
  </r>
  <r>
    <x v="13"/>
    <x v="43"/>
    <x v="10"/>
    <m/>
    <n v="0.89232999999999996"/>
    <n v="0.89283000000000001"/>
    <n v="0.89258000000000004"/>
    <n v="5"/>
  </r>
  <r>
    <x v="13"/>
    <x v="43"/>
    <x v="10"/>
    <m/>
    <n v="0.89232999999999996"/>
    <n v="0.89283000000000001"/>
    <n v="0.89258000000000004"/>
    <n v="5"/>
  </r>
  <r>
    <x v="13"/>
    <x v="43"/>
    <x v="10"/>
    <m/>
    <n v="0.89232999999999996"/>
    <n v="0.89283000000000001"/>
    <n v="0.89258000000000004"/>
    <n v="5"/>
  </r>
  <r>
    <x v="13"/>
    <x v="43"/>
    <x v="10"/>
    <m/>
    <n v="0.89232999999999996"/>
    <n v="0.89283000000000001"/>
    <n v="0.89258000000000004"/>
    <n v="5"/>
  </r>
  <r>
    <x v="13"/>
    <x v="43"/>
    <x v="10"/>
    <m/>
    <n v="0.89232999999999996"/>
    <n v="0.89283000000000001"/>
    <n v="0.89258000000000004"/>
    <n v="5"/>
  </r>
  <r>
    <x v="13"/>
    <x v="43"/>
    <x v="10"/>
    <m/>
    <n v="0.89232999999999996"/>
    <n v="0.89283000000000001"/>
    <n v="0.89258000000000004"/>
    <n v="5"/>
  </r>
  <r>
    <x v="13"/>
    <x v="43"/>
    <x v="10"/>
    <m/>
    <n v="0.89232999999999996"/>
    <n v="0.89283000000000001"/>
    <n v="0.89258000000000004"/>
    <n v="5"/>
  </r>
  <r>
    <x v="13"/>
    <x v="43"/>
    <x v="10"/>
    <m/>
    <n v="0.89232999999999996"/>
    <n v="0.89283000000000001"/>
    <n v="0.89258000000000004"/>
    <n v="5"/>
  </r>
  <r>
    <x v="13"/>
    <x v="43"/>
    <x v="6"/>
    <m/>
    <n v="0.83645999999999998"/>
    <n v="0.83694000000000002"/>
    <n v="0.8367"/>
    <n v="4.8"/>
  </r>
  <r>
    <x v="13"/>
    <x v="43"/>
    <x v="6"/>
    <m/>
    <n v="0.83645999999999998"/>
    <n v="0.83694000000000002"/>
    <n v="0.8367"/>
    <n v="4.8"/>
  </r>
  <r>
    <x v="13"/>
    <x v="43"/>
    <x v="6"/>
    <m/>
    <n v="0.83645999999999998"/>
    <n v="0.83694000000000002"/>
    <n v="0.8367"/>
    <n v="4.8"/>
  </r>
  <r>
    <x v="13"/>
    <x v="43"/>
    <x v="6"/>
    <m/>
    <n v="0.83645999999999998"/>
    <n v="0.83694000000000002"/>
    <n v="0.8367"/>
    <n v="4.8"/>
  </r>
  <r>
    <x v="13"/>
    <x v="43"/>
    <x v="6"/>
    <m/>
    <n v="0.83645999999999998"/>
    <n v="0.83694000000000002"/>
    <n v="0.8367"/>
    <n v="4.8"/>
  </r>
  <r>
    <x v="13"/>
    <x v="43"/>
    <x v="6"/>
    <m/>
    <n v="0.83645999999999998"/>
    <n v="0.83694000000000002"/>
    <n v="0.8367"/>
    <n v="4.8"/>
  </r>
  <r>
    <x v="13"/>
    <x v="43"/>
    <x v="9"/>
    <m/>
    <n v="0.81752000000000002"/>
    <n v="0.81791000000000003"/>
    <n v="0.81771499999999997"/>
    <n v="3.9"/>
  </r>
  <r>
    <x v="13"/>
    <x v="43"/>
    <x v="9"/>
    <m/>
    <n v="0.81752000000000002"/>
    <n v="0.81791000000000003"/>
    <n v="0.81771499999999997"/>
    <n v="3.9"/>
  </r>
  <r>
    <x v="13"/>
    <x v="43"/>
    <x v="9"/>
    <m/>
    <n v="0.81752000000000002"/>
    <n v="0.81791000000000003"/>
    <n v="0.81771499999999997"/>
    <n v="3.9"/>
  </r>
  <r>
    <x v="13"/>
    <x v="43"/>
    <x v="9"/>
    <m/>
    <n v="0.81752000000000002"/>
    <n v="0.81791000000000003"/>
    <n v="0.81771499999999997"/>
    <n v="3.9"/>
  </r>
  <r>
    <x v="13"/>
    <x v="43"/>
    <x v="9"/>
    <m/>
    <n v="0.81752000000000002"/>
    <n v="0.81791000000000003"/>
    <n v="0.81771499999999997"/>
    <n v="3.9"/>
  </r>
  <r>
    <x v="13"/>
    <x v="43"/>
    <x v="9"/>
    <m/>
    <n v="0.81752000000000002"/>
    <n v="0.81791000000000003"/>
    <n v="0.81771499999999997"/>
    <n v="3.9"/>
  </r>
  <r>
    <x v="13"/>
    <x v="43"/>
    <x v="9"/>
    <m/>
    <n v="0.81752000000000002"/>
    <n v="0.81791000000000003"/>
    <n v="0.81771499999999997"/>
    <n v="3.9"/>
  </r>
  <r>
    <x v="13"/>
    <x v="43"/>
    <x v="9"/>
    <m/>
    <n v="0.81752000000000002"/>
    <n v="0.81791000000000003"/>
    <n v="0.81771499999999997"/>
    <n v="3.9"/>
  </r>
  <r>
    <x v="13"/>
    <x v="43"/>
    <x v="9"/>
    <m/>
    <n v="0.81752000000000002"/>
    <n v="0.81791000000000003"/>
    <n v="0.81771499999999997"/>
    <n v="3.9"/>
  </r>
  <r>
    <x v="13"/>
    <x v="43"/>
    <x v="4"/>
    <m/>
    <n v="91.933000000000007"/>
    <n v="91.971000000000004"/>
    <n v="91.951999999999998"/>
    <n v="3.8"/>
  </r>
  <r>
    <x v="13"/>
    <x v="43"/>
    <x v="4"/>
    <m/>
    <n v="91.933000000000007"/>
    <n v="91.971000000000004"/>
    <n v="91.951999999999998"/>
    <n v="3.8"/>
  </r>
  <r>
    <x v="13"/>
    <x v="43"/>
    <x v="4"/>
    <m/>
    <n v="91.933000000000007"/>
    <n v="91.971000000000004"/>
    <n v="91.951999999999998"/>
    <n v="3.8"/>
  </r>
  <r>
    <x v="13"/>
    <x v="43"/>
    <x v="4"/>
    <m/>
    <n v="91.933000000000007"/>
    <n v="91.971000000000004"/>
    <n v="91.951999999999998"/>
    <n v="3.8"/>
  </r>
  <r>
    <x v="13"/>
    <x v="43"/>
    <x v="4"/>
    <m/>
    <n v="91.933000000000007"/>
    <n v="91.971000000000004"/>
    <n v="91.951999999999998"/>
    <n v="3.8"/>
  </r>
  <r>
    <x v="13"/>
    <x v="43"/>
    <x v="4"/>
    <m/>
    <n v="91.933000000000007"/>
    <n v="91.971000000000004"/>
    <n v="91.951999999999998"/>
    <n v="3.8"/>
  </r>
  <r>
    <x v="13"/>
    <x v="43"/>
    <x v="4"/>
    <m/>
    <n v="91.933000000000007"/>
    <n v="91.971000000000004"/>
    <n v="91.951999999999998"/>
    <n v="3.8"/>
  </r>
  <r>
    <x v="13"/>
    <x v="43"/>
    <x v="4"/>
    <m/>
    <n v="91.933000000000007"/>
    <n v="91.971000000000004"/>
    <n v="91.951999999999998"/>
    <n v="3.8"/>
  </r>
  <r>
    <x v="13"/>
    <x v="43"/>
    <x v="4"/>
    <m/>
    <n v="91.933000000000007"/>
    <n v="91.971000000000004"/>
    <n v="91.951999999999998"/>
    <n v="3.8"/>
  </r>
  <r>
    <x v="13"/>
    <x v="43"/>
    <x v="4"/>
    <m/>
    <n v="91.933000000000007"/>
    <n v="91.971000000000004"/>
    <n v="91.951999999999998"/>
    <n v="3.8"/>
  </r>
  <r>
    <x v="13"/>
    <x v="43"/>
    <x v="4"/>
    <m/>
    <n v="91.933000000000007"/>
    <n v="91.971000000000004"/>
    <n v="91.951999999999998"/>
    <n v="3.8"/>
  </r>
  <r>
    <x v="13"/>
    <x v="43"/>
    <x v="4"/>
    <m/>
    <n v="91.933000000000007"/>
    <n v="91.971000000000004"/>
    <n v="91.951999999999998"/>
    <n v="3.8"/>
  </r>
  <r>
    <x v="13"/>
    <x v="43"/>
    <x v="4"/>
    <m/>
    <n v="91.933000000000007"/>
    <n v="91.971000000000004"/>
    <n v="91.951999999999998"/>
    <n v="3.8"/>
  </r>
  <r>
    <x v="13"/>
    <x v="43"/>
    <x v="4"/>
    <m/>
    <n v="91.933000000000007"/>
    <n v="91.971000000000004"/>
    <n v="91.951999999999998"/>
    <n v="3.8"/>
  </r>
  <r>
    <x v="13"/>
    <x v="44"/>
    <x v="10"/>
    <m/>
    <n v="0.88734000000000002"/>
    <n v="0.89283000000000001"/>
    <n v="0.89008500000000002"/>
    <n v="54.9"/>
  </r>
  <r>
    <x v="13"/>
    <x v="44"/>
    <x v="10"/>
    <m/>
    <n v="0.88734000000000002"/>
    <n v="0.89283000000000001"/>
    <n v="0.89008500000000002"/>
    <n v="54.9"/>
  </r>
  <r>
    <x v="13"/>
    <x v="44"/>
    <x v="10"/>
    <m/>
    <n v="0.88734000000000002"/>
    <n v="0.89283000000000001"/>
    <n v="0.89008500000000002"/>
    <n v="54.9"/>
  </r>
  <r>
    <x v="13"/>
    <x v="44"/>
    <x v="10"/>
    <m/>
    <n v="0.88734000000000002"/>
    <n v="0.89283000000000001"/>
    <n v="0.89008500000000002"/>
    <n v="54.9"/>
  </r>
  <r>
    <x v="13"/>
    <x v="44"/>
    <x v="10"/>
    <m/>
    <n v="0.88734000000000002"/>
    <n v="0.89283000000000001"/>
    <n v="0.89008500000000002"/>
    <n v="54.9"/>
  </r>
  <r>
    <x v="13"/>
    <x v="44"/>
    <x v="10"/>
    <m/>
    <n v="0.88734000000000002"/>
    <n v="0.89283000000000001"/>
    <n v="0.89008500000000002"/>
    <n v="54.9"/>
  </r>
  <r>
    <x v="13"/>
    <x v="44"/>
    <x v="10"/>
    <m/>
    <n v="0.88734000000000002"/>
    <n v="0.89283000000000001"/>
    <n v="0.89008500000000002"/>
    <n v="54.9"/>
  </r>
  <r>
    <x v="13"/>
    <x v="44"/>
    <x v="10"/>
    <m/>
    <n v="0.88734000000000002"/>
    <n v="0.89283000000000001"/>
    <n v="0.89008500000000002"/>
    <n v="54.9"/>
  </r>
  <r>
    <x v="13"/>
    <x v="44"/>
    <x v="10"/>
    <m/>
    <n v="0.88734000000000002"/>
    <n v="0.89283000000000001"/>
    <n v="0.89008500000000002"/>
    <n v="54.9"/>
  </r>
  <r>
    <x v="13"/>
    <x v="44"/>
    <x v="10"/>
    <m/>
    <n v="0.88734000000000002"/>
    <n v="0.89283000000000001"/>
    <n v="0.89008500000000002"/>
    <n v="54.9"/>
  </r>
  <r>
    <x v="13"/>
    <x v="44"/>
    <x v="10"/>
    <m/>
    <n v="0.88734000000000002"/>
    <n v="0.89283000000000001"/>
    <n v="0.89008500000000002"/>
    <n v="54.9"/>
  </r>
  <r>
    <x v="13"/>
    <x v="44"/>
    <x v="6"/>
    <m/>
    <n v="0.82752000000000003"/>
    <n v="0.83694000000000002"/>
    <n v="0.83223000000000003"/>
    <n v="94.2"/>
  </r>
  <r>
    <x v="13"/>
    <x v="44"/>
    <x v="6"/>
    <m/>
    <n v="0.82752000000000003"/>
    <n v="0.83694000000000002"/>
    <n v="0.83223000000000003"/>
    <n v="94.2"/>
  </r>
  <r>
    <x v="13"/>
    <x v="44"/>
    <x v="6"/>
    <m/>
    <n v="0.82752000000000003"/>
    <n v="0.83694000000000002"/>
    <n v="0.83223000000000003"/>
    <n v="94.2"/>
  </r>
  <r>
    <x v="13"/>
    <x v="44"/>
    <x v="6"/>
    <m/>
    <n v="0.82752000000000003"/>
    <n v="0.83694000000000002"/>
    <n v="0.83223000000000003"/>
    <n v="94.2"/>
  </r>
  <r>
    <x v="13"/>
    <x v="44"/>
    <x v="6"/>
    <m/>
    <n v="0.82752000000000003"/>
    <n v="0.83694000000000002"/>
    <n v="0.83223000000000003"/>
    <n v="94.2"/>
  </r>
  <r>
    <x v="13"/>
    <x v="44"/>
    <x v="6"/>
    <m/>
    <n v="0.82752000000000003"/>
    <n v="0.83694000000000002"/>
    <n v="0.83223000000000003"/>
    <n v="94.2"/>
  </r>
  <r>
    <x v="13"/>
    <x v="44"/>
    <x v="6"/>
    <m/>
    <n v="0.82752000000000003"/>
    <n v="0.83694000000000002"/>
    <n v="0.83223000000000003"/>
    <n v="94.2"/>
  </r>
  <r>
    <x v="13"/>
    <x v="44"/>
    <x v="6"/>
    <m/>
    <n v="0.82752000000000003"/>
    <n v="0.83694000000000002"/>
    <n v="0.83223000000000003"/>
    <n v="94.2"/>
  </r>
  <r>
    <x v="13"/>
    <x v="44"/>
    <x v="9"/>
    <m/>
    <n v="0.81752000000000002"/>
    <n v="0.82684999999999997"/>
    <n v="0.82218500000000005"/>
    <n v="93.3"/>
  </r>
  <r>
    <x v="13"/>
    <x v="44"/>
    <x v="9"/>
    <m/>
    <n v="0.81752000000000002"/>
    <n v="0.82684999999999997"/>
    <n v="0.82218500000000005"/>
    <n v="93.3"/>
  </r>
  <r>
    <x v="13"/>
    <x v="44"/>
    <x v="9"/>
    <m/>
    <n v="0.81752000000000002"/>
    <n v="0.82684999999999997"/>
    <n v="0.82218500000000005"/>
    <n v="93.3"/>
  </r>
  <r>
    <x v="13"/>
    <x v="44"/>
    <x v="9"/>
    <m/>
    <n v="0.81752000000000002"/>
    <n v="0.82684999999999997"/>
    <n v="0.82218500000000005"/>
    <n v="93.3"/>
  </r>
  <r>
    <x v="13"/>
    <x v="44"/>
    <x v="9"/>
    <m/>
    <n v="0.81752000000000002"/>
    <n v="0.82684999999999997"/>
    <n v="0.82218500000000005"/>
    <n v="93.3"/>
  </r>
  <r>
    <x v="13"/>
    <x v="44"/>
    <x v="9"/>
    <m/>
    <n v="0.81752000000000002"/>
    <n v="0.82684999999999997"/>
    <n v="0.82218500000000005"/>
    <n v="93.3"/>
  </r>
  <r>
    <x v="13"/>
    <x v="44"/>
    <x v="9"/>
    <m/>
    <n v="0.81752000000000002"/>
    <n v="0.82684999999999997"/>
    <n v="0.82218500000000005"/>
    <n v="93.3"/>
  </r>
  <r>
    <x v="13"/>
    <x v="44"/>
    <x v="9"/>
    <m/>
    <n v="0.81752000000000002"/>
    <n v="0.82684999999999997"/>
    <n v="0.82218500000000005"/>
    <n v="93.3"/>
  </r>
  <r>
    <x v="13"/>
    <x v="44"/>
    <x v="9"/>
    <m/>
    <n v="0.81752000000000002"/>
    <n v="0.82684999999999997"/>
    <n v="0.82218500000000005"/>
    <n v="93.3"/>
  </r>
  <r>
    <x v="13"/>
    <x v="44"/>
    <x v="4"/>
    <m/>
    <n v="91.933000000000007"/>
    <n v="92.016999999999996"/>
    <n v="91.974999999999994"/>
    <n v="8.4"/>
  </r>
  <r>
    <x v="13"/>
    <x v="44"/>
    <x v="4"/>
    <m/>
    <n v="91.933000000000007"/>
    <n v="92.016999999999996"/>
    <n v="91.974999999999994"/>
    <n v="8.4"/>
  </r>
  <r>
    <x v="13"/>
    <x v="44"/>
    <x v="4"/>
    <m/>
    <n v="91.933000000000007"/>
    <n v="92.016999999999996"/>
    <n v="91.974999999999994"/>
    <n v="8.4"/>
  </r>
  <r>
    <x v="13"/>
    <x v="44"/>
    <x v="4"/>
    <m/>
    <n v="91.933000000000007"/>
    <n v="92.016999999999996"/>
    <n v="91.974999999999994"/>
    <n v="8.4"/>
  </r>
  <r>
    <x v="13"/>
    <x v="44"/>
    <x v="4"/>
    <m/>
    <n v="91.933000000000007"/>
    <n v="92.016999999999996"/>
    <n v="91.974999999999994"/>
    <n v="8.4"/>
  </r>
  <r>
    <x v="13"/>
    <x v="44"/>
    <x v="4"/>
    <m/>
    <n v="91.933000000000007"/>
    <n v="92.016999999999996"/>
    <n v="91.974999999999994"/>
    <n v="8.4"/>
  </r>
  <r>
    <x v="13"/>
    <x v="44"/>
    <x v="4"/>
    <m/>
    <n v="91.933000000000007"/>
    <n v="92.016999999999996"/>
    <n v="91.974999999999994"/>
    <n v="8.4"/>
  </r>
  <r>
    <x v="13"/>
    <x v="44"/>
    <x v="4"/>
    <m/>
    <n v="91.933000000000007"/>
    <n v="92.016999999999996"/>
    <n v="91.974999999999994"/>
    <n v="8.4"/>
  </r>
  <r>
    <x v="13"/>
    <x v="44"/>
    <x v="4"/>
    <m/>
    <n v="91.933000000000007"/>
    <n v="92.016999999999996"/>
    <n v="91.974999999999994"/>
    <n v="8.4"/>
  </r>
  <r>
    <x v="13"/>
    <x v="44"/>
    <x v="4"/>
    <m/>
    <n v="91.933000000000007"/>
    <n v="92.016999999999996"/>
    <n v="91.974999999999994"/>
    <n v="8.4"/>
  </r>
  <r>
    <x v="13"/>
    <x v="44"/>
    <x v="4"/>
    <m/>
    <n v="91.933000000000007"/>
    <n v="92.016999999999996"/>
    <n v="91.974999999999994"/>
    <n v="8.4"/>
  </r>
  <r>
    <x v="13"/>
    <x v="44"/>
    <x v="4"/>
    <m/>
    <n v="91.933000000000007"/>
    <n v="92.016999999999996"/>
    <n v="91.974999999999994"/>
    <n v="8.4"/>
  </r>
  <r>
    <x v="13"/>
    <x v="45"/>
    <x v="10"/>
    <m/>
    <n v="0.87973000000000001"/>
    <n v="0.89283000000000001"/>
    <n v="0.88627999999999996"/>
    <n v="131"/>
  </r>
  <r>
    <x v="13"/>
    <x v="45"/>
    <x v="10"/>
    <m/>
    <n v="0.87973000000000001"/>
    <n v="0.89283000000000001"/>
    <n v="0.88627999999999996"/>
    <n v="131"/>
  </r>
  <r>
    <x v="13"/>
    <x v="45"/>
    <x v="10"/>
    <m/>
    <n v="0.87973000000000001"/>
    <n v="0.89283000000000001"/>
    <n v="0.88627999999999996"/>
    <n v="131"/>
  </r>
  <r>
    <x v="13"/>
    <x v="45"/>
    <x v="10"/>
    <m/>
    <n v="0.87973000000000001"/>
    <n v="0.89283000000000001"/>
    <n v="0.88627999999999996"/>
    <n v="131"/>
  </r>
  <r>
    <x v="13"/>
    <x v="45"/>
    <x v="10"/>
    <m/>
    <n v="0.87973000000000001"/>
    <n v="0.89283000000000001"/>
    <n v="0.88627999999999996"/>
    <n v="131"/>
  </r>
  <r>
    <x v="13"/>
    <x v="45"/>
    <x v="10"/>
    <m/>
    <n v="0.87973000000000001"/>
    <n v="0.89283000000000001"/>
    <n v="0.88627999999999996"/>
    <n v="131"/>
  </r>
  <r>
    <x v="13"/>
    <x v="45"/>
    <x v="10"/>
    <m/>
    <n v="0.87973000000000001"/>
    <n v="0.89283000000000001"/>
    <n v="0.88627999999999996"/>
    <n v="131"/>
  </r>
  <r>
    <x v="13"/>
    <x v="45"/>
    <x v="10"/>
    <m/>
    <n v="0.87973000000000001"/>
    <n v="0.89283000000000001"/>
    <n v="0.88627999999999996"/>
    <n v="131"/>
  </r>
  <r>
    <x v="13"/>
    <x v="45"/>
    <x v="10"/>
    <m/>
    <n v="0.87973000000000001"/>
    <n v="0.89283000000000001"/>
    <n v="0.88627999999999996"/>
    <n v="131"/>
  </r>
  <r>
    <x v="13"/>
    <x v="45"/>
    <x v="10"/>
    <m/>
    <n v="0.87973000000000001"/>
    <n v="0.89283000000000001"/>
    <n v="0.88627999999999996"/>
    <n v="131"/>
  </r>
  <r>
    <x v="13"/>
    <x v="45"/>
    <x v="10"/>
    <m/>
    <n v="0.87973000000000001"/>
    <n v="0.89283000000000001"/>
    <n v="0.88627999999999996"/>
    <n v="131"/>
  </r>
  <r>
    <x v="13"/>
    <x v="45"/>
    <x v="10"/>
    <m/>
    <n v="0.87973000000000001"/>
    <n v="0.89283000000000001"/>
    <n v="0.88627999999999996"/>
    <n v="131"/>
  </r>
  <r>
    <x v="13"/>
    <x v="45"/>
    <x v="10"/>
    <m/>
    <n v="0.87973000000000001"/>
    <n v="0.89283000000000001"/>
    <n v="0.88627999999999996"/>
    <n v="131"/>
  </r>
  <r>
    <x v="13"/>
    <x v="45"/>
    <x v="10"/>
    <m/>
    <n v="0.87973000000000001"/>
    <n v="0.89283000000000001"/>
    <n v="0.88627999999999996"/>
    <n v="131"/>
  </r>
  <r>
    <x v="13"/>
    <x v="45"/>
    <x v="10"/>
    <m/>
    <n v="0.87973000000000001"/>
    <n v="0.89283000000000001"/>
    <n v="0.88627999999999996"/>
    <n v="131"/>
  </r>
  <r>
    <x v="13"/>
    <x v="45"/>
    <x v="10"/>
    <m/>
    <n v="0.87973000000000001"/>
    <n v="0.89283000000000001"/>
    <n v="0.88627999999999996"/>
    <n v="131"/>
  </r>
  <r>
    <x v="13"/>
    <x v="45"/>
    <x v="10"/>
    <m/>
    <n v="0.87973000000000001"/>
    <n v="0.89283000000000001"/>
    <n v="0.88627999999999996"/>
    <n v="131"/>
  </r>
  <r>
    <x v="13"/>
    <x v="45"/>
    <x v="6"/>
    <m/>
    <n v="0.82752000000000003"/>
    <n v="0.83926000000000001"/>
    <n v="0.83338999999999996"/>
    <n v="117.4"/>
  </r>
  <r>
    <x v="13"/>
    <x v="45"/>
    <x v="6"/>
    <m/>
    <n v="0.82752000000000003"/>
    <n v="0.83926000000000001"/>
    <n v="0.83338999999999996"/>
    <n v="117.4"/>
  </r>
  <r>
    <x v="13"/>
    <x v="45"/>
    <x v="6"/>
    <m/>
    <n v="0.82752000000000003"/>
    <n v="0.83926000000000001"/>
    <n v="0.83338999999999996"/>
    <n v="117.4"/>
  </r>
  <r>
    <x v="13"/>
    <x v="45"/>
    <x v="6"/>
    <m/>
    <n v="0.82752000000000003"/>
    <n v="0.83926000000000001"/>
    <n v="0.83338999999999996"/>
    <n v="117.4"/>
  </r>
  <r>
    <x v="13"/>
    <x v="45"/>
    <x v="6"/>
    <m/>
    <n v="0.82752000000000003"/>
    <n v="0.83926000000000001"/>
    <n v="0.83338999999999996"/>
    <n v="117.4"/>
  </r>
  <r>
    <x v="13"/>
    <x v="45"/>
    <x v="6"/>
    <m/>
    <n v="0.82752000000000003"/>
    <n v="0.83926000000000001"/>
    <n v="0.83338999999999996"/>
    <n v="117.4"/>
  </r>
  <r>
    <x v="13"/>
    <x v="45"/>
    <x v="6"/>
    <m/>
    <n v="0.82752000000000003"/>
    <n v="0.83926000000000001"/>
    <n v="0.83338999999999996"/>
    <n v="117.4"/>
  </r>
  <r>
    <x v="13"/>
    <x v="45"/>
    <x v="6"/>
    <m/>
    <n v="0.82752000000000003"/>
    <n v="0.83926000000000001"/>
    <n v="0.83338999999999996"/>
    <n v="117.4"/>
  </r>
  <r>
    <x v="13"/>
    <x v="45"/>
    <x v="6"/>
    <m/>
    <n v="0.82752000000000003"/>
    <n v="0.83926000000000001"/>
    <n v="0.83338999999999996"/>
    <n v="117.4"/>
  </r>
  <r>
    <x v="13"/>
    <x v="45"/>
    <x v="6"/>
    <m/>
    <n v="0.82752000000000003"/>
    <n v="0.83926000000000001"/>
    <n v="0.83338999999999996"/>
    <n v="117.4"/>
  </r>
  <r>
    <x v="13"/>
    <x v="45"/>
    <x v="6"/>
    <m/>
    <n v="0.82752000000000003"/>
    <n v="0.83926000000000001"/>
    <n v="0.83338999999999996"/>
    <n v="117.4"/>
  </r>
  <r>
    <x v="13"/>
    <x v="45"/>
    <x v="6"/>
    <m/>
    <n v="0.82752000000000003"/>
    <n v="0.83926000000000001"/>
    <n v="0.83338999999999996"/>
    <n v="117.4"/>
  </r>
  <r>
    <x v="13"/>
    <x v="45"/>
    <x v="9"/>
    <m/>
    <n v="0.81752000000000002"/>
    <n v="0.82684999999999997"/>
    <n v="0.82218500000000005"/>
    <n v="93.3"/>
  </r>
  <r>
    <x v="13"/>
    <x v="45"/>
    <x v="9"/>
    <m/>
    <n v="0.81752000000000002"/>
    <n v="0.82684999999999997"/>
    <n v="0.82218500000000005"/>
    <n v="93.3"/>
  </r>
  <r>
    <x v="13"/>
    <x v="45"/>
    <x v="9"/>
    <m/>
    <n v="0.81752000000000002"/>
    <n v="0.82684999999999997"/>
    <n v="0.82218500000000005"/>
    <n v="93.3"/>
  </r>
  <r>
    <x v="13"/>
    <x v="45"/>
    <x v="9"/>
    <m/>
    <n v="0.81752000000000002"/>
    <n v="0.82684999999999997"/>
    <n v="0.82218500000000005"/>
    <n v="93.3"/>
  </r>
  <r>
    <x v="13"/>
    <x v="45"/>
    <x v="9"/>
    <m/>
    <n v="0.81752000000000002"/>
    <n v="0.82684999999999997"/>
    <n v="0.82218500000000005"/>
    <n v="93.3"/>
  </r>
  <r>
    <x v="13"/>
    <x v="45"/>
    <x v="9"/>
    <m/>
    <n v="0.81752000000000002"/>
    <n v="0.82684999999999997"/>
    <n v="0.82218500000000005"/>
    <n v="93.3"/>
  </r>
  <r>
    <x v="13"/>
    <x v="45"/>
    <x v="9"/>
    <m/>
    <n v="0.81752000000000002"/>
    <n v="0.82684999999999997"/>
    <n v="0.82218500000000005"/>
    <n v="93.3"/>
  </r>
  <r>
    <x v="13"/>
    <x v="45"/>
    <x v="9"/>
    <m/>
    <n v="0.81752000000000002"/>
    <n v="0.82684999999999997"/>
    <n v="0.82218500000000005"/>
    <n v="93.3"/>
  </r>
  <r>
    <x v="13"/>
    <x v="45"/>
    <x v="9"/>
    <m/>
    <n v="0.81752000000000002"/>
    <n v="0.82684999999999997"/>
    <n v="0.82218500000000005"/>
    <n v="93.3"/>
  </r>
  <r>
    <x v="13"/>
    <x v="45"/>
    <x v="9"/>
    <m/>
    <n v="0.81752000000000002"/>
    <n v="0.82684999999999997"/>
    <n v="0.82218500000000005"/>
    <n v="93.3"/>
  </r>
  <r>
    <x v="13"/>
    <x v="45"/>
    <x v="4"/>
    <m/>
    <n v="90.941000000000003"/>
    <n v="92.016999999999996"/>
    <n v="91.478999999999999"/>
    <n v="107.6"/>
  </r>
  <r>
    <x v="13"/>
    <x v="45"/>
    <x v="4"/>
    <m/>
    <n v="90.941000000000003"/>
    <n v="92.016999999999996"/>
    <n v="91.478999999999999"/>
    <n v="107.6"/>
  </r>
  <r>
    <x v="13"/>
    <x v="45"/>
    <x v="4"/>
    <m/>
    <n v="90.941000000000003"/>
    <n v="92.016999999999996"/>
    <n v="91.478999999999999"/>
    <n v="107.6"/>
  </r>
  <r>
    <x v="13"/>
    <x v="45"/>
    <x v="4"/>
    <m/>
    <n v="90.941000000000003"/>
    <n v="92.016999999999996"/>
    <n v="91.478999999999999"/>
    <n v="107.6"/>
  </r>
  <r>
    <x v="13"/>
    <x v="45"/>
    <x v="4"/>
    <m/>
    <n v="90.941000000000003"/>
    <n v="92.016999999999996"/>
    <n v="91.478999999999999"/>
    <n v="107.6"/>
  </r>
  <r>
    <x v="13"/>
    <x v="45"/>
    <x v="4"/>
    <m/>
    <n v="90.941000000000003"/>
    <n v="92.016999999999996"/>
    <n v="91.478999999999999"/>
    <n v="107.6"/>
  </r>
  <r>
    <x v="13"/>
    <x v="45"/>
    <x v="4"/>
    <m/>
    <n v="90.941000000000003"/>
    <n v="92.016999999999996"/>
    <n v="91.478999999999999"/>
    <n v="107.6"/>
  </r>
  <r>
    <x v="13"/>
    <x v="45"/>
    <x v="4"/>
    <m/>
    <n v="90.941000000000003"/>
    <n v="92.016999999999996"/>
    <n v="91.478999999999999"/>
    <n v="107.6"/>
  </r>
  <r>
    <x v="13"/>
    <x v="45"/>
    <x v="4"/>
    <m/>
    <n v="90.941000000000003"/>
    <n v="92.016999999999996"/>
    <n v="91.478999999999999"/>
    <n v="107.6"/>
  </r>
  <r>
    <x v="13"/>
    <x v="45"/>
    <x v="4"/>
    <m/>
    <n v="90.941000000000003"/>
    <n v="92.016999999999996"/>
    <n v="91.478999999999999"/>
    <n v="107.6"/>
  </r>
  <r>
    <x v="13"/>
    <x v="45"/>
    <x v="4"/>
    <m/>
    <n v="90.941000000000003"/>
    <n v="92.016999999999996"/>
    <n v="91.478999999999999"/>
    <n v="107.6"/>
  </r>
  <r>
    <x v="13"/>
    <x v="45"/>
    <x v="4"/>
    <m/>
    <n v="90.941000000000003"/>
    <n v="92.016999999999996"/>
    <n v="91.478999999999999"/>
    <n v="107.6"/>
  </r>
  <r>
    <x v="13"/>
    <x v="45"/>
    <x v="4"/>
    <m/>
    <n v="90.941000000000003"/>
    <n v="92.016999999999996"/>
    <n v="91.478999999999999"/>
    <n v="107.6"/>
  </r>
  <r>
    <x v="13"/>
    <x v="45"/>
    <x v="4"/>
    <m/>
    <n v="90.941000000000003"/>
    <n v="92.016999999999996"/>
    <n v="91.478999999999999"/>
    <n v="107.6"/>
  </r>
  <r>
    <x v="13"/>
    <x v="46"/>
    <x v="4"/>
    <m/>
    <n v="90.941000000000003"/>
    <n v="93.671000000000006"/>
    <n v="92.305999999999997"/>
    <n v="273"/>
  </r>
  <r>
    <x v="13"/>
    <x v="46"/>
    <x v="4"/>
    <m/>
    <n v="90.941000000000003"/>
    <n v="93.671000000000006"/>
    <n v="92.305999999999997"/>
    <n v="273"/>
  </r>
  <r>
    <x v="13"/>
    <x v="46"/>
    <x v="4"/>
    <m/>
    <n v="90.941000000000003"/>
    <n v="93.671000000000006"/>
    <n v="92.305999999999997"/>
    <n v="273"/>
  </r>
  <r>
    <x v="13"/>
    <x v="46"/>
    <x v="4"/>
    <m/>
    <n v="90.941000000000003"/>
    <n v="93.671000000000006"/>
    <n v="92.305999999999997"/>
    <n v="273"/>
  </r>
  <r>
    <x v="13"/>
    <x v="46"/>
    <x v="10"/>
    <m/>
    <n v="0.87770000000000004"/>
    <n v="0.89283000000000001"/>
    <n v="0.88526499999999997"/>
    <n v="151.30000000000001"/>
  </r>
  <r>
    <x v="13"/>
    <x v="46"/>
    <x v="10"/>
    <m/>
    <n v="0.87770000000000004"/>
    <n v="0.89283000000000001"/>
    <n v="0.88526499999999997"/>
    <n v="151.30000000000001"/>
  </r>
  <r>
    <x v="13"/>
    <x v="46"/>
    <x v="10"/>
    <m/>
    <n v="0.87770000000000004"/>
    <n v="0.89283000000000001"/>
    <n v="0.88526499999999997"/>
    <n v="151.30000000000001"/>
  </r>
  <r>
    <x v="13"/>
    <x v="46"/>
    <x v="10"/>
    <m/>
    <n v="0.87770000000000004"/>
    <n v="0.89283000000000001"/>
    <n v="0.88526499999999997"/>
    <n v="151.30000000000001"/>
  </r>
  <r>
    <x v="13"/>
    <x v="46"/>
    <x v="10"/>
    <m/>
    <n v="0.87770000000000004"/>
    <n v="0.89283000000000001"/>
    <n v="0.88526499999999997"/>
    <n v="151.30000000000001"/>
  </r>
  <r>
    <x v="13"/>
    <x v="46"/>
    <x v="10"/>
    <m/>
    <n v="0.87770000000000004"/>
    <n v="0.89283000000000001"/>
    <n v="0.88526499999999997"/>
    <n v="151.30000000000001"/>
  </r>
  <r>
    <x v="13"/>
    <x v="46"/>
    <x v="10"/>
    <m/>
    <n v="0.87770000000000004"/>
    <n v="0.89283000000000001"/>
    <n v="0.88526499999999997"/>
    <n v="151.30000000000001"/>
  </r>
  <r>
    <x v="13"/>
    <x v="46"/>
    <x v="10"/>
    <m/>
    <n v="0.87770000000000004"/>
    <n v="0.89283000000000001"/>
    <n v="0.88526499999999997"/>
    <n v="151.30000000000001"/>
  </r>
  <r>
    <x v="13"/>
    <x v="46"/>
    <x v="10"/>
    <m/>
    <n v="0.87770000000000004"/>
    <n v="0.89283000000000001"/>
    <n v="0.88526499999999997"/>
    <n v="151.30000000000001"/>
  </r>
  <r>
    <x v="13"/>
    <x v="46"/>
    <x v="10"/>
    <m/>
    <n v="0.87770000000000004"/>
    <n v="0.89283000000000001"/>
    <n v="0.88526499999999997"/>
    <n v="151.30000000000001"/>
  </r>
  <r>
    <x v="13"/>
    <x v="46"/>
    <x v="10"/>
    <m/>
    <n v="0.87770000000000004"/>
    <n v="0.89283000000000001"/>
    <n v="0.88526499999999997"/>
    <n v="151.30000000000001"/>
  </r>
  <r>
    <x v="13"/>
    <x v="46"/>
    <x v="10"/>
    <m/>
    <n v="0.87770000000000004"/>
    <n v="0.89283000000000001"/>
    <n v="0.88526499999999997"/>
    <n v="151.30000000000001"/>
  </r>
  <r>
    <x v="13"/>
    <x v="46"/>
    <x v="10"/>
    <m/>
    <n v="0.87770000000000004"/>
    <n v="0.89283000000000001"/>
    <n v="0.88526499999999997"/>
    <n v="151.30000000000001"/>
  </r>
  <r>
    <x v="13"/>
    <x v="46"/>
    <x v="10"/>
    <m/>
    <n v="0.87770000000000004"/>
    <n v="0.89283000000000001"/>
    <n v="0.88526499999999997"/>
    <n v="151.30000000000001"/>
  </r>
  <r>
    <x v="13"/>
    <x v="46"/>
    <x v="10"/>
    <m/>
    <n v="0.87770000000000004"/>
    <n v="0.89283000000000001"/>
    <n v="0.88526499999999997"/>
    <n v="151.30000000000001"/>
  </r>
  <r>
    <x v="13"/>
    <x v="46"/>
    <x v="10"/>
    <m/>
    <n v="0.87770000000000004"/>
    <n v="0.89283000000000001"/>
    <n v="0.88526499999999997"/>
    <n v="151.30000000000001"/>
  </r>
  <r>
    <x v="13"/>
    <x v="46"/>
    <x v="10"/>
    <m/>
    <n v="0.87770000000000004"/>
    <n v="0.89283000000000001"/>
    <n v="0.88526499999999997"/>
    <n v="151.30000000000001"/>
  </r>
  <r>
    <x v="13"/>
    <x v="46"/>
    <x v="10"/>
    <m/>
    <n v="0.87770000000000004"/>
    <n v="0.89283000000000001"/>
    <n v="0.88526499999999997"/>
    <n v="151.30000000000001"/>
  </r>
  <r>
    <x v="13"/>
    <x v="46"/>
    <x v="6"/>
    <m/>
    <n v="0.82752000000000003"/>
    <n v="0.84731000000000001"/>
    <n v="0.83741500000000002"/>
    <n v="197.9"/>
  </r>
  <r>
    <x v="13"/>
    <x v="46"/>
    <x v="6"/>
    <m/>
    <n v="0.82752000000000003"/>
    <n v="0.84731000000000001"/>
    <n v="0.83741500000000002"/>
    <n v="197.9"/>
  </r>
  <r>
    <x v="13"/>
    <x v="46"/>
    <x v="6"/>
    <m/>
    <n v="0.82752000000000003"/>
    <n v="0.84731000000000001"/>
    <n v="0.83741500000000002"/>
    <n v="197.9"/>
  </r>
  <r>
    <x v="13"/>
    <x v="46"/>
    <x v="6"/>
    <m/>
    <n v="0.82752000000000003"/>
    <n v="0.84731000000000001"/>
    <n v="0.83741500000000002"/>
    <n v="197.9"/>
  </r>
  <r>
    <x v="13"/>
    <x v="46"/>
    <x v="6"/>
    <m/>
    <n v="0.82752000000000003"/>
    <n v="0.84731000000000001"/>
    <n v="0.83741500000000002"/>
    <n v="197.9"/>
  </r>
  <r>
    <x v="13"/>
    <x v="46"/>
    <x v="6"/>
    <m/>
    <n v="0.82752000000000003"/>
    <n v="0.84731000000000001"/>
    <n v="0.83741500000000002"/>
    <n v="197.9"/>
  </r>
  <r>
    <x v="13"/>
    <x v="46"/>
    <x v="6"/>
    <m/>
    <n v="0.82752000000000003"/>
    <n v="0.84731000000000001"/>
    <n v="0.83741500000000002"/>
    <n v="197.9"/>
  </r>
  <r>
    <x v="13"/>
    <x v="46"/>
    <x v="6"/>
    <m/>
    <n v="0.82752000000000003"/>
    <n v="0.84731000000000001"/>
    <n v="0.83741500000000002"/>
    <n v="197.9"/>
  </r>
  <r>
    <x v="13"/>
    <x v="46"/>
    <x v="6"/>
    <m/>
    <n v="0.82752000000000003"/>
    <n v="0.84731000000000001"/>
    <n v="0.83741500000000002"/>
    <n v="197.9"/>
  </r>
  <r>
    <x v="13"/>
    <x v="46"/>
    <x v="6"/>
    <m/>
    <n v="0.82752000000000003"/>
    <n v="0.84731000000000001"/>
    <n v="0.83741500000000002"/>
    <n v="197.9"/>
  </r>
  <r>
    <x v="13"/>
    <x v="46"/>
    <x v="6"/>
    <m/>
    <n v="0.82752000000000003"/>
    <n v="0.84731000000000001"/>
    <n v="0.83741500000000002"/>
    <n v="197.9"/>
  </r>
  <r>
    <x v="13"/>
    <x v="46"/>
    <x v="6"/>
    <m/>
    <n v="0.82752000000000003"/>
    <n v="0.84731000000000001"/>
    <n v="0.83741500000000002"/>
    <n v="197.9"/>
  </r>
  <r>
    <x v="13"/>
    <x v="46"/>
    <x v="6"/>
    <m/>
    <n v="0.82752000000000003"/>
    <n v="0.84731000000000001"/>
    <n v="0.83741500000000002"/>
    <n v="197.9"/>
  </r>
  <r>
    <x v="13"/>
    <x v="46"/>
    <x v="6"/>
    <m/>
    <n v="0.82752000000000003"/>
    <n v="0.84731000000000001"/>
    <n v="0.83741500000000002"/>
    <n v="197.9"/>
  </r>
  <r>
    <x v="13"/>
    <x v="46"/>
    <x v="6"/>
    <m/>
    <n v="0.82752000000000003"/>
    <n v="0.84731000000000001"/>
    <n v="0.83741500000000002"/>
    <n v="197.9"/>
  </r>
  <r>
    <x v="13"/>
    <x v="46"/>
    <x v="6"/>
    <m/>
    <n v="0.82752000000000003"/>
    <n v="0.84731000000000001"/>
    <n v="0.83741500000000002"/>
    <n v="197.9"/>
  </r>
  <r>
    <x v="13"/>
    <x v="46"/>
    <x v="9"/>
    <m/>
    <n v="0.81752000000000002"/>
    <n v="0.82994999999999997"/>
    <n v="0.82373499999999999"/>
    <n v="124.3"/>
  </r>
  <r>
    <x v="13"/>
    <x v="46"/>
    <x v="9"/>
    <m/>
    <n v="0.81752000000000002"/>
    <n v="0.82994999999999997"/>
    <n v="0.82373499999999999"/>
    <n v="124.3"/>
  </r>
  <r>
    <x v="13"/>
    <x v="46"/>
    <x v="9"/>
    <m/>
    <n v="0.81752000000000002"/>
    <n v="0.82994999999999997"/>
    <n v="0.82373499999999999"/>
    <n v="124.3"/>
  </r>
  <r>
    <x v="13"/>
    <x v="46"/>
    <x v="9"/>
    <m/>
    <n v="0.81752000000000002"/>
    <n v="0.82994999999999997"/>
    <n v="0.82373499999999999"/>
    <n v="124.3"/>
  </r>
  <r>
    <x v="13"/>
    <x v="46"/>
    <x v="9"/>
    <m/>
    <n v="0.81752000000000002"/>
    <n v="0.82994999999999997"/>
    <n v="0.82373499999999999"/>
    <n v="124.3"/>
  </r>
  <r>
    <x v="13"/>
    <x v="46"/>
    <x v="9"/>
    <m/>
    <n v="0.81752000000000002"/>
    <n v="0.82994999999999997"/>
    <n v="0.82373499999999999"/>
    <n v="124.3"/>
  </r>
  <r>
    <x v="13"/>
    <x v="46"/>
    <x v="9"/>
    <m/>
    <n v="0.81752000000000002"/>
    <n v="0.82994999999999997"/>
    <n v="0.82373499999999999"/>
    <n v="124.3"/>
  </r>
  <r>
    <x v="13"/>
    <x v="46"/>
    <x v="9"/>
    <m/>
    <n v="0.81752000000000002"/>
    <n v="0.82994999999999997"/>
    <n v="0.82373499999999999"/>
    <n v="124.3"/>
  </r>
  <r>
    <x v="13"/>
    <x v="46"/>
    <x v="9"/>
    <m/>
    <n v="0.81752000000000002"/>
    <n v="0.82994999999999997"/>
    <n v="0.82373499999999999"/>
    <n v="124.3"/>
  </r>
  <r>
    <x v="13"/>
    <x v="46"/>
    <x v="9"/>
    <m/>
    <n v="0.81752000000000002"/>
    <n v="0.82994999999999997"/>
    <n v="0.82373499999999999"/>
    <n v="124.3"/>
  </r>
  <r>
    <x v="13"/>
    <x v="46"/>
    <x v="9"/>
    <m/>
    <n v="0.81752000000000002"/>
    <n v="0.82994999999999997"/>
    <n v="0.82373499999999999"/>
    <n v="124.3"/>
  </r>
  <r>
    <x v="13"/>
    <x v="46"/>
    <x v="4"/>
    <m/>
    <n v="90.941000000000003"/>
    <n v="93.671000000000006"/>
    <n v="92.305999999999997"/>
    <n v="273"/>
  </r>
  <r>
    <x v="13"/>
    <x v="46"/>
    <x v="4"/>
    <m/>
    <n v="90.941000000000003"/>
    <n v="93.671000000000006"/>
    <n v="92.305999999999997"/>
    <n v="273"/>
  </r>
  <r>
    <x v="13"/>
    <x v="46"/>
    <x v="4"/>
    <m/>
    <n v="90.941000000000003"/>
    <n v="93.671000000000006"/>
    <n v="92.305999999999997"/>
    <n v="273"/>
  </r>
  <r>
    <x v="13"/>
    <x v="46"/>
    <x v="4"/>
    <m/>
    <n v="90.941000000000003"/>
    <n v="93.671000000000006"/>
    <n v="92.305999999999997"/>
    <n v="273"/>
  </r>
  <r>
    <x v="13"/>
    <x v="46"/>
    <x v="4"/>
    <m/>
    <n v="90.941000000000003"/>
    <n v="93.671000000000006"/>
    <n v="92.305999999999997"/>
    <n v="273"/>
  </r>
  <r>
    <x v="13"/>
    <x v="46"/>
    <x v="4"/>
    <m/>
    <n v="90.941000000000003"/>
    <n v="93.671000000000006"/>
    <n v="92.305999999999997"/>
    <n v="273"/>
  </r>
  <r>
    <x v="13"/>
    <x v="46"/>
    <x v="4"/>
    <m/>
    <n v="90.941000000000003"/>
    <n v="93.671000000000006"/>
    <n v="92.305999999999997"/>
    <n v="273"/>
  </r>
  <r>
    <x v="13"/>
    <x v="46"/>
    <x v="4"/>
    <m/>
    <n v="90.941000000000003"/>
    <n v="93.671000000000006"/>
    <n v="92.305999999999997"/>
    <n v="273"/>
  </r>
  <r>
    <x v="13"/>
    <x v="46"/>
    <x v="4"/>
    <m/>
    <n v="90.941000000000003"/>
    <n v="93.671000000000006"/>
    <n v="92.305999999999997"/>
    <n v="273"/>
  </r>
  <r>
    <x v="13"/>
    <x v="46"/>
    <x v="4"/>
    <m/>
    <n v="90.941000000000003"/>
    <n v="93.671000000000006"/>
    <n v="92.305999999999997"/>
    <n v="273"/>
  </r>
  <r>
    <x v="13"/>
    <x v="46"/>
    <x v="4"/>
    <m/>
    <n v="90.941000000000003"/>
    <n v="93.671000000000006"/>
    <n v="92.305999999999997"/>
    <n v="273"/>
  </r>
  <r>
    <x v="13"/>
    <x v="46"/>
    <x v="4"/>
    <m/>
    <n v="90.941000000000003"/>
    <n v="93.671000000000006"/>
    <n v="92.305999999999997"/>
    <n v="273"/>
  </r>
  <r>
    <x v="13"/>
    <x v="46"/>
    <x v="4"/>
    <m/>
    <n v="90.941000000000003"/>
    <n v="93.671000000000006"/>
    <n v="92.305999999999997"/>
    <n v="273"/>
  </r>
  <r>
    <x v="13"/>
    <x v="46"/>
    <x v="4"/>
    <m/>
    <n v="90.941000000000003"/>
    <n v="93.671000000000006"/>
    <n v="92.305999999999997"/>
    <n v="273"/>
  </r>
  <r>
    <x v="13"/>
    <x v="46"/>
    <x v="4"/>
    <m/>
    <n v="90.941000000000003"/>
    <n v="93.671000000000006"/>
    <n v="92.305999999999997"/>
    <n v="273"/>
  </r>
  <r>
    <x v="13"/>
    <x v="46"/>
    <x v="4"/>
    <m/>
    <n v="90.941000000000003"/>
    <n v="93.671000000000006"/>
    <n v="92.305999999999997"/>
    <n v="273"/>
  </r>
  <r>
    <x v="13"/>
    <x v="46"/>
    <x v="4"/>
    <m/>
    <n v="90.941000000000003"/>
    <n v="93.671000000000006"/>
    <n v="92.305999999999997"/>
    <n v="273"/>
  </r>
  <r>
    <x v="13"/>
    <x v="46"/>
    <x v="4"/>
    <m/>
    <n v="90.941000000000003"/>
    <n v="93.671000000000006"/>
    <n v="92.305999999999997"/>
    <n v="273"/>
  </r>
  <r>
    <x v="13"/>
    <x v="46"/>
    <x v="4"/>
    <m/>
    <n v="90.941000000000003"/>
    <n v="93.671000000000006"/>
    <n v="92.305999999999997"/>
    <n v="273"/>
  </r>
  <r>
    <x v="13"/>
    <x v="47"/>
    <x v="4"/>
    <m/>
    <n v="90.941000000000003"/>
    <n v="93.671000000000006"/>
    <n v="92.305999999999997"/>
    <n v="273"/>
  </r>
  <r>
    <x v="13"/>
    <x v="47"/>
    <x v="4"/>
    <m/>
    <n v="90.941000000000003"/>
    <n v="93.671000000000006"/>
    <n v="92.305999999999997"/>
    <n v="273"/>
  </r>
  <r>
    <x v="13"/>
    <x v="47"/>
    <x v="4"/>
    <m/>
    <n v="90.941000000000003"/>
    <n v="93.671000000000006"/>
    <n v="92.305999999999997"/>
    <n v="273"/>
  </r>
  <r>
    <x v="13"/>
    <x v="47"/>
    <x v="4"/>
    <m/>
    <n v="90.941000000000003"/>
    <n v="93.671000000000006"/>
    <n v="92.305999999999997"/>
    <n v="273"/>
  </r>
  <r>
    <x v="13"/>
    <x v="47"/>
    <x v="4"/>
    <m/>
    <n v="90.941000000000003"/>
    <n v="93.671000000000006"/>
    <n v="92.305999999999997"/>
    <n v="273"/>
  </r>
  <r>
    <x v="13"/>
    <x v="47"/>
    <x v="4"/>
    <m/>
    <n v="90.941000000000003"/>
    <n v="93.671000000000006"/>
    <n v="92.305999999999997"/>
    <n v="273"/>
  </r>
  <r>
    <x v="13"/>
    <x v="47"/>
    <x v="4"/>
    <m/>
    <n v="90.941000000000003"/>
    <n v="93.671000000000006"/>
    <n v="92.305999999999997"/>
    <n v="273"/>
  </r>
  <r>
    <x v="13"/>
    <x v="47"/>
    <x v="4"/>
    <m/>
    <n v="90.941000000000003"/>
    <n v="93.671000000000006"/>
    <n v="92.305999999999997"/>
    <n v="273"/>
  </r>
  <r>
    <x v="13"/>
    <x v="47"/>
    <x v="4"/>
    <m/>
    <n v="90.941000000000003"/>
    <n v="93.671000000000006"/>
    <n v="92.305999999999997"/>
    <n v="273"/>
  </r>
  <r>
    <x v="13"/>
    <x v="47"/>
    <x v="4"/>
    <m/>
    <n v="90.941000000000003"/>
    <n v="93.671000000000006"/>
    <n v="92.305999999999997"/>
    <n v="273"/>
  </r>
  <r>
    <x v="13"/>
    <x v="47"/>
    <x v="4"/>
    <m/>
    <n v="90.941000000000003"/>
    <n v="93.671000000000006"/>
    <n v="92.305999999999997"/>
    <n v="273"/>
  </r>
  <r>
    <x v="13"/>
    <x v="47"/>
    <x v="4"/>
    <m/>
    <n v="90.941000000000003"/>
    <n v="93.671000000000006"/>
    <n v="92.305999999999997"/>
    <n v="273"/>
  </r>
  <r>
    <x v="13"/>
    <x v="47"/>
    <x v="4"/>
    <m/>
    <n v="90.941000000000003"/>
    <n v="93.671000000000006"/>
    <n v="92.305999999999997"/>
    <n v="273"/>
  </r>
  <r>
    <x v="13"/>
    <x v="47"/>
    <x v="4"/>
    <m/>
    <n v="90.941000000000003"/>
    <n v="93.671000000000006"/>
    <n v="92.305999999999997"/>
    <n v="273"/>
  </r>
  <r>
    <x v="13"/>
    <x v="47"/>
    <x v="4"/>
    <m/>
    <n v="90.941000000000003"/>
    <n v="93.671000000000006"/>
    <n v="92.305999999999997"/>
    <n v="273"/>
  </r>
  <r>
    <x v="13"/>
    <x v="47"/>
    <x v="10"/>
    <m/>
    <n v="0.87224000000000002"/>
    <n v="0.89283000000000001"/>
    <n v="0.88253499999999996"/>
    <n v="205.9"/>
  </r>
  <r>
    <x v="13"/>
    <x v="47"/>
    <x v="10"/>
    <m/>
    <n v="0.87224000000000002"/>
    <n v="0.89283000000000001"/>
    <n v="0.88253499999999996"/>
    <n v="205.9"/>
  </r>
  <r>
    <x v="13"/>
    <x v="47"/>
    <x v="10"/>
    <m/>
    <n v="0.87224000000000002"/>
    <n v="0.89283000000000001"/>
    <n v="0.88253499999999996"/>
    <n v="205.9"/>
  </r>
  <r>
    <x v="13"/>
    <x v="47"/>
    <x v="10"/>
    <m/>
    <n v="0.87224000000000002"/>
    <n v="0.89283000000000001"/>
    <n v="0.88253499999999996"/>
    <n v="205.9"/>
  </r>
  <r>
    <x v="13"/>
    <x v="47"/>
    <x v="10"/>
    <m/>
    <n v="0.87224000000000002"/>
    <n v="0.89283000000000001"/>
    <n v="0.88253499999999996"/>
    <n v="205.9"/>
  </r>
  <r>
    <x v="13"/>
    <x v="47"/>
    <x v="10"/>
    <m/>
    <n v="0.87224000000000002"/>
    <n v="0.89283000000000001"/>
    <n v="0.88253499999999996"/>
    <n v="205.9"/>
  </r>
  <r>
    <x v="13"/>
    <x v="47"/>
    <x v="10"/>
    <m/>
    <n v="0.87224000000000002"/>
    <n v="0.89283000000000001"/>
    <n v="0.88253499999999996"/>
    <n v="205.9"/>
  </r>
  <r>
    <x v="13"/>
    <x v="47"/>
    <x v="10"/>
    <m/>
    <n v="0.87224000000000002"/>
    <n v="0.89283000000000001"/>
    <n v="0.88253499999999996"/>
    <n v="205.9"/>
  </r>
  <r>
    <x v="13"/>
    <x v="47"/>
    <x v="10"/>
    <m/>
    <n v="0.87224000000000002"/>
    <n v="0.89283000000000001"/>
    <n v="0.88253499999999996"/>
    <n v="205.9"/>
  </r>
  <r>
    <x v="13"/>
    <x v="47"/>
    <x v="10"/>
    <m/>
    <n v="0.87224000000000002"/>
    <n v="0.89283000000000001"/>
    <n v="0.88253499999999996"/>
    <n v="205.9"/>
  </r>
  <r>
    <x v="13"/>
    <x v="47"/>
    <x v="10"/>
    <m/>
    <n v="0.87224000000000002"/>
    <n v="0.89283000000000001"/>
    <n v="0.88253499999999996"/>
    <n v="205.9"/>
  </r>
  <r>
    <x v="13"/>
    <x v="47"/>
    <x v="10"/>
    <m/>
    <n v="0.87224000000000002"/>
    <n v="0.89283000000000001"/>
    <n v="0.88253499999999996"/>
    <n v="205.9"/>
  </r>
  <r>
    <x v="13"/>
    <x v="47"/>
    <x v="10"/>
    <m/>
    <n v="0.87224000000000002"/>
    <n v="0.89283000000000001"/>
    <n v="0.88253499999999996"/>
    <n v="205.9"/>
  </r>
  <r>
    <x v="13"/>
    <x v="47"/>
    <x v="10"/>
    <m/>
    <n v="0.87224000000000002"/>
    <n v="0.89283000000000001"/>
    <n v="0.88253499999999996"/>
    <n v="205.9"/>
  </r>
  <r>
    <x v="13"/>
    <x v="47"/>
    <x v="10"/>
    <m/>
    <n v="0.87224000000000002"/>
    <n v="0.89283000000000001"/>
    <n v="0.88253499999999996"/>
    <n v="205.9"/>
  </r>
  <r>
    <x v="13"/>
    <x v="47"/>
    <x v="10"/>
    <m/>
    <n v="0.87224000000000002"/>
    <n v="0.89283000000000001"/>
    <n v="0.88253499999999996"/>
    <n v="205.9"/>
  </r>
  <r>
    <x v="13"/>
    <x v="47"/>
    <x v="10"/>
    <m/>
    <n v="0.87224000000000002"/>
    <n v="0.89283000000000001"/>
    <n v="0.88253499999999996"/>
    <n v="205.9"/>
  </r>
  <r>
    <x v="13"/>
    <x v="47"/>
    <x v="10"/>
    <m/>
    <n v="0.87224000000000002"/>
    <n v="0.89283000000000001"/>
    <n v="0.88253499999999996"/>
    <n v="205.9"/>
  </r>
  <r>
    <x v="13"/>
    <x v="47"/>
    <x v="10"/>
    <m/>
    <n v="0.87224000000000002"/>
    <n v="0.89283000000000001"/>
    <n v="0.88253499999999996"/>
    <n v="205.9"/>
  </r>
  <r>
    <x v="13"/>
    <x v="47"/>
    <x v="10"/>
    <m/>
    <n v="0.87224000000000002"/>
    <n v="0.89283000000000001"/>
    <n v="0.88253499999999996"/>
    <n v="205.9"/>
  </r>
  <r>
    <x v="13"/>
    <x v="47"/>
    <x v="10"/>
    <m/>
    <n v="0.87224000000000002"/>
    <n v="0.89283000000000001"/>
    <n v="0.88253499999999996"/>
    <n v="205.9"/>
  </r>
  <r>
    <x v="13"/>
    <x v="47"/>
    <x v="6"/>
    <m/>
    <n v="0.82752000000000003"/>
    <n v="0.85362000000000005"/>
    <n v="0.84057000000000004"/>
    <n v="261"/>
  </r>
  <r>
    <x v="13"/>
    <x v="47"/>
    <x v="6"/>
    <m/>
    <n v="0.82752000000000003"/>
    <n v="0.85362000000000005"/>
    <n v="0.84057000000000004"/>
    <n v="261"/>
  </r>
  <r>
    <x v="13"/>
    <x v="47"/>
    <x v="6"/>
    <m/>
    <n v="0.82752000000000003"/>
    <n v="0.85362000000000005"/>
    <n v="0.84057000000000004"/>
    <n v="261"/>
  </r>
  <r>
    <x v="13"/>
    <x v="47"/>
    <x v="6"/>
    <m/>
    <n v="0.82752000000000003"/>
    <n v="0.85362000000000005"/>
    <n v="0.84057000000000004"/>
    <n v="261"/>
  </r>
  <r>
    <x v="13"/>
    <x v="47"/>
    <x v="6"/>
    <m/>
    <n v="0.82752000000000003"/>
    <n v="0.85362000000000005"/>
    <n v="0.84057000000000004"/>
    <n v="261"/>
  </r>
  <r>
    <x v="13"/>
    <x v="47"/>
    <x v="6"/>
    <m/>
    <n v="0.82752000000000003"/>
    <n v="0.85362000000000005"/>
    <n v="0.84057000000000004"/>
    <n v="261"/>
  </r>
  <r>
    <x v="13"/>
    <x v="47"/>
    <x v="6"/>
    <m/>
    <n v="0.82752000000000003"/>
    <n v="0.85362000000000005"/>
    <n v="0.84057000000000004"/>
    <n v="261"/>
  </r>
  <r>
    <x v="13"/>
    <x v="47"/>
    <x v="6"/>
    <m/>
    <n v="0.82752000000000003"/>
    <n v="0.85362000000000005"/>
    <n v="0.84057000000000004"/>
    <n v="261"/>
  </r>
  <r>
    <x v="13"/>
    <x v="47"/>
    <x v="6"/>
    <m/>
    <n v="0.82752000000000003"/>
    <n v="0.85362000000000005"/>
    <n v="0.84057000000000004"/>
    <n v="261"/>
  </r>
  <r>
    <x v="13"/>
    <x v="47"/>
    <x v="6"/>
    <m/>
    <n v="0.82752000000000003"/>
    <n v="0.85362000000000005"/>
    <n v="0.84057000000000004"/>
    <n v="261"/>
  </r>
  <r>
    <x v="13"/>
    <x v="47"/>
    <x v="6"/>
    <m/>
    <n v="0.82752000000000003"/>
    <n v="0.85362000000000005"/>
    <n v="0.84057000000000004"/>
    <n v="261"/>
  </r>
  <r>
    <x v="13"/>
    <x v="47"/>
    <x v="6"/>
    <m/>
    <n v="0.82752000000000003"/>
    <n v="0.85362000000000005"/>
    <n v="0.84057000000000004"/>
    <n v="261"/>
  </r>
  <r>
    <x v="13"/>
    <x v="47"/>
    <x v="6"/>
    <m/>
    <n v="0.82752000000000003"/>
    <n v="0.85362000000000005"/>
    <n v="0.84057000000000004"/>
    <n v="261"/>
  </r>
  <r>
    <x v="13"/>
    <x v="47"/>
    <x v="6"/>
    <m/>
    <n v="0.82752000000000003"/>
    <n v="0.85362000000000005"/>
    <n v="0.84057000000000004"/>
    <n v="261"/>
  </r>
  <r>
    <x v="13"/>
    <x v="47"/>
    <x v="6"/>
    <m/>
    <n v="0.82752000000000003"/>
    <n v="0.85362000000000005"/>
    <n v="0.84057000000000004"/>
    <n v="261"/>
  </r>
  <r>
    <x v="13"/>
    <x v="47"/>
    <x v="6"/>
    <m/>
    <n v="0.82752000000000003"/>
    <n v="0.85362000000000005"/>
    <n v="0.84057000000000004"/>
    <n v="261"/>
  </r>
  <r>
    <x v="13"/>
    <x v="47"/>
    <x v="6"/>
    <m/>
    <n v="0.82752000000000003"/>
    <n v="0.85362000000000005"/>
    <n v="0.84057000000000004"/>
    <n v="261"/>
  </r>
  <r>
    <x v="13"/>
    <x v="47"/>
    <x v="6"/>
    <m/>
    <n v="0.82752000000000003"/>
    <n v="0.85362000000000005"/>
    <n v="0.84057000000000004"/>
    <n v="261"/>
  </r>
  <r>
    <x v="13"/>
    <x v="47"/>
    <x v="6"/>
    <m/>
    <n v="0.82752000000000003"/>
    <n v="0.85362000000000005"/>
    <n v="0.84057000000000004"/>
    <n v="261"/>
  </r>
  <r>
    <x v="13"/>
    <x v="47"/>
    <x v="6"/>
    <m/>
    <n v="0.82752000000000003"/>
    <n v="0.85362000000000005"/>
    <n v="0.84057000000000004"/>
    <n v="261"/>
  </r>
  <r>
    <x v="13"/>
    <x v="47"/>
    <x v="9"/>
    <m/>
    <n v="0.81752000000000002"/>
    <n v="0.83579000000000003"/>
    <n v="0.82665500000000003"/>
    <n v="182.7"/>
  </r>
  <r>
    <x v="13"/>
    <x v="47"/>
    <x v="9"/>
    <m/>
    <n v="0.81752000000000002"/>
    <n v="0.83579000000000003"/>
    <n v="0.82665500000000003"/>
    <n v="182.7"/>
  </r>
  <r>
    <x v="13"/>
    <x v="47"/>
    <x v="9"/>
    <m/>
    <n v="0.81752000000000002"/>
    <n v="0.83579000000000003"/>
    <n v="0.82665500000000003"/>
    <n v="182.7"/>
  </r>
  <r>
    <x v="13"/>
    <x v="47"/>
    <x v="9"/>
    <m/>
    <n v="0.81752000000000002"/>
    <n v="0.83579000000000003"/>
    <n v="0.82665500000000003"/>
    <n v="182.7"/>
  </r>
  <r>
    <x v="13"/>
    <x v="47"/>
    <x v="9"/>
    <m/>
    <n v="0.81752000000000002"/>
    <n v="0.83579000000000003"/>
    <n v="0.82665500000000003"/>
    <n v="182.7"/>
  </r>
  <r>
    <x v="13"/>
    <x v="47"/>
    <x v="9"/>
    <m/>
    <n v="0.81752000000000002"/>
    <n v="0.83579000000000003"/>
    <n v="0.82665500000000003"/>
    <n v="182.7"/>
  </r>
  <r>
    <x v="13"/>
    <x v="47"/>
    <x v="9"/>
    <m/>
    <n v="0.81752000000000002"/>
    <n v="0.83579000000000003"/>
    <n v="0.82665500000000003"/>
    <n v="182.7"/>
  </r>
  <r>
    <x v="13"/>
    <x v="47"/>
    <x v="9"/>
    <m/>
    <n v="0.81752000000000002"/>
    <n v="0.83579000000000003"/>
    <n v="0.82665500000000003"/>
    <n v="182.7"/>
  </r>
  <r>
    <x v="13"/>
    <x v="47"/>
    <x v="9"/>
    <m/>
    <n v="0.81752000000000002"/>
    <n v="0.83579000000000003"/>
    <n v="0.82665500000000003"/>
    <n v="182.7"/>
  </r>
  <r>
    <x v="13"/>
    <x v="47"/>
    <x v="9"/>
    <m/>
    <n v="0.81752000000000002"/>
    <n v="0.83579000000000003"/>
    <n v="0.82665500000000003"/>
    <n v="182.7"/>
  </r>
  <r>
    <x v="13"/>
    <x v="47"/>
    <x v="9"/>
    <m/>
    <n v="0.81752000000000002"/>
    <n v="0.83579000000000003"/>
    <n v="0.82665500000000003"/>
    <n v="182.7"/>
  </r>
  <r>
    <x v="13"/>
    <x v="47"/>
    <x v="9"/>
    <m/>
    <n v="0.81752000000000002"/>
    <n v="0.83579000000000003"/>
    <n v="0.82665500000000003"/>
    <n v="182.7"/>
  </r>
  <r>
    <x v="13"/>
    <x v="47"/>
    <x v="9"/>
    <m/>
    <n v="0.81752000000000002"/>
    <n v="0.83579000000000003"/>
    <n v="0.82665500000000003"/>
    <n v="182.7"/>
  </r>
  <r>
    <x v="13"/>
    <x v="47"/>
    <x v="9"/>
    <m/>
    <n v="0.81752000000000002"/>
    <n v="0.83579000000000003"/>
    <n v="0.82665500000000003"/>
    <n v="182.7"/>
  </r>
  <r>
    <x v="13"/>
    <x v="47"/>
    <x v="9"/>
    <m/>
    <n v="0.81752000000000002"/>
    <n v="0.83579000000000003"/>
    <n v="0.82665500000000003"/>
    <n v="182.7"/>
  </r>
  <r>
    <x v="13"/>
    <x v="47"/>
    <x v="4"/>
    <m/>
    <n v="90.941000000000003"/>
    <n v="93.671000000000006"/>
    <n v="92.305999999999997"/>
    <n v="273"/>
  </r>
  <r>
    <x v="13"/>
    <x v="47"/>
    <x v="4"/>
    <m/>
    <n v="90.941000000000003"/>
    <n v="93.671000000000006"/>
    <n v="92.305999999999997"/>
    <n v="273"/>
  </r>
  <r>
    <x v="13"/>
    <x v="47"/>
    <x v="4"/>
    <m/>
    <n v="90.941000000000003"/>
    <n v="93.671000000000006"/>
    <n v="92.305999999999997"/>
    <n v="273"/>
  </r>
  <r>
    <x v="13"/>
    <x v="47"/>
    <x v="4"/>
    <m/>
    <n v="90.941000000000003"/>
    <n v="93.671000000000006"/>
    <n v="92.305999999999997"/>
    <n v="273"/>
  </r>
  <r>
    <x v="13"/>
    <x v="47"/>
    <x v="4"/>
    <m/>
    <n v="90.941000000000003"/>
    <n v="93.671000000000006"/>
    <n v="92.305999999999997"/>
    <n v="273"/>
  </r>
  <r>
    <x v="13"/>
    <x v="47"/>
    <x v="4"/>
    <m/>
    <n v="90.941000000000003"/>
    <n v="93.671000000000006"/>
    <n v="92.305999999999997"/>
    <n v="273"/>
  </r>
  <r>
    <x v="13"/>
    <x v="47"/>
    <x v="4"/>
    <m/>
    <n v="90.941000000000003"/>
    <n v="93.671000000000006"/>
    <n v="92.305999999999997"/>
    <n v="273"/>
  </r>
  <r>
    <x v="13"/>
    <x v="47"/>
    <x v="4"/>
    <m/>
    <n v="90.941000000000003"/>
    <n v="93.671000000000006"/>
    <n v="92.305999999999997"/>
    <n v="273"/>
  </r>
  <r>
    <x v="13"/>
    <x v="48"/>
    <x v="4"/>
    <m/>
    <n v="90.941000000000003"/>
    <n v="93.671000000000006"/>
    <n v="92.305999999999997"/>
    <n v="273"/>
  </r>
  <r>
    <x v="13"/>
    <x v="48"/>
    <x v="4"/>
    <m/>
    <n v="90.941000000000003"/>
    <n v="93.671000000000006"/>
    <n v="92.305999999999997"/>
    <n v="273"/>
  </r>
  <r>
    <x v="13"/>
    <x v="48"/>
    <x v="4"/>
    <m/>
    <n v="90.941000000000003"/>
    <n v="93.671000000000006"/>
    <n v="92.305999999999997"/>
    <n v="273"/>
  </r>
  <r>
    <x v="13"/>
    <x v="48"/>
    <x v="4"/>
    <m/>
    <n v="90.941000000000003"/>
    <n v="93.671000000000006"/>
    <n v="92.305999999999997"/>
    <n v="273"/>
  </r>
  <r>
    <x v="13"/>
    <x v="48"/>
    <x v="4"/>
    <m/>
    <n v="90.941000000000003"/>
    <n v="93.671000000000006"/>
    <n v="92.305999999999997"/>
    <n v="273"/>
  </r>
  <r>
    <x v="13"/>
    <x v="48"/>
    <x v="4"/>
    <m/>
    <n v="90.941000000000003"/>
    <n v="93.671000000000006"/>
    <n v="92.305999999999997"/>
    <n v="273"/>
  </r>
  <r>
    <x v="13"/>
    <x v="48"/>
    <x v="4"/>
    <m/>
    <n v="90.941000000000003"/>
    <n v="93.671000000000006"/>
    <n v="92.305999999999997"/>
    <n v="273"/>
  </r>
  <r>
    <x v="13"/>
    <x v="48"/>
    <x v="4"/>
    <m/>
    <n v="90.941000000000003"/>
    <n v="93.671000000000006"/>
    <n v="92.305999999999997"/>
    <n v="273"/>
  </r>
  <r>
    <x v="13"/>
    <x v="48"/>
    <x v="4"/>
    <m/>
    <n v="90.941000000000003"/>
    <n v="93.671000000000006"/>
    <n v="92.305999999999997"/>
    <n v="273"/>
  </r>
  <r>
    <x v="13"/>
    <x v="48"/>
    <x v="4"/>
    <m/>
    <n v="90.941000000000003"/>
    <n v="93.671000000000006"/>
    <n v="92.305999999999997"/>
    <n v="273"/>
  </r>
  <r>
    <x v="13"/>
    <x v="48"/>
    <x v="4"/>
    <m/>
    <n v="90.941000000000003"/>
    <n v="93.671000000000006"/>
    <n v="92.305999999999997"/>
    <n v="273"/>
  </r>
  <r>
    <x v="13"/>
    <x v="48"/>
    <x v="4"/>
    <m/>
    <n v="90.941000000000003"/>
    <n v="93.671000000000006"/>
    <n v="92.305999999999997"/>
    <n v="273"/>
  </r>
  <r>
    <x v="13"/>
    <x v="48"/>
    <x v="4"/>
    <m/>
    <n v="90.941000000000003"/>
    <n v="93.671000000000006"/>
    <n v="92.305999999999997"/>
    <n v="273"/>
  </r>
  <r>
    <x v="13"/>
    <x v="48"/>
    <x v="4"/>
    <m/>
    <n v="90.941000000000003"/>
    <n v="93.671000000000006"/>
    <n v="92.305999999999997"/>
    <n v="273"/>
  </r>
  <r>
    <x v="13"/>
    <x v="48"/>
    <x v="4"/>
    <m/>
    <n v="90.941000000000003"/>
    <n v="93.671000000000006"/>
    <n v="92.305999999999997"/>
    <n v="273"/>
  </r>
  <r>
    <x v="13"/>
    <x v="48"/>
    <x v="4"/>
    <m/>
    <n v="90.941000000000003"/>
    <n v="93.671000000000006"/>
    <n v="92.305999999999997"/>
    <n v="273"/>
  </r>
  <r>
    <x v="13"/>
    <x v="48"/>
    <x v="4"/>
    <m/>
    <n v="90.941000000000003"/>
    <n v="93.671000000000006"/>
    <n v="92.305999999999997"/>
    <n v="273"/>
  </r>
  <r>
    <x v="13"/>
    <x v="48"/>
    <x v="4"/>
    <m/>
    <n v="90.941000000000003"/>
    <n v="93.671000000000006"/>
    <n v="92.305999999999997"/>
    <n v="273"/>
  </r>
  <r>
    <x v="13"/>
    <x v="48"/>
    <x v="4"/>
    <m/>
    <n v="90.941000000000003"/>
    <n v="93.671000000000006"/>
    <n v="92.305999999999997"/>
    <n v="273"/>
  </r>
  <r>
    <x v="13"/>
    <x v="48"/>
    <x v="10"/>
    <m/>
    <n v="0.87224000000000002"/>
    <n v="0.89283000000000001"/>
    <n v="0.88253499999999996"/>
    <n v="205.9"/>
  </r>
  <r>
    <x v="13"/>
    <x v="48"/>
    <x v="10"/>
    <m/>
    <n v="0.87224000000000002"/>
    <n v="0.89283000000000001"/>
    <n v="0.88253499999999996"/>
    <n v="205.9"/>
  </r>
  <r>
    <x v="13"/>
    <x v="48"/>
    <x v="10"/>
    <m/>
    <n v="0.87224000000000002"/>
    <n v="0.89283000000000001"/>
    <n v="0.88253499999999996"/>
    <n v="205.9"/>
  </r>
  <r>
    <x v="13"/>
    <x v="48"/>
    <x v="10"/>
    <m/>
    <n v="0.87224000000000002"/>
    <n v="0.89283000000000001"/>
    <n v="0.88253499999999996"/>
    <n v="205.9"/>
  </r>
  <r>
    <x v="13"/>
    <x v="48"/>
    <x v="10"/>
    <m/>
    <n v="0.87224000000000002"/>
    <n v="0.89283000000000001"/>
    <n v="0.88253499999999996"/>
    <n v="205.9"/>
  </r>
  <r>
    <x v="13"/>
    <x v="48"/>
    <x v="10"/>
    <m/>
    <n v="0.87224000000000002"/>
    <n v="0.89283000000000001"/>
    <n v="0.88253499999999996"/>
    <n v="205.9"/>
  </r>
  <r>
    <x v="13"/>
    <x v="48"/>
    <x v="10"/>
    <m/>
    <n v="0.87224000000000002"/>
    <n v="0.89283000000000001"/>
    <n v="0.88253499999999996"/>
    <n v="205.9"/>
  </r>
  <r>
    <x v="13"/>
    <x v="48"/>
    <x v="10"/>
    <m/>
    <n v="0.87224000000000002"/>
    <n v="0.89283000000000001"/>
    <n v="0.88253499999999996"/>
    <n v="205.9"/>
  </r>
  <r>
    <x v="13"/>
    <x v="48"/>
    <x v="10"/>
    <m/>
    <n v="0.87224000000000002"/>
    <n v="0.89283000000000001"/>
    <n v="0.88253499999999996"/>
    <n v="205.9"/>
  </r>
  <r>
    <x v="13"/>
    <x v="48"/>
    <x v="10"/>
    <m/>
    <n v="0.87224000000000002"/>
    <n v="0.89283000000000001"/>
    <n v="0.88253499999999996"/>
    <n v="205.9"/>
  </r>
  <r>
    <x v="13"/>
    <x v="48"/>
    <x v="10"/>
    <m/>
    <n v="0.87224000000000002"/>
    <n v="0.89283000000000001"/>
    <n v="0.88253499999999996"/>
    <n v="205.9"/>
  </r>
  <r>
    <x v="13"/>
    <x v="48"/>
    <x v="10"/>
    <m/>
    <n v="0.87224000000000002"/>
    <n v="0.89283000000000001"/>
    <n v="0.88253499999999996"/>
    <n v="205.9"/>
  </r>
  <r>
    <x v="13"/>
    <x v="48"/>
    <x v="10"/>
    <m/>
    <n v="0.87224000000000002"/>
    <n v="0.89283000000000001"/>
    <n v="0.88253499999999996"/>
    <n v="205.9"/>
  </r>
  <r>
    <x v="13"/>
    <x v="48"/>
    <x v="10"/>
    <m/>
    <n v="0.87224000000000002"/>
    <n v="0.89283000000000001"/>
    <n v="0.88253499999999996"/>
    <n v="205.9"/>
  </r>
  <r>
    <x v="13"/>
    <x v="48"/>
    <x v="10"/>
    <m/>
    <n v="0.87224000000000002"/>
    <n v="0.89283000000000001"/>
    <n v="0.88253499999999996"/>
    <n v="205.9"/>
  </r>
  <r>
    <x v="13"/>
    <x v="48"/>
    <x v="10"/>
    <m/>
    <n v="0.87224000000000002"/>
    <n v="0.89283000000000001"/>
    <n v="0.88253499999999996"/>
    <n v="205.9"/>
  </r>
  <r>
    <x v="13"/>
    <x v="48"/>
    <x v="10"/>
    <m/>
    <n v="0.87224000000000002"/>
    <n v="0.89283000000000001"/>
    <n v="0.88253499999999996"/>
    <n v="205.9"/>
  </r>
  <r>
    <x v="13"/>
    <x v="48"/>
    <x v="10"/>
    <m/>
    <n v="0.87224000000000002"/>
    <n v="0.89283000000000001"/>
    <n v="0.88253499999999996"/>
    <n v="205.9"/>
  </r>
  <r>
    <x v="13"/>
    <x v="48"/>
    <x v="10"/>
    <m/>
    <n v="0.87224000000000002"/>
    <n v="0.89283000000000001"/>
    <n v="0.88253499999999996"/>
    <n v="205.9"/>
  </r>
  <r>
    <x v="13"/>
    <x v="48"/>
    <x v="10"/>
    <m/>
    <n v="0.87224000000000002"/>
    <n v="0.89283000000000001"/>
    <n v="0.88253499999999996"/>
    <n v="205.9"/>
  </r>
  <r>
    <x v="13"/>
    <x v="48"/>
    <x v="10"/>
    <m/>
    <n v="0.87224000000000002"/>
    <n v="0.89283000000000001"/>
    <n v="0.88253499999999996"/>
    <n v="205.9"/>
  </r>
  <r>
    <x v="13"/>
    <x v="48"/>
    <x v="6"/>
    <m/>
    <n v="0.82752000000000003"/>
    <n v="0.85368999999999995"/>
    <n v="0.84060500000000005"/>
    <n v="261.7"/>
  </r>
  <r>
    <x v="13"/>
    <x v="48"/>
    <x v="6"/>
    <m/>
    <n v="0.82752000000000003"/>
    <n v="0.85368999999999995"/>
    <n v="0.84060500000000005"/>
    <n v="261.7"/>
  </r>
  <r>
    <x v="13"/>
    <x v="48"/>
    <x v="6"/>
    <m/>
    <n v="0.82752000000000003"/>
    <n v="0.85368999999999995"/>
    <n v="0.84060500000000005"/>
    <n v="261.7"/>
  </r>
  <r>
    <x v="13"/>
    <x v="48"/>
    <x v="6"/>
    <m/>
    <n v="0.82752000000000003"/>
    <n v="0.85368999999999995"/>
    <n v="0.84060500000000005"/>
    <n v="261.7"/>
  </r>
  <r>
    <x v="13"/>
    <x v="48"/>
    <x v="6"/>
    <m/>
    <n v="0.82752000000000003"/>
    <n v="0.85368999999999995"/>
    <n v="0.84060500000000005"/>
    <n v="261.7"/>
  </r>
  <r>
    <x v="13"/>
    <x v="48"/>
    <x v="6"/>
    <m/>
    <n v="0.82752000000000003"/>
    <n v="0.85368999999999995"/>
    <n v="0.84060500000000005"/>
    <n v="261.7"/>
  </r>
  <r>
    <x v="13"/>
    <x v="48"/>
    <x v="6"/>
    <m/>
    <n v="0.82752000000000003"/>
    <n v="0.85368999999999995"/>
    <n v="0.84060500000000005"/>
    <n v="261.7"/>
  </r>
  <r>
    <x v="13"/>
    <x v="48"/>
    <x v="6"/>
    <m/>
    <n v="0.82752000000000003"/>
    <n v="0.85368999999999995"/>
    <n v="0.84060500000000005"/>
    <n v="261.7"/>
  </r>
  <r>
    <x v="13"/>
    <x v="48"/>
    <x v="6"/>
    <m/>
    <n v="0.82752000000000003"/>
    <n v="0.85368999999999995"/>
    <n v="0.84060500000000005"/>
    <n v="261.7"/>
  </r>
  <r>
    <x v="13"/>
    <x v="48"/>
    <x v="6"/>
    <m/>
    <n v="0.82752000000000003"/>
    <n v="0.85368999999999995"/>
    <n v="0.84060500000000005"/>
    <n v="261.7"/>
  </r>
  <r>
    <x v="13"/>
    <x v="48"/>
    <x v="6"/>
    <m/>
    <n v="0.82752000000000003"/>
    <n v="0.85368999999999995"/>
    <n v="0.84060500000000005"/>
    <n v="261.7"/>
  </r>
  <r>
    <x v="13"/>
    <x v="48"/>
    <x v="6"/>
    <m/>
    <n v="0.82752000000000003"/>
    <n v="0.85368999999999995"/>
    <n v="0.84060500000000005"/>
    <n v="261.7"/>
  </r>
  <r>
    <x v="13"/>
    <x v="48"/>
    <x v="6"/>
    <m/>
    <n v="0.82752000000000003"/>
    <n v="0.85368999999999995"/>
    <n v="0.84060500000000005"/>
    <n v="261.7"/>
  </r>
  <r>
    <x v="13"/>
    <x v="48"/>
    <x v="6"/>
    <m/>
    <n v="0.82752000000000003"/>
    <n v="0.85368999999999995"/>
    <n v="0.84060500000000005"/>
    <n v="261.7"/>
  </r>
  <r>
    <x v="13"/>
    <x v="48"/>
    <x v="6"/>
    <m/>
    <n v="0.82752000000000003"/>
    <n v="0.85368999999999995"/>
    <n v="0.84060500000000005"/>
    <n v="261.7"/>
  </r>
  <r>
    <x v="13"/>
    <x v="48"/>
    <x v="6"/>
    <m/>
    <n v="0.82752000000000003"/>
    <n v="0.85368999999999995"/>
    <n v="0.84060500000000005"/>
    <n v="261.7"/>
  </r>
  <r>
    <x v="13"/>
    <x v="48"/>
    <x v="6"/>
    <m/>
    <n v="0.82752000000000003"/>
    <n v="0.85368999999999995"/>
    <n v="0.84060500000000005"/>
    <n v="261.7"/>
  </r>
  <r>
    <x v="13"/>
    <x v="48"/>
    <x v="6"/>
    <m/>
    <n v="0.82752000000000003"/>
    <n v="0.85368999999999995"/>
    <n v="0.84060500000000005"/>
    <n v="261.7"/>
  </r>
  <r>
    <x v="13"/>
    <x v="48"/>
    <x v="6"/>
    <m/>
    <n v="0.82752000000000003"/>
    <n v="0.85368999999999995"/>
    <n v="0.84060500000000005"/>
    <n v="261.7"/>
  </r>
  <r>
    <x v="13"/>
    <x v="48"/>
    <x v="6"/>
    <m/>
    <n v="0.82752000000000003"/>
    <n v="0.85368999999999995"/>
    <n v="0.84060500000000005"/>
    <n v="261.7"/>
  </r>
  <r>
    <x v="13"/>
    <x v="48"/>
    <x v="6"/>
    <m/>
    <n v="0.82752000000000003"/>
    <n v="0.85368999999999995"/>
    <n v="0.84060500000000005"/>
    <n v="261.7"/>
  </r>
  <r>
    <x v="13"/>
    <x v="48"/>
    <x v="6"/>
    <m/>
    <n v="0.82752000000000003"/>
    <n v="0.85368999999999995"/>
    <n v="0.84060500000000005"/>
    <n v="261.7"/>
  </r>
  <r>
    <x v="13"/>
    <x v="48"/>
    <x v="6"/>
    <m/>
    <n v="0.82752000000000003"/>
    <n v="0.85368999999999995"/>
    <n v="0.84060500000000005"/>
    <n v="261.7"/>
  </r>
  <r>
    <x v="13"/>
    <x v="48"/>
    <x v="9"/>
    <m/>
    <n v="0.81752000000000002"/>
    <n v="0.83636999999999995"/>
    <n v="0.82694500000000004"/>
    <n v="188.5"/>
  </r>
  <r>
    <x v="13"/>
    <x v="48"/>
    <x v="9"/>
    <m/>
    <n v="0.81752000000000002"/>
    <n v="0.83636999999999995"/>
    <n v="0.82694500000000004"/>
    <n v="188.5"/>
  </r>
  <r>
    <x v="13"/>
    <x v="48"/>
    <x v="9"/>
    <m/>
    <n v="0.81752000000000002"/>
    <n v="0.83636999999999995"/>
    <n v="0.82694500000000004"/>
    <n v="188.5"/>
  </r>
  <r>
    <x v="13"/>
    <x v="48"/>
    <x v="9"/>
    <m/>
    <n v="0.81752000000000002"/>
    <n v="0.83636999999999995"/>
    <n v="0.82694500000000004"/>
    <n v="188.5"/>
  </r>
  <r>
    <x v="13"/>
    <x v="48"/>
    <x v="9"/>
    <m/>
    <n v="0.81752000000000002"/>
    <n v="0.83636999999999995"/>
    <n v="0.82694500000000004"/>
    <n v="188.5"/>
  </r>
  <r>
    <x v="13"/>
    <x v="48"/>
    <x v="9"/>
    <m/>
    <n v="0.81752000000000002"/>
    <n v="0.83636999999999995"/>
    <n v="0.82694500000000004"/>
    <n v="188.5"/>
  </r>
  <r>
    <x v="13"/>
    <x v="48"/>
    <x v="9"/>
    <m/>
    <n v="0.81752000000000002"/>
    <n v="0.83636999999999995"/>
    <n v="0.82694500000000004"/>
    <n v="188.5"/>
  </r>
  <r>
    <x v="13"/>
    <x v="48"/>
    <x v="9"/>
    <m/>
    <n v="0.81752000000000002"/>
    <n v="0.83636999999999995"/>
    <n v="0.82694500000000004"/>
    <n v="188.5"/>
  </r>
  <r>
    <x v="13"/>
    <x v="48"/>
    <x v="9"/>
    <m/>
    <n v="0.81752000000000002"/>
    <n v="0.83636999999999995"/>
    <n v="0.82694500000000004"/>
    <n v="188.5"/>
  </r>
  <r>
    <x v="13"/>
    <x v="48"/>
    <x v="9"/>
    <m/>
    <n v="0.81752000000000002"/>
    <n v="0.83636999999999995"/>
    <n v="0.82694500000000004"/>
    <n v="188.5"/>
  </r>
  <r>
    <x v="13"/>
    <x v="48"/>
    <x v="9"/>
    <m/>
    <n v="0.81752000000000002"/>
    <n v="0.83636999999999995"/>
    <n v="0.82694500000000004"/>
    <n v="188.5"/>
  </r>
  <r>
    <x v="13"/>
    <x v="48"/>
    <x v="9"/>
    <m/>
    <n v="0.81752000000000002"/>
    <n v="0.83636999999999995"/>
    <n v="0.82694500000000004"/>
    <n v="188.5"/>
  </r>
  <r>
    <x v="13"/>
    <x v="48"/>
    <x v="9"/>
    <m/>
    <n v="0.81752000000000002"/>
    <n v="0.83636999999999995"/>
    <n v="0.82694500000000004"/>
    <n v="188.5"/>
  </r>
  <r>
    <x v="13"/>
    <x v="48"/>
    <x v="9"/>
    <m/>
    <n v="0.81752000000000002"/>
    <n v="0.83636999999999995"/>
    <n v="0.82694500000000004"/>
    <n v="188.5"/>
  </r>
  <r>
    <x v="13"/>
    <x v="48"/>
    <x v="9"/>
    <m/>
    <n v="0.81752000000000002"/>
    <n v="0.83636999999999995"/>
    <n v="0.82694500000000004"/>
    <n v="188.5"/>
  </r>
  <r>
    <x v="13"/>
    <x v="48"/>
    <x v="9"/>
    <m/>
    <n v="0.81752000000000002"/>
    <n v="0.83636999999999995"/>
    <n v="0.82694500000000004"/>
    <n v="188.5"/>
  </r>
  <r>
    <x v="13"/>
    <x v="48"/>
    <x v="4"/>
    <m/>
    <n v="90.941000000000003"/>
    <n v="93.671000000000006"/>
    <n v="92.305999999999997"/>
    <n v="273"/>
  </r>
  <r>
    <x v="13"/>
    <x v="48"/>
    <x v="4"/>
    <m/>
    <n v="90.941000000000003"/>
    <n v="93.671000000000006"/>
    <n v="92.305999999999997"/>
    <n v="273"/>
  </r>
  <r>
    <x v="13"/>
    <x v="48"/>
    <x v="4"/>
    <m/>
    <n v="90.941000000000003"/>
    <n v="93.671000000000006"/>
    <n v="92.305999999999997"/>
    <n v="273"/>
  </r>
  <r>
    <x v="13"/>
    <x v="48"/>
    <x v="4"/>
    <m/>
    <n v="90.941000000000003"/>
    <n v="93.671000000000006"/>
    <n v="92.305999999999997"/>
    <n v="273"/>
  </r>
  <r>
    <x v="13"/>
    <x v="49"/>
    <x v="4"/>
    <m/>
    <n v="90.941000000000003"/>
    <n v="95.129000000000005"/>
    <n v="93.034999999999997"/>
    <n v="418.8"/>
  </r>
  <r>
    <x v="13"/>
    <x v="49"/>
    <x v="4"/>
    <m/>
    <n v="90.941000000000003"/>
    <n v="95.129000000000005"/>
    <n v="93.034999999999997"/>
    <n v="418.8"/>
  </r>
  <r>
    <x v="13"/>
    <x v="49"/>
    <x v="4"/>
    <m/>
    <n v="90.941000000000003"/>
    <n v="95.129000000000005"/>
    <n v="93.034999999999997"/>
    <n v="418.8"/>
  </r>
  <r>
    <x v="13"/>
    <x v="49"/>
    <x v="4"/>
    <m/>
    <n v="90.941000000000003"/>
    <n v="95.129000000000005"/>
    <n v="93.034999999999997"/>
    <n v="418.8"/>
  </r>
  <r>
    <x v="13"/>
    <x v="49"/>
    <x v="4"/>
    <m/>
    <n v="90.941000000000003"/>
    <n v="95.129000000000005"/>
    <n v="93.034999999999997"/>
    <n v="418.8"/>
  </r>
  <r>
    <x v="13"/>
    <x v="49"/>
    <x v="4"/>
    <m/>
    <n v="90.941000000000003"/>
    <n v="95.129000000000005"/>
    <n v="93.034999999999997"/>
    <n v="418.8"/>
  </r>
  <r>
    <x v="13"/>
    <x v="49"/>
    <x v="4"/>
    <m/>
    <n v="90.941000000000003"/>
    <n v="95.129000000000005"/>
    <n v="93.034999999999997"/>
    <n v="418.8"/>
  </r>
  <r>
    <x v="13"/>
    <x v="49"/>
    <x v="4"/>
    <m/>
    <n v="90.941000000000003"/>
    <n v="95.129000000000005"/>
    <n v="93.034999999999997"/>
    <n v="418.8"/>
  </r>
  <r>
    <x v="13"/>
    <x v="49"/>
    <x v="4"/>
    <m/>
    <n v="90.941000000000003"/>
    <n v="95.129000000000005"/>
    <n v="93.034999999999997"/>
    <n v="418.8"/>
  </r>
  <r>
    <x v="13"/>
    <x v="49"/>
    <x v="4"/>
    <m/>
    <n v="90.941000000000003"/>
    <n v="95.129000000000005"/>
    <n v="93.034999999999997"/>
    <n v="418.8"/>
  </r>
  <r>
    <x v="13"/>
    <x v="49"/>
    <x v="4"/>
    <m/>
    <n v="90.941000000000003"/>
    <n v="95.129000000000005"/>
    <n v="93.034999999999997"/>
    <n v="418.8"/>
  </r>
  <r>
    <x v="13"/>
    <x v="49"/>
    <x v="4"/>
    <m/>
    <n v="90.941000000000003"/>
    <n v="95.129000000000005"/>
    <n v="93.034999999999997"/>
    <n v="418.8"/>
  </r>
  <r>
    <x v="13"/>
    <x v="49"/>
    <x v="4"/>
    <m/>
    <n v="90.941000000000003"/>
    <n v="95.129000000000005"/>
    <n v="93.034999999999997"/>
    <n v="418.8"/>
  </r>
  <r>
    <x v="13"/>
    <x v="49"/>
    <x v="4"/>
    <m/>
    <n v="90.941000000000003"/>
    <n v="95.129000000000005"/>
    <n v="93.034999999999997"/>
    <n v="418.8"/>
  </r>
  <r>
    <x v="13"/>
    <x v="49"/>
    <x v="4"/>
    <m/>
    <n v="90.941000000000003"/>
    <n v="95.129000000000005"/>
    <n v="93.034999999999997"/>
    <n v="418.8"/>
  </r>
  <r>
    <x v="13"/>
    <x v="49"/>
    <x v="4"/>
    <m/>
    <n v="90.941000000000003"/>
    <n v="95.129000000000005"/>
    <n v="93.034999999999997"/>
    <n v="418.8"/>
  </r>
  <r>
    <x v="13"/>
    <x v="49"/>
    <x v="4"/>
    <m/>
    <n v="90.941000000000003"/>
    <n v="95.129000000000005"/>
    <n v="93.034999999999997"/>
    <n v="418.8"/>
  </r>
  <r>
    <x v="13"/>
    <x v="49"/>
    <x v="4"/>
    <m/>
    <n v="90.941000000000003"/>
    <n v="95.129000000000005"/>
    <n v="93.034999999999997"/>
    <n v="418.8"/>
  </r>
  <r>
    <x v="13"/>
    <x v="49"/>
    <x v="4"/>
    <m/>
    <n v="90.941000000000003"/>
    <n v="95.129000000000005"/>
    <n v="93.034999999999997"/>
    <n v="418.8"/>
  </r>
  <r>
    <x v="13"/>
    <x v="49"/>
    <x v="4"/>
    <m/>
    <n v="90.941000000000003"/>
    <n v="95.129000000000005"/>
    <n v="93.034999999999997"/>
    <n v="418.8"/>
  </r>
  <r>
    <x v="13"/>
    <x v="49"/>
    <x v="4"/>
    <m/>
    <n v="90.941000000000003"/>
    <n v="95.129000000000005"/>
    <n v="93.034999999999997"/>
    <n v="418.8"/>
  </r>
  <r>
    <x v="13"/>
    <x v="49"/>
    <x v="4"/>
    <m/>
    <n v="90.941000000000003"/>
    <n v="95.129000000000005"/>
    <n v="93.034999999999997"/>
    <n v="418.8"/>
  </r>
  <r>
    <x v="13"/>
    <x v="49"/>
    <x v="4"/>
    <m/>
    <n v="90.941000000000003"/>
    <n v="95.129000000000005"/>
    <n v="93.034999999999997"/>
    <n v="418.8"/>
  </r>
  <r>
    <x v="13"/>
    <x v="49"/>
    <x v="4"/>
    <m/>
    <n v="90.941000000000003"/>
    <n v="95.129000000000005"/>
    <n v="93.034999999999997"/>
    <n v="418.8"/>
  </r>
  <r>
    <x v="13"/>
    <x v="49"/>
    <x v="4"/>
    <m/>
    <n v="90.941000000000003"/>
    <n v="95.129000000000005"/>
    <n v="93.034999999999997"/>
    <n v="418.8"/>
  </r>
  <r>
    <x v="13"/>
    <x v="49"/>
    <x v="10"/>
    <m/>
    <n v="0.87224000000000002"/>
    <n v="0.89283000000000001"/>
    <n v="0.88253499999999996"/>
    <n v="205.9"/>
  </r>
  <r>
    <x v="13"/>
    <x v="49"/>
    <x v="10"/>
    <m/>
    <n v="0.87224000000000002"/>
    <n v="0.89283000000000001"/>
    <n v="0.88253499999999996"/>
    <n v="205.9"/>
  </r>
  <r>
    <x v="13"/>
    <x v="49"/>
    <x v="10"/>
    <m/>
    <n v="0.87224000000000002"/>
    <n v="0.89283000000000001"/>
    <n v="0.88253499999999996"/>
    <n v="205.9"/>
  </r>
  <r>
    <x v="13"/>
    <x v="49"/>
    <x v="10"/>
    <m/>
    <n v="0.87224000000000002"/>
    <n v="0.89283000000000001"/>
    <n v="0.88253499999999996"/>
    <n v="205.9"/>
  </r>
  <r>
    <x v="13"/>
    <x v="49"/>
    <x v="10"/>
    <m/>
    <n v="0.87224000000000002"/>
    <n v="0.89283000000000001"/>
    <n v="0.88253499999999996"/>
    <n v="205.9"/>
  </r>
  <r>
    <x v="13"/>
    <x v="49"/>
    <x v="10"/>
    <m/>
    <n v="0.87224000000000002"/>
    <n v="0.89283000000000001"/>
    <n v="0.88253499999999996"/>
    <n v="205.9"/>
  </r>
  <r>
    <x v="13"/>
    <x v="49"/>
    <x v="10"/>
    <m/>
    <n v="0.87224000000000002"/>
    <n v="0.89283000000000001"/>
    <n v="0.88253499999999996"/>
    <n v="205.9"/>
  </r>
  <r>
    <x v="13"/>
    <x v="49"/>
    <x v="10"/>
    <m/>
    <n v="0.87224000000000002"/>
    <n v="0.89283000000000001"/>
    <n v="0.88253499999999996"/>
    <n v="205.9"/>
  </r>
  <r>
    <x v="13"/>
    <x v="49"/>
    <x v="10"/>
    <m/>
    <n v="0.87224000000000002"/>
    <n v="0.89283000000000001"/>
    <n v="0.88253499999999996"/>
    <n v="205.9"/>
  </r>
  <r>
    <x v="13"/>
    <x v="49"/>
    <x v="10"/>
    <m/>
    <n v="0.87224000000000002"/>
    <n v="0.89283000000000001"/>
    <n v="0.88253499999999996"/>
    <n v="205.9"/>
  </r>
  <r>
    <x v="13"/>
    <x v="49"/>
    <x v="10"/>
    <m/>
    <n v="0.87224000000000002"/>
    <n v="0.89283000000000001"/>
    <n v="0.88253499999999996"/>
    <n v="205.9"/>
  </r>
  <r>
    <x v="13"/>
    <x v="49"/>
    <x v="10"/>
    <m/>
    <n v="0.87224000000000002"/>
    <n v="0.89283000000000001"/>
    <n v="0.88253499999999996"/>
    <n v="205.9"/>
  </r>
  <r>
    <x v="13"/>
    <x v="49"/>
    <x v="10"/>
    <m/>
    <n v="0.87224000000000002"/>
    <n v="0.89283000000000001"/>
    <n v="0.88253499999999996"/>
    <n v="205.9"/>
  </r>
  <r>
    <x v="13"/>
    <x v="49"/>
    <x v="10"/>
    <m/>
    <n v="0.87224000000000002"/>
    <n v="0.89283000000000001"/>
    <n v="0.88253499999999996"/>
    <n v="205.9"/>
  </r>
  <r>
    <x v="13"/>
    <x v="49"/>
    <x v="10"/>
    <m/>
    <n v="0.87224000000000002"/>
    <n v="0.89283000000000001"/>
    <n v="0.88253499999999996"/>
    <n v="205.9"/>
  </r>
  <r>
    <x v="13"/>
    <x v="49"/>
    <x v="10"/>
    <m/>
    <n v="0.87224000000000002"/>
    <n v="0.89283000000000001"/>
    <n v="0.88253499999999996"/>
    <n v="205.9"/>
  </r>
  <r>
    <x v="13"/>
    <x v="49"/>
    <x v="10"/>
    <m/>
    <n v="0.87224000000000002"/>
    <n v="0.89283000000000001"/>
    <n v="0.88253499999999996"/>
    <n v="205.9"/>
  </r>
  <r>
    <x v="13"/>
    <x v="49"/>
    <x v="10"/>
    <m/>
    <n v="0.87224000000000002"/>
    <n v="0.89283000000000001"/>
    <n v="0.88253499999999996"/>
    <n v="205.9"/>
  </r>
  <r>
    <x v="13"/>
    <x v="49"/>
    <x v="10"/>
    <m/>
    <n v="0.87224000000000002"/>
    <n v="0.89283000000000001"/>
    <n v="0.88253499999999996"/>
    <n v="205.9"/>
  </r>
  <r>
    <x v="13"/>
    <x v="49"/>
    <x v="10"/>
    <m/>
    <n v="0.87224000000000002"/>
    <n v="0.89283000000000001"/>
    <n v="0.88253499999999996"/>
    <n v="205.9"/>
  </r>
  <r>
    <x v="13"/>
    <x v="49"/>
    <x v="10"/>
    <m/>
    <n v="0.87224000000000002"/>
    <n v="0.89283000000000001"/>
    <n v="0.88253499999999996"/>
    <n v="205.9"/>
  </r>
  <r>
    <x v="13"/>
    <x v="49"/>
    <x v="6"/>
    <m/>
    <n v="0.82752000000000003"/>
    <n v="0.86592000000000002"/>
    <n v="0.84672000000000003"/>
    <n v="384"/>
  </r>
  <r>
    <x v="13"/>
    <x v="49"/>
    <x v="6"/>
    <m/>
    <n v="0.82752000000000003"/>
    <n v="0.86592000000000002"/>
    <n v="0.84672000000000003"/>
    <n v="384"/>
  </r>
  <r>
    <x v="13"/>
    <x v="49"/>
    <x v="6"/>
    <m/>
    <n v="0.82752000000000003"/>
    <n v="0.86592000000000002"/>
    <n v="0.84672000000000003"/>
    <n v="384"/>
  </r>
  <r>
    <x v="13"/>
    <x v="49"/>
    <x v="6"/>
    <m/>
    <n v="0.82752000000000003"/>
    <n v="0.86592000000000002"/>
    <n v="0.84672000000000003"/>
    <n v="384"/>
  </r>
  <r>
    <x v="13"/>
    <x v="49"/>
    <x v="6"/>
    <m/>
    <n v="0.82752000000000003"/>
    <n v="0.86592000000000002"/>
    <n v="0.84672000000000003"/>
    <n v="384"/>
  </r>
  <r>
    <x v="13"/>
    <x v="49"/>
    <x v="6"/>
    <m/>
    <n v="0.82752000000000003"/>
    <n v="0.86592000000000002"/>
    <n v="0.84672000000000003"/>
    <n v="384"/>
  </r>
  <r>
    <x v="13"/>
    <x v="49"/>
    <x v="6"/>
    <m/>
    <n v="0.82752000000000003"/>
    <n v="0.86592000000000002"/>
    <n v="0.84672000000000003"/>
    <n v="384"/>
  </r>
  <r>
    <x v="13"/>
    <x v="49"/>
    <x v="6"/>
    <m/>
    <n v="0.82752000000000003"/>
    <n v="0.86592000000000002"/>
    <n v="0.84672000000000003"/>
    <n v="384"/>
  </r>
  <r>
    <x v="13"/>
    <x v="49"/>
    <x v="6"/>
    <m/>
    <n v="0.82752000000000003"/>
    <n v="0.86592000000000002"/>
    <n v="0.84672000000000003"/>
    <n v="384"/>
  </r>
  <r>
    <x v="13"/>
    <x v="49"/>
    <x v="6"/>
    <m/>
    <n v="0.82752000000000003"/>
    <n v="0.86592000000000002"/>
    <n v="0.84672000000000003"/>
    <n v="384"/>
  </r>
  <r>
    <x v="13"/>
    <x v="49"/>
    <x v="6"/>
    <m/>
    <n v="0.82752000000000003"/>
    <n v="0.86592000000000002"/>
    <n v="0.84672000000000003"/>
    <n v="384"/>
  </r>
  <r>
    <x v="13"/>
    <x v="49"/>
    <x v="6"/>
    <m/>
    <n v="0.82752000000000003"/>
    <n v="0.86592000000000002"/>
    <n v="0.84672000000000003"/>
    <n v="384"/>
  </r>
  <r>
    <x v="13"/>
    <x v="49"/>
    <x v="6"/>
    <m/>
    <n v="0.82752000000000003"/>
    <n v="0.86592000000000002"/>
    <n v="0.84672000000000003"/>
    <n v="384"/>
  </r>
  <r>
    <x v="13"/>
    <x v="49"/>
    <x v="6"/>
    <m/>
    <n v="0.82752000000000003"/>
    <n v="0.86592000000000002"/>
    <n v="0.84672000000000003"/>
    <n v="384"/>
  </r>
  <r>
    <x v="13"/>
    <x v="49"/>
    <x v="6"/>
    <m/>
    <n v="0.82752000000000003"/>
    <n v="0.86592000000000002"/>
    <n v="0.84672000000000003"/>
    <n v="384"/>
  </r>
  <r>
    <x v="13"/>
    <x v="49"/>
    <x v="6"/>
    <m/>
    <n v="0.82752000000000003"/>
    <n v="0.86592000000000002"/>
    <n v="0.84672000000000003"/>
    <n v="384"/>
  </r>
  <r>
    <x v="13"/>
    <x v="49"/>
    <x v="6"/>
    <m/>
    <n v="0.82752000000000003"/>
    <n v="0.86592000000000002"/>
    <n v="0.84672000000000003"/>
    <n v="384"/>
  </r>
  <r>
    <x v="13"/>
    <x v="49"/>
    <x v="6"/>
    <m/>
    <n v="0.82752000000000003"/>
    <n v="0.86592000000000002"/>
    <n v="0.84672000000000003"/>
    <n v="384"/>
  </r>
  <r>
    <x v="13"/>
    <x v="49"/>
    <x v="6"/>
    <m/>
    <n v="0.82752000000000003"/>
    <n v="0.86592000000000002"/>
    <n v="0.84672000000000003"/>
    <n v="384"/>
  </r>
  <r>
    <x v="13"/>
    <x v="49"/>
    <x v="6"/>
    <m/>
    <n v="0.82752000000000003"/>
    <n v="0.86592000000000002"/>
    <n v="0.84672000000000003"/>
    <n v="384"/>
  </r>
  <r>
    <x v="13"/>
    <x v="49"/>
    <x v="6"/>
    <m/>
    <n v="0.82752000000000003"/>
    <n v="0.86592000000000002"/>
    <n v="0.84672000000000003"/>
    <n v="384"/>
  </r>
  <r>
    <x v="13"/>
    <x v="49"/>
    <x v="6"/>
    <m/>
    <n v="0.82752000000000003"/>
    <n v="0.86592000000000002"/>
    <n v="0.84672000000000003"/>
    <n v="384"/>
  </r>
  <r>
    <x v="13"/>
    <x v="49"/>
    <x v="6"/>
    <m/>
    <n v="0.82752000000000003"/>
    <n v="0.86592000000000002"/>
    <n v="0.84672000000000003"/>
    <n v="384"/>
  </r>
  <r>
    <x v="13"/>
    <x v="49"/>
    <x v="6"/>
    <m/>
    <n v="0.82752000000000003"/>
    <n v="0.86592000000000002"/>
    <n v="0.84672000000000003"/>
    <n v="384"/>
  </r>
  <r>
    <x v="13"/>
    <x v="49"/>
    <x v="6"/>
    <m/>
    <n v="0.82752000000000003"/>
    <n v="0.86592000000000002"/>
    <n v="0.84672000000000003"/>
    <n v="384"/>
  </r>
  <r>
    <x v="13"/>
    <x v="49"/>
    <x v="9"/>
    <m/>
    <n v="0.81752000000000002"/>
    <n v="0.83636999999999995"/>
    <n v="0.82694500000000004"/>
    <n v="188.5"/>
  </r>
  <r>
    <x v="13"/>
    <x v="49"/>
    <x v="9"/>
    <m/>
    <n v="0.81752000000000002"/>
    <n v="0.83636999999999995"/>
    <n v="0.82694500000000004"/>
    <n v="188.5"/>
  </r>
  <r>
    <x v="13"/>
    <x v="49"/>
    <x v="9"/>
    <m/>
    <n v="0.81752000000000002"/>
    <n v="0.83636999999999995"/>
    <n v="0.82694500000000004"/>
    <n v="188.5"/>
  </r>
  <r>
    <x v="13"/>
    <x v="49"/>
    <x v="9"/>
    <m/>
    <n v="0.81752000000000002"/>
    <n v="0.83636999999999995"/>
    <n v="0.82694500000000004"/>
    <n v="188.5"/>
  </r>
  <r>
    <x v="13"/>
    <x v="49"/>
    <x v="9"/>
    <m/>
    <n v="0.81752000000000002"/>
    <n v="0.83636999999999995"/>
    <n v="0.82694500000000004"/>
    <n v="188.5"/>
  </r>
  <r>
    <x v="13"/>
    <x v="49"/>
    <x v="9"/>
    <m/>
    <n v="0.81752000000000002"/>
    <n v="0.83636999999999995"/>
    <n v="0.82694500000000004"/>
    <n v="188.5"/>
  </r>
  <r>
    <x v="13"/>
    <x v="49"/>
    <x v="9"/>
    <m/>
    <n v="0.81752000000000002"/>
    <n v="0.83636999999999995"/>
    <n v="0.82694500000000004"/>
    <n v="188.5"/>
  </r>
  <r>
    <x v="13"/>
    <x v="49"/>
    <x v="9"/>
    <m/>
    <n v="0.81752000000000002"/>
    <n v="0.83636999999999995"/>
    <n v="0.82694500000000004"/>
    <n v="188.5"/>
  </r>
  <r>
    <x v="13"/>
    <x v="49"/>
    <x v="9"/>
    <m/>
    <n v="0.81752000000000002"/>
    <n v="0.83636999999999995"/>
    <n v="0.82694500000000004"/>
    <n v="188.5"/>
  </r>
  <r>
    <x v="13"/>
    <x v="49"/>
    <x v="9"/>
    <m/>
    <n v="0.81752000000000002"/>
    <n v="0.83636999999999995"/>
    <n v="0.82694500000000004"/>
    <n v="188.5"/>
  </r>
  <r>
    <x v="13"/>
    <x v="49"/>
    <x v="9"/>
    <m/>
    <n v="0.81752000000000002"/>
    <n v="0.83636999999999995"/>
    <n v="0.82694500000000004"/>
    <n v="188.5"/>
  </r>
  <r>
    <x v="13"/>
    <x v="49"/>
    <x v="9"/>
    <m/>
    <n v="0.81752000000000002"/>
    <n v="0.83636999999999995"/>
    <n v="0.82694500000000004"/>
    <n v="188.5"/>
  </r>
  <r>
    <x v="13"/>
    <x v="49"/>
    <x v="9"/>
    <m/>
    <n v="0.81752000000000002"/>
    <n v="0.83636999999999995"/>
    <n v="0.82694500000000004"/>
    <n v="188.5"/>
  </r>
  <r>
    <x v="13"/>
    <x v="49"/>
    <x v="9"/>
    <m/>
    <n v="0.81752000000000002"/>
    <n v="0.83636999999999995"/>
    <n v="0.82694500000000004"/>
    <n v="188.5"/>
  </r>
  <r>
    <x v="13"/>
    <x v="49"/>
    <x v="9"/>
    <m/>
    <n v="0.81752000000000002"/>
    <n v="0.83636999999999995"/>
    <n v="0.82694500000000004"/>
    <n v="188.5"/>
  </r>
  <r>
    <x v="13"/>
    <x v="49"/>
    <x v="9"/>
    <m/>
    <n v="0.81752000000000002"/>
    <n v="0.83636999999999995"/>
    <n v="0.82694500000000004"/>
    <n v="188.5"/>
  </r>
  <r>
    <x v="13"/>
    <x v="49"/>
    <x v="4"/>
    <m/>
    <n v="90.941000000000003"/>
    <n v="95.129000000000005"/>
    <n v="93.034999999999997"/>
    <n v="418.8"/>
  </r>
  <r>
    <x v="13"/>
    <x v="49"/>
    <x v="4"/>
    <m/>
    <n v="90.941000000000003"/>
    <n v="95.129000000000005"/>
    <n v="93.034999999999997"/>
    <n v="418.8"/>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0"/>
    <x v="10"/>
    <m/>
    <n v="0.87224000000000002"/>
    <n v="0.89283000000000001"/>
    <n v="0.88253499999999996"/>
    <n v="205.9"/>
  </r>
  <r>
    <x v="13"/>
    <x v="50"/>
    <x v="10"/>
    <m/>
    <n v="0.87224000000000002"/>
    <n v="0.89283000000000001"/>
    <n v="0.88253499999999996"/>
    <n v="205.9"/>
  </r>
  <r>
    <x v="13"/>
    <x v="50"/>
    <x v="10"/>
    <m/>
    <n v="0.87224000000000002"/>
    <n v="0.89283000000000001"/>
    <n v="0.88253499999999996"/>
    <n v="205.9"/>
  </r>
  <r>
    <x v="13"/>
    <x v="50"/>
    <x v="10"/>
    <m/>
    <n v="0.87224000000000002"/>
    <n v="0.89283000000000001"/>
    <n v="0.88253499999999996"/>
    <n v="205.9"/>
  </r>
  <r>
    <x v="13"/>
    <x v="50"/>
    <x v="10"/>
    <m/>
    <n v="0.87224000000000002"/>
    <n v="0.89283000000000001"/>
    <n v="0.88253499999999996"/>
    <n v="205.9"/>
  </r>
  <r>
    <x v="13"/>
    <x v="50"/>
    <x v="10"/>
    <m/>
    <n v="0.87224000000000002"/>
    <n v="0.89283000000000001"/>
    <n v="0.88253499999999996"/>
    <n v="205.9"/>
  </r>
  <r>
    <x v="13"/>
    <x v="50"/>
    <x v="10"/>
    <m/>
    <n v="0.87224000000000002"/>
    <n v="0.89283000000000001"/>
    <n v="0.88253499999999996"/>
    <n v="205.9"/>
  </r>
  <r>
    <x v="13"/>
    <x v="50"/>
    <x v="10"/>
    <m/>
    <n v="0.87224000000000002"/>
    <n v="0.89283000000000001"/>
    <n v="0.88253499999999996"/>
    <n v="205.9"/>
  </r>
  <r>
    <x v="13"/>
    <x v="50"/>
    <x v="10"/>
    <m/>
    <n v="0.87224000000000002"/>
    <n v="0.89283000000000001"/>
    <n v="0.88253499999999996"/>
    <n v="205.9"/>
  </r>
  <r>
    <x v="13"/>
    <x v="50"/>
    <x v="10"/>
    <m/>
    <n v="0.87224000000000002"/>
    <n v="0.89283000000000001"/>
    <n v="0.88253499999999996"/>
    <n v="205.9"/>
  </r>
  <r>
    <x v="13"/>
    <x v="50"/>
    <x v="10"/>
    <m/>
    <n v="0.87224000000000002"/>
    <n v="0.89283000000000001"/>
    <n v="0.88253499999999996"/>
    <n v="205.9"/>
  </r>
  <r>
    <x v="13"/>
    <x v="50"/>
    <x v="10"/>
    <m/>
    <n v="0.87224000000000002"/>
    <n v="0.89283000000000001"/>
    <n v="0.88253499999999996"/>
    <n v="205.9"/>
  </r>
  <r>
    <x v="13"/>
    <x v="50"/>
    <x v="10"/>
    <m/>
    <n v="0.87224000000000002"/>
    <n v="0.89283000000000001"/>
    <n v="0.88253499999999996"/>
    <n v="205.9"/>
  </r>
  <r>
    <x v="13"/>
    <x v="50"/>
    <x v="10"/>
    <m/>
    <n v="0.87224000000000002"/>
    <n v="0.89283000000000001"/>
    <n v="0.88253499999999996"/>
    <n v="205.9"/>
  </r>
  <r>
    <x v="13"/>
    <x v="50"/>
    <x v="10"/>
    <m/>
    <n v="0.87224000000000002"/>
    <n v="0.89283000000000001"/>
    <n v="0.88253499999999996"/>
    <n v="205.9"/>
  </r>
  <r>
    <x v="13"/>
    <x v="50"/>
    <x v="10"/>
    <m/>
    <n v="0.87224000000000002"/>
    <n v="0.89283000000000001"/>
    <n v="0.88253499999999996"/>
    <n v="205.9"/>
  </r>
  <r>
    <x v="13"/>
    <x v="50"/>
    <x v="10"/>
    <m/>
    <n v="0.87224000000000002"/>
    <n v="0.89283000000000001"/>
    <n v="0.88253499999999996"/>
    <n v="205.9"/>
  </r>
  <r>
    <x v="13"/>
    <x v="50"/>
    <x v="10"/>
    <m/>
    <n v="0.87224000000000002"/>
    <n v="0.89283000000000001"/>
    <n v="0.88253499999999996"/>
    <n v="205.9"/>
  </r>
  <r>
    <x v="13"/>
    <x v="50"/>
    <x v="10"/>
    <m/>
    <n v="0.87224000000000002"/>
    <n v="0.89283000000000001"/>
    <n v="0.88253499999999996"/>
    <n v="205.9"/>
  </r>
  <r>
    <x v="13"/>
    <x v="50"/>
    <x v="6"/>
    <m/>
    <n v="0.82752000000000003"/>
    <n v="0.86592000000000002"/>
    <n v="0.84672000000000003"/>
    <n v="384"/>
  </r>
  <r>
    <x v="13"/>
    <x v="50"/>
    <x v="6"/>
    <m/>
    <n v="0.82752000000000003"/>
    <n v="0.86592000000000002"/>
    <n v="0.84672000000000003"/>
    <n v="384"/>
  </r>
  <r>
    <x v="13"/>
    <x v="50"/>
    <x v="6"/>
    <m/>
    <n v="0.82752000000000003"/>
    <n v="0.86592000000000002"/>
    <n v="0.84672000000000003"/>
    <n v="384"/>
  </r>
  <r>
    <x v="13"/>
    <x v="50"/>
    <x v="6"/>
    <m/>
    <n v="0.82752000000000003"/>
    <n v="0.86592000000000002"/>
    <n v="0.84672000000000003"/>
    <n v="384"/>
  </r>
  <r>
    <x v="13"/>
    <x v="50"/>
    <x v="6"/>
    <m/>
    <n v="0.82752000000000003"/>
    <n v="0.86592000000000002"/>
    <n v="0.84672000000000003"/>
    <n v="384"/>
  </r>
  <r>
    <x v="13"/>
    <x v="50"/>
    <x v="6"/>
    <m/>
    <n v="0.82752000000000003"/>
    <n v="0.86592000000000002"/>
    <n v="0.84672000000000003"/>
    <n v="384"/>
  </r>
  <r>
    <x v="13"/>
    <x v="50"/>
    <x v="6"/>
    <m/>
    <n v="0.82752000000000003"/>
    <n v="0.86592000000000002"/>
    <n v="0.84672000000000003"/>
    <n v="384"/>
  </r>
  <r>
    <x v="13"/>
    <x v="50"/>
    <x v="6"/>
    <m/>
    <n v="0.82752000000000003"/>
    <n v="0.86592000000000002"/>
    <n v="0.84672000000000003"/>
    <n v="384"/>
  </r>
  <r>
    <x v="13"/>
    <x v="50"/>
    <x v="6"/>
    <m/>
    <n v="0.82752000000000003"/>
    <n v="0.86592000000000002"/>
    <n v="0.84672000000000003"/>
    <n v="384"/>
  </r>
  <r>
    <x v="13"/>
    <x v="50"/>
    <x v="6"/>
    <m/>
    <n v="0.82752000000000003"/>
    <n v="0.86592000000000002"/>
    <n v="0.84672000000000003"/>
    <n v="384"/>
  </r>
  <r>
    <x v="13"/>
    <x v="50"/>
    <x v="6"/>
    <m/>
    <n v="0.82752000000000003"/>
    <n v="0.86592000000000002"/>
    <n v="0.84672000000000003"/>
    <n v="384"/>
  </r>
  <r>
    <x v="13"/>
    <x v="50"/>
    <x v="6"/>
    <m/>
    <n v="0.82752000000000003"/>
    <n v="0.86592000000000002"/>
    <n v="0.84672000000000003"/>
    <n v="384"/>
  </r>
  <r>
    <x v="13"/>
    <x v="50"/>
    <x v="6"/>
    <m/>
    <n v="0.82752000000000003"/>
    <n v="0.86592000000000002"/>
    <n v="0.84672000000000003"/>
    <n v="384"/>
  </r>
  <r>
    <x v="13"/>
    <x v="50"/>
    <x v="6"/>
    <m/>
    <n v="0.82752000000000003"/>
    <n v="0.86592000000000002"/>
    <n v="0.84672000000000003"/>
    <n v="384"/>
  </r>
  <r>
    <x v="13"/>
    <x v="50"/>
    <x v="6"/>
    <m/>
    <n v="0.82752000000000003"/>
    <n v="0.86592000000000002"/>
    <n v="0.84672000000000003"/>
    <n v="384"/>
  </r>
  <r>
    <x v="13"/>
    <x v="50"/>
    <x v="6"/>
    <m/>
    <n v="0.82752000000000003"/>
    <n v="0.86592000000000002"/>
    <n v="0.84672000000000003"/>
    <n v="384"/>
  </r>
  <r>
    <x v="13"/>
    <x v="50"/>
    <x v="6"/>
    <m/>
    <n v="0.82752000000000003"/>
    <n v="0.86592000000000002"/>
    <n v="0.84672000000000003"/>
    <n v="384"/>
  </r>
  <r>
    <x v="13"/>
    <x v="50"/>
    <x v="6"/>
    <m/>
    <n v="0.82752000000000003"/>
    <n v="0.86592000000000002"/>
    <n v="0.84672000000000003"/>
    <n v="384"/>
  </r>
  <r>
    <x v="13"/>
    <x v="50"/>
    <x v="6"/>
    <m/>
    <n v="0.82752000000000003"/>
    <n v="0.86592000000000002"/>
    <n v="0.84672000000000003"/>
    <n v="384"/>
  </r>
  <r>
    <x v="13"/>
    <x v="50"/>
    <x v="6"/>
    <m/>
    <n v="0.82752000000000003"/>
    <n v="0.86592000000000002"/>
    <n v="0.84672000000000003"/>
    <n v="384"/>
  </r>
  <r>
    <x v="13"/>
    <x v="50"/>
    <x v="6"/>
    <m/>
    <n v="0.82752000000000003"/>
    <n v="0.86592000000000002"/>
    <n v="0.84672000000000003"/>
    <n v="384"/>
  </r>
  <r>
    <x v="13"/>
    <x v="50"/>
    <x v="6"/>
    <m/>
    <n v="0.82752000000000003"/>
    <n v="0.86592000000000002"/>
    <n v="0.84672000000000003"/>
    <n v="384"/>
  </r>
  <r>
    <x v="13"/>
    <x v="50"/>
    <x v="6"/>
    <m/>
    <n v="0.82752000000000003"/>
    <n v="0.86592000000000002"/>
    <n v="0.84672000000000003"/>
    <n v="384"/>
  </r>
  <r>
    <x v="13"/>
    <x v="50"/>
    <x v="6"/>
    <m/>
    <n v="0.82752000000000003"/>
    <n v="0.86592000000000002"/>
    <n v="0.84672000000000003"/>
    <n v="384"/>
  </r>
  <r>
    <x v="13"/>
    <x v="50"/>
    <x v="6"/>
    <m/>
    <n v="0.82752000000000003"/>
    <n v="0.86592000000000002"/>
    <n v="0.84672000000000003"/>
    <n v="384"/>
  </r>
  <r>
    <x v="13"/>
    <x v="50"/>
    <x v="9"/>
    <m/>
    <n v="0.81752000000000002"/>
    <n v="0.83636999999999995"/>
    <n v="0.82694500000000004"/>
    <n v="188.5"/>
  </r>
  <r>
    <x v="13"/>
    <x v="50"/>
    <x v="9"/>
    <m/>
    <n v="0.81752000000000002"/>
    <n v="0.83636999999999995"/>
    <n v="0.82694500000000004"/>
    <n v="188.5"/>
  </r>
  <r>
    <x v="13"/>
    <x v="50"/>
    <x v="9"/>
    <m/>
    <n v="0.81752000000000002"/>
    <n v="0.83636999999999995"/>
    <n v="0.82694500000000004"/>
    <n v="188.5"/>
  </r>
  <r>
    <x v="13"/>
    <x v="50"/>
    <x v="9"/>
    <m/>
    <n v="0.81752000000000002"/>
    <n v="0.83636999999999995"/>
    <n v="0.82694500000000004"/>
    <n v="188.5"/>
  </r>
  <r>
    <x v="13"/>
    <x v="50"/>
    <x v="9"/>
    <m/>
    <n v="0.81752000000000002"/>
    <n v="0.83636999999999995"/>
    <n v="0.82694500000000004"/>
    <n v="188.5"/>
  </r>
  <r>
    <x v="13"/>
    <x v="50"/>
    <x v="9"/>
    <m/>
    <n v="0.81752000000000002"/>
    <n v="0.83636999999999995"/>
    <n v="0.82694500000000004"/>
    <n v="188.5"/>
  </r>
  <r>
    <x v="13"/>
    <x v="50"/>
    <x v="9"/>
    <m/>
    <n v="0.81752000000000002"/>
    <n v="0.83636999999999995"/>
    <n v="0.82694500000000004"/>
    <n v="188.5"/>
  </r>
  <r>
    <x v="13"/>
    <x v="50"/>
    <x v="9"/>
    <m/>
    <n v="0.81752000000000002"/>
    <n v="0.83636999999999995"/>
    <n v="0.82694500000000004"/>
    <n v="188.5"/>
  </r>
  <r>
    <x v="13"/>
    <x v="50"/>
    <x v="9"/>
    <m/>
    <n v="0.81752000000000002"/>
    <n v="0.83636999999999995"/>
    <n v="0.82694500000000004"/>
    <n v="188.5"/>
  </r>
  <r>
    <x v="13"/>
    <x v="50"/>
    <x v="9"/>
    <m/>
    <n v="0.81752000000000002"/>
    <n v="0.83636999999999995"/>
    <n v="0.82694500000000004"/>
    <n v="188.5"/>
  </r>
  <r>
    <x v="13"/>
    <x v="50"/>
    <x v="9"/>
    <m/>
    <n v="0.81752000000000002"/>
    <n v="0.83636999999999995"/>
    <n v="0.82694500000000004"/>
    <n v="188.5"/>
  </r>
  <r>
    <x v="13"/>
    <x v="50"/>
    <x v="9"/>
    <m/>
    <n v="0.81752000000000002"/>
    <n v="0.83636999999999995"/>
    <n v="0.82694500000000004"/>
    <n v="188.5"/>
  </r>
  <r>
    <x v="13"/>
    <x v="50"/>
    <x v="9"/>
    <m/>
    <n v="0.81752000000000002"/>
    <n v="0.83636999999999995"/>
    <n v="0.82694500000000004"/>
    <n v="188.5"/>
  </r>
  <r>
    <x v="13"/>
    <x v="50"/>
    <x v="9"/>
    <m/>
    <n v="0.81752000000000002"/>
    <n v="0.83636999999999995"/>
    <n v="0.82694500000000004"/>
    <n v="188.5"/>
  </r>
  <r>
    <x v="13"/>
    <x v="50"/>
    <x v="9"/>
    <m/>
    <n v="0.81752000000000002"/>
    <n v="0.83636999999999995"/>
    <n v="0.82694500000000004"/>
    <n v="188.5"/>
  </r>
  <r>
    <x v="13"/>
    <x v="50"/>
    <x v="9"/>
    <m/>
    <n v="0.81752000000000002"/>
    <n v="0.83636999999999995"/>
    <n v="0.82694500000000004"/>
    <n v="188.5"/>
  </r>
  <r>
    <x v="13"/>
    <x v="50"/>
    <x v="9"/>
    <m/>
    <n v="0.81752000000000002"/>
    <n v="0.83636999999999995"/>
    <n v="0.82694500000000004"/>
    <n v="188.5"/>
  </r>
  <r>
    <x v="13"/>
    <x v="50"/>
    <x v="4"/>
    <m/>
    <n v="90.941000000000003"/>
    <n v="95.956999999999994"/>
    <n v="93.448999999999998"/>
    <n v="501.6"/>
  </r>
  <r>
    <x v="13"/>
    <x v="50"/>
    <x v="4"/>
    <m/>
    <n v="90.941000000000003"/>
    <n v="95.956999999999994"/>
    <n v="93.448999999999998"/>
    <n v="501.6"/>
  </r>
  <r>
    <x v="13"/>
    <x v="50"/>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4"/>
    <m/>
    <n v="90.941000000000003"/>
    <n v="95.956999999999994"/>
    <n v="93.448999999999998"/>
    <n v="501.6"/>
  </r>
  <r>
    <x v="13"/>
    <x v="51"/>
    <x v="10"/>
    <m/>
    <n v="0.87224000000000002"/>
    <n v="0.89283000000000001"/>
    <n v="0.88253499999999996"/>
    <n v="205.9"/>
  </r>
  <r>
    <x v="13"/>
    <x v="51"/>
    <x v="10"/>
    <m/>
    <n v="0.87224000000000002"/>
    <n v="0.89283000000000001"/>
    <n v="0.88253499999999996"/>
    <n v="205.9"/>
  </r>
  <r>
    <x v="13"/>
    <x v="51"/>
    <x v="10"/>
    <m/>
    <n v="0.87224000000000002"/>
    <n v="0.89283000000000001"/>
    <n v="0.88253499999999996"/>
    <n v="205.9"/>
  </r>
  <r>
    <x v="13"/>
    <x v="51"/>
    <x v="10"/>
    <m/>
    <n v="0.87224000000000002"/>
    <n v="0.89283000000000001"/>
    <n v="0.88253499999999996"/>
    <n v="205.9"/>
  </r>
  <r>
    <x v="13"/>
    <x v="51"/>
    <x v="10"/>
    <m/>
    <n v="0.87224000000000002"/>
    <n v="0.89283000000000001"/>
    <n v="0.88253499999999996"/>
    <n v="205.9"/>
  </r>
  <r>
    <x v="13"/>
    <x v="51"/>
    <x v="10"/>
    <m/>
    <n v="0.87224000000000002"/>
    <n v="0.89283000000000001"/>
    <n v="0.88253499999999996"/>
    <n v="205.9"/>
  </r>
  <r>
    <x v="13"/>
    <x v="51"/>
    <x v="10"/>
    <m/>
    <n v="0.87224000000000002"/>
    <n v="0.89283000000000001"/>
    <n v="0.88253499999999996"/>
    <n v="205.9"/>
  </r>
  <r>
    <x v="13"/>
    <x v="51"/>
    <x v="10"/>
    <m/>
    <n v="0.87224000000000002"/>
    <n v="0.89283000000000001"/>
    <n v="0.88253499999999996"/>
    <n v="205.9"/>
  </r>
  <r>
    <x v="13"/>
    <x v="51"/>
    <x v="10"/>
    <m/>
    <n v="0.87224000000000002"/>
    <n v="0.89283000000000001"/>
    <n v="0.88253499999999996"/>
    <n v="205.9"/>
  </r>
  <r>
    <x v="13"/>
    <x v="51"/>
    <x v="10"/>
    <m/>
    <n v="0.87224000000000002"/>
    <n v="0.89283000000000001"/>
    <n v="0.88253499999999996"/>
    <n v="205.9"/>
  </r>
  <r>
    <x v="13"/>
    <x v="51"/>
    <x v="10"/>
    <m/>
    <n v="0.87224000000000002"/>
    <n v="0.89283000000000001"/>
    <n v="0.88253499999999996"/>
    <n v="205.9"/>
  </r>
  <r>
    <x v="13"/>
    <x v="51"/>
    <x v="10"/>
    <m/>
    <n v="0.87224000000000002"/>
    <n v="0.89283000000000001"/>
    <n v="0.88253499999999996"/>
    <n v="205.9"/>
  </r>
  <r>
    <x v="13"/>
    <x v="51"/>
    <x v="10"/>
    <m/>
    <n v="0.87224000000000002"/>
    <n v="0.89283000000000001"/>
    <n v="0.88253499999999996"/>
    <n v="205.9"/>
  </r>
  <r>
    <x v="13"/>
    <x v="51"/>
    <x v="10"/>
    <m/>
    <n v="0.87224000000000002"/>
    <n v="0.89283000000000001"/>
    <n v="0.88253499999999996"/>
    <n v="205.9"/>
  </r>
  <r>
    <x v="13"/>
    <x v="51"/>
    <x v="10"/>
    <m/>
    <n v="0.87224000000000002"/>
    <n v="0.89283000000000001"/>
    <n v="0.88253499999999996"/>
    <n v="205.9"/>
  </r>
  <r>
    <x v="13"/>
    <x v="51"/>
    <x v="10"/>
    <m/>
    <n v="0.87224000000000002"/>
    <n v="0.89283000000000001"/>
    <n v="0.88253499999999996"/>
    <n v="205.9"/>
  </r>
  <r>
    <x v="13"/>
    <x v="51"/>
    <x v="10"/>
    <m/>
    <n v="0.87224000000000002"/>
    <n v="0.89283000000000001"/>
    <n v="0.88253499999999996"/>
    <n v="205.9"/>
  </r>
  <r>
    <x v="13"/>
    <x v="51"/>
    <x v="10"/>
    <m/>
    <n v="0.87224000000000002"/>
    <n v="0.89283000000000001"/>
    <n v="0.88253499999999996"/>
    <n v="205.9"/>
  </r>
  <r>
    <x v="13"/>
    <x v="51"/>
    <x v="10"/>
    <m/>
    <n v="0.87224000000000002"/>
    <n v="0.89283000000000001"/>
    <n v="0.88253499999999996"/>
    <n v="205.9"/>
  </r>
  <r>
    <x v="13"/>
    <x v="51"/>
    <x v="6"/>
    <m/>
    <n v="0.82752000000000003"/>
    <n v="0.86911000000000005"/>
    <n v="0.84831500000000004"/>
    <n v="415.9"/>
  </r>
  <r>
    <x v="13"/>
    <x v="51"/>
    <x v="6"/>
    <m/>
    <n v="0.82752000000000003"/>
    <n v="0.86911000000000005"/>
    <n v="0.84831500000000004"/>
    <n v="415.9"/>
  </r>
  <r>
    <x v="13"/>
    <x v="51"/>
    <x v="6"/>
    <m/>
    <n v="0.82752000000000003"/>
    <n v="0.86911000000000005"/>
    <n v="0.84831500000000004"/>
    <n v="415.9"/>
  </r>
  <r>
    <x v="13"/>
    <x v="51"/>
    <x v="6"/>
    <m/>
    <n v="0.82752000000000003"/>
    <n v="0.86911000000000005"/>
    <n v="0.84831500000000004"/>
    <n v="415.9"/>
  </r>
  <r>
    <x v="13"/>
    <x v="51"/>
    <x v="6"/>
    <m/>
    <n v="0.82752000000000003"/>
    <n v="0.86911000000000005"/>
    <n v="0.84831500000000004"/>
    <n v="415.9"/>
  </r>
  <r>
    <x v="13"/>
    <x v="51"/>
    <x v="6"/>
    <m/>
    <n v="0.82752000000000003"/>
    <n v="0.86911000000000005"/>
    <n v="0.84831500000000004"/>
    <n v="415.9"/>
  </r>
  <r>
    <x v="13"/>
    <x v="51"/>
    <x v="6"/>
    <m/>
    <n v="0.82752000000000003"/>
    <n v="0.86911000000000005"/>
    <n v="0.84831500000000004"/>
    <n v="415.9"/>
  </r>
  <r>
    <x v="13"/>
    <x v="51"/>
    <x v="6"/>
    <m/>
    <n v="0.82752000000000003"/>
    <n v="0.86911000000000005"/>
    <n v="0.84831500000000004"/>
    <n v="415.9"/>
  </r>
  <r>
    <x v="13"/>
    <x v="51"/>
    <x v="6"/>
    <m/>
    <n v="0.82752000000000003"/>
    <n v="0.86911000000000005"/>
    <n v="0.84831500000000004"/>
    <n v="415.9"/>
  </r>
  <r>
    <x v="13"/>
    <x v="51"/>
    <x v="6"/>
    <m/>
    <n v="0.82752000000000003"/>
    <n v="0.86911000000000005"/>
    <n v="0.84831500000000004"/>
    <n v="415.9"/>
  </r>
  <r>
    <x v="13"/>
    <x v="51"/>
    <x v="6"/>
    <m/>
    <n v="0.82752000000000003"/>
    <n v="0.86911000000000005"/>
    <n v="0.84831500000000004"/>
    <n v="415.9"/>
  </r>
  <r>
    <x v="13"/>
    <x v="51"/>
    <x v="6"/>
    <m/>
    <n v="0.82752000000000003"/>
    <n v="0.86911000000000005"/>
    <n v="0.84831500000000004"/>
    <n v="415.9"/>
  </r>
  <r>
    <x v="13"/>
    <x v="51"/>
    <x v="6"/>
    <m/>
    <n v="0.82752000000000003"/>
    <n v="0.86911000000000005"/>
    <n v="0.84831500000000004"/>
    <n v="415.9"/>
  </r>
  <r>
    <x v="13"/>
    <x v="51"/>
    <x v="6"/>
    <m/>
    <n v="0.82752000000000003"/>
    <n v="0.86911000000000005"/>
    <n v="0.84831500000000004"/>
    <n v="415.9"/>
  </r>
  <r>
    <x v="13"/>
    <x v="51"/>
    <x v="6"/>
    <m/>
    <n v="0.82752000000000003"/>
    <n v="0.86911000000000005"/>
    <n v="0.84831500000000004"/>
    <n v="415.9"/>
  </r>
  <r>
    <x v="13"/>
    <x v="51"/>
    <x v="6"/>
    <m/>
    <n v="0.82752000000000003"/>
    <n v="0.86911000000000005"/>
    <n v="0.84831500000000004"/>
    <n v="415.9"/>
  </r>
  <r>
    <x v="13"/>
    <x v="51"/>
    <x v="6"/>
    <m/>
    <n v="0.82752000000000003"/>
    <n v="0.86911000000000005"/>
    <n v="0.84831500000000004"/>
    <n v="415.9"/>
  </r>
  <r>
    <x v="13"/>
    <x v="51"/>
    <x v="6"/>
    <m/>
    <n v="0.82752000000000003"/>
    <n v="0.86911000000000005"/>
    <n v="0.84831500000000004"/>
    <n v="415.9"/>
  </r>
  <r>
    <x v="13"/>
    <x v="51"/>
    <x v="6"/>
    <m/>
    <n v="0.82752000000000003"/>
    <n v="0.86911000000000005"/>
    <n v="0.84831500000000004"/>
    <n v="415.9"/>
  </r>
  <r>
    <x v="13"/>
    <x v="51"/>
    <x v="6"/>
    <m/>
    <n v="0.82752000000000003"/>
    <n v="0.86911000000000005"/>
    <n v="0.84831500000000004"/>
    <n v="415.9"/>
  </r>
  <r>
    <x v="13"/>
    <x v="51"/>
    <x v="6"/>
    <m/>
    <n v="0.82752000000000003"/>
    <n v="0.86911000000000005"/>
    <n v="0.84831500000000004"/>
    <n v="415.9"/>
  </r>
  <r>
    <x v="13"/>
    <x v="51"/>
    <x v="6"/>
    <m/>
    <n v="0.82752000000000003"/>
    <n v="0.86911000000000005"/>
    <n v="0.84831500000000004"/>
    <n v="415.9"/>
  </r>
  <r>
    <x v="13"/>
    <x v="51"/>
    <x v="6"/>
    <m/>
    <n v="0.82752000000000003"/>
    <n v="0.86911000000000005"/>
    <n v="0.84831500000000004"/>
    <n v="415.9"/>
  </r>
  <r>
    <x v="13"/>
    <x v="51"/>
    <x v="6"/>
    <m/>
    <n v="0.82752000000000003"/>
    <n v="0.86911000000000005"/>
    <n v="0.84831500000000004"/>
    <n v="415.9"/>
  </r>
  <r>
    <x v="13"/>
    <x v="51"/>
    <x v="6"/>
    <m/>
    <n v="0.82752000000000003"/>
    <n v="0.86911000000000005"/>
    <n v="0.84831500000000004"/>
    <n v="415.9"/>
  </r>
  <r>
    <x v="13"/>
    <x v="51"/>
    <x v="6"/>
    <m/>
    <n v="0.82752000000000003"/>
    <n v="0.86911000000000005"/>
    <n v="0.84831500000000004"/>
    <n v="415.9"/>
  </r>
  <r>
    <x v="13"/>
    <x v="51"/>
    <x v="6"/>
    <m/>
    <n v="0.82752000000000003"/>
    <n v="0.86911000000000005"/>
    <n v="0.84831500000000004"/>
    <n v="415.9"/>
  </r>
  <r>
    <x v="13"/>
    <x v="51"/>
    <x v="9"/>
    <m/>
    <n v="0.81752000000000002"/>
    <n v="0.83636999999999995"/>
    <n v="0.82694500000000004"/>
    <n v="188.5"/>
  </r>
  <r>
    <x v="13"/>
    <x v="51"/>
    <x v="9"/>
    <m/>
    <n v="0.81752000000000002"/>
    <n v="0.83636999999999995"/>
    <n v="0.82694500000000004"/>
    <n v="188.5"/>
  </r>
  <r>
    <x v="13"/>
    <x v="51"/>
    <x v="9"/>
    <m/>
    <n v="0.81752000000000002"/>
    <n v="0.83636999999999995"/>
    <n v="0.82694500000000004"/>
    <n v="188.5"/>
  </r>
  <r>
    <x v="13"/>
    <x v="51"/>
    <x v="9"/>
    <m/>
    <n v="0.81752000000000002"/>
    <n v="0.83636999999999995"/>
    <n v="0.82694500000000004"/>
    <n v="188.5"/>
  </r>
  <r>
    <x v="13"/>
    <x v="51"/>
    <x v="9"/>
    <m/>
    <n v="0.81752000000000002"/>
    <n v="0.83636999999999995"/>
    <n v="0.82694500000000004"/>
    <n v="188.5"/>
  </r>
  <r>
    <x v="13"/>
    <x v="51"/>
    <x v="9"/>
    <m/>
    <n v="0.81752000000000002"/>
    <n v="0.83636999999999995"/>
    <n v="0.82694500000000004"/>
    <n v="188.5"/>
  </r>
  <r>
    <x v="13"/>
    <x v="51"/>
    <x v="9"/>
    <m/>
    <n v="0.81752000000000002"/>
    <n v="0.83636999999999995"/>
    <n v="0.82694500000000004"/>
    <n v="188.5"/>
  </r>
  <r>
    <x v="13"/>
    <x v="51"/>
    <x v="9"/>
    <m/>
    <n v="0.81752000000000002"/>
    <n v="0.83636999999999995"/>
    <n v="0.82694500000000004"/>
    <n v="188.5"/>
  </r>
  <r>
    <x v="13"/>
    <x v="51"/>
    <x v="9"/>
    <m/>
    <n v="0.81752000000000002"/>
    <n v="0.83636999999999995"/>
    <n v="0.82694500000000004"/>
    <n v="188.5"/>
  </r>
  <r>
    <x v="13"/>
    <x v="51"/>
    <x v="9"/>
    <m/>
    <n v="0.81752000000000002"/>
    <n v="0.83636999999999995"/>
    <n v="0.82694500000000004"/>
    <n v="188.5"/>
  </r>
  <r>
    <x v="13"/>
    <x v="51"/>
    <x v="9"/>
    <m/>
    <n v="0.81752000000000002"/>
    <n v="0.83636999999999995"/>
    <n v="0.82694500000000004"/>
    <n v="188.5"/>
  </r>
  <r>
    <x v="13"/>
    <x v="51"/>
    <x v="9"/>
    <m/>
    <n v="0.81752000000000002"/>
    <n v="0.83636999999999995"/>
    <n v="0.82694500000000004"/>
    <n v="188.5"/>
  </r>
  <r>
    <x v="13"/>
    <x v="51"/>
    <x v="9"/>
    <m/>
    <n v="0.81752000000000002"/>
    <n v="0.83636999999999995"/>
    <n v="0.82694500000000004"/>
    <n v="188.5"/>
  </r>
  <r>
    <x v="13"/>
    <x v="51"/>
    <x v="9"/>
    <m/>
    <n v="0.81752000000000002"/>
    <n v="0.83636999999999995"/>
    <n v="0.82694500000000004"/>
    <n v="188.5"/>
  </r>
  <r>
    <x v="13"/>
    <x v="51"/>
    <x v="9"/>
    <m/>
    <n v="0.81752000000000002"/>
    <n v="0.83636999999999995"/>
    <n v="0.82694500000000004"/>
    <n v="188.5"/>
  </r>
  <r>
    <x v="13"/>
    <x v="51"/>
    <x v="9"/>
    <m/>
    <n v="0.81752000000000002"/>
    <n v="0.83636999999999995"/>
    <n v="0.82694500000000004"/>
    <n v="188.5"/>
  </r>
  <r>
    <x v="13"/>
    <x v="51"/>
    <x v="9"/>
    <m/>
    <n v="0.81752000000000002"/>
    <n v="0.83636999999999995"/>
    <n v="0.82694500000000004"/>
    <n v="188.5"/>
  </r>
  <r>
    <x v="13"/>
    <x v="51"/>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4"/>
    <m/>
    <n v="90.941000000000003"/>
    <n v="95.956999999999994"/>
    <n v="93.448999999999998"/>
    <n v="501.6"/>
  </r>
  <r>
    <x v="13"/>
    <x v="52"/>
    <x v="10"/>
    <m/>
    <n v="0.87224000000000002"/>
    <n v="0.89283000000000001"/>
    <n v="0.88253499999999996"/>
    <n v="205.9"/>
  </r>
  <r>
    <x v="13"/>
    <x v="52"/>
    <x v="10"/>
    <m/>
    <n v="0.87224000000000002"/>
    <n v="0.89283000000000001"/>
    <n v="0.88253499999999996"/>
    <n v="205.9"/>
  </r>
  <r>
    <x v="13"/>
    <x v="52"/>
    <x v="10"/>
    <m/>
    <n v="0.87224000000000002"/>
    <n v="0.89283000000000001"/>
    <n v="0.88253499999999996"/>
    <n v="205.9"/>
  </r>
  <r>
    <x v="13"/>
    <x v="52"/>
    <x v="10"/>
    <m/>
    <n v="0.87224000000000002"/>
    <n v="0.89283000000000001"/>
    <n v="0.88253499999999996"/>
    <n v="205.9"/>
  </r>
  <r>
    <x v="13"/>
    <x v="52"/>
    <x v="10"/>
    <m/>
    <n v="0.87224000000000002"/>
    <n v="0.89283000000000001"/>
    <n v="0.88253499999999996"/>
    <n v="205.9"/>
  </r>
  <r>
    <x v="13"/>
    <x v="52"/>
    <x v="10"/>
    <m/>
    <n v="0.87224000000000002"/>
    <n v="0.89283000000000001"/>
    <n v="0.88253499999999996"/>
    <n v="205.9"/>
  </r>
  <r>
    <x v="13"/>
    <x v="52"/>
    <x v="10"/>
    <m/>
    <n v="0.87224000000000002"/>
    <n v="0.89283000000000001"/>
    <n v="0.88253499999999996"/>
    <n v="205.9"/>
  </r>
  <r>
    <x v="13"/>
    <x v="52"/>
    <x v="10"/>
    <m/>
    <n v="0.87224000000000002"/>
    <n v="0.89283000000000001"/>
    <n v="0.88253499999999996"/>
    <n v="205.9"/>
  </r>
  <r>
    <x v="13"/>
    <x v="52"/>
    <x v="10"/>
    <m/>
    <n v="0.87224000000000002"/>
    <n v="0.89283000000000001"/>
    <n v="0.88253499999999996"/>
    <n v="205.9"/>
  </r>
  <r>
    <x v="13"/>
    <x v="52"/>
    <x v="10"/>
    <m/>
    <n v="0.87224000000000002"/>
    <n v="0.89283000000000001"/>
    <n v="0.88253499999999996"/>
    <n v="205.9"/>
  </r>
  <r>
    <x v="13"/>
    <x v="52"/>
    <x v="10"/>
    <m/>
    <n v="0.87224000000000002"/>
    <n v="0.89283000000000001"/>
    <n v="0.88253499999999996"/>
    <n v="205.9"/>
  </r>
  <r>
    <x v="13"/>
    <x v="52"/>
    <x v="10"/>
    <m/>
    <n v="0.87224000000000002"/>
    <n v="0.89283000000000001"/>
    <n v="0.88253499999999996"/>
    <n v="205.9"/>
  </r>
  <r>
    <x v="13"/>
    <x v="52"/>
    <x v="10"/>
    <m/>
    <n v="0.87224000000000002"/>
    <n v="0.89283000000000001"/>
    <n v="0.88253499999999996"/>
    <n v="205.9"/>
  </r>
  <r>
    <x v="13"/>
    <x v="52"/>
    <x v="10"/>
    <m/>
    <n v="0.87224000000000002"/>
    <n v="0.89283000000000001"/>
    <n v="0.88253499999999996"/>
    <n v="205.9"/>
  </r>
  <r>
    <x v="13"/>
    <x v="52"/>
    <x v="10"/>
    <m/>
    <n v="0.87224000000000002"/>
    <n v="0.89283000000000001"/>
    <n v="0.88253499999999996"/>
    <n v="205.9"/>
  </r>
  <r>
    <x v="13"/>
    <x v="52"/>
    <x v="10"/>
    <m/>
    <n v="0.87224000000000002"/>
    <n v="0.89283000000000001"/>
    <n v="0.88253499999999996"/>
    <n v="205.9"/>
  </r>
  <r>
    <x v="13"/>
    <x v="52"/>
    <x v="10"/>
    <m/>
    <n v="0.87224000000000002"/>
    <n v="0.89283000000000001"/>
    <n v="0.88253499999999996"/>
    <n v="205.9"/>
  </r>
  <r>
    <x v="13"/>
    <x v="52"/>
    <x v="10"/>
    <m/>
    <n v="0.87224000000000002"/>
    <n v="0.89283000000000001"/>
    <n v="0.88253499999999996"/>
    <n v="205.9"/>
  </r>
  <r>
    <x v="13"/>
    <x v="52"/>
    <x v="10"/>
    <m/>
    <n v="0.87224000000000002"/>
    <n v="0.89283000000000001"/>
    <n v="0.88253499999999996"/>
    <n v="205.9"/>
  </r>
  <r>
    <x v="13"/>
    <x v="52"/>
    <x v="6"/>
    <m/>
    <n v="0.82752000000000003"/>
    <n v="0.86911000000000005"/>
    <n v="0.84831500000000004"/>
    <n v="415.9"/>
  </r>
  <r>
    <x v="13"/>
    <x v="52"/>
    <x v="6"/>
    <m/>
    <n v="0.82752000000000003"/>
    <n v="0.86911000000000005"/>
    <n v="0.84831500000000004"/>
    <n v="415.9"/>
  </r>
  <r>
    <x v="13"/>
    <x v="52"/>
    <x v="6"/>
    <m/>
    <n v="0.82752000000000003"/>
    <n v="0.86911000000000005"/>
    <n v="0.84831500000000004"/>
    <n v="415.9"/>
  </r>
  <r>
    <x v="13"/>
    <x v="52"/>
    <x v="6"/>
    <m/>
    <n v="0.82752000000000003"/>
    <n v="0.86911000000000005"/>
    <n v="0.84831500000000004"/>
    <n v="415.9"/>
  </r>
  <r>
    <x v="13"/>
    <x v="52"/>
    <x v="6"/>
    <m/>
    <n v="0.82752000000000003"/>
    <n v="0.86911000000000005"/>
    <n v="0.84831500000000004"/>
    <n v="415.9"/>
  </r>
  <r>
    <x v="13"/>
    <x v="52"/>
    <x v="6"/>
    <m/>
    <n v="0.82752000000000003"/>
    <n v="0.86911000000000005"/>
    <n v="0.84831500000000004"/>
    <n v="415.9"/>
  </r>
  <r>
    <x v="13"/>
    <x v="52"/>
    <x v="6"/>
    <m/>
    <n v="0.82752000000000003"/>
    <n v="0.86911000000000005"/>
    <n v="0.84831500000000004"/>
    <n v="415.9"/>
  </r>
  <r>
    <x v="13"/>
    <x v="52"/>
    <x v="6"/>
    <m/>
    <n v="0.82752000000000003"/>
    <n v="0.86911000000000005"/>
    <n v="0.84831500000000004"/>
    <n v="415.9"/>
  </r>
  <r>
    <x v="13"/>
    <x v="52"/>
    <x v="6"/>
    <m/>
    <n v="0.82752000000000003"/>
    <n v="0.86911000000000005"/>
    <n v="0.84831500000000004"/>
    <n v="415.9"/>
  </r>
  <r>
    <x v="13"/>
    <x v="52"/>
    <x v="6"/>
    <m/>
    <n v="0.82752000000000003"/>
    <n v="0.86911000000000005"/>
    <n v="0.84831500000000004"/>
    <n v="415.9"/>
  </r>
  <r>
    <x v="13"/>
    <x v="52"/>
    <x v="6"/>
    <m/>
    <n v="0.82752000000000003"/>
    <n v="0.86911000000000005"/>
    <n v="0.84831500000000004"/>
    <n v="415.9"/>
  </r>
  <r>
    <x v="13"/>
    <x v="52"/>
    <x v="6"/>
    <m/>
    <n v="0.82752000000000003"/>
    <n v="0.86911000000000005"/>
    <n v="0.84831500000000004"/>
    <n v="415.9"/>
  </r>
  <r>
    <x v="13"/>
    <x v="52"/>
    <x v="6"/>
    <m/>
    <n v="0.82752000000000003"/>
    <n v="0.86911000000000005"/>
    <n v="0.84831500000000004"/>
    <n v="415.9"/>
  </r>
  <r>
    <x v="13"/>
    <x v="52"/>
    <x v="6"/>
    <m/>
    <n v="0.82752000000000003"/>
    <n v="0.86911000000000005"/>
    <n v="0.84831500000000004"/>
    <n v="415.9"/>
  </r>
  <r>
    <x v="13"/>
    <x v="52"/>
    <x v="6"/>
    <m/>
    <n v="0.82752000000000003"/>
    <n v="0.86911000000000005"/>
    <n v="0.84831500000000004"/>
    <n v="415.9"/>
  </r>
  <r>
    <x v="13"/>
    <x v="52"/>
    <x v="6"/>
    <m/>
    <n v="0.82752000000000003"/>
    <n v="0.86911000000000005"/>
    <n v="0.84831500000000004"/>
    <n v="415.9"/>
  </r>
  <r>
    <x v="13"/>
    <x v="52"/>
    <x v="6"/>
    <m/>
    <n v="0.82752000000000003"/>
    <n v="0.86911000000000005"/>
    <n v="0.84831500000000004"/>
    <n v="415.9"/>
  </r>
  <r>
    <x v="13"/>
    <x v="52"/>
    <x v="6"/>
    <m/>
    <n v="0.82752000000000003"/>
    <n v="0.86911000000000005"/>
    <n v="0.84831500000000004"/>
    <n v="415.9"/>
  </r>
  <r>
    <x v="13"/>
    <x v="52"/>
    <x v="6"/>
    <m/>
    <n v="0.82752000000000003"/>
    <n v="0.86911000000000005"/>
    <n v="0.84831500000000004"/>
    <n v="415.9"/>
  </r>
  <r>
    <x v="13"/>
    <x v="52"/>
    <x v="6"/>
    <m/>
    <n v="0.82752000000000003"/>
    <n v="0.86911000000000005"/>
    <n v="0.84831500000000004"/>
    <n v="415.9"/>
  </r>
  <r>
    <x v="13"/>
    <x v="52"/>
    <x v="6"/>
    <m/>
    <n v="0.82752000000000003"/>
    <n v="0.86911000000000005"/>
    <n v="0.84831500000000004"/>
    <n v="415.9"/>
  </r>
  <r>
    <x v="13"/>
    <x v="52"/>
    <x v="6"/>
    <m/>
    <n v="0.82752000000000003"/>
    <n v="0.86911000000000005"/>
    <n v="0.84831500000000004"/>
    <n v="415.9"/>
  </r>
  <r>
    <x v="13"/>
    <x v="52"/>
    <x v="6"/>
    <m/>
    <n v="0.82752000000000003"/>
    <n v="0.86911000000000005"/>
    <n v="0.84831500000000004"/>
    <n v="415.9"/>
  </r>
  <r>
    <x v="13"/>
    <x v="52"/>
    <x v="6"/>
    <m/>
    <n v="0.82752000000000003"/>
    <n v="0.86911000000000005"/>
    <n v="0.84831500000000004"/>
    <n v="415.9"/>
  </r>
  <r>
    <x v="13"/>
    <x v="52"/>
    <x v="6"/>
    <m/>
    <n v="0.82752000000000003"/>
    <n v="0.86911000000000005"/>
    <n v="0.84831500000000004"/>
    <n v="415.9"/>
  </r>
  <r>
    <x v="13"/>
    <x v="52"/>
    <x v="6"/>
    <m/>
    <n v="0.82752000000000003"/>
    <n v="0.86911000000000005"/>
    <n v="0.84831500000000004"/>
    <n v="415.9"/>
  </r>
  <r>
    <x v="13"/>
    <x v="52"/>
    <x v="6"/>
    <m/>
    <n v="0.82752000000000003"/>
    <n v="0.86911000000000005"/>
    <n v="0.84831500000000004"/>
    <n v="415.9"/>
  </r>
  <r>
    <x v="13"/>
    <x v="52"/>
    <x v="9"/>
    <m/>
    <n v="0.81752000000000002"/>
    <n v="0.83636999999999995"/>
    <n v="0.82694500000000004"/>
    <n v="188.5"/>
  </r>
  <r>
    <x v="13"/>
    <x v="52"/>
    <x v="9"/>
    <m/>
    <n v="0.81752000000000002"/>
    <n v="0.83636999999999995"/>
    <n v="0.82694500000000004"/>
    <n v="188.5"/>
  </r>
  <r>
    <x v="13"/>
    <x v="52"/>
    <x v="9"/>
    <m/>
    <n v="0.81752000000000002"/>
    <n v="0.83636999999999995"/>
    <n v="0.82694500000000004"/>
    <n v="188.5"/>
  </r>
  <r>
    <x v="13"/>
    <x v="52"/>
    <x v="9"/>
    <m/>
    <n v="0.81752000000000002"/>
    <n v="0.83636999999999995"/>
    <n v="0.82694500000000004"/>
    <n v="188.5"/>
  </r>
  <r>
    <x v="13"/>
    <x v="52"/>
    <x v="9"/>
    <m/>
    <n v="0.81752000000000002"/>
    <n v="0.83636999999999995"/>
    <n v="0.82694500000000004"/>
    <n v="188.5"/>
  </r>
  <r>
    <x v="13"/>
    <x v="52"/>
    <x v="9"/>
    <m/>
    <n v="0.81752000000000002"/>
    <n v="0.83636999999999995"/>
    <n v="0.82694500000000004"/>
    <n v="188.5"/>
  </r>
  <r>
    <x v="13"/>
    <x v="52"/>
    <x v="9"/>
    <m/>
    <n v="0.81752000000000002"/>
    <n v="0.83636999999999995"/>
    <n v="0.82694500000000004"/>
    <n v="188.5"/>
  </r>
  <r>
    <x v="13"/>
    <x v="52"/>
    <x v="9"/>
    <m/>
    <n v="0.81752000000000002"/>
    <n v="0.83636999999999995"/>
    <n v="0.82694500000000004"/>
    <n v="188.5"/>
  </r>
  <r>
    <x v="13"/>
    <x v="52"/>
    <x v="9"/>
    <m/>
    <n v="0.81752000000000002"/>
    <n v="0.83636999999999995"/>
    <n v="0.82694500000000004"/>
    <n v="188.5"/>
  </r>
  <r>
    <x v="13"/>
    <x v="52"/>
    <x v="9"/>
    <m/>
    <n v="0.81752000000000002"/>
    <n v="0.83636999999999995"/>
    <n v="0.82694500000000004"/>
    <n v="188.5"/>
  </r>
  <r>
    <x v="13"/>
    <x v="52"/>
    <x v="9"/>
    <m/>
    <n v="0.81752000000000002"/>
    <n v="0.83636999999999995"/>
    <n v="0.82694500000000004"/>
    <n v="188.5"/>
  </r>
  <r>
    <x v="13"/>
    <x v="52"/>
    <x v="9"/>
    <m/>
    <n v="0.81752000000000002"/>
    <n v="0.83636999999999995"/>
    <n v="0.82694500000000004"/>
    <n v="188.5"/>
  </r>
  <r>
    <x v="13"/>
    <x v="52"/>
    <x v="9"/>
    <m/>
    <n v="0.81752000000000002"/>
    <n v="0.83636999999999995"/>
    <n v="0.82694500000000004"/>
    <n v="188.5"/>
  </r>
  <r>
    <x v="13"/>
    <x v="52"/>
    <x v="9"/>
    <m/>
    <n v="0.81752000000000002"/>
    <n v="0.83636999999999995"/>
    <n v="0.82694500000000004"/>
    <n v="188.5"/>
  </r>
  <r>
    <x v="13"/>
    <x v="52"/>
    <x v="9"/>
    <m/>
    <n v="0.81752000000000002"/>
    <n v="0.83636999999999995"/>
    <n v="0.82694500000000004"/>
    <n v="188.5"/>
  </r>
  <r>
    <x v="13"/>
    <x v="52"/>
    <x v="9"/>
    <m/>
    <n v="0.81752000000000002"/>
    <n v="0.83636999999999995"/>
    <n v="0.82694500000000004"/>
    <n v="188.5"/>
  </r>
  <r>
    <x v="13"/>
    <x v="52"/>
    <x v="9"/>
    <m/>
    <n v="0.81752000000000002"/>
    <n v="0.83636999999999995"/>
    <n v="0.82694500000000004"/>
    <n v="188.5"/>
  </r>
  <r>
    <x v="13"/>
    <x v="52"/>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4"/>
    <m/>
    <n v="90.941000000000003"/>
    <n v="95.956999999999994"/>
    <n v="93.448999999999998"/>
    <n v="501.6"/>
  </r>
  <r>
    <x v="13"/>
    <x v="53"/>
    <x v="10"/>
    <m/>
    <n v="0.87224000000000002"/>
    <n v="0.89283000000000001"/>
    <n v="0.88253499999999996"/>
    <n v="205.9"/>
  </r>
  <r>
    <x v="13"/>
    <x v="53"/>
    <x v="10"/>
    <m/>
    <n v="0.87224000000000002"/>
    <n v="0.89283000000000001"/>
    <n v="0.88253499999999996"/>
    <n v="205.9"/>
  </r>
  <r>
    <x v="13"/>
    <x v="53"/>
    <x v="10"/>
    <m/>
    <n v="0.87224000000000002"/>
    <n v="0.89283000000000001"/>
    <n v="0.88253499999999996"/>
    <n v="205.9"/>
  </r>
  <r>
    <x v="13"/>
    <x v="53"/>
    <x v="10"/>
    <m/>
    <n v="0.87224000000000002"/>
    <n v="0.89283000000000001"/>
    <n v="0.88253499999999996"/>
    <n v="205.9"/>
  </r>
  <r>
    <x v="13"/>
    <x v="53"/>
    <x v="10"/>
    <m/>
    <n v="0.87224000000000002"/>
    <n v="0.89283000000000001"/>
    <n v="0.88253499999999996"/>
    <n v="205.9"/>
  </r>
  <r>
    <x v="13"/>
    <x v="53"/>
    <x v="10"/>
    <m/>
    <n v="0.87224000000000002"/>
    <n v="0.89283000000000001"/>
    <n v="0.88253499999999996"/>
    <n v="205.9"/>
  </r>
  <r>
    <x v="13"/>
    <x v="53"/>
    <x v="10"/>
    <m/>
    <n v="0.87224000000000002"/>
    <n v="0.89283000000000001"/>
    <n v="0.88253499999999996"/>
    <n v="205.9"/>
  </r>
  <r>
    <x v="13"/>
    <x v="53"/>
    <x v="10"/>
    <m/>
    <n v="0.87224000000000002"/>
    <n v="0.89283000000000001"/>
    <n v="0.88253499999999996"/>
    <n v="205.9"/>
  </r>
  <r>
    <x v="13"/>
    <x v="53"/>
    <x v="10"/>
    <m/>
    <n v="0.87224000000000002"/>
    <n v="0.89283000000000001"/>
    <n v="0.88253499999999996"/>
    <n v="205.9"/>
  </r>
  <r>
    <x v="13"/>
    <x v="53"/>
    <x v="10"/>
    <m/>
    <n v="0.87224000000000002"/>
    <n v="0.89283000000000001"/>
    <n v="0.88253499999999996"/>
    <n v="205.9"/>
  </r>
  <r>
    <x v="13"/>
    <x v="53"/>
    <x v="10"/>
    <m/>
    <n v="0.87224000000000002"/>
    <n v="0.89283000000000001"/>
    <n v="0.88253499999999996"/>
    <n v="205.9"/>
  </r>
  <r>
    <x v="13"/>
    <x v="53"/>
    <x v="10"/>
    <m/>
    <n v="0.87224000000000002"/>
    <n v="0.89283000000000001"/>
    <n v="0.88253499999999996"/>
    <n v="205.9"/>
  </r>
  <r>
    <x v="13"/>
    <x v="53"/>
    <x v="10"/>
    <m/>
    <n v="0.87224000000000002"/>
    <n v="0.89283000000000001"/>
    <n v="0.88253499999999996"/>
    <n v="205.9"/>
  </r>
  <r>
    <x v="13"/>
    <x v="53"/>
    <x v="10"/>
    <m/>
    <n v="0.87224000000000002"/>
    <n v="0.89283000000000001"/>
    <n v="0.88253499999999996"/>
    <n v="205.9"/>
  </r>
  <r>
    <x v="13"/>
    <x v="53"/>
    <x v="10"/>
    <m/>
    <n v="0.87224000000000002"/>
    <n v="0.89283000000000001"/>
    <n v="0.88253499999999996"/>
    <n v="205.9"/>
  </r>
  <r>
    <x v="13"/>
    <x v="53"/>
    <x v="10"/>
    <m/>
    <n v="0.87224000000000002"/>
    <n v="0.89283000000000001"/>
    <n v="0.88253499999999996"/>
    <n v="205.9"/>
  </r>
  <r>
    <x v="13"/>
    <x v="53"/>
    <x v="10"/>
    <m/>
    <n v="0.87224000000000002"/>
    <n v="0.89283000000000001"/>
    <n v="0.88253499999999996"/>
    <n v="205.9"/>
  </r>
  <r>
    <x v="13"/>
    <x v="53"/>
    <x v="10"/>
    <m/>
    <n v="0.87224000000000002"/>
    <n v="0.89283000000000001"/>
    <n v="0.88253499999999996"/>
    <n v="205.9"/>
  </r>
  <r>
    <x v="13"/>
    <x v="53"/>
    <x v="10"/>
    <m/>
    <n v="0.87224000000000002"/>
    <n v="0.89283000000000001"/>
    <n v="0.88253499999999996"/>
    <n v="205.9"/>
  </r>
  <r>
    <x v="13"/>
    <x v="53"/>
    <x v="6"/>
    <m/>
    <n v="0.82752000000000003"/>
    <n v="0.86911000000000005"/>
    <n v="0.84831500000000004"/>
    <n v="415.9"/>
  </r>
  <r>
    <x v="13"/>
    <x v="53"/>
    <x v="6"/>
    <m/>
    <n v="0.82752000000000003"/>
    <n v="0.86911000000000005"/>
    <n v="0.84831500000000004"/>
    <n v="415.9"/>
  </r>
  <r>
    <x v="13"/>
    <x v="53"/>
    <x v="6"/>
    <m/>
    <n v="0.82752000000000003"/>
    <n v="0.86911000000000005"/>
    <n v="0.84831500000000004"/>
    <n v="415.9"/>
  </r>
  <r>
    <x v="13"/>
    <x v="53"/>
    <x v="6"/>
    <m/>
    <n v="0.82752000000000003"/>
    <n v="0.86911000000000005"/>
    <n v="0.84831500000000004"/>
    <n v="415.9"/>
  </r>
  <r>
    <x v="13"/>
    <x v="53"/>
    <x v="6"/>
    <m/>
    <n v="0.82752000000000003"/>
    <n v="0.86911000000000005"/>
    <n v="0.84831500000000004"/>
    <n v="415.9"/>
  </r>
  <r>
    <x v="13"/>
    <x v="53"/>
    <x v="6"/>
    <m/>
    <n v="0.82752000000000003"/>
    <n v="0.86911000000000005"/>
    <n v="0.84831500000000004"/>
    <n v="415.9"/>
  </r>
  <r>
    <x v="13"/>
    <x v="53"/>
    <x v="6"/>
    <m/>
    <n v="0.82752000000000003"/>
    <n v="0.86911000000000005"/>
    <n v="0.84831500000000004"/>
    <n v="415.9"/>
  </r>
  <r>
    <x v="13"/>
    <x v="53"/>
    <x v="6"/>
    <m/>
    <n v="0.82752000000000003"/>
    <n v="0.86911000000000005"/>
    <n v="0.84831500000000004"/>
    <n v="415.9"/>
  </r>
  <r>
    <x v="13"/>
    <x v="53"/>
    <x v="6"/>
    <m/>
    <n v="0.82752000000000003"/>
    <n v="0.86911000000000005"/>
    <n v="0.84831500000000004"/>
    <n v="415.9"/>
  </r>
  <r>
    <x v="13"/>
    <x v="53"/>
    <x v="6"/>
    <m/>
    <n v="0.82752000000000003"/>
    <n v="0.86911000000000005"/>
    <n v="0.84831500000000004"/>
    <n v="415.9"/>
  </r>
  <r>
    <x v="13"/>
    <x v="53"/>
    <x v="6"/>
    <m/>
    <n v="0.82752000000000003"/>
    <n v="0.86911000000000005"/>
    <n v="0.84831500000000004"/>
    <n v="415.9"/>
  </r>
  <r>
    <x v="13"/>
    <x v="53"/>
    <x v="6"/>
    <m/>
    <n v="0.82752000000000003"/>
    <n v="0.86911000000000005"/>
    <n v="0.84831500000000004"/>
    <n v="415.9"/>
  </r>
  <r>
    <x v="13"/>
    <x v="53"/>
    <x v="6"/>
    <m/>
    <n v="0.82752000000000003"/>
    <n v="0.86911000000000005"/>
    <n v="0.84831500000000004"/>
    <n v="415.9"/>
  </r>
  <r>
    <x v="13"/>
    <x v="53"/>
    <x v="6"/>
    <m/>
    <n v="0.82752000000000003"/>
    <n v="0.86911000000000005"/>
    <n v="0.84831500000000004"/>
    <n v="415.9"/>
  </r>
  <r>
    <x v="13"/>
    <x v="53"/>
    <x v="6"/>
    <m/>
    <n v="0.82752000000000003"/>
    <n v="0.86911000000000005"/>
    <n v="0.84831500000000004"/>
    <n v="415.9"/>
  </r>
  <r>
    <x v="13"/>
    <x v="53"/>
    <x v="6"/>
    <m/>
    <n v="0.82752000000000003"/>
    <n v="0.86911000000000005"/>
    <n v="0.84831500000000004"/>
    <n v="415.9"/>
  </r>
  <r>
    <x v="13"/>
    <x v="53"/>
    <x v="6"/>
    <m/>
    <n v="0.82752000000000003"/>
    <n v="0.86911000000000005"/>
    <n v="0.84831500000000004"/>
    <n v="415.9"/>
  </r>
  <r>
    <x v="13"/>
    <x v="53"/>
    <x v="6"/>
    <m/>
    <n v="0.82752000000000003"/>
    <n v="0.86911000000000005"/>
    <n v="0.84831500000000004"/>
    <n v="415.9"/>
  </r>
  <r>
    <x v="13"/>
    <x v="53"/>
    <x v="6"/>
    <m/>
    <n v="0.82752000000000003"/>
    <n v="0.86911000000000005"/>
    <n v="0.84831500000000004"/>
    <n v="415.9"/>
  </r>
  <r>
    <x v="13"/>
    <x v="53"/>
    <x v="6"/>
    <m/>
    <n v="0.82752000000000003"/>
    <n v="0.86911000000000005"/>
    <n v="0.84831500000000004"/>
    <n v="415.9"/>
  </r>
  <r>
    <x v="13"/>
    <x v="53"/>
    <x v="6"/>
    <m/>
    <n v="0.82752000000000003"/>
    <n v="0.86911000000000005"/>
    <n v="0.84831500000000004"/>
    <n v="415.9"/>
  </r>
  <r>
    <x v="13"/>
    <x v="53"/>
    <x v="6"/>
    <m/>
    <n v="0.82752000000000003"/>
    <n v="0.86911000000000005"/>
    <n v="0.84831500000000004"/>
    <n v="415.9"/>
  </r>
  <r>
    <x v="13"/>
    <x v="53"/>
    <x v="6"/>
    <m/>
    <n v="0.82752000000000003"/>
    <n v="0.86911000000000005"/>
    <n v="0.84831500000000004"/>
    <n v="415.9"/>
  </r>
  <r>
    <x v="13"/>
    <x v="53"/>
    <x v="6"/>
    <m/>
    <n v="0.82752000000000003"/>
    <n v="0.86911000000000005"/>
    <n v="0.84831500000000004"/>
    <n v="415.9"/>
  </r>
  <r>
    <x v="13"/>
    <x v="53"/>
    <x v="6"/>
    <m/>
    <n v="0.82752000000000003"/>
    <n v="0.86911000000000005"/>
    <n v="0.84831500000000004"/>
    <n v="415.9"/>
  </r>
  <r>
    <x v="13"/>
    <x v="53"/>
    <x v="6"/>
    <m/>
    <n v="0.82752000000000003"/>
    <n v="0.86911000000000005"/>
    <n v="0.84831500000000004"/>
    <n v="415.9"/>
  </r>
  <r>
    <x v="13"/>
    <x v="53"/>
    <x v="6"/>
    <m/>
    <n v="0.82752000000000003"/>
    <n v="0.86911000000000005"/>
    <n v="0.84831500000000004"/>
    <n v="415.9"/>
  </r>
  <r>
    <x v="13"/>
    <x v="53"/>
    <x v="9"/>
    <m/>
    <n v="0.81752000000000002"/>
    <n v="0.83636999999999995"/>
    <n v="0.82694500000000004"/>
    <n v="188.5"/>
  </r>
  <r>
    <x v="13"/>
    <x v="53"/>
    <x v="9"/>
    <m/>
    <n v="0.81752000000000002"/>
    <n v="0.83636999999999995"/>
    <n v="0.82694500000000004"/>
    <n v="188.5"/>
  </r>
  <r>
    <x v="13"/>
    <x v="53"/>
    <x v="9"/>
    <m/>
    <n v="0.81752000000000002"/>
    <n v="0.83636999999999995"/>
    <n v="0.82694500000000004"/>
    <n v="188.5"/>
  </r>
  <r>
    <x v="13"/>
    <x v="53"/>
    <x v="9"/>
    <m/>
    <n v="0.81752000000000002"/>
    <n v="0.83636999999999995"/>
    <n v="0.82694500000000004"/>
    <n v="188.5"/>
  </r>
  <r>
    <x v="13"/>
    <x v="53"/>
    <x v="9"/>
    <m/>
    <n v="0.81752000000000002"/>
    <n v="0.83636999999999995"/>
    <n v="0.82694500000000004"/>
    <n v="188.5"/>
  </r>
  <r>
    <x v="13"/>
    <x v="53"/>
    <x v="9"/>
    <m/>
    <n v="0.81752000000000002"/>
    <n v="0.83636999999999995"/>
    <n v="0.82694500000000004"/>
    <n v="188.5"/>
  </r>
  <r>
    <x v="13"/>
    <x v="53"/>
    <x v="9"/>
    <m/>
    <n v="0.81752000000000002"/>
    <n v="0.83636999999999995"/>
    <n v="0.82694500000000004"/>
    <n v="188.5"/>
  </r>
  <r>
    <x v="13"/>
    <x v="53"/>
    <x v="9"/>
    <m/>
    <n v="0.81752000000000002"/>
    <n v="0.83636999999999995"/>
    <n v="0.82694500000000004"/>
    <n v="188.5"/>
  </r>
  <r>
    <x v="13"/>
    <x v="53"/>
    <x v="9"/>
    <m/>
    <n v="0.81752000000000002"/>
    <n v="0.83636999999999995"/>
    <n v="0.82694500000000004"/>
    <n v="188.5"/>
  </r>
  <r>
    <x v="13"/>
    <x v="53"/>
    <x v="9"/>
    <m/>
    <n v="0.81752000000000002"/>
    <n v="0.83636999999999995"/>
    <n v="0.82694500000000004"/>
    <n v="188.5"/>
  </r>
  <r>
    <x v="13"/>
    <x v="53"/>
    <x v="9"/>
    <m/>
    <n v="0.81752000000000002"/>
    <n v="0.83636999999999995"/>
    <n v="0.82694500000000004"/>
    <n v="188.5"/>
  </r>
  <r>
    <x v="13"/>
    <x v="53"/>
    <x v="9"/>
    <m/>
    <n v="0.81752000000000002"/>
    <n v="0.83636999999999995"/>
    <n v="0.82694500000000004"/>
    <n v="188.5"/>
  </r>
  <r>
    <x v="13"/>
    <x v="53"/>
    <x v="9"/>
    <m/>
    <n v="0.81752000000000002"/>
    <n v="0.83636999999999995"/>
    <n v="0.82694500000000004"/>
    <n v="188.5"/>
  </r>
  <r>
    <x v="13"/>
    <x v="53"/>
    <x v="9"/>
    <m/>
    <n v="0.81752000000000002"/>
    <n v="0.83636999999999995"/>
    <n v="0.82694500000000004"/>
    <n v="188.5"/>
  </r>
  <r>
    <x v="13"/>
    <x v="53"/>
    <x v="9"/>
    <m/>
    <n v="0.81752000000000002"/>
    <n v="0.83636999999999995"/>
    <n v="0.82694500000000004"/>
    <n v="188.5"/>
  </r>
  <r>
    <x v="13"/>
    <x v="53"/>
    <x v="9"/>
    <m/>
    <n v="0.81752000000000002"/>
    <n v="0.83636999999999995"/>
    <n v="0.82694500000000004"/>
    <n v="188.5"/>
  </r>
  <r>
    <x v="13"/>
    <x v="53"/>
    <x v="4"/>
    <m/>
    <n v="90.941000000000003"/>
    <n v="95.956999999999994"/>
    <n v="93.448999999999998"/>
    <n v="501.6"/>
  </r>
  <r>
    <x v="13"/>
    <x v="53"/>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4"/>
    <m/>
    <n v="90.941000000000003"/>
    <n v="95.956999999999994"/>
    <n v="93.448999999999998"/>
    <n v="501.6"/>
  </r>
  <r>
    <x v="13"/>
    <x v="54"/>
    <x v="10"/>
    <m/>
    <n v="0.87224000000000002"/>
    <n v="0.89283000000000001"/>
    <n v="0.88253499999999996"/>
    <n v="205.9"/>
  </r>
  <r>
    <x v="13"/>
    <x v="54"/>
    <x v="10"/>
    <m/>
    <n v="0.87224000000000002"/>
    <n v="0.89283000000000001"/>
    <n v="0.88253499999999996"/>
    <n v="205.9"/>
  </r>
  <r>
    <x v="13"/>
    <x v="54"/>
    <x v="10"/>
    <m/>
    <n v="0.87224000000000002"/>
    <n v="0.89283000000000001"/>
    <n v="0.88253499999999996"/>
    <n v="205.9"/>
  </r>
  <r>
    <x v="13"/>
    <x v="54"/>
    <x v="10"/>
    <m/>
    <n v="0.87224000000000002"/>
    <n v="0.89283000000000001"/>
    <n v="0.88253499999999996"/>
    <n v="205.9"/>
  </r>
  <r>
    <x v="13"/>
    <x v="54"/>
    <x v="10"/>
    <m/>
    <n v="0.87224000000000002"/>
    <n v="0.89283000000000001"/>
    <n v="0.88253499999999996"/>
    <n v="205.9"/>
  </r>
  <r>
    <x v="13"/>
    <x v="54"/>
    <x v="10"/>
    <m/>
    <n v="0.87224000000000002"/>
    <n v="0.89283000000000001"/>
    <n v="0.88253499999999996"/>
    <n v="205.9"/>
  </r>
  <r>
    <x v="13"/>
    <x v="54"/>
    <x v="10"/>
    <m/>
    <n v="0.87224000000000002"/>
    <n v="0.89283000000000001"/>
    <n v="0.88253499999999996"/>
    <n v="205.9"/>
  </r>
  <r>
    <x v="13"/>
    <x v="54"/>
    <x v="10"/>
    <m/>
    <n v="0.87224000000000002"/>
    <n v="0.89283000000000001"/>
    <n v="0.88253499999999996"/>
    <n v="205.9"/>
  </r>
  <r>
    <x v="13"/>
    <x v="54"/>
    <x v="10"/>
    <m/>
    <n v="0.87224000000000002"/>
    <n v="0.89283000000000001"/>
    <n v="0.88253499999999996"/>
    <n v="205.9"/>
  </r>
  <r>
    <x v="13"/>
    <x v="54"/>
    <x v="10"/>
    <m/>
    <n v="0.87224000000000002"/>
    <n v="0.89283000000000001"/>
    <n v="0.88253499999999996"/>
    <n v="205.9"/>
  </r>
  <r>
    <x v="13"/>
    <x v="54"/>
    <x v="10"/>
    <m/>
    <n v="0.87224000000000002"/>
    <n v="0.89283000000000001"/>
    <n v="0.88253499999999996"/>
    <n v="205.9"/>
  </r>
  <r>
    <x v="13"/>
    <x v="54"/>
    <x v="10"/>
    <m/>
    <n v="0.87224000000000002"/>
    <n v="0.89283000000000001"/>
    <n v="0.88253499999999996"/>
    <n v="205.9"/>
  </r>
  <r>
    <x v="13"/>
    <x v="54"/>
    <x v="10"/>
    <m/>
    <n v="0.87224000000000002"/>
    <n v="0.89283000000000001"/>
    <n v="0.88253499999999996"/>
    <n v="205.9"/>
  </r>
  <r>
    <x v="13"/>
    <x v="54"/>
    <x v="10"/>
    <m/>
    <n v="0.87224000000000002"/>
    <n v="0.89283000000000001"/>
    <n v="0.88253499999999996"/>
    <n v="205.9"/>
  </r>
  <r>
    <x v="13"/>
    <x v="54"/>
    <x v="10"/>
    <m/>
    <n v="0.87224000000000002"/>
    <n v="0.89283000000000001"/>
    <n v="0.88253499999999996"/>
    <n v="205.9"/>
  </r>
  <r>
    <x v="13"/>
    <x v="54"/>
    <x v="10"/>
    <m/>
    <n v="0.87224000000000002"/>
    <n v="0.89283000000000001"/>
    <n v="0.88253499999999996"/>
    <n v="205.9"/>
  </r>
  <r>
    <x v="13"/>
    <x v="54"/>
    <x v="10"/>
    <m/>
    <n v="0.87224000000000002"/>
    <n v="0.89283000000000001"/>
    <n v="0.88253499999999996"/>
    <n v="205.9"/>
  </r>
  <r>
    <x v="13"/>
    <x v="54"/>
    <x v="10"/>
    <m/>
    <n v="0.87224000000000002"/>
    <n v="0.89283000000000001"/>
    <n v="0.88253499999999996"/>
    <n v="205.9"/>
  </r>
  <r>
    <x v="13"/>
    <x v="54"/>
    <x v="10"/>
    <m/>
    <n v="0.87224000000000002"/>
    <n v="0.89283000000000001"/>
    <n v="0.88253499999999996"/>
    <n v="205.9"/>
  </r>
  <r>
    <x v="13"/>
    <x v="54"/>
    <x v="6"/>
    <m/>
    <n v="0.82752000000000003"/>
    <n v="0.86911000000000005"/>
    <n v="0.84831500000000004"/>
    <n v="415.9"/>
  </r>
  <r>
    <x v="13"/>
    <x v="54"/>
    <x v="6"/>
    <m/>
    <n v="0.82752000000000003"/>
    <n v="0.86911000000000005"/>
    <n v="0.84831500000000004"/>
    <n v="415.9"/>
  </r>
  <r>
    <x v="13"/>
    <x v="54"/>
    <x v="6"/>
    <m/>
    <n v="0.82752000000000003"/>
    <n v="0.86911000000000005"/>
    <n v="0.84831500000000004"/>
    <n v="415.9"/>
  </r>
  <r>
    <x v="13"/>
    <x v="54"/>
    <x v="6"/>
    <m/>
    <n v="0.82752000000000003"/>
    <n v="0.86911000000000005"/>
    <n v="0.84831500000000004"/>
    <n v="415.9"/>
  </r>
  <r>
    <x v="13"/>
    <x v="54"/>
    <x v="6"/>
    <m/>
    <n v="0.82752000000000003"/>
    <n v="0.86911000000000005"/>
    <n v="0.84831500000000004"/>
    <n v="415.9"/>
  </r>
  <r>
    <x v="13"/>
    <x v="54"/>
    <x v="6"/>
    <m/>
    <n v="0.82752000000000003"/>
    <n v="0.86911000000000005"/>
    <n v="0.84831500000000004"/>
    <n v="415.9"/>
  </r>
  <r>
    <x v="13"/>
    <x v="54"/>
    <x v="6"/>
    <m/>
    <n v="0.82752000000000003"/>
    <n v="0.86911000000000005"/>
    <n v="0.84831500000000004"/>
    <n v="415.9"/>
  </r>
  <r>
    <x v="13"/>
    <x v="54"/>
    <x v="6"/>
    <m/>
    <n v="0.82752000000000003"/>
    <n v="0.86911000000000005"/>
    <n v="0.84831500000000004"/>
    <n v="415.9"/>
  </r>
  <r>
    <x v="13"/>
    <x v="54"/>
    <x v="6"/>
    <m/>
    <n v="0.82752000000000003"/>
    <n v="0.86911000000000005"/>
    <n v="0.84831500000000004"/>
    <n v="415.9"/>
  </r>
  <r>
    <x v="13"/>
    <x v="54"/>
    <x v="6"/>
    <m/>
    <n v="0.82752000000000003"/>
    <n v="0.86911000000000005"/>
    <n v="0.84831500000000004"/>
    <n v="415.9"/>
  </r>
  <r>
    <x v="13"/>
    <x v="54"/>
    <x v="6"/>
    <m/>
    <n v="0.82752000000000003"/>
    <n v="0.86911000000000005"/>
    <n v="0.84831500000000004"/>
    <n v="415.9"/>
  </r>
  <r>
    <x v="13"/>
    <x v="54"/>
    <x v="6"/>
    <m/>
    <n v="0.82752000000000003"/>
    <n v="0.86911000000000005"/>
    <n v="0.84831500000000004"/>
    <n v="415.9"/>
  </r>
  <r>
    <x v="13"/>
    <x v="54"/>
    <x v="6"/>
    <m/>
    <n v="0.82752000000000003"/>
    <n v="0.86911000000000005"/>
    <n v="0.84831500000000004"/>
    <n v="415.9"/>
  </r>
  <r>
    <x v="13"/>
    <x v="54"/>
    <x v="6"/>
    <m/>
    <n v="0.82752000000000003"/>
    <n v="0.86911000000000005"/>
    <n v="0.84831500000000004"/>
    <n v="415.9"/>
  </r>
  <r>
    <x v="13"/>
    <x v="54"/>
    <x v="6"/>
    <m/>
    <n v="0.82752000000000003"/>
    <n v="0.86911000000000005"/>
    <n v="0.84831500000000004"/>
    <n v="415.9"/>
  </r>
  <r>
    <x v="13"/>
    <x v="54"/>
    <x v="6"/>
    <m/>
    <n v="0.82752000000000003"/>
    <n v="0.86911000000000005"/>
    <n v="0.84831500000000004"/>
    <n v="415.9"/>
  </r>
  <r>
    <x v="13"/>
    <x v="54"/>
    <x v="6"/>
    <m/>
    <n v="0.82752000000000003"/>
    <n v="0.86911000000000005"/>
    <n v="0.84831500000000004"/>
    <n v="415.9"/>
  </r>
  <r>
    <x v="13"/>
    <x v="54"/>
    <x v="6"/>
    <m/>
    <n v="0.82752000000000003"/>
    <n v="0.86911000000000005"/>
    <n v="0.84831500000000004"/>
    <n v="415.9"/>
  </r>
  <r>
    <x v="13"/>
    <x v="54"/>
    <x v="6"/>
    <m/>
    <n v="0.82752000000000003"/>
    <n v="0.86911000000000005"/>
    <n v="0.84831500000000004"/>
    <n v="415.9"/>
  </r>
  <r>
    <x v="13"/>
    <x v="54"/>
    <x v="6"/>
    <m/>
    <n v="0.82752000000000003"/>
    <n v="0.86911000000000005"/>
    <n v="0.84831500000000004"/>
    <n v="415.9"/>
  </r>
  <r>
    <x v="13"/>
    <x v="54"/>
    <x v="6"/>
    <m/>
    <n v="0.82752000000000003"/>
    <n v="0.86911000000000005"/>
    <n v="0.84831500000000004"/>
    <n v="415.9"/>
  </r>
  <r>
    <x v="13"/>
    <x v="54"/>
    <x v="6"/>
    <m/>
    <n v="0.82752000000000003"/>
    <n v="0.86911000000000005"/>
    <n v="0.84831500000000004"/>
    <n v="415.9"/>
  </r>
  <r>
    <x v="13"/>
    <x v="54"/>
    <x v="6"/>
    <m/>
    <n v="0.82752000000000003"/>
    <n v="0.86911000000000005"/>
    <n v="0.84831500000000004"/>
    <n v="415.9"/>
  </r>
  <r>
    <x v="13"/>
    <x v="54"/>
    <x v="6"/>
    <m/>
    <n v="0.82752000000000003"/>
    <n v="0.86911000000000005"/>
    <n v="0.84831500000000004"/>
    <n v="415.9"/>
  </r>
  <r>
    <x v="13"/>
    <x v="54"/>
    <x v="6"/>
    <m/>
    <n v="0.82752000000000003"/>
    <n v="0.86911000000000005"/>
    <n v="0.84831500000000004"/>
    <n v="415.9"/>
  </r>
  <r>
    <x v="13"/>
    <x v="54"/>
    <x v="6"/>
    <m/>
    <n v="0.82752000000000003"/>
    <n v="0.86911000000000005"/>
    <n v="0.84831500000000004"/>
    <n v="415.9"/>
  </r>
  <r>
    <x v="13"/>
    <x v="54"/>
    <x v="6"/>
    <m/>
    <n v="0.82752000000000003"/>
    <n v="0.86911000000000005"/>
    <n v="0.84831500000000004"/>
    <n v="415.9"/>
  </r>
  <r>
    <x v="13"/>
    <x v="54"/>
    <x v="9"/>
    <m/>
    <n v="0.81752000000000002"/>
    <n v="0.83636999999999995"/>
    <n v="0.82694500000000004"/>
    <n v="188.5"/>
  </r>
  <r>
    <x v="13"/>
    <x v="54"/>
    <x v="9"/>
    <m/>
    <n v="0.81752000000000002"/>
    <n v="0.83636999999999995"/>
    <n v="0.82694500000000004"/>
    <n v="188.5"/>
  </r>
  <r>
    <x v="13"/>
    <x v="54"/>
    <x v="9"/>
    <m/>
    <n v="0.81752000000000002"/>
    <n v="0.83636999999999995"/>
    <n v="0.82694500000000004"/>
    <n v="188.5"/>
  </r>
  <r>
    <x v="13"/>
    <x v="54"/>
    <x v="9"/>
    <m/>
    <n v="0.81752000000000002"/>
    <n v="0.83636999999999995"/>
    <n v="0.82694500000000004"/>
    <n v="188.5"/>
  </r>
  <r>
    <x v="13"/>
    <x v="54"/>
    <x v="9"/>
    <m/>
    <n v="0.81752000000000002"/>
    <n v="0.83636999999999995"/>
    <n v="0.82694500000000004"/>
    <n v="188.5"/>
  </r>
  <r>
    <x v="13"/>
    <x v="54"/>
    <x v="9"/>
    <m/>
    <n v="0.81752000000000002"/>
    <n v="0.83636999999999995"/>
    <n v="0.82694500000000004"/>
    <n v="188.5"/>
  </r>
  <r>
    <x v="13"/>
    <x v="54"/>
    <x v="9"/>
    <m/>
    <n v="0.81752000000000002"/>
    <n v="0.83636999999999995"/>
    <n v="0.82694500000000004"/>
    <n v="188.5"/>
  </r>
  <r>
    <x v="13"/>
    <x v="54"/>
    <x v="9"/>
    <m/>
    <n v="0.81752000000000002"/>
    <n v="0.83636999999999995"/>
    <n v="0.82694500000000004"/>
    <n v="188.5"/>
  </r>
  <r>
    <x v="13"/>
    <x v="54"/>
    <x v="9"/>
    <m/>
    <n v="0.81752000000000002"/>
    <n v="0.83636999999999995"/>
    <n v="0.82694500000000004"/>
    <n v="188.5"/>
  </r>
  <r>
    <x v="13"/>
    <x v="54"/>
    <x v="9"/>
    <m/>
    <n v="0.81752000000000002"/>
    <n v="0.83636999999999995"/>
    <n v="0.82694500000000004"/>
    <n v="188.5"/>
  </r>
  <r>
    <x v="13"/>
    <x v="54"/>
    <x v="9"/>
    <m/>
    <n v="0.81752000000000002"/>
    <n v="0.83636999999999995"/>
    <n v="0.82694500000000004"/>
    <n v="188.5"/>
  </r>
  <r>
    <x v="13"/>
    <x v="54"/>
    <x v="9"/>
    <m/>
    <n v="0.81752000000000002"/>
    <n v="0.83636999999999995"/>
    <n v="0.82694500000000004"/>
    <n v="188.5"/>
  </r>
  <r>
    <x v="13"/>
    <x v="54"/>
    <x v="9"/>
    <m/>
    <n v="0.81752000000000002"/>
    <n v="0.83636999999999995"/>
    <n v="0.82694500000000004"/>
    <n v="188.5"/>
  </r>
  <r>
    <x v="13"/>
    <x v="54"/>
    <x v="9"/>
    <m/>
    <n v="0.81752000000000002"/>
    <n v="0.83636999999999995"/>
    <n v="0.82694500000000004"/>
    <n v="188.5"/>
  </r>
  <r>
    <x v="13"/>
    <x v="54"/>
    <x v="9"/>
    <m/>
    <n v="0.81752000000000002"/>
    <n v="0.83636999999999995"/>
    <n v="0.82694500000000004"/>
    <n v="188.5"/>
  </r>
  <r>
    <x v="13"/>
    <x v="54"/>
    <x v="9"/>
    <m/>
    <n v="0.81752000000000002"/>
    <n v="0.83636999999999995"/>
    <n v="0.82694500000000004"/>
    <n v="188.5"/>
  </r>
  <r>
    <x v="13"/>
    <x v="54"/>
    <x v="4"/>
    <m/>
    <n v="90.941000000000003"/>
    <n v="95.956999999999994"/>
    <n v="93.448999999999998"/>
    <n v="501.6"/>
  </r>
  <r>
    <x v="13"/>
    <x v="54"/>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4"/>
    <m/>
    <n v="90.941000000000003"/>
    <n v="95.956999999999994"/>
    <n v="93.448999999999998"/>
    <n v="501.6"/>
  </r>
  <r>
    <x v="13"/>
    <x v="55"/>
    <x v="10"/>
    <m/>
    <n v="0.87224000000000002"/>
    <n v="0.89283000000000001"/>
    <n v="0.88253499999999996"/>
    <n v="205.9"/>
  </r>
  <r>
    <x v="13"/>
    <x v="55"/>
    <x v="10"/>
    <m/>
    <n v="0.87224000000000002"/>
    <n v="0.89283000000000001"/>
    <n v="0.88253499999999996"/>
    <n v="205.9"/>
  </r>
  <r>
    <x v="13"/>
    <x v="55"/>
    <x v="10"/>
    <m/>
    <n v="0.87224000000000002"/>
    <n v="0.89283000000000001"/>
    <n v="0.88253499999999996"/>
    <n v="205.9"/>
  </r>
  <r>
    <x v="13"/>
    <x v="55"/>
    <x v="10"/>
    <m/>
    <n v="0.87224000000000002"/>
    <n v="0.89283000000000001"/>
    <n v="0.88253499999999996"/>
    <n v="205.9"/>
  </r>
  <r>
    <x v="13"/>
    <x v="55"/>
    <x v="10"/>
    <m/>
    <n v="0.87224000000000002"/>
    <n v="0.89283000000000001"/>
    <n v="0.88253499999999996"/>
    <n v="205.9"/>
  </r>
  <r>
    <x v="13"/>
    <x v="55"/>
    <x v="10"/>
    <m/>
    <n v="0.87224000000000002"/>
    <n v="0.89283000000000001"/>
    <n v="0.88253499999999996"/>
    <n v="205.9"/>
  </r>
  <r>
    <x v="13"/>
    <x v="55"/>
    <x v="10"/>
    <m/>
    <n v="0.87224000000000002"/>
    <n v="0.89283000000000001"/>
    <n v="0.88253499999999996"/>
    <n v="205.9"/>
  </r>
  <r>
    <x v="13"/>
    <x v="55"/>
    <x v="10"/>
    <m/>
    <n v="0.87224000000000002"/>
    <n v="0.89283000000000001"/>
    <n v="0.88253499999999996"/>
    <n v="205.9"/>
  </r>
  <r>
    <x v="13"/>
    <x v="55"/>
    <x v="10"/>
    <m/>
    <n v="0.87224000000000002"/>
    <n v="0.89283000000000001"/>
    <n v="0.88253499999999996"/>
    <n v="205.9"/>
  </r>
  <r>
    <x v="13"/>
    <x v="55"/>
    <x v="10"/>
    <m/>
    <n v="0.87224000000000002"/>
    <n v="0.89283000000000001"/>
    <n v="0.88253499999999996"/>
    <n v="205.9"/>
  </r>
  <r>
    <x v="13"/>
    <x v="55"/>
    <x v="10"/>
    <m/>
    <n v="0.87224000000000002"/>
    <n v="0.89283000000000001"/>
    <n v="0.88253499999999996"/>
    <n v="205.9"/>
  </r>
  <r>
    <x v="13"/>
    <x v="55"/>
    <x v="10"/>
    <m/>
    <n v="0.87224000000000002"/>
    <n v="0.89283000000000001"/>
    <n v="0.88253499999999996"/>
    <n v="205.9"/>
  </r>
  <r>
    <x v="13"/>
    <x v="55"/>
    <x v="10"/>
    <m/>
    <n v="0.87224000000000002"/>
    <n v="0.89283000000000001"/>
    <n v="0.88253499999999996"/>
    <n v="205.9"/>
  </r>
  <r>
    <x v="13"/>
    <x v="55"/>
    <x v="10"/>
    <m/>
    <n v="0.87224000000000002"/>
    <n v="0.89283000000000001"/>
    <n v="0.88253499999999996"/>
    <n v="205.9"/>
  </r>
  <r>
    <x v="13"/>
    <x v="55"/>
    <x v="10"/>
    <m/>
    <n v="0.87224000000000002"/>
    <n v="0.89283000000000001"/>
    <n v="0.88253499999999996"/>
    <n v="205.9"/>
  </r>
  <r>
    <x v="13"/>
    <x v="55"/>
    <x v="10"/>
    <m/>
    <n v="0.87224000000000002"/>
    <n v="0.89283000000000001"/>
    <n v="0.88253499999999996"/>
    <n v="205.9"/>
  </r>
  <r>
    <x v="13"/>
    <x v="55"/>
    <x v="10"/>
    <m/>
    <n v="0.87224000000000002"/>
    <n v="0.89283000000000001"/>
    <n v="0.88253499999999996"/>
    <n v="205.9"/>
  </r>
  <r>
    <x v="13"/>
    <x v="55"/>
    <x v="10"/>
    <m/>
    <n v="0.87224000000000002"/>
    <n v="0.89283000000000001"/>
    <n v="0.88253499999999996"/>
    <n v="205.9"/>
  </r>
  <r>
    <x v="13"/>
    <x v="55"/>
    <x v="10"/>
    <m/>
    <n v="0.87224000000000002"/>
    <n v="0.89283000000000001"/>
    <n v="0.88253499999999996"/>
    <n v="205.9"/>
  </r>
  <r>
    <x v="13"/>
    <x v="55"/>
    <x v="6"/>
    <m/>
    <n v="0.82752000000000003"/>
    <n v="0.86911000000000005"/>
    <n v="0.84831500000000004"/>
    <n v="415.9"/>
  </r>
  <r>
    <x v="13"/>
    <x v="55"/>
    <x v="6"/>
    <m/>
    <n v="0.82752000000000003"/>
    <n v="0.86911000000000005"/>
    <n v="0.84831500000000004"/>
    <n v="415.9"/>
  </r>
  <r>
    <x v="13"/>
    <x v="55"/>
    <x v="6"/>
    <m/>
    <n v="0.82752000000000003"/>
    <n v="0.86911000000000005"/>
    <n v="0.84831500000000004"/>
    <n v="415.9"/>
  </r>
  <r>
    <x v="13"/>
    <x v="55"/>
    <x v="6"/>
    <m/>
    <n v="0.82752000000000003"/>
    <n v="0.86911000000000005"/>
    <n v="0.84831500000000004"/>
    <n v="415.9"/>
  </r>
  <r>
    <x v="13"/>
    <x v="55"/>
    <x v="6"/>
    <m/>
    <n v="0.82752000000000003"/>
    <n v="0.86911000000000005"/>
    <n v="0.84831500000000004"/>
    <n v="415.9"/>
  </r>
  <r>
    <x v="13"/>
    <x v="55"/>
    <x v="6"/>
    <m/>
    <n v="0.82752000000000003"/>
    <n v="0.86911000000000005"/>
    <n v="0.84831500000000004"/>
    <n v="415.9"/>
  </r>
  <r>
    <x v="13"/>
    <x v="55"/>
    <x v="6"/>
    <m/>
    <n v="0.82752000000000003"/>
    <n v="0.86911000000000005"/>
    <n v="0.84831500000000004"/>
    <n v="415.9"/>
  </r>
  <r>
    <x v="13"/>
    <x v="55"/>
    <x v="6"/>
    <m/>
    <n v="0.82752000000000003"/>
    <n v="0.86911000000000005"/>
    <n v="0.84831500000000004"/>
    <n v="415.9"/>
  </r>
  <r>
    <x v="13"/>
    <x v="55"/>
    <x v="6"/>
    <m/>
    <n v="0.82752000000000003"/>
    <n v="0.86911000000000005"/>
    <n v="0.84831500000000004"/>
    <n v="415.9"/>
  </r>
  <r>
    <x v="13"/>
    <x v="55"/>
    <x v="6"/>
    <m/>
    <n v="0.82752000000000003"/>
    <n v="0.86911000000000005"/>
    <n v="0.84831500000000004"/>
    <n v="415.9"/>
  </r>
  <r>
    <x v="13"/>
    <x v="55"/>
    <x v="6"/>
    <m/>
    <n v="0.82752000000000003"/>
    <n v="0.86911000000000005"/>
    <n v="0.84831500000000004"/>
    <n v="415.9"/>
  </r>
  <r>
    <x v="13"/>
    <x v="55"/>
    <x v="6"/>
    <m/>
    <n v="0.82752000000000003"/>
    <n v="0.86911000000000005"/>
    <n v="0.84831500000000004"/>
    <n v="415.9"/>
  </r>
  <r>
    <x v="13"/>
    <x v="55"/>
    <x v="6"/>
    <m/>
    <n v="0.82752000000000003"/>
    <n v="0.86911000000000005"/>
    <n v="0.84831500000000004"/>
    <n v="415.9"/>
  </r>
  <r>
    <x v="13"/>
    <x v="55"/>
    <x v="6"/>
    <m/>
    <n v="0.82752000000000003"/>
    <n v="0.86911000000000005"/>
    <n v="0.84831500000000004"/>
    <n v="415.9"/>
  </r>
  <r>
    <x v="13"/>
    <x v="55"/>
    <x v="6"/>
    <m/>
    <n v="0.82752000000000003"/>
    <n v="0.86911000000000005"/>
    <n v="0.84831500000000004"/>
    <n v="415.9"/>
  </r>
  <r>
    <x v="13"/>
    <x v="55"/>
    <x v="6"/>
    <m/>
    <n v="0.82752000000000003"/>
    <n v="0.86911000000000005"/>
    <n v="0.84831500000000004"/>
    <n v="415.9"/>
  </r>
  <r>
    <x v="13"/>
    <x v="55"/>
    <x v="6"/>
    <m/>
    <n v="0.82752000000000003"/>
    <n v="0.86911000000000005"/>
    <n v="0.84831500000000004"/>
    <n v="415.9"/>
  </r>
  <r>
    <x v="13"/>
    <x v="55"/>
    <x v="6"/>
    <m/>
    <n v="0.82752000000000003"/>
    <n v="0.86911000000000005"/>
    <n v="0.84831500000000004"/>
    <n v="415.9"/>
  </r>
  <r>
    <x v="13"/>
    <x v="55"/>
    <x v="6"/>
    <m/>
    <n v="0.82752000000000003"/>
    <n v="0.86911000000000005"/>
    <n v="0.84831500000000004"/>
    <n v="415.9"/>
  </r>
  <r>
    <x v="13"/>
    <x v="55"/>
    <x v="6"/>
    <m/>
    <n v="0.82752000000000003"/>
    <n v="0.86911000000000005"/>
    <n v="0.84831500000000004"/>
    <n v="415.9"/>
  </r>
  <r>
    <x v="13"/>
    <x v="55"/>
    <x v="6"/>
    <m/>
    <n v="0.82752000000000003"/>
    <n v="0.86911000000000005"/>
    <n v="0.84831500000000004"/>
    <n v="415.9"/>
  </r>
  <r>
    <x v="13"/>
    <x v="55"/>
    <x v="6"/>
    <m/>
    <n v="0.82752000000000003"/>
    <n v="0.86911000000000005"/>
    <n v="0.84831500000000004"/>
    <n v="415.9"/>
  </r>
  <r>
    <x v="13"/>
    <x v="55"/>
    <x v="6"/>
    <m/>
    <n v="0.82752000000000003"/>
    <n v="0.86911000000000005"/>
    <n v="0.84831500000000004"/>
    <n v="415.9"/>
  </r>
  <r>
    <x v="13"/>
    <x v="55"/>
    <x v="6"/>
    <m/>
    <n v="0.82752000000000003"/>
    <n v="0.86911000000000005"/>
    <n v="0.84831500000000004"/>
    <n v="415.9"/>
  </r>
  <r>
    <x v="13"/>
    <x v="55"/>
    <x v="6"/>
    <m/>
    <n v="0.82752000000000003"/>
    <n v="0.86911000000000005"/>
    <n v="0.84831500000000004"/>
    <n v="415.9"/>
  </r>
  <r>
    <x v="13"/>
    <x v="55"/>
    <x v="6"/>
    <m/>
    <n v="0.82752000000000003"/>
    <n v="0.86911000000000005"/>
    <n v="0.84831500000000004"/>
    <n v="415.9"/>
  </r>
  <r>
    <x v="13"/>
    <x v="55"/>
    <x v="6"/>
    <m/>
    <n v="0.82752000000000003"/>
    <n v="0.86911000000000005"/>
    <n v="0.84831500000000004"/>
    <n v="415.9"/>
  </r>
  <r>
    <x v="13"/>
    <x v="55"/>
    <x v="6"/>
    <m/>
    <n v="0.82752000000000003"/>
    <n v="0.86911000000000005"/>
    <n v="0.84831500000000004"/>
    <n v="415.9"/>
  </r>
  <r>
    <x v="13"/>
    <x v="55"/>
    <x v="6"/>
    <m/>
    <n v="0.82752000000000003"/>
    <n v="0.86911000000000005"/>
    <n v="0.84831500000000004"/>
    <n v="415.9"/>
  </r>
  <r>
    <x v="13"/>
    <x v="55"/>
    <x v="9"/>
    <m/>
    <n v="0.81649000000000005"/>
    <n v="0.83636999999999995"/>
    <n v="0.82643"/>
    <n v="198.8"/>
  </r>
  <r>
    <x v="13"/>
    <x v="55"/>
    <x v="9"/>
    <m/>
    <n v="0.81649000000000005"/>
    <n v="0.83636999999999995"/>
    <n v="0.82643"/>
    <n v="198.8"/>
  </r>
  <r>
    <x v="13"/>
    <x v="55"/>
    <x v="9"/>
    <m/>
    <n v="0.81649000000000005"/>
    <n v="0.83636999999999995"/>
    <n v="0.82643"/>
    <n v="198.8"/>
  </r>
  <r>
    <x v="13"/>
    <x v="55"/>
    <x v="9"/>
    <m/>
    <n v="0.81649000000000005"/>
    <n v="0.83636999999999995"/>
    <n v="0.82643"/>
    <n v="198.8"/>
  </r>
  <r>
    <x v="13"/>
    <x v="55"/>
    <x v="9"/>
    <m/>
    <n v="0.81649000000000005"/>
    <n v="0.83636999999999995"/>
    <n v="0.82643"/>
    <n v="198.8"/>
  </r>
  <r>
    <x v="13"/>
    <x v="55"/>
    <x v="9"/>
    <m/>
    <n v="0.81649000000000005"/>
    <n v="0.83636999999999995"/>
    <n v="0.82643"/>
    <n v="198.8"/>
  </r>
  <r>
    <x v="13"/>
    <x v="55"/>
    <x v="9"/>
    <m/>
    <n v="0.81649000000000005"/>
    <n v="0.83636999999999995"/>
    <n v="0.82643"/>
    <n v="198.8"/>
  </r>
  <r>
    <x v="13"/>
    <x v="55"/>
    <x v="9"/>
    <m/>
    <n v="0.81649000000000005"/>
    <n v="0.83636999999999995"/>
    <n v="0.82643"/>
    <n v="198.8"/>
  </r>
  <r>
    <x v="13"/>
    <x v="55"/>
    <x v="9"/>
    <m/>
    <n v="0.81649000000000005"/>
    <n v="0.83636999999999995"/>
    <n v="0.82643"/>
    <n v="198.8"/>
  </r>
  <r>
    <x v="13"/>
    <x v="55"/>
    <x v="9"/>
    <m/>
    <n v="0.81649000000000005"/>
    <n v="0.83636999999999995"/>
    <n v="0.82643"/>
    <n v="198.8"/>
  </r>
  <r>
    <x v="13"/>
    <x v="55"/>
    <x v="9"/>
    <m/>
    <n v="0.81649000000000005"/>
    <n v="0.83636999999999995"/>
    <n v="0.82643"/>
    <n v="198.8"/>
  </r>
  <r>
    <x v="13"/>
    <x v="55"/>
    <x v="9"/>
    <m/>
    <n v="0.81649000000000005"/>
    <n v="0.83636999999999995"/>
    <n v="0.82643"/>
    <n v="198.8"/>
  </r>
  <r>
    <x v="13"/>
    <x v="55"/>
    <x v="9"/>
    <m/>
    <n v="0.81649000000000005"/>
    <n v="0.83636999999999995"/>
    <n v="0.82643"/>
    <n v="198.8"/>
  </r>
  <r>
    <x v="13"/>
    <x v="55"/>
    <x v="9"/>
    <m/>
    <n v="0.81649000000000005"/>
    <n v="0.83636999999999995"/>
    <n v="0.82643"/>
    <n v="198.8"/>
  </r>
  <r>
    <x v="13"/>
    <x v="55"/>
    <x v="9"/>
    <m/>
    <n v="0.81649000000000005"/>
    <n v="0.83636999999999995"/>
    <n v="0.82643"/>
    <n v="198.8"/>
  </r>
  <r>
    <x v="13"/>
    <x v="55"/>
    <x v="9"/>
    <m/>
    <n v="0.81649000000000005"/>
    <n v="0.83636999999999995"/>
    <n v="0.82643"/>
    <n v="198.8"/>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4"/>
    <m/>
    <n v="90.941000000000003"/>
    <n v="95.956999999999994"/>
    <n v="93.448999999999998"/>
    <n v="501.6"/>
  </r>
  <r>
    <x v="13"/>
    <x v="56"/>
    <x v="10"/>
    <m/>
    <n v="0.87224000000000002"/>
    <n v="0.89283000000000001"/>
    <n v="0.88253499999999996"/>
    <n v="205.9"/>
  </r>
  <r>
    <x v="13"/>
    <x v="56"/>
    <x v="10"/>
    <m/>
    <n v="0.87224000000000002"/>
    <n v="0.89283000000000001"/>
    <n v="0.88253499999999996"/>
    <n v="205.9"/>
  </r>
  <r>
    <x v="13"/>
    <x v="56"/>
    <x v="10"/>
    <m/>
    <n v="0.87224000000000002"/>
    <n v="0.89283000000000001"/>
    <n v="0.88253499999999996"/>
    <n v="205.9"/>
  </r>
  <r>
    <x v="13"/>
    <x v="56"/>
    <x v="10"/>
    <m/>
    <n v="0.87224000000000002"/>
    <n v="0.89283000000000001"/>
    <n v="0.88253499999999996"/>
    <n v="205.9"/>
  </r>
  <r>
    <x v="13"/>
    <x v="56"/>
    <x v="10"/>
    <m/>
    <n v="0.87224000000000002"/>
    <n v="0.89283000000000001"/>
    <n v="0.88253499999999996"/>
    <n v="205.9"/>
  </r>
  <r>
    <x v="13"/>
    <x v="56"/>
    <x v="10"/>
    <m/>
    <n v="0.87224000000000002"/>
    <n v="0.89283000000000001"/>
    <n v="0.88253499999999996"/>
    <n v="205.9"/>
  </r>
  <r>
    <x v="13"/>
    <x v="56"/>
    <x v="10"/>
    <m/>
    <n v="0.87224000000000002"/>
    <n v="0.89283000000000001"/>
    <n v="0.88253499999999996"/>
    <n v="205.9"/>
  </r>
  <r>
    <x v="13"/>
    <x v="56"/>
    <x v="10"/>
    <m/>
    <n v="0.87224000000000002"/>
    <n v="0.89283000000000001"/>
    <n v="0.88253499999999996"/>
    <n v="205.9"/>
  </r>
  <r>
    <x v="13"/>
    <x v="56"/>
    <x v="10"/>
    <m/>
    <n v="0.87224000000000002"/>
    <n v="0.89283000000000001"/>
    <n v="0.88253499999999996"/>
    <n v="205.9"/>
  </r>
  <r>
    <x v="13"/>
    <x v="56"/>
    <x v="10"/>
    <m/>
    <n v="0.87224000000000002"/>
    <n v="0.89283000000000001"/>
    <n v="0.88253499999999996"/>
    <n v="205.9"/>
  </r>
  <r>
    <x v="13"/>
    <x v="56"/>
    <x v="10"/>
    <m/>
    <n v="0.87224000000000002"/>
    <n v="0.89283000000000001"/>
    <n v="0.88253499999999996"/>
    <n v="205.9"/>
  </r>
  <r>
    <x v="13"/>
    <x v="56"/>
    <x v="10"/>
    <m/>
    <n v="0.87224000000000002"/>
    <n v="0.89283000000000001"/>
    <n v="0.88253499999999996"/>
    <n v="205.9"/>
  </r>
  <r>
    <x v="13"/>
    <x v="56"/>
    <x v="10"/>
    <m/>
    <n v="0.87224000000000002"/>
    <n v="0.89283000000000001"/>
    <n v="0.88253499999999996"/>
    <n v="205.9"/>
  </r>
  <r>
    <x v="13"/>
    <x v="56"/>
    <x v="10"/>
    <m/>
    <n v="0.87224000000000002"/>
    <n v="0.89283000000000001"/>
    <n v="0.88253499999999996"/>
    <n v="205.9"/>
  </r>
  <r>
    <x v="13"/>
    <x v="56"/>
    <x v="10"/>
    <m/>
    <n v="0.87224000000000002"/>
    <n v="0.89283000000000001"/>
    <n v="0.88253499999999996"/>
    <n v="205.9"/>
  </r>
  <r>
    <x v="13"/>
    <x v="56"/>
    <x v="10"/>
    <m/>
    <n v="0.87224000000000002"/>
    <n v="0.89283000000000001"/>
    <n v="0.88253499999999996"/>
    <n v="205.9"/>
  </r>
  <r>
    <x v="13"/>
    <x v="56"/>
    <x v="10"/>
    <m/>
    <n v="0.87224000000000002"/>
    <n v="0.89283000000000001"/>
    <n v="0.88253499999999996"/>
    <n v="205.9"/>
  </r>
  <r>
    <x v="13"/>
    <x v="56"/>
    <x v="10"/>
    <m/>
    <n v="0.87224000000000002"/>
    <n v="0.89283000000000001"/>
    <n v="0.88253499999999996"/>
    <n v="205.9"/>
  </r>
  <r>
    <x v="13"/>
    <x v="56"/>
    <x v="10"/>
    <m/>
    <n v="0.87224000000000002"/>
    <n v="0.89283000000000001"/>
    <n v="0.88253499999999996"/>
    <n v="205.9"/>
  </r>
  <r>
    <x v="13"/>
    <x v="56"/>
    <x v="6"/>
    <m/>
    <n v="0.82752000000000003"/>
    <n v="0.86911000000000005"/>
    <n v="0.84831500000000004"/>
    <n v="415.9"/>
  </r>
  <r>
    <x v="13"/>
    <x v="56"/>
    <x v="6"/>
    <m/>
    <n v="0.82752000000000003"/>
    <n v="0.86911000000000005"/>
    <n v="0.84831500000000004"/>
    <n v="415.9"/>
  </r>
  <r>
    <x v="13"/>
    <x v="56"/>
    <x v="6"/>
    <m/>
    <n v="0.82752000000000003"/>
    <n v="0.86911000000000005"/>
    <n v="0.84831500000000004"/>
    <n v="415.9"/>
  </r>
  <r>
    <x v="13"/>
    <x v="56"/>
    <x v="6"/>
    <m/>
    <n v="0.82752000000000003"/>
    <n v="0.86911000000000005"/>
    <n v="0.84831500000000004"/>
    <n v="415.9"/>
  </r>
  <r>
    <x v="13"/>
    <x v="56"/>
    <x v="6"/>
    <m/>
    <n v="0.82752000000000003"/>
    <n v="0.86911000000000005"/>
    <n v="0.84831500000000004"/>
    <n v="415.9"/>
  </r>
  <r>
    <x v="13"/>
    <x v="56"/>
    <x v="6"/>
    <m/>
    <n v="0.82752000000000003"/>
    <n v="0.86911000000000005"/>
    <n v="0.84831500000000004"/>
    <n v="415.9"/>
  </r>
  <r>
    <x v="13"/>
    <x v="56"/>
    <x v="6"/>
    <m/>
    <n v="0.82752000000000003"/>
    <n v="0.86911000000000005"/>
    <n v="0.84831500000000004"/>
    <n v="415.9"/>
  </r>
  <r>
    <x v="13"/>
    <x v="56"/>
    <x v="6"/>
    <m/>
    <n v="0.82752000000000003"/>
    <n v="0.86911000000000005"/>
    <n v="0.84831500000000004"/>
    <n v="415.9"/>
  </r>
  <r>
    <x v="13"/>
    <x v="56"/>
    <x v="6"/>
    <m/>
    <n v="0.82752000000000003"/>
    <n v="0.86911000000000005"/>
    <n v="0.84831500000000004"/>
    <n v="415.9"/>
  </r>
  <r>
    <x v="13"/>
    <x v="56"/>
    <x v="6"/>
    <m/>
    <n v="0.82752000000000003"/>
    <n v="0.86911000000000005"/>
    <n v="0.84831500000000004"/>
    <n v="415.9"/>
  </r>
  <r>
    <x v="13"/>
    <x v="56"/>
    <x v="6"/>
    <m/>
    <n v="0.82752000000000003"/>
    <n v="0.86911000000000005"/>
    <n v="0.84831500000000004"/>
    <n v="415.9"/>
  </r>
  <r>
    <x v="13"/>
    <x v="56"/>
    <x v="6"/>
    <m/>
    <n v="0.82752000000000003"/>
    <n v="0.86911000000000005"/>
    <n v="0.84831500000000004"/>
    <n v="415.9"/>
  </r>
  <r>
    <x v="13"/>
    <x v="56"/>
    <x v="6"/>
    <m/>
    <n v="0.82752000000000003"/>
    <n v="0.86911000000000005"/>
    <n v="0.84831500000000004"/>
    <n v="415.9"/>
  </r>
  <r>
    <x v="13"/>
    <x v="56"/>
    <x v="6"/>
    <m/>
    <n v="0.82752000000000003"/>
    <n v="0.86911000000000005"/>
    <n v="0.84831500000000004"/>
    <n v="415.9"/>
  </r>
  <r>
    <x v="13"/>
    <x v="56"/>
    <x v="6"/>
    <m/>
    <n v="0.82752000000000003"/>
    <n v="0.86911000000000005"/>
    <n v="0.84831500000000004"/>
    <n v="415.9"/>
  </r>
  <r>
    <x v="13"/>
    <x v="56"/>
    <x v="6"/>
    <m/>
    <n v="0.82752000000000003"/>
    <n v="0.86911000000000005"/>
    <n v="0.84831500000000004"/>
    <n v="415.9"/>
  </r>
  <r>
    <x v="13"/>
    <x v="56"/>
    <x v="6"/>
    <m/>
    <n v="0.82752000000000003"/>
    <n v="0.86911000000000005"/>
    <n v="0.84831500000000004"/>
    <n v="415.9"/>
  </r>
  <r>
    <x v="13"/>
    <x v="56"/>
    <x v="6"/>
    <m/>
    <n v="0.82752000000000003"/>
    <n v="0.86911000000000005"/>
    <n v="0.84831500000000004"/>
    <n v="415.9"/>
  </r>
  <r>
    <x v="13"/>
    <x v="56"/>
    <x v="6"/>
    <m/>
    <n v="0.82752000000000003"/>
    <n v="0.86911000000000005"/>
    <n v="0.84831500000000004"/>
    <n v="415.9"/>
  </r>
  <r>
    <x v="13"/>
    <x v="56"/>
    <x v="6"/>
    <m/>
    <n v="0.82752000000000003"/>
    <n v="0.86911000000000005"/>
    <n v="0.84831500000000004"/>
    <n v="415.9"/>
  </r>
  <r>
    <x v="13"/>
    <x v="56"/>
    <x v="6"/>
    <m/>
    <n v="0.82752000000000003"/>
    <n v="0.86911000000000005"/>
    <n v="0.84831500000000004"/>
    <n v="415.9"/>
  </r>
  <r>
    <x v="13"/>
    <x v="56"/>
    <x v="6"/>
    <m/>
    <n v="0.82752000000000003"/>
    <n v="0.86911000000000005"/>
    <n v="0.84831500000000004"/>
    <n v="415.9"/>
  </r>
  <r>
    <x v="13"/>
    <x v="56"/>
    <x v="6"/>
    <m/>
    <n v="0.82752000000000003"/>
    <n v="0.86911000000000005"/>
    <n v="0.84831500000000004"/>
    <n v="415.9"/>
  </r>
  <r>
    <x v="13"/>
    <x v="56"/>
    <x v="6"/>
    <m/>
    <n v="0.82752000000000003"/>
    <n v="0.86911000000000005"/>
    <n v="0.84831500000000004"/>
    <n v="415.9"/>
  </r>
  <r>
    <x v="13"/>
    <x v="56"/>
    <x v="6"/>
    <m/>
    <n v="0.82752000000000003"/>
    <n v="0.86911000000000005"/>
    <n v="0.84831500000000004"/>
    <n v="415.9"/>
  </r>
  <r>
    <x v="13"/>
    <x v="56"/>
    <x v="6"/>
    <m/>
    <n v="0.82752000000000003"/>
    <n v="0.86911000000000005"/>
    <n v="0.84831500000000004"/>
    <n v="415.9"/>
  </r>
  <r>
    <x v="13"/>
    <x v="56"/>
    <x v="6"/>
    <m/>
    <n v="0.82752000000000003"/>
    <n v="0.86911000000000005"/>
    <n v="0.84831500000000004"/>
    <n v="415.9"/>
  </r>
  <r>
    <x v="13"/>
    <x v="56"/>
    <x v="6"/>
    <m/>
    <n v="0.82752000000000003"/>
    <n v="0.86911000000000005"/>
    <n v="0.84831500000000004"/>
    <n v="415.9"/>
  </r>
  <r>
    <x v="13"/>
    <x v="56"/>
    <x v="6"/>
    <m/>
    <n v="0.82752000000000003"/>
    <n v="0.86911000000000005"/>
    <n v="0.84831500000000004"/>
    <n v="415.9"/>
  </r>
  <r>
    <x v="13"/>
    <x v="56"/>
    <x v="9"/>
    <m/>
    <n v="0.81438999999999995"/>
    <n v="0.83636999999999995"/>
    <n v="0.82538"/>
    <n v="219.8"/>
  </r>
  <r>
    <x v="13"/>
    <x v="56"/>
    <x v="9"/>
    <m/>
    <n v="0.81438999999999995"/>
    <n v="0.83636999999999995"/>
    <n v="0.82538"/>
    <n v="219.8"/>
  </r>
  <r>
    <x v="13"/>
    <x v="56"/>
    <x v="9"/>
    <m/>
    <n v="0.81438999999999995"/>
    <n v="0.83636999999999995"/>
    <n v="0.82538"/>
    <n v="219.8"/>
  </r>
  <r>
    <x v="13"/>
    <x v="56"/>
    <x v="9"/>
    <m/>
    <n v="0.81438999999999995"/>
    <n v="0.83636999999999995"/>
    <n v="0.82538"/>
    <n v="219.8"/>
  </r>
  <r>
    <x v="13"/>
    <x v="56"/>
    <x v="9"/>
    <m/>
    <n v="0.81438999999999995"/>
    <n v="0.83636999999999995"/>
    <n v="0.82538"/>
    <n v="219.8"/>
  </r>
  <r>
    <x v="13"/>
    <x v="56"/>
    <x v="9"/>
    <m/>
    <n v="0.81438999999999995"/>
    <n v="0.83636999999999995"/>
    <n v="0.82538"/>
    <n v="219.8"/>
  </r>
  <r>
    <x v="13"/>
    <x v="56"/>
    <x v="9"/>
    <m/>
    <n v="0.81438999999999995"/>
    <n v="0.83636999999999995"/>
    <n v="0.82538"/>
    <n v="219.8"/>
  </r>
  <r>
    <x v="13"/>
    <x v="56"/>
    <x v="9"/>
    <m/>
    <n v="0.81438999999999995"/>
    <n v="0.83636999999999995"/>
    <n v="0.82538"/>
    <n v="219.8"/>
  </r>
  <r>
    <x v="13"/>
    <x v="56"/>
    <x v="9"/>
    <m/>
    <n v="0.81438999999999995"/>
    <n v="0.83636999999999995"/>
    <n v="0.82538"/>
    <n v="219.8"/>
  </r>
  <r>
    <x v="13"/>
    <x v="56"/>
    <x v="9"/>
    <m/>
    <n v="0.81438999999999995"/>
    <n v="0.83636999999999995"/>
    <n v="0.82538"/>
    <n v="219.8"/>
  </r>
  <r>
    <x v="13"/>
    <x v="56"/>
    <x v="9"/>
    <m/>
    <n v="0.81438999999999995"/>
    <n v="0.83636999999999995"/>
    <n v="0.82538"/>
    <n v="219.8"/>
  </r>
  <r>
    <x v="13"/>
    <x v="56"/>
    <x v="9"/>
    <m/>
    <n v="0.81438999999999995"/>
    <n v="0.83636999999999995"/>
    <n v="0.82538"/>
    <n v="219.8"/>
  </r>
  <r>
    <x v="13"/>
    <x v="56"/>
    <x v="9"/>
    <m/>
    <n v="0.81438999999999995"/>
    <n v="0.83636999999999995"/>
    <n v="0.82538"/>
    <n v="219.8"/>
  </r>
  <r>
    <x v="13"/>
    <x v="56"/>
    <x v="9"/>
    <m/>
    <n v="0.81438999999999995"/>
    <n v="0.83636999999999995"/>
    <n v="0.82538"/>
    <n v="219.8"/>
  </r>
  <r>
    <x v="13"/>
    <x v="56"/>
    <x v="9"/>
    <m/>
    <n v="0.81438999999999995"/>
    <n v="0.83636999999999995"/>
    <n v="0.82538"/>
    <n v="219.8"/>
  </r>
  <r>
    <x v="13"/>
    <x v="56"/>
    <x v="9"/>
    <m/>
    <n v="0.81438999999999995"/>
    <n v="0.83636999999999995"/>
    <n v="0.82538"/>
    <n v="219.8"/>
  </r>
  <r>
    <x v="13"/>
    <x v="57"/>
    <x v="9"/>
    <m/>
    <n v="0.80989"/>
    <n v="0.83636999999999995"/>
    <n v="0.82313000000000003"/>
    <n v="264.8"/>
  </r>
  <r>
    <x v="13"/>
    <x v="57"/>
    <x v="9"/>
    <m/>
    <n v="0.80989"/>
    <n v="0.83636999999999995"/>
    <n v="0.82313000000000003"/>
    <n v="264.8"/>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4"/>
    <m/>
    <n v="90.941000000000003"/>
    <n v="95.956999999999994"/>
    <n v="93.448999999999998"/>
    <n v="501.6"/>
  </r>
  <r>
    <x v="13"/>
    <x v="57"/>
    <x v="10"/>
    <m/>
    <n v="0.87224000000000002"/>
    <n v="0.89575000000000005"/>
    <n v="0.88399499999999998"/>
    <n v="235.1"/>
  </r>
  <r>
    <x v="13"/>
    <x v="57"/>
    <x v="10"/>
    <m/>
    <n v="0.87224000000000002"/>
    <n v="0.89575000000000005"/>
    <n v="0.88399499999999998"/>
    <n v="235.1"/>
  </r>
  <r>
    <x v="13"/>
    <x v="57"/>
    <x v="10"/>
    <m/>
    <n v="0.87224000000000002"/>
    <n v="0.89575000000000005"/>
    <n v="0.88399499999999998"/>
    <n v="235.1"/>
  </r>
  <r>
    <x v="13"/>
    <x v="57"/>
    <x v="10"/>
    <m/>
    <n v="0.87224000000000002"/>
    <n v="0.89575000000000005"/>
    <n v="0.88399499999999998"/>
    <n v="235.1"/>
  </r>
  <r>
    <x v="13"/>
    <x v="57"/>
    <x v="10"/>
    <m/>
    <n v="0.87224000000000002"/>
    <n v="0.89575000000000005"/>
    <n v="0.88399499999999998"/>
    <n v="235.1"/>
  </r>
  <r>
    <x v="13"/>
    <x v="57"/>
    <x v="10"/>
    <m/>
    <n v="0.87224000000000002"/>
    <n v="0.89575000000000005"/>
    <n v="0.88399499999999998"/>
    <n v="235.1"/>
  </r>
  <r>
    <x v="13"/>
    <x v="57"/>
    <x v="10"/>
    <m/>
    <n v="0.87224000000000002"/>
    <n v="0.89575000000000005"/>
    <n v="0.88399499999999998"/>
    <n v="235.1"/>
  </r>
  <r>
    <x v="13"/>
    <x v="57"/>
    <x v="10"/>
    <m/>
    <n v="0.87224000000000002"/>
    <n v="0.89575000000000005"/>
    <n v="0.88399499999999998"/>
    <n v="235.1"/>
  </r>
  <r>
    <x v="13"/>
    <x v="57"/>
    <x v="10"/>
    <m/>
    <n v="0.87224000000000002"/>
    <n v="0.89575000000000005"/>
    <n v="0.88399499999999998"/>
    <n v="235.1"/>
  </r>
  <r>
    <x v="13"/>
    <x v="57"/>
    <x v="10"/>
    <m/>
    <n v="0.87224000000000002"/>
    <n v="0.89575000000000005"/>
    <n v="0.88399499999999998"/>
    <n v="235.1"/>
  </r>
  <r>
    <x v="13"/>
    <x v="57"/>
    <x v="10"/>
    <m/>
    <n v="0.87224000000000002"/>
    <n v="0.89575000000000005"/>
    <n v="0.88399499999999998"/>
    <n v="235.1"/>
  </r>
  <r>
    <x v="13"/>
    <x v="57"/>
    <x v="10"/>
    <m/>
    <n v="0.87224000000000002"/>
    <n v="0.89575000000000005"/>
    <n v="0.88399499999999998"/>
    <n v="235.1"/>
  </r>
  <r>
    <x v="13"/>
    <x v="57"/>
    <x v="10"/>
    <m/>
    <n v="0.87224000000000002"/>
    <n v="0.89575000000000005"/>
    <n v="0.88399499999999998"/>
    <n v="235.1"/>
  </r>
  <r>
    <x v="13"/>
    <x v="57"/>
    <x v="10"/>
    <m/>
    <n v="0.87224000000000002"/>
    <n v="0.89575000000000005"/>
    <n v="0.88399499999999998"/>
    <n v="235.1"/>
  </r>
  <r>
    <x v="13"/>
    <x v="57"/>
    <x v="10"/>
    <m/>
    <n v="0.87224000000000002"/>
    <n v="0.89575000000000005"/>
    <n v="0.88399499999999998"/>
    <n v="235.1"/>
  </r>
  <r>
    <x v="13"/>
    <x v="57"/>
    <x v="10"/>
    <m/>
    <n v="0.87224000000000002"/>
    <n v="0.89575000000000005"/>
    <n v="0.88399499999999998"/>
    <n v="235.1"/>
  </r>
  <r>
    <x v="13"/>
    <x v="57"/>
    <x v="10"/>
    <m/>
    <n v="0.87224000000000002"/>
    <n v="0.89575000000000005"/>
    <n v="0.88399499999999998"/>
    <n v="235.1"/>
  </r>
  <r>
    <x v="13"/>
    <x v="57"/>
    <x v="10"/>
    <m/>
    <n v="0.87224000000000002"/>
    <n v="0.89575000000000005"/>
    <n v="0.88399499999999998"/>
    <n v="235.1"/>
  </r>
  <r>
    <x v="13"/>
    <x v="57"/>
    <x v="10"/>
    <m/>
    <n v="0.87224000000000002"/>
    <n v="0.89575000000000005"/>
    <n v="0.88399499999999998"/>
    <n v="235.1"/>
  </r>
  <r>
    <x v="13"/>
    <x v="57"/>
    <x v="6"/>
    <m/>
    <n v="0.82752000000000003"/>
    <n v="0.86911000000000005"/>
    <n v="0.84831500000000004"/>
    <n v="415.9"/>
  </r>
  <r>
    <x v="13"/>
    <x v="57"/>
    <x v="6"/>
    <m/>
    <n v="0.82752000000000003"/>
    <n v="0.86911000000000005"/>
    <n v="0.84831500000000004"/>
    <n v="415.9"/>
  </r>
  <r>
    <x v="13"/>
    <x v="57"/>
    <x v="6"/>
    <m/>
    <n v="0.82752000000000003"/>
    <n v="0.86911000000000005"/>
    <n v="0.84831500000000004"/>
    <n v="415.9"/>
  </r>
  <r>
    <x v="13"/>
    <x v="57"/>
    <x v="6"/>
    <m/>
    <n v="0.82752000000000003"/>
    <n v="0.86911000000000005"/>
    <n v="0.84831500000000004"/>
    <n v="415.9"/>
  </r>
  <r>
    <x v="13"/>
    <x v="57"/>
    <x v="6"/>
    <m/>
    <n v="0.82752000000000003"/>
    <n v="0.86911000000000005"/>
    <n v="0.84831500000000004"/>
    <n v="415.9"/>
  </r>
  <r>
    <x v="13"/>
    <x v="57"/>
    <x v="6"/>
    <m/>
    <n v="0.82752000000000003"/>
    <n v="0.86911000000000005"/>
    <n v="0.84831500000000004"/>
    <n v="415.9"/>
  </r>
  <r>
    <x v="13"/>
    <x v="57"/>
    <x v="6"/>
    <m/>
    <n v="0.82752000000000003"/>
    <n v="0.86911000000000005"/>
    <n v="0.84831500000000004"/>
    <n v="415.9"/>
  </r>
  <r>
    <x v="13"/>
    <x v="57"/>
    <x v="6"/>
    <m/>
    <n v="0.82752000000000003"/>
    <n v="0.86911000000000005"/>
    <n v="0.84831500000000004"/>
    <n v="415.9"/>
  </r>
  <r>
    <x v="13"/>
    <x v="57"/>
    <x v="6"/>
    <m/>
    <n v="0.82752000000000003"/>
    <n v="0.86911000000000005"/>
    <n v="0.84831500000000004"/>
    <n v="415.9"/>
  </r>
  <r>
    <x v="13"/>
    <x v="57"/>
    <x v="6"/>
    <m/>
    <n v="0.82752000000000003"/>
    <n v="0.86911000000000005"/>
    <n v="0.84831500000000004"/>
    <n v="415.9"/>
  </r>
  <r>
    <x v="13"/>
    <x v="57"/>
    <x v="6"/>
    <m/>
    <n v="0.82752000000000003"/>
    <n v="0.86911000000000005"/>
    <n v="0.84831500000000004"/>
    <n v="415.9"/>
  </r>
  <r>
    <x v="13"/>
    <x v="57"/>
    <x v="6"/>
    <m/>
    <n v="0.82752000000000003"/>
    <n v="0.86911000000000005"/>
    <n v="0.84831500000000004"/>
    <n v="415.9"/>
  </r>
  <r>
    <x v="13"/>
    <x v="57"/>
    <x v="6"/>
    <m/>
    <n v="0.82752000000000003"/>
    <n v="0.86911000000000005"/>
    <n v="0.84831500000000004"/>
    <n v="415.9"/>
  </r>
  <r>
    <x v="13"/>
    <x v="57"/>
    <x v="6"/>
    <m/>
    <n v="0.82752000000000003"/>
    <n v="0.86911000000000005"/>
    <n v="0.84831500000000004"/>
    <n v="415.9"/>
  </r>
  <r>
    <x v="13"/>
    <x v="57"/>
    <x v="6"/>
    <m/>
    <n v="0.82752000000000003"/>
    <n v="0.86911000000000005"/>
    <n v="0.84831500000000004"/>
    <n v="415.9"/>
  </r>
  <r>
    <x v="13"/>
    <x v="57"/>
    <x v="6"/>
    <m/>
    <n v="0.82752000000000003"/>
    <n v="0.86911000000000005"/>
    <n v="0.84831500000000004"/>
    <n v="415.9"/>
  </r>
  <r>
    <x v="13"/>
    <x v="57"/>
    <x v="6"/>
    <m/>
    <n v="0.82752000000000003"/>
    <n v="0.86911000000000005"/>
    <n v="0.84831500000000004"/>
    <n v="415.9"/>
  </r>
  <r>
    <x v="13"/>
    <x v="57"/>
    <x v="6"/>
    <m/>
    <n v="0.82752000000000003"/>
    <n v="0.86911000000000005"/>
    <n v="0.84831500000000004"/>
    <n v="415.9"/>
  </r>
  <r>
    <x v="13"/>
    <x v="57"/>
    <x v="6"/>
    <m/>
    <n v="0.82752000000000003"/>
    <n v="0.86911000000000005"/>
    <n v="0.84831500000000004"/>
    <n v="415.9"/>
  </r>
  <r>
    <x v="13"/>
    <x v="57"/>
    <x v="6"/>
    <m/>
    <n v="0.82752000000000003"/>
    <n v="0.86911000000000005"/>
    <n v="0.84831500000000004"/>
    <n v="415.9"/>
  </r>
  <r>
    <x v="13"/>
    <x v="57"/>
    <x v="6"/>
    <m/>
    <n v="0.82752000000000003"/>
    <n v="0.86911000000000005"/>
    <n v="0.84831500000000004"/>
    <n v="415.9"/>
  </r>
  <r>
    <x v="13"/>
    <x v="57"/>
    <x v="6"/>
    <m/>
    <n v="0.82752000000000003"/>
    <n v="0.86911000000000005"/>
    <n v="0.84831500000000004"/>
    <n v="415.9"/>
  </r>
  <r>
    <x v="13"/>
    <x v="57"/>
    <x v="6"/>
    <m/>
    <n v="0.82752000000000003"/>
    <n v="0.86911000000000005"/>
    <n v="0.84831500000000004"/>
    <n v="415.9"/>
  </r>
  <r>
    <x v="13"/>
    <x v="57"/>
    <x v="6"/>
    <m/>
    <n v="0.82752000000000003"/>
    <n v="0.86911000000000005"/>
    <n v="0.84831500000000004"/>
    <n v="415.9"/>
  </r>
  <r>
    <x v="13"/>
    <x v="57"/>
    <x v="6"/>
    <m/>
    <n v="0.82752000000000003"/>
    <n v="0.86911000000000005"/>
    <n v="0.84831500000000004"/>
    <n v="415.9"/>
  </r>
  <r>
    <x v="13"/>
    <x v="57"/>
    <x v="6"/>
    <m/>
    <n v="0.82752000000000003"/>
    <n v="0.86911000000000005"/>
    <n v="0.84831500000000004"/>
    <n v="415.9"/>
  </r>
  <r>
    <x v="13"/>
    <x v="57"/>
    <x v="6"/>
    <m/>
    <n v="0.82752000000000003"/>
    <n v="0.86911000000000005"/>
    <n v="0.84831500000000004"/>
    <n v="415.9"/>
  </r>
  <r>
    <x v="13"/>
    <x v="57"/>
    <x v="6"/>
    <m/>
    <n v="0.82752000000000003"/>
    <n v="0.86911000000000005"/>
    <n v="0.84831500000000004"/>
    <n v="415.9"/>
  </r>
  <r>
    <x v="13"/>
    <x v="57"/>
    <x v="6"/>
    <m/>
    <n v="0.82752000000000003"/>
    <n v="0.86911000000000005"/>
    <n v="0.84831500000000004"/>
    <n v="415.9"/>
  </r>
  <r>
    <x v="13"/>
    <x v="57"/>
    <x v="9"/>
    <m/>
    <n v="0.80989"/>
    <n v="0.83636999999999995"/>
    <n v="0.82313000000000003"/>
    <n v="264.8"/>
  </r>
  <r>
    <x v="13"/>
    <x v="57"/>
    <x v="9"/>
    <m/>
    <n v="0.80989"/>
    <n v="0.83636999999999995"/>
    <n v="0.82313000000000003"/>
    <n v="264.8"/>
  </r>
  <r>
    <x v="13"/>
    <x v="57"/>
    <x v="9"/>
    <m/>
    <n v="0.80989"/>
    <n v="0.83636999999999995"/>
    <n v="0.82313000000000003"/>
    <n v="264.8"/>
  </r>
  <r>
    <x v="13"/>
    <x v="57"/>
    <x v="9"/>
    <m/>
    <n v="0.80989"/>
    <n v="0.83636999999999995"/>
    <n v="0.82313000000000003"/>
    <n v="264.8"/>
  </r>
  <r>
    <x v="13"/>
    <x v="57"/>
    <x v="9"/>
    <m/>
    <n v="0.80989"/>
    <n v="0.83636999999999995"/>
    <n v="0.82313000000000003"/>
    <n v="264.8"/>
  </r>
  <r>
    <x v="13"/>
    <x v="57"/>
    <x v="9"/>
    <m/>
    <n v="0.80989"/>
    <n v="0.83636999999999995"/>
    <n v="0.82313000000000003"/>
    <n v="264.8"/>
  </r>
  <r>
    <x v="13"/>
    <x v="57"/>
    <x v="9"/>
    <m/>
    <n v="0.80989"/>
    <n v="0.83636999999999995"/>
    <n v="0.82313000000000003"/>
    <n v="264.8"/>
  </r>
  <r>
    <x v="13"/>
    <x v="57"/>
    <x v="9"/>
    <m/>
    <n v="0.80989"/>
    <n v="0.83636999999999995"/>
    <n v="0.82313000000000003"/>
    <n v="264.8"/>
  </r>
  <r>
    <x v="13"/>
    <x v="57"/>
    <x v="9"/>
    <m/>
    <n v="0.80989"/>
    <n v="0.83636999999999995"/>
    <n v="0.82313000000000003"/>
    <n v="264.8"/>
  </r>
  <r>
    <x v="13"/>
    <x v="57"/>
    <x v="9"/>
    <m/>
    <n v="0.80989"/>
    <n v="0.83636999999999995"/>
    <n v="0.82313000000000003"/>
    <n v="264.8"/>
  </r>
  <r>
    <x v="13"/>
    <x v="57"/>
    <x v="9"/>
    <m/>
    <n v="0.80989"/>
    <n v="0.83636999999999995"/>
    <n v="0.82313000000000003"/>
    <n v="264.8"/>
  </r>
  <r>
    <x v="13"/>
    <x v="57"/>
    <x v="9"/>
    <m/>
    <n v="0.80989"/>
    <n v="0.83636999999999995"/>
    <n v="0.82313000000000003"/>
    <n v="264.8"/>
  </r>
  <r>
    <x v="13"/>
    <x v="57"/>
    <x v="9"/>
    <m/>
    <n v="0.80989"/>
    <n v="0.83636999999999995"/>
    <n v="0.82313000000000003"/>
    <n v="264.8"/>
  </r>
  <r>
    <x v="13"/>
    <x v="57"/>
    <x v="9"/>
    <m/>
    <n v="0.80989"/>
    <n v="0.83636999999999995"/>
    <n v="0.82313000000000003"/>
    <n v="264.8"/>
  </r>
  <r>
    <x v="13"/>
    <x v="57"/>
    <x v="9"/>
    <m/>
    <n v="0.80989"/>
    <n v="0.83636999999999995"/>
    <n v="0.82313000000000003"/>
    <n v="264.8"/>
  </r>
  <r>
    <x v="13"/>
    <x v="57"/>
    <x v="9"/>
    <m/>
    <n v="0.80989"/>
    <n v="0.83636999999999995"/>
    <n v="0.82313000000000003"/>
    <n v="264.8"/>
  </r>
  <r>
    <x v="13"/>
    <x v="58"/>
    <x v="9"/>
    <m/>
    <n v="0.80989"/>
    <n v="0.83636999999999995"/>
    <n v="0.82313000000000003"/>
    <n v="264.8"/>
  </r>
  <r>
    <x v="13"/>
    <x v="58"/>
    <x v="9"/>
    <m/>
    <n v="0.80989"/>
    <n v="0.83636999999999995"/>
    <n v="0.82313000000000003"/>
    <n v="264.8"/>
  </r>
  <r>
    <x v="13"/>
    <x v="58"/>
    <x v="9"/>
    <m/>
    <n v="0.80989"/>
    <n v="0.83636999999999995"/>
    <n v="0.82313000000000003"/>
    <n v="264.8"/>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4"/>
    <m/>
    <n v="90.941000000000003"/>
    <n v="95.956999999999994"/>
    <n v="93.448999999999998"/>
    <n v="501.6"/>
  </r>
  <r>
    <x v="13"/>
    <x v="58"/>
    <x v="10"/>
    <m/>
    <n v="0.87224000000000002"/>
    <n v="0.89575000000000005"/>
    <n v="0.88399499999999998"/>
    <n v="235.1"/>
  </r>
  <r>
    <x v="13"/>
    <x v="58"/>
    <x v="10"/>
    <m/>
    <n v="0.87224000000000002"/>
    <n v="0.89575000000000005"/>
    <n v="0.88399499999999998"/>
    <n v="235.1"/>
  </r>
  <r>
    <x v="13"/>
    <x v="58"/>
    <x v="10"/>
    <m/>
    <n v="0.87224000000000002"/>
    <n v="0.89575000000000005"/>
    <n v="0.88399499999999998"/>
    <n v="235.1"/>
  </r>
  <r>
    <x v="13"/>
    <x v="58"/>
    <x v="10"/>
    <m/>
    <n v="0.87224000000000002"/>
    <n v="0.89575000000000005"/>
    <n v="0.88399499999999998"/>
    <n v="235.1"/>
  </r>
  <r>
    <x v="13"/>
    <x v="58"/>
    <x v="10"/>
    <m/>
    <n v="0.87224000000000002"/>
    <n v="0.89575000000000005"/>
    <n v="0.88399499999999998"/>
    <n v="235.1"/>
  </r>
  <r>
    <x v="13"/>
    <x v="58"/>
    <x v="10"/>
    <m/>
    <n v="0.87224000000000002"/>
    <n v="0.89575000000000005"/>
    <n v="0.88399499999999998"/>
    <n v="235.1"/>
  </r>
  <r>
    <x v="13"/>
    <x v="58"/>
    <x v="10"/>
    <m/>
    <n v="0.87224000000000002"/>
    <n v="0.89575000000000005"/>
    <n v="0.88399499999999998"/>
    <n v="235.1"/>
  </r>
  <r>
    <x v="13"/>
    <x v="58"/>
    <x v="10"/>
    <m/>
    <n v="0.87224000000000002"/>
    <n v="0.89575000000000005"/>
    <n v="0.88399499999999998"/>
    <n v="235.1"/>
  </r>
  <r>
    <x v="13"/>
    <x v="58"/>
    <x v="10"/>
    <m/>
    <n v="0.87224000000000002"/>
    <n v="0.89575000000000005"/>
    <n v="0.88399499999999998"/>
    <n v="235.1"/>
  </r>
  <r>
    <x v="13"/>
    <x v="58"/>
    <x v="10"/>
    <m/>
    <n v="0.87224000000000002"/>
    <n v="0.89575000000000005"/>
    <n v="0.88399499999999998"/>
    <n v="235.1"/>
  </r>
  <r>
    <x v="13"/>
    <x v="58"/>
    <x v="10"/>
    <m/>
    <n v="0.87224000000000002"/>
    <n v="0.89575000000000005"/>
    <n v="0.88399499999999998"/>
    <n v="235.1"/>
  </r>
  <r>
    <x v="13"/>
    <x v="58"/>
    <x v="10"/>
    <m/>
    <n v="0.87224000000000002"/>
    <n v="0.89575000000000005"/>
    <n v="0.88399499999999998"/>
    <n v="235.1"/>
  </r>
  <r>
    <x v="13"/>
    <x v="58"/>
    <x v="10"/>
    <m/>
    <n v="0.87224000000000002"/>
    <n v="0.89575000000000005"/>
    <n v="0.88399499999999998"/>
    <n v="235.1"/>
  </r>
  <r>
    <x v="13"/>
    <x v="58"/>
    <x v="10"/>
    <m/>
    <n v="0.87224000000000002"/>
    <n v="0.89575000000000005"/>
    <n v="0.88399499999999998"/>
    <n v="235.1"/>
  </r>
  <r>
    <x v="13"/>
    <x v="58"/>
    <x v="10"/>
    <m/>
    <n v="0.87224000000000002"/>
    <n v="0.89575000000000005"/>
    <n v="0.88399499999999998"/>
    <n v="235.1"/>
  </r>
  <r>
    <x v="13"/>
    <x v="58"/>
    <x v="10"/>
    <m/>
    <n v="0.87224000000000002"/>
    <n v="0.89575000000000005"/>
    <n v="0.88399499999999998"/>
    <n v="235.1"/>
  </r>
  <r>
    <x v="13"/>
    <x v="58"/>
    <x v="10"/>
    <m/>
    <n v="0.87224000000000002"/>
    <n v="0.89575000000000005"/>
    <n v="0.88399499999999998"/>
    <n v="235.1"/>
  </r>
  <r>
    <x v="13"/>
    <x v="58"/>
    <x v="10"/>
    <m/>
    <n v="0.87224000000000002"/>
    <n v="0.89575000000000005"/>
    <n v="0.88399499999999998"/>
    <n v="235.1"/>
  </r>
  <r>
    <x v="13"/>
    <x v="58"/>
    <x v="10"/>
    <m/>
    <n v="0.87224000000000002"/>
    <n v="0.89575000000000005"/>
    <n v="0.88399499999999998"/>
    <n v="235.1"/>
  </r>
  <r>
    <x v="13"/>
    <x v="58"/>
    <x v="10"/>
    <m/>
    <n v="0.87224000000000002"/>
    <n v="0.89575000000000005"/>
    <n v="0.88399499999999998"/>
    <n v="235.1"/>
  </r>
  <r>
    <x v="13"/>
    <x v="58"/>
    <x v="6"/>
    <m/>
    <n v="0.82752000000000003"/>
    <n v="0.86911000000000005"/>
    <n v="0.84831500000000004"/>
    <n v="415.9"/>
  </r>
  <r>
    <x v="13"/>
    <x v="58"/>
    <x v="6"/>
    <m/>
    <n v="0.82752000000000003"/>
    <n v="0.86911000000000005"/>
    <n v="0.84831500000000004"/>
    <n v="415.9"/>
  </r>
  <r>
    <x v="13"/>
    <x v="58"/>
    <x v="6"/>
    <m/>
    <n v="0.82752000000000003"/>
    <n v="0.86911000000000005"/>
    <n v="0.84831500000000004"/>
    <n v="415.9"/>
  </r>
  <r>
    <x v="13"/>
    <x v="58"/>
    <x v="6"/>
    <m/>
    <n v="0.82752000000000003"/>
    <n v="0.86911000000000005"/>
    <n v="0.84831500000000004"/>
    <n v="415.9"/>
  </r>
  <r>
    <x v="13"/>
    <x v="58"/>
    <x v="6"/>
    <m/>
    <n v="0.82752000000000003"/>
    <n v="0.86911000000000005"/>
    <n v="0.84831500000000004"/>
    <n v="415.9"/>
  </r>
  <r>
    <x v="13"/>
    <x v="58"/>
    <x v="6"/>
    <m/>
    <n v="0.82752000000000003"/>
    <n v="0.86911000000000005"/>
    <n v="0.84831500000000004"/>
    <n v="415.9"/>
  </r>
  <r>
    <x v="13"/>
    <x v="58"/>
    <x v="6"/>
    <m/>
    <n v="0.82752000000000003"/>
    <n v="0.86911000000000005"/>
    <n v="0.84831500000000004"/>
    <n v="415.9"/>
  </r>
  <r>
    <x v="13"/>
    <x v="58"/>
    <x v="6"/>
    <m/>
    <n v="0.82752000000000003"/>
    <n v="0.86911000000000005"/>
    <n v="0.84831500000000004"/>
    <n v="415.9"/>
  </r>
  <r>
    <x v="13"/>
    <x v="58"/>
    <x v="6"/>
    <m/>
    <n v="0.82752000000000003"/>
    <n v="0.86911000000000005"/>
    <n v="0.84831500000000004"/>
    <n v="415.9"/>
  </r>
  <r>
    <x v="13"/>
    <x v="58"/>
    <x v="6"/>
    <m/>
    <n v="0.82752000000000003"/>
    <n v="0.86911000000000005"/>
    <n v="0.84831500000000004"/>
    <n v="415.9"/>
  </r>
  <r>
    <x v="13"/>
    <x v="58"/>
    <x v="6"/>
    <m/>
    <n v="0.82752000000000003"/>
    <n v="0.86911000000000005"/>
    <n v="0.84831500000000004"/>
    <n v="415.9"/>
  </r>
  <r>
    <x v="13"/>
    <x v="58"/>
    <x v="6"/>
    <m/>
    <n v="0.82752000000000003"/>
    <n v="0.86911000000000005"/>
    <n v="0.84831500000000004"/>
    <n v="415.9"/>
  </r>
  <r>
    <x v="13"/>
    <x v="58"/>
    <x v="6"/>
    <m/>
    <n v="0.82752000000000003"/>
    <n v="0.86911000000000005"/>
    <n v="0.84831500000000004"/>
    <n v="415.9"/>
  </r>
  <r>
    <x v="13"/>
    <x v="58"/>
    <x v="6"/>
    <m/>
    <n v="0.82752000000000003"/>
    <n v="0.86911000000000005"/>
    <n v="0.84831500000000004"/>
    <n v="415.9"/>
  </r>
  <r>
    <x v="13"/>
    <x v="58"/>
    <x v="6"/>
    <m/>
    <n v="0.82752000000000003"/>
    <n v="0.86911000000000005"/>
    <n v="0.84831500000000004"/>
    <n v="415.9"/>
  </r>
  <r>
    <x v="13"/>
    <x v="58"/>
    <x v="6"/>
    <m/>
    <n v="0.82752000000000003"/>
    <n v="0.86911000000000005"/>
    <n v="0.84831500000000004"/>
    <n v="415.9"/>
  </r>
  <r>
    <x v="13"/>
    <x v="58"/>
    <x v="6"/>
    <m/>
    <n v="0.82752000000000003"/>
    <n v="0.86911000000000005"/>
    <n v="0.84831500000000004"/>
    <n v="415.9"/>
  </r>
  <r>
    <x v="13"/>
    <x v="58"/>
    <x v="6"/>
    <m/>
    <n v="0.82752000000000003"/>
    <n v="0.86911000000000005"/>
    <n v="0.84831500000000004"/>
    <n v="415.9"/>
  </r>
  <r>
    <x v="13"/>
    <x v="58"/>
    <x v="6"/>
    <m/>
    <n v="0.82752000000000003"/>
    <n v="0.86911000000000005"/>
    <n v="0.84831500000000004"/>
    <n v="415.9"/>
  </r>
  <r>
    <x v="13"/>
    <x v="58"/>
    <x v="6"/>
    <m/>
    <n v="0.82752000000000003"/>
    <n v="0.86911000000000005"/>
    <n v="0.84831500000000004"/>
    <n v="415.9"/>
  </r>
  <r>
    <x v="13"/>
    <x v="58"/>
    <x v="6"/>
    <m/>
    <n v="0.82752000000000003"/>
    <n v="0.86911000000000005"/>
    <n v="0.84831500000000004"/>
    <n v="415.9"/>
  </r>
  <r>
    <x v="13"/>
    <x v="58"/>
    <x v="6"/>
    <m/>
    <n v="0.82752000000000003"/>
    <n v="0.86911000000000005"/>
    <n v="0.84831500000000004"/>
    <n v="415.9"/>
  </r>
  <r>
    <x v="13"/>
    <x v="58"/>
    <x v="6"/>
    <m/>
    <n v="0.82752000000000003"/>
    <n v="0.86911000000000005"/>
    <n v="0.84831500000000004"/>
    <n v="415.9"/>
  </r>
  <r>
    <x v="13"/>
    <x v="58"/>
    <x v="6"/>
    <m/>
    <n v="0.82752000000000003"/>
    <n v="0.86911000000000005"/>
    <n v="0.84831500000000004"/>
    <n v="415.9"/>
  </r>
  <r>
    <x v="13"/>
    <x v="58"/>
    <x v="6"/>
    <m/>
    <n v="0.82752000000000003"/>
    <n v="0.86911000000000005"/>
    <n v="0.84831500000000004"/>
    <n v="415.9"/>
  </r>
  <r>
    <x v="13"/>
    <x v="58"/>
    <x v="6"/>
    <m/>
    <n v="0.82752000000000003"/>
    <n v="0.86911000000000005"/>
    <n v="0.84831500000000004"/>
    <n v="415.9"/>
  </r>
  <r>
    <x v="13"/>
    <x v="58"/>
    <x v="6"/>
    <m/>
    <n v="0.82752000000000003"/>
    <n v="0.86911000000000005"/>
    <n v="0.84831500000000004"/>
    <n v="415.9"/>
  </r>
  <r>
    <x v="13"/>
    <x v="58"/>
    <x v="6"/>
    <m/>
    <n v="0.82752000000000003"/>
    <n v="0.86911000000000005"/>
    <n v="0.84831500000000004"/>
    <n v="415.9"/>
  </r>
  <r>
    <x v="13"/>
    <x v="58"/>
    <x v="6"/>
    <m/>
    <n v="0.82752000000000003"/>
    <n v="0.86911000000000005"/>
    <n v="0.84831500000000004"/>
    <n v="415.9"/>
  </r>
  <r>
    <x v="13"/>
    <x v="58"/>
    <x v="9"/>
    <m/>
    <n v="0.80989"/>
    <n v="0.83636999999999995"/>
    <n v="0.82313000000000003"/>
    <n v="264.8"/>
  </r>
  <r>
    <x v="13"/>
    <x v="58"/>
    <x v="9"/>
    <m/>
    <n v="0.80989"/>
    <n v="0.83636999999999995"/>
    <n v="0.82313000000000003"/>
    <n v="264.8"/>
  </r>
  <r>
    <x v="13"/>
    <x v="58"/>
    <x v="9"/>
    <m/>
    <n v="0.80989"/>
    <n v="0.83636999999999995"/>
    <n v="0.82313000000000003"/>
    <n v="264.8"/>
  </r>
  <r>
    <x v="13"/>
    <x v="58"/>
    <x v="9"/>
    <m/>
    <n v="0.80989"/>
    <n v="0.83636999999999995"/>
    <n v="0.82313000000000003"/>
    <n v="264.8"/>
  </r>
  <r>
    <x v="13"/>
    <x v="58"/>
    <x v="9"/>
    <m/>
    <n v="0.80989"/>
    <n v="0.83636999999999995"/>
    <n v="0.82313000000000003"/>
    <n v="264.8"/>
  </r>
  <r>
    <x v="13"/>
    <x v="58"/>
    <x v="9"/>
    <m/>
    <n v="0.80989"/>
    <n v="0.83636999999999995"/>
    <n v="0.82313000000000003"/>
    <n v="264.8"/>
  </r>
  <r>
    <x v="13"/>
    <x v="58"/>
    <x v="9"/>
    <m/>
    <n v="0.80989"/>
    <n v="0.83636999999999995"/>
    <n v="0.82313000000000003"/>
    <n v="264.8"/>
  </r>
  <r>
    <x v="13"/>
    <x v="58"/>
    <x v="9"/>
    <m/>
    <n v="0.80989"/>
    <n v="0.83636999999999995"/>
    <n v="0.82313000000000003"/>
    <n v="264.8"/>
  </r>
  <r>
    <x v="13"/>
    <x v="58"/>
    <x v="9"/>
    <m/>
    <n v="0.80989"/>
    <n v="0.83636999999999995"/>
    <n v="0.82313000000000003"/>
    <n v="264.8"/>
  </r>
  <r>
    <x v="13"/>
    <x v="58"/>
    <x v="9"/>
    <m/>
    <n v="0.80989"/>
    <n v="0.83636999999999995"/>
    <n v="0.82313000000000003"/>
    <n v="264.8"/>
  </r>
  <r>
    <x v="13"/>
    <x v="58"/>
    <x v="9"/>
    <m/>
    <n v="0.80989"/>
    <n v="0.83636999999999995"/>
    <n v="0.82313000000000003"/>
    <n v="264.8"/>
  </r>
  <r>
    <x v="13"/>
    <x v="58"/>
    <x v="9"/>
    <m/>
    <n v="0.80989"/>
    <n v="0.83636999999999995"/>
    <n v="0.82313000000000003"/>
    <n v="264.8"/>
  </r>
  <r>
    <x v="13"/>
    <x v="58"/>
    <x v="9"/>
    <m/>
    <n v="0.80989"/>
    <n v="0.83636999999999995"/>
    <n v="0.82313000000000003"/>
    <n v="264.8"/>
  </r>
  <r>
    <x v="13"/>
    <x v="58"/>
    <x v="9"/>
    <m/>
    <n v="0.80989"/>
    <n v="0.83636999999999995"/>
    <n v="0.82313000000000003"/>
    <n v="264.8"/>
  </r>
  <r>
    <x v="13"/>
    <x v="58"/>
    <x v="9"/>
    <m/>
    <n v="0.80989"/>
    <n v="0.83636999999999995"/>
    <n v="0.82313000000000003"/>
    <n v="264.8"/>
  </r>
  <r>
    <x v="13"/>
    <x v="59"/>
    <x v="9"/>
    <m/>
    <n v="0.80796999999999997"/>
    <n v="0.84"/>
    <n v="0.82398499999999997"/>
    <n v="320.3"/>
  </r>
  <r>
    <x v="13"/>
    <x v="59"/>
    <x v="9"/>
    <m/>
    <n v="0.80796999999999997"/>
    <n v="0.84"/>
    <n v="0.82398499999999997"/>
    <n v="320.3"/>
  </r>
  <r>
    <x v="13"/>
    <x v="59"/>
    <x v="9"/>
    <m/>
    <n v="0.80796999999999997"/>
    <n v="0.84"/>
    <n v="0.82398499999999997"/>
    <n v="320.3"/>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4"/>
    <m/>
    <n v="90.2"/>
    <n v="96.406000000000006"/>
    <n v="93.302999999999997"/>
    <n v="620.6"/>
  </r>
  <r>
    <x v="13"/>
    <x v="59"/>
    <x v="10"/>
    <m/>
    <n v="0.87099000000000004"/>
    <n v="0.90300000000000002"/>
    <n v="0.88699499999999998"/>
    <n v="320.10000000000002"/>
  </r>
  <r>
    <x v="13"/>
    <x v="59"/>
    <x v="10"/>
    <m/>
    <n v="0.87099000000000004"/>
    <n v="0.90300000000000002"/>
    <n v="0.88699499999999998"/>
    <n v="320.10000000000002"/>
  </r>
  <r>
    <x v="13"/>
    <x v="59"/>
    <x v="10"/>
    <m/>
    <n v="0.87099000000000004"/>
    <n v="0.90300000000000002"/>
    <n v="0.88699499999999998"/>
    <n v="320.10000000000002"/>
  </r>
  <r>
    <x v="13"/>
    <x v="59"/>
    <x v="10"/>
    <m/>
    <n v="0.87099000000000004"/>
    <n v="0.90300000000000002"/>
    <n v="0.88699499999999998"/>
    <n v="320.10000000000002"/>
  </r>
  <r>
    <x v="13"/>
    <x v="59"/>
    <x v="10"/>
    <m/>
    <n v="0.87099000000000004"/>
    <n v="0.90300000000000002"/>
    <n v="0.88699499999999998"/>
    <n v="320.10000000000002"/>
  </r>
  <r>
    <x v="13"/>
    <x v="59"/>
    <x v="10"/>
    <m/>
    <n v="0.87099000000000004"/>
    <n v="0.90300000000000002"/>
    <n v="0.88699499999999998"/>
    <n v="320.10000000000002"/>
  </r>
  <r>
    <x v="13"/>
    <x v="59"/>
    <x v="10"/>
    <m/>
    <n v="0.87099000000000004"/>
    <n v="0.90300000000000002"/>
    <n v="0.88699499999999998"/>
    <n v="320.10000000000002"/>
  </r>
  <r>
    <x v="13"/>
    <x v="59"/>
    <x v="10"/>
    <m/>
    <n v="0.87099000000000004"/>
    <n v="0.90300000000000002"/>
    <n v="0.88699499999999998"/>
    <n v="320.10000000000002"/>
  </r>
  <r>
    <x v="13"/>
    <x v="59"/>
    <x v="10"/>
    <m/>
    <n v="0.87099000000000004"/>
    <n v="0.90300000000000002"/>
    <n v="0.88699499999999998"/>
    <n v="320.10000000000002"/>
  </r>
  <r>
    <x v="13"/>
    <x v="59"/>
    <x v="10"/>
    <m/>
    <n v="0.87099000000000004"/>
    <n v="0.90300000000000002"/>
    <n v="0.88699499999999998"/>
    <n v="320.10000000000002"/>
  </r>
  <r>
    <x v="13"/>
    <x v="59"/>
    <x v="10"/>
    <m/>
    <n v="0.87099000000000004"/>
    <n v="0.90300000000000002"/>
    <n v="0.88699499999999998"/>
    <n v="320.10000000000002"/>
  </r>
  <r>
    <x v="13"/>
    <x v="59"/>
    <x v="10"/>
    <m/>
    <n v="0.87099000000000004"/>
    <n v="0.90300000000000002"/>
    <n v="0.88699499999999998"/>
    <n v="320.10000000000002"/>
  </r>
  <r>
    <x v="13"/>
    <x v="59"/>
    <x v="10"/>
    <m/>
    <n v="0.87099000000000004"/>
    <n v="0.90300000000000002"/>
    <n v="0.88699499999999998"/>
    <n v="320.10000000000002"/>
  </r>
  <r>
    <x v="13"/>
    <x v="59"/>
    <x v="10"/>
    <m/>
    <n v="0.87099000000000004"/>
    <n v="0.90300000000000002"/>
    <n v="0.88699499999999998"/>
    <n v="320.10000000000002"/>
  </r>
  <r>
    <x v="13"/>
    <x v="59"/>
    <x v="10"/>
    <m/>
    <n v="0.87099000000000004"/>
    <n v="0.90300000000000002"/>
    <n v="0.88699499999999998"/>
    <n v="320.10000000000002"/>
  </r>
  <r>
    <x v="13"/>
    <x v="59"/>
    <x v="10"/>
    <m/>
    <n v="0.87099000000000004"/>
    <n v="0.90300000000000002"/>
    <n v="0.88699499999999998"/>
    <n v="320.10000000000002"/>
  </r>
  <r>
    <x v="13"/>
    <x v="59"/>
    <x v="10"/>
    <m/>
    <n v="0.87099000000000004"/>
    <n v="0.90300000000000002"/>
    <n v="0.88699499999999998"/>
    <n v="320.10000000000002"/>
  </r>
  <r>
    <x v="13"/>
    <x v="59"/>
    <x v="10"/>
    <m/>
    <n v="0.87099000000000004"/>
    <n v="0.90300000000000002"/>
    <n v="0.88699499999999998"/>
    <n v="320.10000000000002"/>
  </r>
  <r>
    <x v="13"/>
    <x v="59"/>
    <x v="10"/>
    <m/>
    <n v="0.87099000000000004"/>
    <n v="0.90300000000000002"/>
    <n v="0.88699499999999998"/>
    <n v="320.10000000000002"/>
  </r>
  <r>
    <x v="13"/>
    <x v="59"/>
    <x v="6"/>
    <m/>
    <n v="0.82540999999999998"/>
    <n v="0.87751999999999997"/>
    <n v="0.85146500000000003"/>
    <n v="521.1"/>
  </r>
  <r>
    <x v="13"/>
    <x v="59"/>
    <x v="6"/>
    <m/>
    <n v="0.82540999999999998"/>
    <n v="0.87751999999999997"/>
    <n v="0.85146500000000003"/>
    <n v="521.1"/>
  </r>
  <r>
    <x v="13"/>
    <x v="59"/>
    <x v="6"/>
    <m/>
    <n v="0.82540999999999998"/>
    <n v="0.87751999999999997"/>
    <n v="0.85146500000000003"/>
    <n v="521.1"/>
  </r>
  <r>
    <x v="13"/>
    <x v="59"/>
    <x v="6"/>
    <m/>
    <n v="0.82540999999999998"/>
    <n v="0.87751999999999997"/>
    <n v="0.85146500000000003"/>
    <n v="521.1"/>
  </r>
  <r>
    <x v="13"/>
    <x v="59"/>
    <x v="6"/>
    <m/>
    <n v="0.82540999999999998"/>
    <n v="0.87751999999999997"/>
    <n v="0.85146500000000003"/>
    <n v="521.1"/>
  </r>
  <r>
    <x v="13"/>
    <x v="59"/>
    <x v="6"/>
    <m/>
    <n v="0.82540999999999998"/>
    <n v="0.87751999999999997"/>
    <n v="0.85146500000000003"/>
    <n v="521.1"/>
  </r>
  <r>
    <x v="13"/>
    <x v="59"/>
    <x v="6"/>
    <m/>
    <n v="0.82540999999999998"/>
    <n v="0.87751999999999997"/>
    <n v="0.85146500000000003"/>
    <n v="521.1"/>
  </r>
  <r>
    <x v="13"/>
    <x v="59"/>
    <x v="6"/>
    <m/>
    <n v="0.82540999999999998"/>
    <n v="0.87751999999999997"/>
    <n v="0.85146500000000003"/>
    <n v="521.1"/>
  </r>
  <r>
    <x v="13"/>
    <x v="59"/>
    <x v="6"/>
    <m/>
    <n v="0.82540999999999998"/>
    <n v="0.87751999999999997"/>
    <n v="0.85146500000000003"/>
    <n v="521.1"/>
  </r>
  <r>
    <x v="13"/>
    <x v="59"/>
    <x v="6"/>
    <m/>
    <n v="0.82540999999999998"/>
    <n v="0.87751999999999997"/>
    <n v="0.85146500000000003"/>
    <n v="521.1"/>
  </r>
  <r>
    <x v="13"/>
    <x v="59"/>
    <x v="6"/>
    <m/>
    <n v="0.82540999999999998"/>
    <n v="0.87751999999999997"/>
    <n v="0.85146500000000003"/>
    <n v="521.1"/>
  </r>
  <r>
    <x v="13"/>
    <x v="59"/>
    <x v="6"/>
    <m/>
    <n v="0.82540999999999998"/>
    <n v="0.87751999999999997"/>
    <n v="0.85146500000000003"/>
    <n v="521.1"/>
  </r>
  <r>
    <x v="13"/>
    <x v="59"/>
    <x v="6"/>
    <m/>
    <n v="0.82540999999999998"/>
    <n v="0.87751999999999997"/>
    <n v="0.85146500000000003"/>
    <n v="521.1"/>
  </r>
  <r>
    <x v="13"/>
    <x v="59"/>
    <x v="6"/>
    <m/>
    <n v="0.82540999999999998"/>
    <n v="0.87751999999999997"/>
    <n v="0.85146500000000003"/>
    <n v="521.1"/>
  </r>
  <r>
    <x v="13"/>
    <x v="59"/>
    <x v="6"/>
    <m/>
    <n v="0.82540999999999998"/>
    <n v="0.87751999999999997"/>
    <n v="0.85146500000000003"/>
    <n v="521.1"/>
  </r>
  <r>
    <x v="13"/>
    <x v="59"/>
    <x v="6"/>
    <m/>
    <n v="0.82540999999999998"/>
    <n v="0.87751999999999997"/>
    <n v="0.85146500000000003"/>
    <n v="521.1"/>
  </r>
  <r>
    <x v="13"/>
    <x v="59"/>
    <x v="6"/>
    <m/>
    <n v="0.82540999999999998"/>
    <n v="0.87751999999999997"/>
    <n v="0.85146500000000003"/>
    <n v="521.1"/>
  </r>
  <r>
    <x v="13"/>
    <x v="59"/>
    <x v="6"/>
    <m/>
    <n v="0.82540999999999998"/>
    <n v="0.87751999999999997"/>
    <n v="0.85146500000000003"/>
    <n v="521.1"/>
  </r>
  <r>
    <x v="13"/>
    <x v="59"/>
    <x v="6"/>
    <m/>
    <n v="0.82540999999999998"/>
    <n v="0.87751999999999997"/>
    <n v="0.85146500000000003"/>
    <n v="521.1"/>
  </r>
  <r>
    <x v="13"/>
    <x v="59"/>
    <x v="6"/>
    <m/>
    <n v="0.82540999999999998"/>
    <n v="0.87751999999999997"/>
    <n v="0.85146500000000003"/>
    <n v="521.1"/>
  </r>
  <r>
    <x v="13"/>
    <x v="59"/>
    <x v="6"/>
    <m/>
    <n v="0.82540999999999998"/>
    <n v="0.87751999999999997"/>
    <n v="0.85146500000000003"/>
    <n v="521.1"/>
  </r>
  <r>
    <x v="13"/>
    <x v="59"/>
    <x v="6"/>
    <m/>
    <n v="0.82540999999999998"/>
    <n v="0.87751999999999997"/>
    <n v="0.85146500000000003"/>
    <n v="521.1"/>
  </r>
  <r>
    <x v="13"/>
    <x v="59"/>
    <x v="6"/>
    <m/>
    <n v="0.82540999999999998"/>
    <n v="0.87751999999999997"/>
    <n v="0.85146500000000003"/>
    <n v="521.1"/>
  </r>
  <r>
    <x v="13"/>
    <x v="59"/>
    <x v="6"/>
    <m/>
    <n v="0.82540999999999998"/>
    <n v="0.87751999999999997"/>
    <n v="0.85146500000000003"/>
    <n v="521.1"/>
  </r>
  <r>
    <x v="13"/>
    <x v="59"/>
    <x v="6"/>
    <m/>
    <n v="0.82540999999999998"/>
    <n v="0.87751999999999997"/>
    <n v="0.85146500000000003"/>
    <n v="521.1"/>
  </r>
  <r>
    <x v="13"/>
    <x v="59"/>
    <x v="6"/>
    <m/>
    <n v="0.82540999999999998"/>
    <n v="0.87751999999999997"/>
    <n v="0.85146500000000003"/>
    <n v="521.1"/>
  </r>
  <r>
    <x v="13"/>
    <x v="59"/>
    <x v="6"/>
    <m/>
    <n v="0.82540999999999998"/>
    <n v="0.87751999999999997"/>
    <n v="0.85146500000000003"/>
    <n v="521.1"/>
  </r>
  <r>
    <x v="13"/>
    <x v="59"/>
    <x v="6"/>
    <m/>
    <n v="0.82540999999999998"/>
    <n v="0.87751999999999997"/>
    <n v="0.85146500000000003"/>
    <n v="521.1"/>
  </r>
  <r>
    <x v="13"/>
    <x v="59"/>
    <x v="6"/>
    <m/>
    <n v="0.82540999999999998"/>
    <n v="0.87751999999999997"/>
    <n v="0.85146500000000003"/>
    <n v="521.1"/>
  </r>
  <r>
    <x v="13"/>
    <x v="59"/>
    <x v="9"/>
    <m/>
    <n v="0.80796999999999997"/>
    <n v="0.84"/>
    <n v="0.82398499999999997"/>
    <n v="320.3"/>
  </r>
  <r>
    <x v="13"/>
    <x v="59"/>
    <x v="9"/>
    <m/>
    <n v="0.80796999999999997"/>
    <n v="0.84"/>
    <n v="0.82398499999999997"/>
    <n v="320.3"/>
  </r>
  <r>
    <x v="13"/>
    <x v="59"/>
    <x v="9"/>
    <m/>
    <n v="0.80796999999999997"/>
    <n v="0.84"/>
    <n v="0.82398499999999997"/>
    <n v="320.3"/>
  </r>
  <r>
    <x v="13"/>
    <x v="59"/>
    <x v="9"/>
    <m/>
    <n v="0.80796999999999997"/>
    <n v="0.84"/>
    <n v="0.82398499999999997"/>
    <n v="320.3"/>
  </r>
  <r>
    <x v="13"/>
    <x v="59"/>
    <x v="9"/>
    <m/>
    <n v="0.80796999999999997"/>
    <n v="0.84"/>
    <n v="0.82398499999999997"/>
    <n v="320.3"/>
  </r>
  <r>
    <x v="13"/>
    <x v="59"/>
    <x v="9"/>
    <m/>
    <n v="0.80796999999999997"/>
    <n v="0.84"/>
    <n v="0.82398499999999997"/>
    <n v="320.3"/>
  </r>
  <r>
    <x v="13"/>
    <x v="59"/>
    <x v="9"/>
    <m/>
    <n v="0.80796999999999997"/>
    <n v="0.84"/>
    <n v="0.82398499999999997"/>
    <n v="320.3"/>
  </r>
  <r>
    <x v="13"/>
    <x v="59"/>
    <x v="9"/>
    <m/>
    <n v="0.80796999999999997"/>
    <n v="0.84"/>
    <n v="0.82398499999999997"/>
    <n v="320.3"/>
  </r>
  <r>
    <x v="13"/>
    <x v="59"/>
    <x v="9"/>
    <m/>
    <n v="0.80796999999999997"/>
    <n v="0.84"/>
    <n v="0.82398499999999997"/>
    <n v="320.3"/>
  </r>
  <r>
    <x v="13"/>
    <x v="59"/>
    <x v="9"/>
    <m/>
    <n v="0.80796999999999997"/>
    <n v="0.84"/>
    <n v="0.82398499999999997"/>
    <n v="320.3"/>
  </r>
  <r>
    <x v="13"/>
    <x v="59"/>
    <x v="9"/>
    <m/>
    <n v="0.80796999999999997"/>
    <n v="0.84"/>
    <n v="0.82398499999999997"/>
    <n v="320.3"/>
  </r>
  <r>
    <x v="13"/>
    <x v="59"/>
    <x v="9"/>
    <m/>
    <n v="0.80796999999999997"/>
    <n v="0.84"/>
    <n v="0.82398499999999997"/>
    <n v="320.3"/>
  </r>
  <r>
    <x v="13"/>
    <x v="59"/>
    <x v="9"/>
    <m/>
    <n v="0.80796999999999997"/>
    <n v="0.84"/>
    <n v="0.82398499999999997"/>
    <n v="320.3"/>
  </r>
  <r>
    <x v="13"/>
    <x v="59"/>
    <x v="9"/>
    <m/>
    <n v="0.80796999999999997"/>
    <n v="0.84"/>
    <n v="0.82398499999999997"/>
    <n v="320.3"/>
  </r>
  <r>
    <x v="13"/>
    <x v="59"/>
    <x v="9"/>
    <m/>
    <n v="0.80796999999999997"/>
    <n v="0.84"/>
    <n v="0.82398499999999997"/>
    <n v="320.3"/>
  </r>
  <r>
    <x v="13"/>
    <x v="59"/>
    <x v="9"/>
    <m/>
    <n v="0.80796999999999997"/>
    <n v="0.84"/>
    <n v="0.82398499999999997"/>
    <n v="320.3"/>
  </r>
  <r>
    <x v="13"/>
    <x v="25"/>
    <x v="9"/>
    <m/>
    <n v="0.79800000000000004"/>
    <n v="0.84"/>
    <n v="0.81899999999999995"/>
    <n v="420"/>
  </r>
  <r>
    <x v="13"/>
    <x v="25"/>
    <x v="9"/>
    <m/>
    <n v="0.79800000000000004"/>
    <n v="0.84"/>
    <n v="0.81899999999999995"/>
    <n v="420"/>
  </r>
  <r>
    <x v="13"/>
    <x v="25"/>
    <x v="9"/>
    <m/>
    <n v="0.79800000000000004"/>
    <n v="0.84"/>
    <n v="0.81899999999999995"/>
    <n v="420"/>
  </r>
  <r>
    <x v="13"/>
    <x v="25"/>
    <x v="9"/>
    <m/>
    <n v="0.79800000000000004"/>
    <n v="0.84"/>
    <n v="0.81899999999999995"/>
    <n v="420"/>
  </r>
  <r>
    <x v="13"/>
    <x v="25"/>
    <x v="9"/>
    <m/>
    <n v="0.79800000000000004"/>
    <n v="0.84"/>
    <n v="0.81899999999999995"/>
    <n v="420"/>
  </r>
  <r>
    <x v="13"/>
    <x v="25"/>
    <x v="9"/>
    <m/>
    <n v="0.79800000000000004"/>
    <n v="0.84"/>
    <n v="0.81899999999999995"/>
    <n v="420"/>
  </r>
  <r>
    <x v="13"/>
    <x v="25"/>
    <x v="9"/>
    <m/>
    <n v="0.79800000000000004"/>
    <n v="0.84"/>
    <n v="0.81899999999999995"/>
    <n v="420"/>
  </r>
  <r>
    <x v="13"/>
    <x v="25"/>
    <x v="9"/>
    <m/>
    <n v="0.79800000000000004"/>
    <n v="0.84"/>
    <n v="0.81899999999999995"/>
    <n v="420"/>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4"/>
    <m/>
    <n v="90.2"/>
    <n v="96.406000000000006"/>
    <n v="93.302999999999997"/>
    <n v="620.6"/>
  </r>
  <r>
    <x v="13"/>
    <x v="25"/>
    <x v="10"/>
    <m/>
    <n v="0.87099000000000004"/>
    <n v="0.90300000000000002"/>
    <n v="0.88699499999999998"/>
    <n v="320.10000000000002"/>
  </r>
  <r>
    <x v="13"/>
    <x v="25"/>
    <x v="10"/>
    <m/>
    <n v="0.87099000000000004"/>
    <n v="0.90300000000000002"/>
    <n v="0.88699499999999998"/>
    <n v="320.10000000000002"/>
  </r>
  <r>
    <x v="13"/>
    <x v="25"/>
    <x v="10"/>
    <m/>
    <n v="0.87099000000000004"/>
    <n v="0.90300000000000002"/>
    <n v="0.88699499999999998"/>
    <n v="320.10000000000002"/>
  </r>
  <r>
    <x v="13"/>
    <x v="25"/>
    <x v="10"/>
    <m/>
    <n v="0.87099000000000004"/>
    <n v="0.90300000000000002"/>
    <n v="0.88699499999999998"/>
    <n v="320.10000000000002"/>
  </r>
  <r>
    <x v="13"/>
    <x v="25"/>
    <x v="10"/>
    <m/>
    <n v="0.87099000000000004"/>
    <n v="0.90300000000000002"/>
    <n v="0.88699499999999998"/>
    <n v="320.10000000000002"/>
  </r>
  <r>
    <x v="13"/>
    <x v="25"/>
    <x v="10"/>
    <m/>
    <n v="0.87099000000000004"/>
    <n v="0.90300000000000002"/>
    <n v="0.88699499999999998"/>
    <n v="320.10000000000002"/>
  </r>
  <r>
    <x v="13"/>
    <x v="25"/>
    <x v="10"/>
    <m/>
    <n v="0.87099000000000004"/>
    <n v="0.90300000000000002"/>
    <n v="0.88699499999999998"/>
    <n v="320.10000000000002"/>
  </r>
  <r>
    <x v="13"/>
    <x v="25"/>
    <x v="10"/>
    <m/>
    <n v="0.87099000000000004"/>
    <n v="0.90300000000000002"/>
    <n v="0.88699499999999998"/>
    <n v="320.10000000000002"/>
  </r>
  <r>
    <x v="13"/>
    <x v="25"/>
    <x v="10"/>
    <m/>
    <n v="0.87099000000000004"/>
    <n v="0.90300000000000002"/>
    <n v="0.88699499999999998"/>
    <n v="320.10000000000002"/>
  </r>
  <r>
    <x v="13"/>
    <x v="25"/>
    <x v="10"/>
    <m/>
    <n v="0.87099000000000004"/>
    <n v="0.90300000000000002"/>
    <n v="0.88699499999999998"/>
    <n v="320.10000000000002"/>
  </r>
  <r>
    <x v="13"/>
    <x v="25"/>
    <x v="10"/>
    <m/>
    <n v="0.87099000000000004"/>
    <n v="0.90300000000000002"/>
    <n v="0.88699499999999998"/>
    <n v="320.10000000000002"/>
  </r>
  <r>
    <x v="13"/>
    <x v="25"/>
    <x v="10"/>
    <m/>
    <n v="0.87099000000000004"/>
    <n v="0.90300000000000002"/>
    <n v="0.88699499999999998"/>
    <n v="320.10000000000002"/>
  </r>
  <r>
    <x v="13"/>
    <x v="25"/>
    <x v="10"/>
    <m/>
    <n v="0.87099000000000004"/>
    <n v="0.90300000000000002"/>
    <n v="0.88699499999999998"/>
    <n v="320.10000000000002"/>
  </r>
  <r>
    <x v="13"/>
    <x v="25"/>
    <x v="10"/>
    <m/>
    <n v="0.87099000000000004"/>
    <n v="0.90300000000000002"/>
    <n v="0.88699499999999998"/>
    <n v="320.10000000000002"/>
  </r>
  <r>
    <x v="13"/>
    <x v="25"/>
    <x v="10"/>
    <m/>
    <n v="0.87099000000000004"/>
    <n v="0.90300000000000002"/>
    <n v="0.88699499999999998"/>
    <n v="320.10000000000002"/>
  </r>
  <r>
    <x v="13"/>
    <x v="25"/>
    <x v="10"/>
    <m/>
    <n v="0.87099000000000004"/>
    <n v="0.90300000000000002"/>
    <n v="0.88699499999999998"/>
    <n v="320.10000000000002"/>
  </r>
  <r>
    <x v="13"/>
    <x v="25"/>
    <x v="10"/>
    <m/>
    <n v="0.87099000000000004"/>
    <n v="0.90300000000000002"/>
    <n v="0.88699499999999998"/>
    <n v="320.10000000000002"/>
  </r>
  <r>
    <x v="13"/>
    <x v="25"/>
    <x v="10"/>
    <m/>
    <n v="0.87099000000000004"/>
    <n v="0.90300000000000002"/>
    <n v="0.88699499999999998"/>
    <n v="320.10000000000002"/>
  </r>
  <r>
    <x v="13"/>
    <x v="25"/>
    <x v="10"/>
    <m/>
    <n v="0.87099000000000004"/>
    <n v="0.90300000000000002"/>
    <n v="0.88699499999999998"/>
    <n v="320.10000000000002"/>
  </r>
  <r>
    <x v="13"/>
    <x v="25"/>
    <x v="6"/>
    <m/>
    <n v="0.82540999999999998"/>
    <n v="0.87751999999999997"/>
    <n v="0.85146500000000003"/>
    <n v="521.1"/>
  </r>
  <r>
    <x v="13"/>
    <x v="25"/>
    <x v="6"/>
    <m/>
    <n v="0.82540999999999998"/>
    <n v="0.87751999999999997"/>
    <n v="0.85146500000000003"/>
    <n v="521.1"/>
  </r>
  <r>
    <x v="13"/>
    <x v="25"/>
    <x v="6"/>
    <m/>
    <n v="0.82540999999999998"/>
    <n v="0.87751999999999997"/>
    <n v="0.85146500000000003"/>
    <n v="521.1"/>
  </r>
  <r>
    <x v="13"/>
    <x v="25"/>
    <x v="6"/>
    <m/>
    <n v="0.82540999999999998"/>
    <n v="0.87751999999999997"/>
    <n v="0.85146500000000003"/>
    <n v="521.1"/>
  </r>
  <r>
    <x v="13"/>
    <x v="25"/>
    <x v="6"/>
    <m/>
    <n v="0.82540999999999998"/>
    <n v="0.87751999999999997"/>
    <n v="0.85146500000000003"/>
    <n v="521.1"/>
  </r>
  <r>
    <x v="13"/>
    <x v="25"/>
    <x v="6"/>
    <m/>
    <n v="0.82540999999999998"/>
    <n v="0.87751999999999997"/>
    <n v="0.85146500000000003"/>
    <n v="521.1"/>
  </r>
  <r>
    <x v="13"/>
    <x v="25"/>
    <x v="6"/>
    <m/>
    <n v="0.82540999999999998"/>
    <n v="0.87751999999999997"/>
    <n v="0.85146500000000003"/>
    <n v="521.1"/>
  </r>
  <r>
    <x v="13"/>
    <x v="25"/>
    <x v="6"/>
    <m/>
    <n v="0.82540999999999998"/>
    <n v="0.87751999999999997"/>
    <n v="0.85146500000000003"/>
    <n v="521.1"/>
  </r>
  <r>
    <x v="13"/>
    <x v="25"/>
    <x v="6"/>
    <m/>
    <n v="0.82540999999999998"/>
    <n v="0.87751999999999997"/>
    <n v="0.85146500000000003"/>
    <n v="521.1"/>
  </r>
  <r>
    <x v="13"/>
    <x v="25"/>
    <x v="6"/>
    <m/>
    <n v="0.82540999999999998"/>
    <n v="0.87751999999999997"/>
    <n v="0.85146500000000003"/>
    <n v="521.1"/>
  </r>
  <r>
    <x v="13"/>
    <x v="25"/>
    <x v="6"/>
    <m/>
    <n v="0.82540999999999998"/>
    <n v="0.87751999999999997"/>
    <n v="0.85146500000000003"/>
    <n v="521.1"/>
  </r>
  <r>
    <x v="13"/>
    <x v="25"/>
    <x v="6"/>
    <m/>
    <n v="0.82540999999999998"/>
    <n v="0.87751999999999997"/>
    <n v="0.85146500000000003"/>
    <n v="521.1"/>
  </r>
  <r>
    <x v="13"/>
    <x v="25"/>
    <x v="6"/>
    <m/>
    <n v="0.82540999999999998"/>
    <n v="0.87751999999999997"/>
    <n v="0.85146500000000003"/>
    <n v="521.1"/>
  </r>
  <r>
    <x v="13"/>
    <x v="25"/>
    <x v="6"/>
    <m/>
    <n v="0.82540999999999998"/>
    <n v="0.87751999999999997"/>
    <n v="0.85146500000000003"/>
    <n v="521.1"/>
  </r>
  <r>
    <x v="13"/>
    <x v="25"/>
    <x v="6"/>
    <m/>
    <n v="0.82540999999999998"/>
    <n v="0.87751999999999997"/>
    <n v="0.85146500000000003"/>
    <n v="521.1"/>
  </r>
  <r>
    <x v="13"/>
    <x v="25"/>
    <x v="6"/>
    <m/>
    <n v="0.82540999999999998"/>
    <n v="0.87751999999999997"/>
    <n v="0.85146500000000003"/>
    <n v="521.1"/>
  </r>
  <r>
    <x v="13"/>
    <x v="25"/>
    <x v="6"/>
    <m/>
    <n v="0.82540999999999998"/>
    <n v="0.87751999999999997"/>
    <n v="0.85146500000000003"/>
    <n v="521.1"/>
  </r>
  <r>
    <x v="13"/>
    <x v="25"/>
    <x v="6"/>
    <m/>
    <n v="0.82540999999999998"/>
    <n v="0.87751999999999997"/>
    <n v="0.85146500000000003"/>
    <n v="521.1"/>
  </r>
  <r>
    <x v="13"/>
    <x v="25"/>
    <x v="6"/>
    <m/>
    <n v="0.82540999999999998"/>
    <n v="0.87751999999999997"/>
    <n v="0.85146500000000003"/>
    <n v="521.1"/>
  </r>
  <r>
    <x v="13"/>
    <x v="25"/>
    <x v="6"/>
    <m/>
    <n v="0.82540999999999998"/>
    <n v="0.87751999999999997"/>
    <n v="0.85146500000000003"/>
    <n v="521.1"/>
  </r>
  <r>
    <x v="13"/>
    <x v="25"/>
    <x v="6"/>
    <m/>
    <n v="0.82540999999999998"/>
    <n v="0.87751999999999997"/>
    <n v="0.85146500000000003"/>
    <n v="521.1"/>
  </r>
  <r>
    <x v="13"/>
    <x v="25"/>
    <x v="6"/>
    <m/>
    <n v="0.82540999999999998"/>
    <n v="0.87751999999999997"/>
    <n v="0.85146500000000003"/>
    <n v="521.1"/>
  </r>
  <r>
    <x v="13"/>
    <x v="25"/>
    <x v="6"/>
    <m/>
    <n v="0.82540999999999998"/>
    <n v="0.87751999999999997"/>
    <n v="0.85146500000000003"/>
    <n v="521.1"/>
  </r>
  <r>
    <x v="13"/>
    <x v="25"/>
    <x v="6"/>
    <m/>
    <n v="0.82540999999999998"/>
    <n v="0.87751999999999997"/>
    <n v="0.85146500000000003"/>
    <n v="521.1"/>
  </r>
  <r>
    <x v="13"/>
    <x v="25"/>
    <x v="6"/>
    <m/>
    <n v="0.82540999999999998"/>
    <n v="0.87751999999999997"/>
    <n v="0.85146500000000003"/>
    <n v="521.1"/>
  </r>
  <r>
    <x v="13"/>
    <x v="25"/>
    <x v="6"/>
    <m/>
    <n v="0.82540999999999998"/>
    <n v="0.87751999999999997"/>
    <n v="0.85146500000000003"/>
    <n v="521.1"/>
  </r>
  <r>
    <x v="13"/>
    <x v="25"/>
    <x v="6"/>
    <m/>
    <n v="0.82540999999999998"/>
    <n v="0.87751999999999997"/>
    <n v="0.85146500000000003"/>
    <n v="521.1"/>
  </r>
  <r>
    <x v="13"/>
    <x v="25"/>
    <x v="6"/>
    <m/>
    <n v="0.82540999999999998"/>
    <n v="0.87751999999999997"/>
    <n v="0.85146500000000003"/>
    <n v="521.1"/>
  </r>
  <r>
    <x v="13"/>
    <x v="25"/>
    <x v="6"/>
    <m/>
    <n v="0.82540999999999998"/>
    <n v="0.87751999999999997"/>
    <n v="0.85146500000000003"/>
    <n v="521.1"/>
  </r>
  <r>
    <x v="13"/>
    <x v="25"/>
    <x v="9"/>
    <m/>
    <n v="0.79800000000000004"/>
    <n v="0.84"/>
    <n v="0.81899999999999995"/>
    <n v="420"/>
  </r>
  <r>
    <x v="13"/>
    <x v="25"/>
    <x v="9"/>
    <m/>
    <n v="0.79800000000000004"/>
    <n v="0.84"/>
    <n v="0.81899999999999995"/>
    <n v="420"/>
  </r>
  <r>
    <x v="13"/>
    <x v="25"/>
    <x v="9"/>
    <m/>
    <n v="0.79800000000000004"/>
    <n v="0.84"/>
    <n v="0.81899999999999995"/>
    <n v="420"/>
  </r>
  <r>
    <x v="13"/>
    <x v="25"/>
    <x v="9"/>
    <m/>
    <n v="0.79800000000000004"/>
    <n v="0.84"/>
    <n v="0.81899999999999995"/>
    <n v="420"/>
  </r>
  <r>
    <x v="13"/>
    <x v="25"/>
    <x v="9"/>
    <m/>
    <n v="0.79800000000000004"/>
    <n v="0.84"/>
    <n v="0.81899999999999995"/>
    <n v="420"/>
  </r>
  <r>
    <x v="13"/>
    <x v="25"/>
    <x v="9"/>
    <m/>
    <n v="0.79800000000000004"/>
    <n v="0.84"/>
    <n v="0.81899999999999995"/>
    <n v="420"/>
  </r>
  <r>
    <x v="13"/>
    <x v="25"/>
    <x v="9"/>
    <m/>
    <n v="0.79800000000000004"/>
    <n v="0.84"/>
    <n v="0.81899999999999995"/>
    <n v="420"/>
  </r>
  <r>
    <x v="13"/>
    <x v="25"/>
    <x v="9"/>
    <m/>
    <n v="0.79800000000000004"/>
    <n v="0.84"/>
    <n v="0.81899999999999995"/>
    <n v="420"/>
  </r>
  <r>
    <x v="13"/>
    <x v="25"/>
    <x v="9"/>
    <m/>
    <n v="0.79800000000000004"/>
    <n v="0.84"/>
    <n v="0.81899999999999995"/>
    <n v="420"/>
  </r>
  <r>
    <x v="13"/>
    <x v="25"/>
    <x v="9"/>
    <m/>
    <n v="0.79800000000000004"/>
    <n v="0.84"/>
    <n v="0.81899999999999995"/>
    <n v="420"/>
  </r>
  <r>
    <x v="13"/>
    <x v="25"/>
    <x v="9"/>
    <m/>
    <n v="0.79800000000000004"/>
    <n v="0.84"/>
    <n v="0.81899999999999995"/>
    <n v="420"/>
  </r>
  <r>
    <x v="13"/>
    <x v="25"/>
    <x v="9"/>
    <m/>
    <n v="0.79800000000000004"/>
    <n v="0.84"/>
    <n v="0.81899999999999995"/>
    <n v="420"/>
  </r>
  <r>
    <x v="13"/>
    <x v="25"/>
    <x v="9"/>
    <m/>
    <n v="0.79800000000000004"/>
    <n v="0.84"/>
    <n v="0.81899999999999995"/>
    <n v="420"/>
  </r>
  <r>
    <x v="13"/>
    <x v="25"/>
    <x v="9"/>
    <m/>
    <n v="0.79800000000000004"/>
    <n v="0.84"/>
    <n v="0.81899999999999995"/>
    <n v="420"/>
  </r>
  <r>
    <x v="13"/>
    <x v="25"/>
    <x v="9"/>
    <m/>
    <n v="0.79800000000000004"/>
    <n v="0.84"/>
    <n v="0.81899999999999995"/>
    <n v="420"/>
  </r>
  <r>
    <x v="13"/>
    <x v="25"/>
    <x v="9"/>
    <m/>
    <n v="0.79800000000000004"/>
    <n v="0.84"/>
    <n v="0.81899999999999995"/>
    <n v="420"/>
  </r>
  <r>
    <x v="13"/>
    <x v="60"/>
    <x v="10"/>
    <n v="0.89500999999999997"/>
    <n v="0.87099000000000004"/>
    <n v="0.90300000000000002"/>
    <n v="0.88699499999999998"/>
    <n v="320.10000000000002"/>
  </r>
  <r>
    <x v="13"/>
    <x v="60"/>
    <x v="10"/>
    <n v="0.89500999999999997"/>
    <n v="0.87099000000000004"/>
    <n v="0.90300000000000002"/>
    <n v="0.88699499999999998"/>
    <n v="320.10000000000002"/>
  </r>
  <r>
    <x v="13"/>
    <x v="60"/>
    <x v="10"/>
    <n v="0.89500999999999997"/>
    <n v="0.87099000000000004"/>
    <n v="0.90300000000000002"/>
    <n v="0.88699499999999998"/>
    <n v="320.10000000000002"/>
  </r>
  <r>
    <x v="13"/>
    <x v="60"/>
    <x v="10"/>
    <n v="0.89500999999999997"/>
    <n v="0.87099000000000004"/>
    <n v="0.90300000000000002"/>
    <n v="0.88699499999999998"/>
    <n v="320.10000000000002"/>
  </r>
  <r>
    <x v="13"/>
    <x v="60"/>
    <x v="10"/>
    <n v="0.89500999999999997"/>
    <n v="0.87099000000000004"/>
    <n v="0.90300000000000002"/>
    <n v="0.88699499999999998"/>
    <n v="320.10000000000002"/>
  </r>
  <r>
    <x v="13"/>
    <x v="60"/>
    <x v="10"/>
    <n v="0.89500999999999997"/>
    <n v="0.87099000000000004"/>
    <n v="0.90300000000000002"/>
    <n v="0.88699499999999998"/>
    <n v="320.10000000000002"/>
  </r>
  <r>
    <x v="13"/>
    <x v="60"/>
    <x v="10"/>
    <n v="0.89500999999999997"/>
    <n v="0.87099000000000004"/>
    <n v="0.90300000000000002"/>
    <n v="0.88699499999999998"/>
    <n v="320.10000000000002"/>
  </r>
  <r>
    <x v="13"/>
    <x v="60"/>
    <x v="10"/>
    <n v="0.89500999999999997"/>
    <n v="0.87099000000000004"/>
    <n v="0.90300000000000002"/>
    <n v="0.88699499999999998"/>
    <n v="320.10000000000002"/>
  </r>
  <r>
    <x v="13"/>
    <x v="60"/>
    <x v="10"/>
    <n v="0.89500999999999997"/>
    <n v="0.87099000000000004"/>
    <n v="0.90300000000000002"/>
    <n v="0.88699499999999998"/>
    <n v="320.10000000000002"/>
  </r>
  <r>
    <x v="13"/>
    <x v="60"/>
    <x v="10"/>
    <n v="0.89500999999999997"/>
    <n v="0.87099000000000004"/>
    <n v="0.90300000000000002"/>
    <n v="0.88699499999999998"/>
    <n v="320.10000000000002"/>
  </r>
  <r>
    <x v="13"/>
    <x v="60"/>
    <x v="10"/>
    <n v="0.89500999999999997"/>
    <n v="0.87099000000000004"/>
    <n v="0.90300000000000002"/>
    <n v="0.88699499999999998"/>
    <n v="320.10000000000002"/>
  </r>
  <r>
    <x v="13"/>
    <x v="60"/>
    <x v="10"/>
    <n v="0.89500999999999997"/>
    <n v="0.87099000000000004"/>
    <n v="0.90300000000000002"/>
    <n v="0.88699499999999998"/>
    <n v="320.10000000000002"/>
  </r>
  <r>
    <x v="13"/>
    <x v="60"/>
    <x v="10"/>
    <n v="0.89500999999999997"/>
    <n v="0.87099000000000004"/>
    <n v="0.90300000000000002"/>
    <n v="0.88699499999999998"/>
    <n v="320.10000000000002"/>
  </r>
  <r>
    <x v="13"/>
    <x v="60"/>
    <x v="10"/>
    <n v="0.89500999999999997"/>
    <n v="0.87099000000000004"/>
    <n v="0.90300000000000002"/>
    <n v="0.88699499999999998"/>
    <n v="320.10000000000002"/>
  </r>
  <r>
    <x v="13"/>
    <x v="60"/>
    <x v="10"/>
    <n v="0.89500999999999997"/>
    <n v="0.87099000000000004"/>
    <n v="0.90300000000000002"/>
    <n v="0.88699499999999998"/>
    <n v="320.10000000000002"/>
  </r>
  <r>
    <x v="13"/>
    <x v="60"/>
    <x v="10"/>
    <n v="0.89500999999999997"/>
    <n v="0.87099000000000004"/>
    <n v="0.90300000000000002"/>
    <n v="0.88699499999999998"/>
    <n v="320.10000000000002"/>
  </r>
  <r>
    <x v="13"/>
    <x v="60"/>
    <x v="10"/>
    <n v="0.89500999999999997"/>
    <n v="0.87099000000000004"/>
    <n v="0.90300000000000002"/>
    <n v="0.88699499999999998"/>
    <n v="320.10000000000002"/>
  </r>
  <r>
    <x v="13"/>
    <x v="60"/>
    <x v="10"/>
    <n v="0.89500999999999997"/>
    <n v="0.87099000000000004"/>
    <n v="0.90300000000000002"/>
    <n v="0.88699499999999998"/>
    <n v="320.10000000000002"/>
  </r>
  <r>
    <x v="13"/>
    <x v="60"/>
    <x v="10"/>
    <n v="0.89500999999999997"/>
    <n v="0.87099000000000004"/>
    <n v="0.90300000000000002"/>
    <n v="0.88699499999999998"/>
    <n v="320.10000000000002"/>
  </r>
  <r>
    <x v="13"/>
    <x v="60"/>
    <x v="6"/>
    <n v="0.87002000000000002"/>
    <n v="0.82540999999999998"/>
    <n v="0.87751999999999997"/>
    <n v="0.85146500000000003"/>
    <n v="521.1"/>
  </r>
  <r>
    <x v="13"/>
    <x v="60"/>
    <x v="6"/>
    <n v="0.87002000000000002"/>
    <n v="0.82540999999999998"/>
    <n v="0.87751999999999997"/>
    <n v="0.85146500000000003"/>
    <n v="521.1"/>
  </r>
  <r>
    <x v="13"/>
    <x v="60"/>
    <x v="6"/>
    <n v="0.87002000000000002"/>
    <n v="0.82540999999999998"/>
    <n v="0.87751999999999997"/>
    <n v="0.85146500000000003"/>
    <n v="521.1"/>
  </r>
  <r>
    <x v="13"/>
    <x v="60"/>
    <x v="6"/>
    <n v="0.87002000000000002"/>
    <n v="0.82540999999999998"/>
    <n v="0.87751999999999997"/>
    <n v="0.85146500000000003"/>
    <n v="521.1"/>
  </r>
  <r>
    <x v="13"/>
    <x v="60"/>
    <x v="6"/>
    <n v="0.87002000000000002"/>
    <n v="0.82540999999999998"/>
    <n v="0.87751999999999997"/>
    <n v="0.85146500000000003"/>
    <n v="521.1"/>
  </r>
  <r>
    <x v="13"/>
    <x v="60"/>
    <x v="6"/>
    <n v="0.87002000000000002"/>
    <n v="0.82540999999999998"/>
    <n v="0.87751999999999997"/>
    <n v="0.85146500000000003"/>
    <n v="521.1"/>
  </r>
  <r>
    <x v="13"/>
    <x v="60"/>
    <x v="6"/>
    <n v="0.87002000000000002"/>
    <n v="0.82540999999999998"/>
    <n v="0.87751999999999997"/>
    <n v="0.85146500000000003"/>
    <n v="521.1"/>
  </r>
  <r>
    <x v="13"/>
    <x v="60"/>
    <x v="6"/>
    <n v="0.87002000000000002"/>
    <n v="0.82540999999999998"/>
    <n v="0.87751999999999997"/>
    <n v="0.85146500000000003"/>
    <n v="521.1"/>
  </r>
  <r>
    <x v="13"/>
    <x v="60"/>
    <x v="6"/>
    <n v="0.87002000000000002"/>
    <n v="0.82540999999999998"/>
    <n v="0.87751999999999997"/>
    <n v="0.85146500000000003"/>
    <n v="521.1"/>
  </r>
  <r>
    <x v="13"/>
    <x v="60"/>
    <x v="6"/>
    <n v="0.87002000000000002"/>
    <n v="0.82540999999999998"/>
    <n v="0.87751999999999997"/>
    <n v="0.85146500000000003"/>
    <n v="521.1"/>
  </r>
  <r>
    <x v="13"/>
    <x v="60"/>
    <x v="6"/>
    <n v="0.87002000000000002"/>
    <n v="0.82540999999999998"/>
    <n v="0.87751999999999997"/>
    <n v="0.85146500000000003"/>
    <n v="521.1"/>
  </r>
  <r>
    <x v="13"/>
    <x v="60"/>
    <x v="6"/>
    <n v="0.87002000000000002"/>
    <n v="0.82540999999999998"/>
    <n v="0.87751999999999997"/>
    <n v="0.85146500000000003"/>
    <n v="521.1"/>
  </r>
  <r>
    <x v="13"/>
    <x v="60"/>
    <x v="6"/>
    <n v="0.87002000000000002"/>
    <n v="0.82540999999999998"/>
    <n v="0.87751999999999997"/>
    <n v="0.85146500000000003"/>
    <n v="521.1"/>
  </r>
  <r>
    <x v="13"/>
    <x v="60"/>
    <x v="6"/>
    <n v="0.87002000000000002"/>
    <n v="0.82540999999999998"/>
    <n v="0.87751999999999997"/>
    <n v="0.85146500000000003"/>
    <n v="521.1"/>
  </r>
  <r>
    <x v="13"/>
    <x v="60"/>
    <x v="6"/>
    <n v="0.87002000000000002"/>
    <n v="0.82540999999999998"/>
    <n v="0.87751999999999997"/>
    <n v="0.85146500000000003"/>
    <n v="521.1"/>
  </r>
  <r>
    <x v="13"/>
    <x v="60"/>
    <x v="6"/>
    <n v="0.87002000000000002"/>
    <n v="0.82540999999999998"/>
    <n v="0.87751999999999997"/>
    <n v="0.85146500000000003"/>
    <n v="521.1"/>
  </r>
  <r>
    <x v="13"/>
    <x v="60"/>
    <x v="6"/>
    <n v="0.87002000000000002"/>
    <n v="0.82540999999999998"/>
    <n v="0.87751999999999997"/>
    <n v="0.85146500000000003"/>
    <n v="521.1"/>
  </r>
  <r>
    <x v="13"/>
    <x v="60"/>
    <x v="6"/>
    <n v="0.87002000000000002"/>
    <n v="0.82540999999999998"/>
    <n v="0.87751999999999997"/>
    <n v="0.85146500000000003"/>
    <n v="521.1"/>
  </r>
  <r>
    <x v="13"/>
    <x v="60"/>
    <x v="6"/>
    <n v="0.87002000000000002"/>
    <n v="0.82540999999999998"/>
    <n v="0.87751999999999997"/>
    <n v="0.85146500000000003"/>
    <n v="521.1"/>
  </r>
  <r>
    <x v="13"/>
    <x v="60"/>
    <x v="6"/>
    <n v="0.87002000000000002"/>
    <n v="0.82540999999999998"/>
    <n v="0.87751999999999997"/>
    <n v="0.85146500000000003"/>
    <n v="521.1"/>
  </r>
  <r>
    <x v="13"/>
    <x v="60"/>
    <x v="6"/>
    <n v="0.87002000000000002"/>
    <n v="0.82540999999999998"/>
    <n v="0.87751999999999997"/>
    <n v="0.85146500000000003"/>
    <n v="521.1"/>
  </r>
  <r>
    <x v="13"/>
    <x v="60"/>
    <x v="6"/>
    <n v="0.87002000000000002"/>
    <n v="0.82540999999999998"/>
    <n v="0.87751999999999997"/>
    <n v="0.85146500000000003"/>
    <n v="521.1"/>
  </r>
  <r>
    <x v="13"/>
    <x v="60"/>
    <x v="6"/>
    <n v="0.87002000000000002"/>
    <n v="0.82540999999999998"/>
    <n v="0.87751999999999997"/>
    <n v="0.85146500000000003"/>
    <n v="521.1"/>
  </r>
  <r>
    <x v="13"/>
    <x v="60"/>
    <x v="6"/>
    <n v="0.87002000000000002"/>
    <n v="0.82540999999999998"/>
    <n v="0.87751999999999997"/>
    <n v="0.85146500000000003"/>
    <n v="521.1"/>
  </r>
  <r>
    <x v="13"/>
    <x v="60"/>
    <x v="6"/>
    <n v="0.87002000000000002"/>
    <n v="0.82540999999999998"/>
    <n v="0.87751999999999997"/>
    <n v="0.85146500000000003"/>
    <n v="521.1"/>
  </r>
  <r>
    <x v="13"/>
    <x v="60"/>
    <x v="6"/>
    <n v="0.87002000000000002"/>
    <n v="0.82540999999999998"/>
    <n v="0.87751999999999997"/>
    <n v="0.85146500000000003"/>
    <n v="521.1"/>
  </r>
  <r>
    <x v="13"/>
    <x v="60"/>
    <x v="6"/>
    <n v="0.87002000000000002"/>
    <n v="0.82540999999999998"/>
    <n v="0.87751999999999997"/>
    <n v="0.85146500000000003"/>
    <n v="521.1"/>
  </r>
  <r>
    <x v="13"/>
    <x v="60"/>
    <x v="6"/>
    <n v="0.87002000000000002"/>
    <n v="0.82540999999999998"/>
    <n v="0.87751999999999997"/>
    <n v="0.85146500000000003"/>
    <n v="521.1"/>
  </r>
  <r>
    <x v="13"/>
    <x v="60"/>
    <x v="6"/>
    <n v="0.87002000000000002"/>
    <n v="0.82540999999999998"/>
    <n v="0.87751999999999997"/>
    <n v="0.85146500000000003"/>
    <n v="521.1"/>
  </r>
  <r>
    <x v="13"/>
    <x v="60"/>
    <x v="9"/>
    <n v="0.79910999999999999"/>
    <n v="0.79600000000000004"/>
    <n v="0.84"/>
    <n v="0.81799999999999995"/>
    <n v="440"/>
  </r>
  <r>
    <x v="13"/>
    <x v="60"/>
    <x v="9"/>
    <n v="0.79910999999999999"/>
    <n v="0.79600000000000004"/>
    <n v="0.84"/>
    <n v="0.81799999999999995"/>
    <n v="440"/>
  </r>
  <r>
    <x v="13"/>
    <x v="60"/>
    <x v="9"/>
    <n v="0.79910999999999999"/>
    <n v="0.79600000000000004"/>
    <n v="0.84"/>
    <n v="0.81799999999999995"/>
    <n v="440"/>
  </r>
  <r>
    <x v="13"/>
    <x v="60"/>
    <x v="9"/>
    <n v="0.79910999999999999"/>
    <n v="0.79600000000000004"/>
    <n v="0.84"/>
    <n v="0.81799999999999995"/>
    <n v="440"/>
  </r>
  <r>
    <x v="13"/>
    <x v="60"/>
    <x v="9"/>
    <n v="0.79910999999999999"/>
    <n v="0.79600000000000004"/>
    <n v="0.84"/>
    <n v="0.81799999999999995"/>
    <n v="440"/>
  </r>
  <r>
    <x v="13"/>
    <x v="60"/>
    <x v="9"/>
    <n v="0.79910999999999999"/>
    <n v="0.79600000000000004"/>
    <n v="0.84"/>
    <n v="0.81799999999999995"/>
    <n v="440"/>
  </r>
  <r>
    <x v="13"/>
    <x v="60"/>
    <x v="9"/>
    <n v="0.79910999999999999"/>
    <n v="0.79600000000000004"/>
    <n v="0.84"/>
    <n v="0.81799999999999995"/>
    <n v="440"/>
  </r>
  <r>
    <x v="13"/>
    <x v="60"/>
    <x v="9"/>
    <n v="0.79910999999999999"/>
    <n v="0.79600000000000004"/>
    <n v="0.84"/>
    <n v="0.81799999999999995"/>
    <n v="440"/>
  </r>
  <r>
    <x v="13"/>
    <x v="60"/>
    <x v="9"/>
    <n v="0.79910999999999999"/>
    <n v="0.79600000000000004"/>
    <n v="0.84"/>
    <n v="0.81799999999999995"/>
    <n v="440"/>
  </r>
  <r>
    <x v="13"/>
    <x v="60"/>
    <x v="9"/>
    <n v="0.79910999999999999"/>
    <n v="0.79600000000000004"/>
    <n v="0.84"/>
    <n v="0.81799999999999995"/>
    <n v="440"/>
  </r>
  <r>
    <x v="13"/>
    <x v="60"/>
    <x v="9"/>
    <n v="0.79910999999999999"/>
    <n v="0.79600000000000004"/>
    <n v="0.84"/>
    <n v="0.81799999999999995"/>
    <n v="440"/>
  </r>
  <r>
    <x v="13"/>
    <x v="60"/>
    <x v="9"/>
    <n v="0.79910999999999999"/>
    <n v="0.79600000000000004"/>
    <n v="0.84"/>
    <n v="0.81799999999999995"/>
    <n v="440"/>
  </r>
  <r>
    <x v="13"/>
    <x v="60"/>
    <x v="9"/>
    <n v="0.79910999999999999"/>
    <n v="0.79600000000000004"/>
    <n v="0.84"/>
    <n v="0.81799999999999995"/>
    <n v="440"/>
  </r>
  <r>
    <x v="13"/>
    <x v="60"/>
    <x v="9"/>
    <n v="0.79910999999999999"/>
    <n v="0.79600000000000004"/>
    <n v="0.84"/>
    <n v="0.81799999999999995"/>
    <n v="440"/>
  </r>
  <r>
    <x v="13"/>
    <x v="60"/>
    <x v="9"/>
    <n v="0.79910999999999999"/>
    <n v="0.79600000000000004"/>
    <n v="0.84"/>
    <n v="0.81799999999999995"/>
    <n v="440"/>
  </r>
  <r>
    <x v="13"/>
    <x v="60"/>
    <x v="9"/>
    <n v="0.79910999999999999"/>
    <n v="0.79600000000000004"/>
    <n v="0.84"/>
    <n v="0.81799999999999995"/>
    <n v="440"/>
  </r>
  <r>
    <x v="13"/>
    <x v="60"/>
    <x v="9"/>
    <n v="0.79910999999999999"/>
    <n v="0.79600000000000004"/>
    <n v="0.84"/>
    <n v="0.81799999999999995"/>
    <n v="440"/>
  </r>
  <r>
    <x v="13"/>
    <x v="60"/>
    <x v="9"/>
    <n v="0.79910999999999999"/>
    <n v="0.79600000000000004"/>
    <n v="0.84"/>
    <n v="0.81799999999999995"/>
    <n v="440"/>
  </r>
  <r>
    <x v="13"/>
    <x v="60"/>
    <x v="9"/>
    <n v="0.79910999999999999"/>
    <n v="0.79600000000000004"/>
    <n v="0.84"/>
    <n v="0.81799999999999995"/>
    <n v="440"/>
  </r>
  <r>
    <x v="13"/>
    <x v="60"/>
    <x v="9"/>
    <n v="0.79910999999999999"/>
    <n v="0.79600000000000004"/>
    <n v="0.84"/>
    <n v="0.81799999999999995"/>
    <n v="440"/>
  </r>
  <r>
    <x v="13"/>
    <x v="60"/>
    <x v="9"/>
    <n v="0.79910999999999999"/>
    <n v="0.79600000000000004"/>
    <n v="0.84"/>
    <n v="0.81799999999999995"/>
    <n v="440"/>
  </r>
  <r>
    <x v="13"/>
    <x v="60"/>
    <x v="9"/>
    <n v="0.79910999999999999"/>
    <n v="0.79600000000000004"/>
    <n v="0.84"/>
    <n v="0.81799999999999995"/>
    <n v="440"/>
  </r>
  <r>
    <x v="13"/>
    <x v="60"/>
    <x v="9"/>
    <n v="0.79910999999999999"/>
    <n v="0.79600000000000004"/>
    <n v="0.84"/>
    <n v="0.81799999999999995"/>
    <n v="440"/>
  </r>
  <r>
    <x v="13"/>
    <x v="60"/>
    <x v="9"/>
    <n v="0.79910999999999999"/>
    <n v="0.79600000000000004"/>
    <n v="0.84"/>
    <n v="0.81799999999999995"/>
    <n v="440"/>
  </r>
  <r>
    <x v="13"/>
    <x v="60"/>
    <x v="9"/>
    <n v="0.79910999999999999"/>
    <n v="0.79600000000000004"/>
    <n v="0.84"/>
    <n v="0.81799999999999995"/>
    <n v="440"/>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60"/>
    <x v="4"/>
    <n v="95.796000000000006"/>
    <n v="90.2"/>
    <n v="96.406000000000006"/>
    <n v="93.302999999999997"/>
    <n v="620.6"/>
  </r>
  <r>
    <x v="13"/>
    <x v="26"/>
    <x v="9"/>
    <n v="0.80093000000000003"/>
    <n v="0.79600000000000004"/>
    <n v="0.84"/>
    <n v="0.81799999999999995"/>
    <n v="440"/>
  </r>
  <r>
    <x v="13"/>
    <x v="26"/>
    <x v="9"/>
    <n v="0.80093000000000003"/>
    <n v="0.79600000000000004"/>
    <n v="0.84"/>
    <n v="0.81799999999999995"/>
    <n v="440"/>
  </r>
  <r>
    <x v="13"/>
    <x v="26"/>
    <x v="9"/>
    <n v="0.80093000000000003"/>
    <n v="0.79600000000000004"/>
    <n v="0.84"/>
    <n v="0.81799999999999995"/>
    <n v="440"/>
  </r>
  <r>
    <x v="13"/>
    <x v="26"/>
    <x v="9"/>
    <n v="0.80093000000000003"/>
    <n v="0.79600000000000004"/>
    <n v="0.84"/>
    <n v="0.81799999999999995"/>
    <n v="440"/>
  </r>
  <r>
    <x v="13"/>
    <x v="26"/>
    <x v="9"/>
    <n v="0.80093000000000003"/>
    <n v="0.79600000000000004"/>
    <n v="0.84"/>
    <n v="0.81799999999999995"/>
    <n v="440"/>
  </r>
  <r>
    <x v="13"/>
    <x v="26"/>
    <x v="9"/>
    <n v="0.80093000000000003"/>
    <n v="0.79600000000000004"/>
    <n v="0.84"/>
    <n v="0.81799999999999995"/>
    <n v="440"/>
  </r>
  <r>
    <x v="13"/>
    <x v="26"/>
    <x v="9"/>
    <n v="0.80093000000000003"/>
    <n v="0.79600000000000004"/>
    <n v="0.84"/>
    <n v="0.81799999999999995"/>
    <n v="440"/>
  </r>
  <r>
    <x v="13"/>
    <x v="26"/>
    <x v="9"/>
    <n v="0.80093000000000003"/>
    <n v="0.79600000000000004"/>
    <n v="0.84"/>
    <n v="0.81799999999999995"/>
    <n v="440"/>
  </r>
  <r>
    <x v="13"/>
    <x v="26"/>
    <x v="9"/>
    <n v="0.80093000000000003"/>
    <n v="0.79600000000000004"/>
    <n v="0.84"/>
    <n v="0.81799999999999995"/>
    <n v="440"/>
  </r>
  <r>
    <x v="13"/>
    <x v="26"/>
    <x v="9"/>
    <n v="0.80093000000000003"/>
    <n v="0.79600000000000004"/>
    <n v="0.84"/>
    <n v="0.81799999999999995"/>
    <n v="440"/>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4"/>
    <n v="95.596000000000004"/>
    <n v="90.2"/>
    <n v="96.406000000000006"/>
    <n v="93.302999999999997"/>
    <n v="620.6"/>
  </r>
  <r>
    <x v="13"/>
    <x v="26"/>
    <x v="10"/>
    <n v="0.89085000000000003"/>
    <n v="0.87099000000000004"/>
    <n v="0.90300000000000002"/>
    <n v="0.88699499999999998"/>
    <n v="320.10000000000002"/>
  </r>
  <r>
    <x v="13"/>
    <x v="26"/>
    <x v="10"/>
    <n v="0.89085000000000003"/>
    <n v="0.87099000000000004"/>
    <n v="0.90300000000000002"/>
    <n v="0.88699499999999998"/>
    <n v="320.10000000000002"/>
  </r>
  <r>
    <x v="13"/>
    <x v="26"/>
    <x v="10"/>
    <n v="0.89085000000000003"/>
    <n v="0.87099000000000004"/>
    <n v="0.90300000000000002"/>
    <n v="0.88699499999999998"/>
    <n v="320.10000000000002"/>
  </r>
  <r>
    <x v="13"/>
    <x v="26"/>
    <x v="10"/>
    <n v="0.89085000000000003"/>
    <n v="0.87099000000000004"/>
    <n v="0.90300000000000002"/>
    <n v="0.88699499999999998"/>
    <n v="320.10000000000002"/>
  </r>
  <r>
    <x v="13"/>
    <x v="26"/>
    <x v="10"/>
    <n v="0.89085000000000003"/>
    <n v="0.87099000000000004"/>
    <n v="0.90300000000000002"/>
    <n v="0.88699499999999998"/>
    <n v="320.10000000000002"/>
  </r>
  <r>
    <x v="13"/>
    <x v="26"/>
    <x v="10"/>
    <n v="0.89085000000000003"/>
    <n v="0.87099000000000004"/>
    <n v="0.90300000000000002"/>
    <n v="0.88699499999999998"/>
    <n v="320.10000000000002"/>
  </r>
  <r>
    <x v="13"/>
    <x v="26"/>
    <x v="10"/>
    <n v="0.89085000000000003"/>
    <n v="0.87099000000000004"/>
    <n v="0.90300000000000002"/>
    <n v="0.88699499999999998"/>
    <n v="320.10000000000002"/>
  </r>
  <r>
    <x v="13"/>
    <x v="26"/>
    <x v="10"/>
    <n v="0.89085000000000003"/>
    <n v="0.87099000000000004"/>
    <n v="0.90300000000000002"/>
    <n v="0.88699499999999998"/>
    <n v="320.10000000000002"/>
  </r>
  <r>
    <x v="13"/>
    <x v="26"/>
    <x v="10"/>
    <n v="0.89085000000000003"/>
    <n v="0.87099000000000004"/>
    <n v="0.90300000000000002"/>
    <n v="0.88699499999999998"/>
    <n v="320.10000000000002"/>
  </r>
  <r>
    <x v="13"/>
    <x v="26"/>
    <x v="10"/>
    <n v="0.89085000000000003"/>
    <n v="0.87099000000000004"/>
    <n v="0.90300000000000002"/>
    <n v="0.88699499999999998"/>
    <n v="320.10000000000002"/>
  </r>
  <r>
    <x v="13"/>
    <x v="26"/>
    <x v="10"/>
    <n v="0.89085000000000003"/>
    <n v="0.87099000000000004"/>
    <n v="0.90300000000000002"/>
    <n v="0.88699499999999998"/>
    <n v="320.10000000000002"/>
  </r>
  <r>
    <x v="13"/>
    <x v="26"/>
    <x v="10"/>
    <n v="0.89085000000000003"/>
    <n v="0.87099000000000004"/>
    <n v="0.90300000000000002"/>
    <n v="0.88699499999999998"/>
    <n v="320.10000000000002"/>
  </r>
  <r>
    <x v="13"/>
    <x v="26"/>
    <x v="10"/>
    <n v="0.89085000000000003"/>
    <n v="0.87099000000000004"/>
    <n v="0.90300000000000002"/>
    <n v="0.88699499999999998"/>
    <n v="320.10000000000002"/>
  </r>
  <r>
    <x v="13"/>
    <x v="26"/>
    <x v="10"/>
    <n v="0.89085000000000003"/>
    <n v="0.87099000000000004"/>
    <n v="0.90300000000000002"/>
    <n v="0.88699499999999998"/>
    <n v="320.10000000000002"/>
  </r>
  <r>
    <x v="13"/>
    <x v="26"/>
    <x v="10"/>
    <n v="0.89085000000000003"/>
    <n v="0.87099000000000004"/>
    <n v="0.90300000000000002"/>
    <n v="0.88699499999999998"/>
    <n v="320.10000000000002"/>
  </r>
  <r>
    <x v="13"/>
    <x v="26"/>
    <x v="10"/>
    <n v="0.89085000000000003"/>
    <n v="0.87099000000000004"/>
    <n v="0.90300000000000002"/>
    <n v="0.88699499999999998"/>
    <n v="320.10000000000002"/>
  </r>
  <r>
    <x v="13"/>
    <x v="26"/>
    <x v="10"/>
    <n v="0.89085000000000003"/>
    <n v="0.87099000000000004"/>
    <n v="0.90300000000000002"/>
    <n v="0.88699499999999998"/>
    <n v="320.10000000000002"/>
  </r>
  <r>
    <x v="13"/>
    <x v="26"/>
    <x v="10"/>
    <n v="0.89085000000000003"/>
    <n v="0.87099000000000004"/>
    <n v="0.90300000000000002"/>
    <n v="0.88699499999999998"/>
    <n v="320.10000000000002"/>
  </r>
  <r>
    <x v="13"/>
    <x v="26"/>
    <x v="10"/>
    <n v="0.89085000000000003"/>
    <n v="0.87099000000000004"/>
    <n v="0.90300000000000002"/>
    <n v="0.88699499999999998"/>
    <n v="320.10000000000002"/>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6"/>
    <n v="0.87753999999999999"/>
    <n v="0.82540999999999998"/>
    <n v="0.87951999999999997"/>
    <n v="0.85246500000000003"/>
    <n v="541.1"/>
  </r>
  <r>
    <x v="13"/>
    <x v="26"/>
    <x v="9"/>
    <n v="0.80093000000000003"/>
    <n v="0.79600000000000004"/>
    <n v="0.84"/>
    <n v="0.81799999999999995"/>
    <n v="440"/>
  </r>
  <r>
    <x v="13"/>
    <x v="26"/>
    <x v="9"/>
    <n v="0.80093000000000003"/>
    <n v="0.79600000000000004"/>
    <n v="0.84"/>
    <n v="0.81799999999999995"/>
    <n v="440"/>
  </r>
  <r>
    <x v="13"/>
    <x v="26"/>
    <x v="9"/>
    <n v="0.80093000000000003"/>
    <n v="0.79600000000000004"/>
    <n v="0.84"/>
    <n v="0.81799999999999995"/>
    <n v="440"/>
  </r>
  <r>
    <x v="13"/>
    <x v="26"/>
    <x v="9"/>
    <n v="0.80093000000000003"/>
    <n v="0.79600000000000004"/>
    <n v="0.84"/>
    <n v="0.81799999999999995"/>
    <n v="440"/>
  </r>
  <r>
    <x v="13"/>
    <x v="26"/>
    <x v="9"/>
    <n v="0.80093000000000003"/>
    <n v="0.79600000000000004"/>
    <n v="0.84"/>
    <n v="0.81799999999999995"/>
    <n v="440"/>
  </r>
  <r>
    <x v="13"/>
    <x v="26"/>
    <x v="9"/>
    <n v="0.80093000000000003"/>
    <n v="0.79600000000000004"/>
    <n v="0.84"/>
    <n v="0.81799999999999995"/>
    <n v="440"/>
  </r>
  <r>
    <x v="13"/>
    <x v="26"/>
    <x v="9"/>
    <n v="0.80093000000000003"/>
    <n v="0.79600000000000004"/>
    <n v="0.84"/>
    <n v="0.81799999999999995"/>
    <n v="440"/>
  </r>
  <r>
    <x v="13"/>
    <x v="26"/>
    <x v="9"/>
    <n v="0.80093000000000003"/>
    <n v="0.79600000000000004"/>
    <n v="0.84"/>
    <n v="0.81799999999999995"/>
    <n v="440"/>
  </r>
  <r>
    <x v="13"/>
    <x v="26"/>
    <x v="9"/>
    <n v="0.80093000000000003"/>
    <n v="0.79600000000000004"/>
    <n v="0.84"/>
    <n v="0.81799999999999995"/>
    <n v="440"/>
  </r>
  <r>
    <x v="13"/>
    <x v="26"/>
    <x v="9"/>
    <n v="0.80093000000000003"/>
    <n v="0.79600000000000004"/>
    <n v="0.84"/>
    <n v="0.81799999999999995"/>
    <n v="440"/>
  </r>
  <r>
    <x v="13"/>
    <x v="26"/>
    <x v="9"/>
    <n v="0.80093000000000003"/>
    <n v="0.79600000000000004"/>
    <n v="0.84"/>
    <n v="0.81799999999999995"/>
    <n v="440"/>
  </r>
  <r>
    <x v="13"/>
    <x v="26"/>
    <x v="9"/>
    <n v="0.80093000000000003"/>
    <n v="0.79600000000000004"/>
    <n v="0.84"/>
    <n v="0.81799999999999995"/>
    <n v="440"/>
  </r>
  <r>
    <x v="13"/>
    <x v="26"/>
    <x v="9"/>
    <n v="0.80093000000000003"/>
    <n v="0.79600000000000004"/>
    <n v="0.84"/>
    <n v="0.81799999999999995"/>
    <n v="440"/>
  </r>
  <r>
    <x v="13"/>
    <x v="26"/>
    <x v="9"/>
    <n v="0.80093000000000003"/>
    <n v="0.79600000000000004"/>
    <n v="0.84"/>
    <n v="0.81799999999999995"/>
    <n v="440"/>
  </r>
  <r>
    <x v="13"/>
    <x v="26"/>
    <x v="9"/>
    <n v="0.80093000000000003"/>
    <n v="0.79600000000000004"/>
    <n v="0.84"/>
    <n v="0.81799999999999995"/>
    <n v="440"/>
  </r>
  <r>
    <x v="13"/>
    <x v="0"/>
    <x v="9"/>
    <n v="0.79215000000000002"/>
    <n v="0.79198999999999997"/>
    <n v="0.84"/>
    <n v="0.81599500000000003"/>
    <n v="480.1"/>
  </r>
  <r>
    <x v="13"/>
    <x v="0"/>
    <x v="9"/>
    <n v="0.79215000000000002"/>
    <n v="0.79198999999999997"/>
    <n v="0.84"/>
    <n v="0.81599500000000003"/>
    <n v="480.1"/>
  </r>
  <r>
    <x v="13"/>
    <x v="0"/>
    <x v="9"/>
    <n v="0.79215000000000002"/>
    <n v="0.79198999999999997"/>
    <n v="0.84"/>
    <n v="0.81599500000000003"/>
    <n v="480.1"/>
  </r>
  <r>
    <x v="13"/>
    <x v="0"/>
    <x v="9"/>
    <n v="0.79215000000000002"/>
    <n v="0.79198999999999997"/>
    <n v="0.84"/>
    <n v="0.81599500000000003"/>
    <n v="480.1"/>
  </r>
  <r>
    <x v="13"/>
    <x v="0"/>
    <x v="9"/>
    <n v="0.79215000000000002"/>
    <n v="0.79198999999999997"/>
    <n v="0.84"/>
    <n v="0.81599500000000003"/>
    <n v="480.1"/>
  </r>
  <r>
    <x v="13"/>
    <x v="0"/>
    <x v="9"/>
    <n v="0.79215000000000002"/>
    <n v="0.79198999999999997"/>
    <n v="0.84"/>
    <n v="0.81599500000000003"/>
    <n v="480.1"/>
  </r>
  <r>
    <x v="13"/>
    <x v="0"/>
    <x v="9"/>
    <n v="0.79215000000000002"/>
    <n v="0.79198999999999997"/>
    <n v="0.84"/>
    <n v="0.81599500000000003"/>
    <n v="480.1"/>
  </r>
  <r>
    <x v="13"/>
    <x v="0"/>
    <x v="9"/>
    <n v="0.79215000000000002"/>
    <n v="0.79198999999999997"/>
    <n v="0.84"/>
    <n v="0.81599500000000003"/>
    <n v="480.1"/>
  </r>
  <r>
    <x v="13"/>
    <x v="0"/>
    <x v="9"/>
    <n v="0.79215000000000002"/>
    <n v="0.79198999999999997"/>
    <n v="0.84"/>
    <n v="0.81599500000000003"/>
    <n v="480.1"/>
  </r>
  <r>
    <x v="13"/>
    <x v="0"/>
    <x v="9"/>
    <n v="0.79215000000000002"/>
    <n v="0.79198999999999997"/>
    <n v="0.84"/>
    <n v="0.81599500000000003"/>
    <n v="480.1"/>
  </r>
  <r>
    <x v="13"/>
    <x v="0"/>
    <x v="9"/>
    <n v="0.79215000000000002"/>
    <n v="0.79198999999999997"/>
    <n v="0.84"/>
    <n v="0.81599500000000003"/>
    <n v="480.1"/>
  </r>
  <r>
    <x v="13"/>
    <x v="0"/>
    <x v="9"/>
    <n v="0.79215000000000002"/>
    <n v="0.79198999999999997"/>
    <n v="0.84"/>
    <n v="0.81599500000000003"/>
    <n v="480.1"/>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4"/>
    <n v="95.582999999999998"/>
    <n v="90.2"/>
    <n v="96.406000000000006"/>
    <n v="93.302999999999997"/>
    <n v="620.6"/>
  </r>
  <r>
    <x v="13"/>
    <x v="0"/>
    <x v="10"/>
    <n v="0.89429000000000003"/>
    <n v="0.87099000000000004"/>
    <n v="0.90300000000000002"/>
    <n v="0.88699499999999998"/>
    <n v="320.10000000000002"/>
  </r>
  <r>
    <x v="13"/>
    <x v="0"/>
    <x v="10"/>
    <n v="0.89429000000000003"/>
    <n v="0.87099000000000004"/>
    <n v="0.90300000000000002"/>
    <n v="0.88699499999999998"/>
    <n v="320.10000000000002"/>
  </r>
  <r>
    <x v="13"/>
    <x v="0"/>
    <x v="10"/>
    <n v="0.89429000000000003"/>
    <n v="0.87099000000000004"/>
    <n v="0.90300000000000002"/>
    <n v="0.88699499999999998"/>
    <n v="320.10000000000002"/>
  </r>
  <r>
    <x v="13"/>
    <x v="0"/>
    <x v="10"/>
    <n v="0.89429000000000003"/>
    <n v="0.87099000000000004"/>
    <n v="0.90300000000000002"/>
    <n v="0.88699499999999998"/>
    <n v="320.10000000000002"/>
  </r>
  <r>
    <x v="13"/>
    <x v="0"/>
    <x v="10"/>
    <n v="0.89429000000000003"/>
    <n v="0.87099000000000004"/>
    <n v="0.90300000000000002"/>
    <n v="0.88699499999999998"/>
    <n v="320.10000000000002"/>
  </r>
  <r>
    <x v="13"/>
    <x v="0"/>
    <x v="10"/>
    <n v="0.89429000000000003"/>
    <n v="0.87099000000000004"/>
    <n v="0.90300000000000002"/>
    <n v="0.88699499999999998"/>
    <n v="320.10000000000002"/>
  </r>
  <r>
    <x v="13"/>
    <x v="0"/>
    <x v="10"/>
    <n v="0.89429000000000003"/>
    <n v="0.87099000000000004"/>
    <n v="0.90300000000000002"/>
    <n v="0.88699499999999998"/>
    <n v="320.10000000000002"/>
  </r>
  <r>
    <x v="13"/>
    <x v="0"/>
    <x v="10"/>
    <n v="0.89429000000000003"/>
    <n v="0.87099000000000004"/>
    <n v="0.90300000000000002"/>
    <n v="0.88699499999999998"/>
    <n v="320.10000000000002"/>
  </r>
  <r>
    <x v="13"/>
    <x v="0"/>
    <x v="10"/>
    <n v="0.89429000000000003"/>
    <n v="0.87099000000000004"/>
    <n v="0.90300000000000002"/>
    <n v="0.88699499999999998"/>
    <n v="320.10000000000002"/>
  </r>
  <r>
    <x v="13"/>
    <x v="0"/>
    <x v="10"/>
    <n v="0.89429000000000003"/>
    <n v="0.87099000000000004"/>
    <n v="0.90300000000000002"/>
    <n v="0.88699499999999998"/>
    <n v="320.10000000000002"/>
  </r>
  <r>
    <x v="13"/>
    <x v="0"/>
    <x v="10"/>
    <n v="0.89429000000000003"/>
    <n v="0.87099000000000004"/>
    <n v="0.90300000000000002"/>
    <n v="0.88699499999999998"/>
    <n v="320.10000000000002"/>
  </r>
  <r>
    <x v="13"/>
    <x v="0"/>
    <x v="10"/>
    <n v="0.89429000000000003"/>
    <n v="0.87099000000000004"/>
    <n v="0.90300000000000002"/>
    <n v="0.88699499999999998"/>
    <n v="320.10000000000002"/>
  </r>
  <r>
    <x v="13"/>
    <x v="0"/>
    <x v="10"/>
    <n v="0.89429000000000003"/>
    <n v="0.87099000000000004"/>
    <n v="0.90300000000000002"/>
    <n v="0.88699499999999998"/>
    <n v="320.10000000000002"/>
  </r>
  <r>
    <x v="13"/>
    <x v="0"/>
    <x v="10"/>
    <n v="0.89429000000000003"/>
    <n v="0.87099000000000004"/>
    <n v="0.90300000000000002"/>
    <n v="0.88699499999999998"/>
    <n v="320.10000000000002"/>
  </r>
  <r>
    <x v="13"/>
    <x v="0"/>
    <x v="10"/>
    <n v="0.89429000000000003"/>
    <n v="0.87099000000000004"/>
    <n v="0.90300000000000002"/>
    <n v="0.88699499999999998"/>
    <n v="320.10000000000002"/>
  </r>
  <r>
    <x v="13"/>
    <x v="0"/>
    <x v="10"/>
    <n v="0.89429000000000003"/>
    <n v="0.87099000000000004"/>
    <n v="0.90300000000000002"/>
    <n v="0.88699499999999998"/>
    <n v="320.10000000000002"/>
  </r>
  <r>
    <x v="13"/>
    <x v="0"/>
    <x v="10"/>
    <n v="0.89429000000000003"/>
    <n v="0.87099000000000004"/>
    <n v="0.90300000000000002"/>
    <n v="0.88699499999999998"/>
    <n v="320.10000000000002"/>
  </r>
  <r>
    <x v="13"/>
    <x v="0"/>
    <x v="10"/>
    <n v="0.89429000000000003"/>
    <n v="0.87099000000000004"/>
    <n v="0.90300000000000002"/>
    <n v="0.88699499999999998"/>
    <n v="320.10000000000002"/>
  </r>
  <r>
    <x v="13"/>
    <x v="0"/>
    <x v="10"/>
    <n v="0.89429000000000003"/>
    <n v="0.87099000000000004"/>
    <n v="0.90300000000000002"/>
    <n v="0.88699499999999998"/>
    <n v="320.10000000000002"/>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6"/>
    <n v="0.87397000000000002"/>
    <n v="0.82540999999999998"/>
    <n v="0.87951999999999997"/>
    <n v="0.85246500000000003"/>
    <n v="541.1"/>
  </r>
  <r>
    <x v="13"/>
    <x v="0"/>
    <x v="9"/>
    <n v="0.79215000000000002"/>
    <n v="0.79198999999999997"/>
    <n v="0.84"/>
    <n v="0.81599500000000003"/>
    <n v="480.1"/>
  </r>
  <r>
    <x v="13"/>
    <x v="0"/>
    <x v="9"/>
    <n v="0.79215000000000002"/>
    <n v="0.79198999999999997"/>
    <n v="0.84"/>
    <n v="0.81599500000000003"/>
    <n v="480.1"/>
  </r>
  <r>
    <x v="13"/>
    <x v="0"/>
    <x v="9"/>
    <n v="0.79215000000000002"/>
    <n v="0.79198999999999997"/>
    <n v="0.84"/>
    <n v="0.81599500000000003"/>
    <n v="480.1"/>
  </r>
  <r>
    <x v="13"/>
    <x v="0"/>
    <x v="9"/>
    <n v="0.79215000000000002"/>
    <n v="0.79198999999999997"/>
    <n v="0.84"/>
    <n v="0.81599500000000003"/>
    <n v="480.1"/>
  </r>
  <r>
    <x v="13"/>
    <x v="0"/>
    <x v="9"/>
    <n v="0.79215000000000002"/>
    <n v="0.79198999999999997"/>
    <n v="0.84"/>
    <n v="0.81599500000000003"/>
    <n v="480.1"/>
  </r>
  <r>
    <x v="13"/>
    <x v="0"/>
    <x v="9"/>
    <n v="0.79215000000000002"/>
    <n v="0.79198999999999997"/>
    <n v="0.84"/>
    <n v="0.81599500000000003"/>
    <n v="480.1"/>
  </r>
  <r>
    <x v="13"/>
    <x v="0"/>
    <x v="9"/>
    <n v="0.79215000000000002"/>
    <n v="0.79198999999999997"/>
    <n v="0.84"/>
    <n v="0.81599500000000003"/>
    <n v="480.1"/>
  </r>
  <r>
    <x v="13"/>
    <x v="0"/>
    <x v="9"/>
    <n v="0.79215000000000002"/>
    <n v="0.79198999999999997"/>
    <n v="0.84"/>
    <n v="0.81599500000000003"/>
    <n v="480.1"/>
  </r>
  <r>
    <x v="13"/>
    <x v="0"/>
    <x v="9"/>
    <n v="0.79215000000000002"/>
    <n v="0.79198999999999997"/>
    <n v="0.84"/>
    <n v="0.81599500000000003"/>
    <n v="480.1"/>
  </r>
  <r>
    <x v="13"/>
    <x v="0"/>
    <x v="9"/>
    <n v="0.79215000000000002"/>
    <n v="0.79198999999999997"/>
    <n v="0.84"/>
    <n v="0.81599500000000003"/>
    <n v="480.1"/>
  </r>
  <r>
    <x v="13"/>
    <x v="0"/>
    <x v="9"/>
    <n v="0.79215000000000002"/>
    <n v="0.79198999999999997"/>
    <n v="0.84"/>
    <n v="0.81599500000000003"/>
    <n v="480.1"/>
  </r>
  <r>
    <x v="13"/>
    <x v="0"/>
    <x v="9"/>
    <n v="0.79215000000000002"/>
    <n v="0.79198999999999997"/>
    <n v="0.84"/>
    <n v="0.81599500000000003"/>
    <n v="480.1"/>
  </r>
  <r>
    <x v="13"/>
    <x v="0"/>
    <x v="9"/>
    <n v="0.79215000000000002"/>
    <n v="0.79198999999999997"/>
    <n v="0.84"/>
    <n v="0.81599500000000003"/>
    <n v="480.1"/>
  </r>
  <r>
    <x v="13"/>
    <x v="0"/>
    <x v="9"/>
    <n v="0.79215000000000002"/>
    <n v="0.79198999999999997"/>
    <n v="0.84"/>
    <n v="0.81599500000000003"/>
    <n v="480.1"/>
  </r>
  <r>
    <x v="13"/>
    <x v="0"/>
    <x v="9"/>
    <n v="0.79215000000000002"/>
    <n v="0.79198999999999997"/>
    <n v="0.84"/>
    <n v="0.81599500000000003"/>
    <n v="480.1"/>
  </r>
  <r>
    <x v="13"/>
    <x v="1"/>
    <x v="9"/>
    <n v="0.79457"/>
    <n v="0.79198999999999997"/>
    <n v="0.84"/>
    <n v="0.81599500000000003"/>
    <n v="480.1"/>
  </r>
  <r>
    <x v="13"/>
    <x v="1"/>
    <x v="9"/>
    <n v="0.79457"/>
    <n v="0.79198999999999997"/>
    <n v="0.84"/>
    <n v="0.81599500000000003"/>
    <n v="480.1"/>
  </r>
  <r>
    <x v="13"/>
    <x v="1"/>
    <x v="9"/>
    <n v="0.79457"/>
    <n v="0.79198999999999997"/>
    <n v="0.84"/>
    <n v="0.81599500000000003"/>
    <n v="480.1"/>
  </r>
  <r>
    <x v="13"/>
    <x v="1"/>
    <x v="9"/>
    <n v="0.79457"/>
    <n v="0.79198999999999997"/>
    <n v="0.84"/>
    <n v="0.81599500000000003"/>
    <n v="480.1"/>
  </r>
  <r>
    <x v="13"/>
    <x v="1"/>
    <x v="9"/>
    <n v="0.79457"/>
    <n v="0.79198999999999997"/>
    <n v="0.84"/>
    <n v="0.81599500000000003"/>
    <n v="480.1"/>
  </r>
  <r>
    <x v="13"/>
    <x v="1"/>
    <x v="9"/>
    <n v="0.79457"/>
    <n v="0.79198999999999997"/>
    <n v="0.84"/>
    <n v="0.81599500000000003"/>
    <n v="480.1"/>
  </r>
  <r>
    <x v="13"/>
    <x v="1"/>
    <x v="9"/>
    <n v="0.79457"/>
    <n v="0.79198999999999997"/>
    <n v="0.84"/>
    <n v="0.81599500000000003"/>
    <n v="480.1"/>
  </r>
  <r>
    <x v="13"/>
    <x v="1"/>
    <x v="9"/>
    <n v="0.79457"/>
    <n v="0.79198999999999997"/>
    <n v="0.84"/>
    <n v="0.81599500000000003"/>
    <n v="480.1"/>
  </r>
  <r>
    <x v="13"/>
    <x v="1"/>
    <x v="9"/>
    <n v="0.79457"/>
    <n v="0.79198999999999997"/>
    <n v="0.84"/>
    <n v="0.81599500000000003"/>
    <n v="480.1"/>
  </r>
  <r>
    <x v="13"/>
    <x v="1"/>
    <x v="9"/>
    <n v="0.79457"/>
    <n v="0.79198999999999997"/>
    <n v="0.84"/>
    <n v="0.81599500000000003"/>
    <n v="480.1"/>
  </r>
  <r>
    <x v="13"/>
    <x v="1"/>
    <x v="9"/>
    <n v="0.79457"/>
    <n v="0.79198999999999997"/>
    <n v="0.84"/>
    <n v="0.81599500000000003"/>
    <n v="480.1"/>
  </r>
  <r>
    <x v="13"/>
    <x v="1"/>
    <x v="9"/>
    <n v="0.79457"/>
    <n v="0.79198999999999997"/>
    <n v="0.84"/>
    <n v="0.81599500000000003"/>
    <n v="480.1"/>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4"/>
    <n v="95.114999999999995"/>
    <n v="90.2"/>
    <n v="96.406000000000006"/>
    <n v="93.302999999999997"/>
    <n v="620.6"/>
  </r>
  <r>
    <x v="13"/>
    <x v="1"/>
    <x v="10"/>
    <n v="0.89197000000000004"/>
    <n v="0.87099000000000004"/>
    <n v="0.90300000000000002"/>
    <n v="0.88699499999999998"/>
    <n v="320.10000000000002"/>
  </r>
  <r>
    <x v="13"/>
    <x v="1"/>
    <x v="10"/>
    <n v="0.89197000000000004"/>
    <n v="0.87099000000000004"/>
    <n v="0.90300000000000002"/>
    <n v="0.88699499999999998"/>
    <n v="320.10000000000002"/>
  </r>
  <r>
    <x v="13"/>
    <x v="1"/>
    <x v="10"/>
    <n v="0.89197000000000004"/>
    <n v="0.87099000000000004"/>
    <n v="0.90300000000000002"/>
    <n v="0.88699499999999998"/>
    <n v="320.10000000000002"/>
  </r>
  <r>
    <x v="13"/>
    <x v="1"/>
    <x v="10"/>
    <n v="0.89197000000000004"/>
    <n v="0.87099000000000004"/>
    <n v="0.90300000000000002"/>
    <n v="0.88699499999999998"/>
    <n v="320.10000000000002"/>
  </r>
  <r>
    <x v="13"/>
    <x v="1"/>
    <x v="10"/>
    <n v="0.89197000000000004"/>
    <n v="0.87099000000000004"/>
    <n v="0.90300000000000002"/>
    <n v="0.88699499999999998"/>
    <n v="320.10000000000002"/>
  </r>
  <r>
    <x v="13"/>
    <x v="1"/>
    <x v="10"/>
    <n v="0.89197000000000004"/>
    <n v="0.87099000000000004"/>
    <n v="0.90300000000000002"/>
    <n v="0.88699499999999998"/>
    <n v="320.10000000000002"/>
  </r>
  <r>
    <x v="13"/>
    <x v="1"/>
    <x v="10"/>
    <n v="0.89197000000000004"/>
    <n v="0.87099000000000004"/>
    <n v="0.90300000000000002"/>
    <n v="0.88699499999999998"/>
    <n v="320.10000000000002"/>
  </r>
  <r>
    <x v="13"/>
    <x v="1"/>
    <x v="10"/>
    <n v="0.89197000000000004"/>
    <n v="0.87099000000000004"/>
    <n v="0.90300000000000002"/>
    <n v="0.88699499999999998"/>
    <n v="320.10000000000002"/>
  </r>
  <r>
    <x v="13"/>
    <x v="1"/>
    <x v="10"/>
    <n v="0.89197000000000004"/>
    <n v="0.87099000000000004"/>
    <n v="0.90300000000000002"/>
    <n v="0.88699499999999998"/>
    <n v="320.10000000000002"/>
  </r>
  <r>
    <x v="13"/>
    <x v="1"/>
    <x v="10"/>
    <n v="0.89197000000000004"/>
    <n v="0.87099000000000004"/>
    <n v="0.90300000000000002"/>
    <n v="0.88699499999999998"/>
    <n v="320.10000000000002"/>
  </r>
  <r>
    <x v="13"/>
    <x v="1"/>
    <x v="10"/>
    <n v="0.89197000000000004"/>
    <n v="0.87099000000000004"/>
    <n v="0.90300000000000002"/>
    <n v="0.88699499999999998"/>
    <n v="320.10000000000002"/>
  </r>
  <r>
    <x v="13"/>
    <x v="1"/>
    <x v="10"/>
    <n v="0.89197000000000004"/>
    <n v="0.87099000000000004"/>
    <n v="0.90300000000000002"/>
    <n v="0.88699499999999998"/>
    <n v="320.10000000000002"/>
  </r>
  <r>
    <x v="13"/>
    <x v="1"/>
    <x v="10"/>
    <n v="0.89197000000000004"/>
    <n v="0.87099000000000004"/>
    <n v="0.90300000000000002"/>
    <n v="0.88699499999999998"/>
    <n v="320.10000000000002"/>
  </r>
  <r>
    <x v="13"/>
    <x v="1"/>
    <x v="10"/>
    <n v="0.89197000000000004"/>
    <n v="0.87099000000000004"/>
    <n v="0.90300000000000002"/>
    <n v="0.88699499999999998"/>
    <n v="320.10000000000002"/>
  </r>
  <r>
    <x v="13"/>
    <x v="1"/>
    <x v="10"/>
    <n v="0.89197000000000004"/>
    <n v="0.87099000000000004"/>
    <n v="0.90300000000000002"/>
    <n v="0.88699499999999998"/>
    <n v="320.10000000000002"/>
  </r>
  <r>
    <x v="13"/>
    <x v="1"/>
    <x v="10"/>
    <n v="0.89197000000000004"/>
    <n v="0.87099000000000004"/>
    <n v="0.90300000000000002"/>
    <n v="0.88699499999999998"/>
    <n v="320.10000000000002"/>
  </r>
  <r>
    <x v="13"/>
    <x v="1"/>
    <x v="10"/>
    <n v="0.89197000000000004"/>
    <n v="0.87099000000000004"/>
    <n v="0.90300000000000002"/>
    <n v="0.88699499999999998"/>
    <n v="320.10000000000002"/>
  </r>
  <r>
    <x v="13"/>
    <x v="1"/>
    <x v="10"/>
    <n v="0.89197000000000004"/>
    <n v="0.87099000000000004"/>
    <n v="0.90300000000000002"/>
    <n v="0.88699499999999998"/>
    <n v="320.10000000000002"/>
  </r>
  <r>
    <x v="13"/>
    <x v="1"/>
    <x v="10"/>
    <n v="0.89197000000000004"/>
    <n v="0.87099000000000004"/>
    <n v="0.90300000000000002"/>
    <n v="0.88699499999999998"/>
    <n v="320.10000000000002"/>
  </r>
  <r>
    <x v="13"/>
    <x v="1"/>
    <x v="10"/>
    <n v="0.89197000000000004"/>
    <n v="0.87099000000000004"/>
    <n v="0.90300000000000002"/>
    <n v="0.88699499999999998"/>
    <n v="320.10000000000002"/>
  </r>
  <r>
    <x v="13"/>
    <x v="1"/>
    <x v="6"/>
    <n v="0.88127999999999995"/>
    <n v="0.82540999999999998"/>
    <n v="0.87951999999999997"/>
    <n v="0.85246500000000003"/>
    <n v="541.1"/>
  </r>
  <r>
    <x v="13"/>
    <x v="1"/>
    <x v="6"/>
    <n v="0.88127999999999995"/>
    <n v="0.82540999999999998"/>
    <n v="0.87951999999999997"/>
    <n v="0.85246500000000003"/>
    <n v="541.1"/>
  </r>
  <r>
    <x v="13"/>
    <x v="1"/>
    <x v="6"/>
    <n v="0.88127999999999995"/>
    <n v="0.82540999999999998"/>
    <n v="0.87951999999999997"/>
    <n v="0.85246500000000003"/>
    <n v="541.1"/>
  </r>
  <r>
    <x v="13"/>
    <x v="1"/>
    <x v="6"/>
    <n v="0.88127999999999995"/>
    <n v="0.82540999999999998"/>
    <n v="0.87951999999999997"/>
    <n v="0.85246500000000003"/>
    <n v="541.1"/>
  </r>
  <r>
    <x v="13"/>
    <x v="1"/>
    <x v="6"/>
    <n v="0.88127999999999995"/>
    <n v="0.82540999999999998"/>
    <n v="0.87951999999999997"/>
    <n v="0.85246500000000003"/>
    <n v="541.1"/>
  </r>
  <r>
    <x v="13"/>
    <x v="1"/>
    <x v="6"/>
    <n v="0.88127999999999995"/>
    <n v="0.82540999999999998"/>
    <n v="0.87951999999999997"/>
    <n v="0.85246500000000003"/>
    <n v="541.1"/>
  </r>
  <r>
    <x v="13"/>
    <x v="1"/>
    <x v="6"/>
    <n v="0.88127999999999995"/>
    <n v="0.82540999999999998"/>
    <n v="0.87951999999999997"/>
    <n v="0.85246500000000003"/>
    <n v="541.1"/>
  </r>
  <r>
    <x v="13"/>
    <x v="1"/>
    <x v="6"/>
    <n v="0.88127999999999995"/>
    <n v="0.82540999999999998"/>
    <n v="0.87951999999999997"/>
    <n v="0.85246500000000003"/>
    <n v="541.1"/>
  </r>
  <r>
    <x v="13"/>
    <x v="1"/>
    <x v="6"/>
    <n v="0.88127999999999995"/>
    <n v="0.82540999999999998"/>
    <n v="0.87951999999999997"/>
    <n v="0.85246500000000003"/>
    <n v="541.1"/>
  </r>
  <r>
    <x v="13"/>
    <x v="1"/>
    <x v="6"/>
    <n v="0.88127999999999995"/>
    <n v="0.82540999999999998"/>
    <n v="0.87951999999999997"/>
    <n v="0.85246500000000003"/>
    <n v="541.1"/>
  </r>
  <r>
    <x v="13"/>
    <x v="1"/>
    <x v="6"/>
    <n v="0.88127999999999995"/>
    <n v="0.82540999999999998"/>
    <n v="0.87951999999999997"/>
    <n v="0.85246500000000003"/>
    <n v="541.1"/>
  </r>
  <r>
    <x v="13"/>
    <x v="1"/>
    <x v="6"/>
    <n v="0.88127999999999995"/>
    <n v="0.82540999999999998"/>
    <n v="0.87951999999999997"/>
    <n v="0.85246500000000003"/>
    <n v="541.1"/>
  </r>
  <r>
    <x v="13"/>
    <x v="1"/>
    <x v="6"/>
    <n v="0.88127999999999995"/>
    <n v="0.82540999999999998"/>
    <n v="0.87951999999999997"/>
    <n v="0.85246500000000003"/>
    <n v="541.1"/>
  </r>
  <r>
    <x v="13"/>
    <x v="1"/>
    <x v="6"/>
    <n v="0.88127999999999995"/>
    <n v="0.82540999999999998"/>
    <n v="0.87951999999999997"/>
    <n v="0.85246500000000003"/>
    <n v="541.1"/>
  </r>
  <r>
    <x v="13"/>
    <x v="1"/>
    <x v="6"/>
    <n v="0.88127999999999995"/>
    <n v="0.82540999999999998"/>
    <n v="0.87951999999999997"/>
    <n v="0.85246500000000003"/>
    <n v="541.1"/>
  </r>
  <r>
    <x v="13"/>
    <x v="1"/>
    <x v="6"/>
    <n v="0.88127999999999995"/>
    <n v="0.82540999999999998"/>
    <n v="0.87951999999999997"/>
    <n v="0.85246500000000003"/>
    <n v="541.1"/>
  </r>
  <r>
    <x v="13"/>
    <x v="1"/>
    <x v="6"/>
    <n v="0.88127999999999995"/>
    <n v="0.82540999999999998"/>
    <n v="0.87951999999999997"/>
    <n v="0.85246500000000003"/>
    <n v="541.1"/>
  </r>
  <r>
    <x v="13"/>
    <x v="1"/>
    <x v="6"/>
    <n v="0.88127999999999995"/>
    <n v="0.82540999999999998"/>
    <n v="0.87951999999999997"/>
    <n v="0.85246500000000003"/>
    <n v="541.1"/>
  </r>
  <r>
    <x v="13"/>
    <x v="1"/>
    <x v="6"/>
    <n v="0.88127999999999995"/>
    <n v="0.82540999999999998"/>
    <n v="0.87951999999999997"/>
    <n v="0.85246500000000003"/>
    <n v="541.1"/>
  </r>
  <r>
    <x v="13"/>
    <x v="1"/>
    <x v="6"/>
    <n v="0.88127999999999995"/>
    <n v="0.82540999999999998"/>
    <n v="0.87951999999999997"/>
    <n v="0.85246500000000003"/>
    <n v="541.1"/>
  </r>
  <r>
    <x v="13"/>
    <x v="1"/>
    <x v="6"/>
    <n v="0.88127999999999995"/>
    <n v="0.82540999999999998"/>
    <n v="0.87951999999999997"/>
    <n v="0.85246500000000003"/>
    <n v="541.1"/>
  </r>
  <r>
    <x v="13"/>
    <x v="1"/>
    <x v="6"/>
    <n v="0.88127999999999995"/>
    <n v="0.82540999999999998"/>
    <n v="0.87951999999999997"/>
    <n v="0.85246500000000003"/>
    <n v="541.1"/>
  </r>
  <r>
    <x v="13"/>
    <x v="1"/>
    <x v="6"/>
    <n v="0.88127999999999995"/>
    <n v="0.82540999999999998"/>
    <n v="0.87951999999999997"/>
    <n v="0.85246500000000003"/>
    <n v="541.1"/>
  </r>
  <r>
    <x v="13"/>
    <x v="1"/>
    <x v="6"/>
    <n v="0.88127999999999995"/>
    <n v="0.82540999999999998"/>
    <n v="0.87951999999999997"/>
    <n v="0.85246500000000003"/>
    <n v="541.1"/>
  </r>
  <r>
    <x v="13"/>
    <x v="1"/>
    <x v="6"/>
    <n v="0.88127999999999995"/>
    <n v="0.82540999999999998"/>
    <n v="0.87951999999999997"/>
    <n v="0.85246500000000003"/>
    <n v="541.1"/>
  </r>
  <r>
    <x v="13"/>
    <x v="1"/>
    <x v="6"/>
    <n v="0.88127999999999995"/>
    <n v="0.82540999999999998"/>
    <n v="0.87951999999999997"/>
    <n v="0.85246500000000003"/>
    <n v="541.1"/>
  </r>
  <r>
    <x v="13"/>
    <x v="1"/>
    <x v="6"/>
    <n v="0.88127999999999995"/>
    <n v="0.82540999999999998"/>
    <n v="0.87951999999999997"/>
    <n v="0.85246500000000003"/>
    <n v="541.1"/>
  </r>
  <r>
    <x v="13"/>
    <x v="1"/>
    <x v="6"/>
    <n v="0.88127999999999995"/>
    <n v="0.82540999999999998"/>
    <n v="0.87951999999999997"/>
    <n v="0.85246500000000003"/>
    <n v="541.1"/>
  </r>
  <r>
    <x v="13"/>
    <x v="1"/>
    <x v="6"/>
    <n v="0.88127999999999995"/>
    <n v="0.82540999999999998"/>
    <n v="0.87951999999999997"/>
    <n v="0.85246500000000003"/>
    <n v="541.1"/>
  </r>
  <r>
    <x v="13"/>
    <x v="1"/>
    <x v="9"/>
    <n v="0.79457"/>
    <n v="0.79198999999999997"/>
    <n v="0.84"/>
    <n v="0.81599500000000003"/>
    <n v="480.1"/>
  </r>
  <r>
    <x v="13"/>
    <x v="1"/>
    <x v="9"/>
    <n v="0.79457"/>
    <n v="0.79198999999999997"/>
    <n v="0.84"/>
    <n v="0.81599500000000003"/>
    <n v="480.1"/>
  </r>
  <r>
    <x v="13"/>
    <x v="1"/>
    <x v="9"/>
    <n v="0.79457"/>
    <n v="0.79198999999999997"/>
    <n v="0.84"/>
    <n v="0.81599500000000003"/>
    <n v="480.1"/>
  </r>
  <r>
    <x v="13"/>
    <x v="1"/>
    <x v="9"/>
    <n v="0.79457"/>
    <n v="0.79198999999999997"/>
    <n v="0.84"/>
    <n v="0.81599500000000003"/>
    <n v="480.1"/>
  </r>
  <r>
    <x v="13"/>
    <x v="1"/>
    <x v="9"/>
    <n v="0.79457"/>
    <n v="0.79198999999999997"/>
    <n v="0.84"/>
    <n v="0.81599500000000003"/>
    <n v="480.1"/>
  </r>
  <r>
    <x v="13"/>
    <x v="1"/>
    <x v="9"/>
    <n v="0.79457"/>
    <n v="0.79198999999999997"/>
    <n v="0.84"/>
    <n v="0.81599500000000003"/>
    <n v="480.1"/>
  </r>
  <r>
    <x v="13"/>
    <x v="1"/>
    <x v="9"/>
    <n v="0.79457"/>
    <n v="0.79198999999999997"/>
    <n v="0.84"/>
    <n v="0.81599500000000003"/>
    <n v="480.1"/>
  </r>
  <r>
    <x v="13"/>
    <x v="1"/>
    <x v="9"/>
    <n v="0.79457"/>
    <n v="0.79198999999999997"/>
    <n v="0.84"/>
    <n v="0.81599500000000003"/>
    <n v="480.1"/>
  </r>
  <r>
    <x v="13"/>
    <x v="1"/>
    <x v="9"/>
    <n v="0.79457"/>
    <n v="0.79198999999999997"/>
    <n v="0.84"/>
    <n v="0.81599500000000003"/>
    <n v="480.1"/>
  </r>
  <r>
    <x v="13"/>
    <x v="1"/>
    <x v="9"/>
    <n v="0.79457"/>
    <n v="0.79198999999999997"/>
    <n v="0.84"/>
    <n v="0.81599500000000003"/>
    <n v="480.1"/>
  </r>
  <r>
    <x v="13"/>
    <x v="1"/>
    <x v="9"/>
    <n v="0.79457"/>
    <n v="0.79198999999999997"/>
    <n v="0.84"/>
    <n v="0.81599500000000003"/>
    <n v="480.1"/>
  </r>
  <r>
    <x v="13"/>
    <x v="1"/>
    <x v="9"/>
    <n v="0.79457"/>
    <n v="0.79198999999999997"/>
    <n v="0.84"/>
    <n v="0.81599500000000003"/>
    <n v="480.1"/>
  </r>
  <r>
    <x v="13"/>
    <x v="1"/>
    <x v="9"/>
    <n v="0.79457"/>
    <n v="0.79198999999999997"/>
    <n v="0.84"/>
    <n v="0.81599500000000003"/>
    <n v="480.1"/>
  </r>
  <r>
    <x v="13"/>
    <x v="1"/>
    <x v="9"/>
    <n v="0.79457"/>
    <n v="0.79198999999999997"/>
    <n v="0.84"/>
    <n v="0.81599500000000003"/>
    <n v="480.1"/>
  </r>
  <r>
    <x v="13"/>
    <x v="1"/>
    <x v="9"/>
    <n v="0.79457"/>
    <n v="0.79198999999999997"/>
    <n v="0.84"/>
    <n v="0.81599500000000003"/>
    <n v="480.1"/>
  </r>
  <r>
    <x v="13"/>
    <x v="2"/>
    <x v="9"/>
    <n v="0.79142000000000001"/>
    <n v="0.78998999999999997"/>
    <n v="0.84"/>
    <n v="0.81499500000000002"/>
    <n v="500.1"/>
  </r>
  <r>
    <x v="13"/>
    <x v="2"/>
    <x v="9"/>
    <n v="0.79142000000000001"/>
    <n v="0.78998999999999997"/>
    <n v="0.84"/>
    <n v="0.81499500000000002"/>
    <n v="500.1"/>
  </r>
  <r>
    <x v="13"/>
    <x v="2"/>
    <x v="9"/>
    <n v="0.79142000000000001"/>
    <n v="0.78998999999999997"/>
    <n v="0.84"/>
    <n v="0.81499500000000002"/>
    <n v="500.1"/>
  </r>
  <r>
    <x v="13"/>
    <x v="2"/>
    <x v="9"/>
    <n v="0.79142000000000001"/>
    <n v="0.78998999999999997"/>
    <n v="0.84"/>
    <n v="0.81499500000000002"/>
    <n v="500.1"/>
  </r>
  <r>
    <x v="13"/>
    <x v="2"/>
    <x v="9"/>
    <n v="0.79142000000000001"/>
    <n v="0.78998999999999997"/>
    <n v="0.84"/>
    <n v="0.81499500000000002"/>
    <n v="500.1"/>
  </r>
  <r>
    <x v="13"/>
    <x v="2"/>
    <x v="9"/>
    <n v="0.79142000000000001"/>
    <n v="0.78998999999999997"/>
    <n v="0.84"/>
    <n v="0.81499500000000002"/>
    <n v="500.1"/>
  </r>
  <r>
    <x v="13"/>
    <x v="2"/>
    <x v="9"/>
    <n v="0.79142000000000001"/>
    <n v="0.78998999999999997"/>
    <n v="0.84"/>
    <n v="0.81499500000000002"/>
    <n v="500.1"/>
  </r>
  <r>
    <x v="13"/>
    <x v="2"/>
    <x v="9"/>
    <n v="0.79142000000000001"/>
    <n v="0.78998999999999997"/>
    <n v="0.84"/>
    <n v="0.81499500000000002"/>
    <n v="500.1"/>
  </r>
  <r>
    <x v="13"/>
    <x v="2"/>
    <x v="9"/>
    <n v="0.79142000000000001"/>
    <n v="0.78998999999999997"/>
    <n v="0.84"/>
    <n v="0.81499500000000002"/>
    <n v="500.1"/>
  </r>
  <r>
    <x v="13"/>
    <x v="2"/>
    <x v="9"/>
    <n v="0.79142000000000001"/>
    <n v="0.78998999999999997"/>
    <n v="0.84"/>
    <n v="0.81499500000000002"/>
    <n v="500.1"/>
  </r>
  <r>
    <x v="13"/>
    <x v="2"/>
    <x v="9"/>
    <n v="0.79142000000000001"/>
    <n v="0.78998999999999997"/>
    <n v="0.84"/>
    <n v="0.81499500000000002"/>
    <n v="500.1"/>
  </r>
  <r>
    <x v="13"/>
    <x v="2"/>
    <x v="9"/>
    <n v="0.79142000000000001"/>
    <n v="0.78998999999999997"/>
    <n v="0.84"/>
    <n v="0.81499500000000002"/>
    <n v="500.1"/>
  </r>
  <r>
    <x v="13"/>
    <x v="2"/>
    <x v="9"/>
    <n v="0.79142000000000001"/>
    <n v="0.78998999999999997"/>
    <n v="0.84"/>
    <n v="0.81499500000000002"/>
    <n v="500.1"/>
  </r>
  <r>
    <x v="13"/>
    <x v="2"/>
    <x v="9"/>
    <n v="0.79142000000000001"/>
    <n v="0.78998999999999997"/>
    <n v="0.84"/>
    <n v="0.81499500000000002"/>
    <n v="500.1"/>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4"/>
    <n v="95.135999999999996"/>
    <n v="90.2"/>
    <n v="96.406000000000006"/>
    <n v="93.302999999999997"/>
    <n v="620.6"/>
  </r>
  <r>
    <x v="13"/>
    <x v="2"/>
    <x v="10"/>
    <n v="0.89812999999999998"/>
    <n v="0.87099000000000004"/>
    <n v="0.90300000000000002"/>
    <n v="0.88699499999999998"/>
    <n v="320.10000000000002"/>
  </r>
  <r>
    <x v="13"/>
    <x v="2"/>
    <x v="10"/>
    <n v="0.89812999999999998"/>
    <n v="0.87099000000000004"/>
    <n v="0.90300000000000002"/>
    <n v="0.88699499999999998"/>
    <n v="320.10000000000002"/>
  </r>
  <r>
    <x v="13"/>
    <x v="2"/>
    <x v="10"/>
    <n v="0.89812999999999998"/>
    <n v="0.87099000000000004"/>
    <n v="0.90300000000000002"/>
    <n v="0.88699499999999998"/>
    <n v="320.10000000000002"/>
  </r>
  <r>
    <x v="13"/>
    <x v="2"/>
    <x v="10"/>
    <n v="0.89812999999999998"/>
    <n v="0.87099000000000004"/>
    <n v="0.90300000000000002"/>
    <n v="0.88699499999999998"/>
    <n v="320.10000000000002"/>
  </r>
  <r>
    <x v="13"/>
    <x v="2"/>
    <x v="10"/>
    <n v="0.89812999999999998"/>
    <n v="0.87099000000000004"/>
    <n v="0.90300000000000002"/>
    <n v="0.88699499999999998"/>
    <n v="320.10000000000002"/>
  </r>
  <r>
    <x v="13"/>
    <x v="2"/>
    <x v="10"/>
    <n v="0.89812999999999998"/>
    <n v="0.87099000000000004"/>
    <n v="0.90300000000000002"/>
    <n v="0.88699499999999998"/>
    <n v="320.10000000000002"/>
  </r>
  <r>
    <x v="13"/>
    <x v="2"/>
    <x v="10"/>
    <n v="0.89812999999999998"/>
    <n v="0.87099000000000004"/>
    <n v="0.90300000000000002"/>
    <n v="0.88699499999999998"/>
    <n v="320.10000000000002"/>
  </r>
  <r>
    <x v="13"/>
    <x v="2"/>
    <x v="10"/>
    <n v="0.89812999999999998"/>
    <n v="0.87099000000000004"/>
    <n v="0.90300000000000002"/>
    <n v="0.88699499999999998"/>
    <n v="320.10000000000002"/>
  </r>
  <r>
    <x v="13"/>
    <x v="2"/>
    <x v="10"/>
    <n v="0.89812999999999998"/>
    <n v="0.87099000000000004"/>
    <n v="0.90300000000000002"/>
    <n v="0.88699499999999998"/>
    <n v="320.10000000000002"/>
  </r>
  <r>
    <x v="13"/>
    <x v="2"/>
    <x v="10"/>
    <n v="0.89812999999999998"/>
    <n v="0.87099000000000004"/>
    <n v="0.90300000000000002"/>
    <n v="0.88699499999999998"/>
    <n v="320.10000000000002"/>
  </r>
  <r>
    <x v="13"/>
    <x v="2"/>
    <x v="10"/>
    <n v="0.89812999999999998"/>
    <n v="0.87099000000000004"/>
    <n v="0.90300000000000002"/>
    <n v="0.88699499999999998"/>
    <n v="320.10000000000002"/>
  </r>
  <r>
    <x v="13"/>
    <x v="2"/>
    <x v="10"/>
    <n v="0.89812999999999998"/>
    <n v="0.87099000000000004"/>
    <n v="0.90300000000000002"/>
    <n v="0.88699499999999998"/>
    <n v="320.10000000000002"/>
  </r>
  <r>
    <x v="13"/>
    <x v="2"/>
    <x v="10"/>
    <n v="0.89812999999999998"/>
    <n v="0.87099000000000004"/>
    <n v="0.90300000000000002"/>
    <n v="0.88699499999999998"/>
    <n v="320.10000000000002"/>
  </r>
  <r>
    <x v="13"/>
    <x v="2"/>
    <x v="10"/>
    <n v="0.89812999999999998"/>
    <n v="0.87099000000000004"/>
    <n v="0.90300000000000002"/>
    <n v="0.88699499999999998"/>
    <n v="320.10000000000002"/>
  </r>
  <r>
    <x v="13"/>
    <x v="2"/>
    <x v="10"/>
    <n v="0.89812999999999998"/>
    <n v="0.87099000000000004"/>
    <n v="0.90300000000000002"/>
    <n v="0.88699499999999998"/>
    <n v="320.10000000000002"/>
  </r>
  <r>
    <x v="13"/>
    <x v="2"/>
    <x v="10"/>
    <n v="0.89812999999999998"/>
    <n v="0.87099000000000004"/>
    <n v="0.90300000000000002"/>
    <n v="0.88699499999999998"/>
    <n v="320.10000000000002"/>
  </r>
  <r>
    <x v="13"/>
    <x v="2"/>
    <x v="10"/>
    <n v="0.89812999999999998"/>
    <n v="0.87099000000000004"/>
    <n v="0.90300000000000002"/>
    <n v="0.88699499999999998"/>
    <n v="320.10000000000002"/>
  </r>
  <r>
    <x v="13"/>
    <x v="2"/>
    <x v="10"/>
    <n v="0.89812999999999998"/>
    <n v="0.87099000000000004"/>
    <n v="0.90300000000000002"/>
    <n v="0.88699499999999998"/>
    <n v="320.10000000000002"/>
  </r>
  <r>
    <x v="13"/>
    <x v="2"/>
    <x v="10"/>
    <n v="0.89812999999999998"/>
    <n v="0.87099000000000004"/>
    <n v="0.90300000000000002"/>
    <n v="0.88699499999999998"/>
    <n v="320.10000000000002"/>
  </r>
  <r>
    <x v="13"/>
    <x v="2"/>
    <x v="10"/>
    <n v="0.89812999999999998"/>
    <n v="0.87099000000000004"/>
    <n v="0.90300000000000002"/>
    <n v="0.88699499999999998"/>
    <n v="320.10000000000002"/>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6"/>
    <n v="0.86860999999999999"/>
    <n v="0.82540999999999998"/>
    <n v="0.87951999999999997"/>
    <n v="0.85246500000000003"/>
    <n v="541.1"/>
  </r>
  <r>
    <x v="13"/>
    <x v="2"/>
    <x v="9"/>
    <n v="0.79142000000000001"/>
    <n v="0.78998999999999997"/>
    <n v="0.84"/>
    <n v="0.81499500000000002"/>
    <n v="500.1"/>
  </r>
  <r>
    <x v="13"/>
    <x v="2"/>
    <x v="9"/>
    <n v="0.79142000000000001"/>
    <n v="0.78998999999999997"/>
    <n v="0.84"/>
    <n v="0.81499500000000002"/>
    <n v="500.1"/>
  </r>
  <r>
    <x v="13"/>
    <x v="2"/>
    <x v="9"/>
    <n v="0.79142000000000001"/>
    <n v="0.78998999999999997"/>
    <n v="0.84"/>
    <n v="0.81499500000000002"/>
    <n v="500.1"/>
  </r>
  <r>
    <x v="13"/>
    <x v="2"/>
    <x v="9"/>
    <n v="0.79142000000000001"/>
    <n v="0.78998999999999997"/>
    <n v="0.84"/>
    <n v="0.81499500000000002"/>
    <n v="500.1"/>
  </r>
  <r>
    <x v="13"/>
    <x v="2"/>
    <x v="9"/>
    <n v="0.79142000000000001"/>
    <n v="0.78998999999999997"/>
    <n v="0.84"/>
    <n v="0.81499500000000002"/>
    <n v="500.1"/>
  </r>
  <r>
    <x v="13"/>
    <x v="2"/>
    <x v="9"/>
    <n v="0.79142000000000001"/>
    <n v="0.78998999999999997"/>
    <n v="0.84"/>
    <n v="0.81499500000000002"/>
    <n v="500.1"/>
  </r>
  <r>
    <x v="13"/>
    <x v="2"/>
    <x v="9"/>
    <n v="0.79142000000000001"/>
    <n v="0.78998999999999997"/>
    <n v="0.84"/>
    <n v="0.81499500000000002"/>
    <n v="500.1"/>
  </r>
  <r>
    <x v="13"/>
    <x v="2"/>
    <x v="9"/>
    <n v="0.79142000000000001"/>
    <n v="0.78998999999999997"/>
    <n v="0.84"/>
    <n v="0.81499500000000002"/>
    <n v="500.1"/>
  </r>
  <r>
    <x v="13"/>
    <x v="2"/>
    <x v="9"/>
    <n v="0.79142000000000001"/>
    <n v="0.78998999999999997"/>
    <n v="0.84"/>
    <n v="0.81499500000000002"/>
    <n v="500.1"/>
  </r>
  <r>
    <x v="13"/>
    <x v="2"/>
    <x v="9"/>
    <n v="0.79142000000000001"/>
    <n v="0.78998999999999997"/>
    <n v="0.84"/>
    <n v="0.81499500000000002"/>
    <n v="500.1"/>
  </r>
  <r>
    <x v="13"/>
    <x v="2"/>
    <x v="9"/>
    <n v="0.79142000000000001"/>
    <n v="0.78998999999999997"/>
    <n v="0.84"/>
    <n v="0.81499500000000002"/>
    <n v="500.1"/>
  </r>
  <r>
    <x v="13"/>
    <x v="2"/>
    <x v="9"/>
    <n v="0.79142000000000001"/>
    <n v="0.78998999999999997"/>
    <n v="0.84"/>
    <n v="0.81499500000000002"/>
    <n v="500.1"/>
  </r>
  <r>
    <x v="13"/>
    <x v="2"/>
    <x v="9"/>
    <n v="0.79142000000000001"/>
    <n v="0.78998999999999997"/>
    <n v="0.84"/>
    <n v="0.81499500000000002"/>
    <n v="500.1"/>
  </r>
  <r>
    <x v="13"/>
    <x v="2"/>
    <x v="9"/>
    <n v="0.79142000000000001"/>
    <n v="0.78998999999999997"/>
    <n v="0.84"/>
    <n v="0.81499500000000002"/>
    <n v="500.1"/>
  </r>
  <r>
    <x v="13"/>
    <x v="3"/>
    <x v="9"/>
    <n v="0.79093000000000002"/>
    <n v="0.78800000000000003"/>
    <n v="0.84"/>
    <n v="0.81399999999999995"/>
    <n v="520"/>
  </r>
  <r>
    <x v="13"/>
    <x v="3"/>
    <x v="9"/>
    <n v="0.79093000000000002"/>
    <n v="0.78800000000000003"/>
    <n v="0.84"/>
    <n v="0.81399999999999995"/>
    <n v="520"/>
  </r>
  <r>
    <x v="13"/>
    <x v="3"/>
    <x v="9"/>
    <n v="0.79093000000000002"/>
    <n v="0.78800000000000003"/>
    <n v="0.84"/>
    <n v="0.81399999999999995"/>
    <n v="520"/>
  </r>
  <r>
    <x v="13"/>
    <x v="3"/>
    <x v="9"/>
    <n v="0.79093000000000002"/>
    <n v="0.78800000000000003"/>
    <n v="0.84"/>
    <n v="0.81399999999999995"/>
    <n v="520"/>
  </r>
  <r>
    <x v="13"/>
    <x v="3"/>
    <x v="9"/>
    <n v="0.79093000000000002"/>
    <n v="0.78800000000000003"/>
    <n v="0.84"/>
    <n v="0.81399999999999995"/>
    <n v="520"/>
  </r>
  <r>
    <x v="13"/>
    <x v="3"/>
    <x v="9"/>
    <n v="0.79093000000000002"/>
    <n v="0.78800000000000003"/>
    <n v="0.84"/>
    <n v="0.81399999999999995"/>
    <n v="520"/>
  </r>
  <r>
    <x v="13"/>
    <x v="3"/>
    <x v="9"/>
    <n v="0.79093000000000002"/>
    <n v="0.78800000000000003"/>
    <n v="0.84"/>
    <n v="0.81399999999999995"/>
    <n v="520"/>
  </r>
  <r>
    <x v="13"/>
    <x v="3"/>
    <x v="9"/>
    <n v="0.79093000000000002"/>
    <n v="0.78800000000000003"/>
    <n v="0.84"/>
    <n v="0.81399999999999995"/>
    <n v="520"/>
  </r>
  <r>
    <x v="13"/>
    <x v="3"/>
    <x v="9"/>
    <n v="0.79093000000000002"/>
    <n v="0.78800000000000003"/>
    <n v="0.84"/>
    <n v="0.81399999999999995"/>
    <n v="520"/>
  </r>
  <r>
    <x v="13"/>
    <x v="3"/>
    <x v="9"/>
    <n v="0.79093000000000002"/>
    <n v="0.78800000000000003"/>
    <n v="0.84"/>
    <n v="0.81399999999999995"/>
    <n v="520"/>
  </r>
  <r>
    <x v="13"/>
    <x v="3"/>
    <x v="9"/>
    <n v="0.79093000000000002"/>
    <n v="0.78800000000000003"/>
    <n v="0.84"/>
    <n v="0.81399999999999995"/>
    <n v="520"/>
  </r>
  <r>
    <x v="13"/>
    <x v="3"/>
    <x v="9"/>
    <n v="0.79093000000000002"/>
    <n v="0.78800000000000003"/>
    <n v="0.84"/>
    <n v="0.81399999999999995"/>
    <n v="520"/>
  </r>
  <r>
    <x v="13"/>
    <x v="3"/>
    <x v="9"/>
    <n v="0.79093000000000002"/>
    <n v="0.78800000000000003"/>
    <n v="0.84"/>
    <n v="0.81399999999999995"/>
    <n v="520"/>
  </r>
  <r>
    <x v="13"/>
    <x v="3"/>
    <x v="9"/>
    <n v="0.79093000000000002"/>
    <n v="0.78800000000000003"/>
    <n v="0.84"/>
    <n v="0.81399999999999995"/>
    <n v="520"/>
  </r>
  <r>
    <x v="13"/>
    <x v="3"/>
    <x v="9"/>
    <n v="0.79093000000000002"/>
    <n v="0.78800000000000003"/>
    <n v="0.84"/>
    <n v="0.81399999999999995"/>
    <n v="520"/>
  </r>
  <r>
    <x v="13"/>
    <x v="3"/>
    <x v="9"/>
    <n v="0.79093000000000002"/>
    <n v="0.78800000000000003"/>
    <n v="0.84"/>
    <n v="0.81399999999999995"/>
    <n v="520"/>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4"/>
    <n v="95.692999999999998"/>
    <n v="90.2"/>
    <n v="96.406000000000006"/>
    <n v="93.302999999999997"/>
    <n v="620.6"/>
  </r>
  <r>
    <x v="13"/>
    <x v="3"/>
    <x v="10"/>
    <n v="0.90466000000000002"/>
    <n v="0.87099000000000004"/>
    <n v="0.90505000000000002"/>
    <n v="0.88802000000000003"/>
    <n v="340.6"/>
  </r>
  <r>
    <x v="13"/>
    <x v="3"/>
    <x v="10"/>
    <n v="0.90466000000000002"/>
    <n v="0.87099000000000004"/>
    <n v="0.90505000000000002"/>
    <n v="0.88802000000000003"/>
    <n v="340.6"/>
  </r>
  <r>
    <x v="13"/>
    <x v="3"/>
    <x v="10"/>
    <n v="0.90466000000000002"/>
    <n v="0.87099000000000004"/>
    <n v="0.90505000000000002"/>
    <n v="0.88802000000000003"/>
    <n v="340.6"/>
  </r>
  <r>
    <x v="13"/>
    <x v="3"/>
    <x v="10"/>
    <n v="0.90466000000000002"/>
    <n v="0.87099000000000004"/>
    <n v="0.90505000000000002"/>
    <n v="0.88802000000000003"/>
    <n v="340.6"/>
  </r>
  <r>
    <x v="13"/>
    <x v="3"/>
    <x v="10"/>
    <n v="0.90466000000000002"/>
    <n v="0.87099000000000004"/>
    <n v="0.90505000000000002"/>
    <n v="0.88802000000000003"/>
    <n v="340.6"/>
  </r>
  <r>
    <x v="13"/>
    <x v="3"/>
    <x v="10"/>
    <n v="0.90466000000000002"/>
    <n v="0.87099000000000004"/>
    <n v="0.90505000000000002"/>
    <n v="0.88802000000000003"/>
    <n v="340.6"/>
  </r>
  <r>
    <x v="13"/>
    <x v="3"/>
    <x v="10"/>
    <n v="0.90466000000000002"/>
    <n v="0.87099000000000004"/>
    <n v="0.90505000000000002"/>
    <n v="0.88802000000000003"/>
    <n v="340.6"/>
  </r>
  <r>
    <x v="13"/>
    <x v="3"/>
    <x v="10"/>
    <n v="0.90466000000000002"/>
    <n v="0.87099000000000004"/>
    <n v="0.90505000000000002"/>
    <n v="0.88802000000000003"/>
    <n v="340.6"/>
  </r>
  <r>
    <x v="13"/>
    <x v="3"/>
    <x v="10"/>
    <n v="0.90466000000000002"/>
    <n v="0.87099000000000004"/>
    <n v="0.90505000000000002"/>
    <n v="0.88802000000000003"/>
    <n v="340.6"/>
  </r>
  <r>
    <x v="13"/>
    <x v="3"/>
    <x v="10"/>
    <n v="0.90466000000000002"/>
    <n v="0.87099000000000004"/>
    <n v="0.90505000000000002"/>
    <n v="0.88802000000000003"/>
    <n v="340.6"/>
  </r>
  <r>
    <x v="13"/>
    <x v="3"/>
    <x v="10"/>
    <n v="0.90466000000000002"/>
    <n v="0.87099000000000004"/>
    <n v="0.90505000000000002"/>
    <n v="0.88802000000000003"/>
    <n v="340.6"/>
  </r>
  <r>
    <x v="13"/>
    <x v="3"/>
    <x v="10"/>
    <n v="0.90466000000000002"/>
    <n v="0.87099000000000004"/>
    <n v="0.90505000000000002"/>
    <n v="0.88802000000000003"/>
    <n v="340.6"/>
  </r>
  <r>
    <x v="13"/>
    <x v="3"/>
    <x v="10"/>
    <n v="0.90466000000000002"/>
    <n v="0.87099000000000004"/>
    <n v="0.90505000000000002"/>
    <n v="0.88802000000000003"/>
    <n v="340.6"/>
  </r>
  <r>
    <x v="13"/>
    <x v="3"/>
    <x v="10"/>
    <n v="0.90466000000000002"/>
    <n v="0.87099000000000004"/>
    <n v="0.90505000000000002"/>
    <n v="0.88802000000000003"/>
    <n v="340.6"/>
  </r>
  <r>
    <x v="13"/>
    <x v="3"/>
    <x v="10"/>
    <n v="0.90466000000000002"/>
    <n v="0.87099000000000004"/>
    <n v="0.90505000000000002"/>
    <n v="0.88802000000000003"/>
    <n v="340.6"/>
  </r>
  <r>
    <x v="13"/>
    <x v="3"/>
    <x v="10"/>
    <n v="0.90466000000000002"/>
    <n v="0.87099000000000004"/>
    <n v="0.90505000000000002"/>
    <n v="0.88802000000000003"/>
    <n v="340.6"/>
  </r>
  <r>
    <x v="13"/>
    <x v="3"/>
    <x v="10"/>
    <n v="0.90466000000000002"/>
    <n v="0.87099000000000004"/>
    <n v="0.90505000000000002"/>
    <n v="0.88802000000000003"/>
    <n v="340.6"/>
  </r>
  <r>
    <x v="13"/>
    <x v="3"/>
    <x v="10"/>
    <n v="0.90466000000000002"/>
    <n v="0.87099000000000004"/>
    <n v="0.90505000000000002"/>
    <n v="0.88802000000000003"/>
    <n v="340.6"/>
  </r>
  <r>
    <x v="13"/>
    <x v="3"/>
    <x v="10"/>
    <n v="0.90466000000000002"/>
    <n v="0.87099000000000004"/>
    <n v="0.90505000000000002"/>
    <n v="0.88802000000000003"/>
    <n v="340.6"/>
  </r>
  <r>
    <x v="13"/>
    <x v="3"/>
    <x v="10"/>
    <n v="0.90466000000000002"/>
    <n v="0.87099000000000004"/>
    <n v="0.90505000000000002"/>
    <n v="0.88802000000000003"/>
    <n v="340.6"/>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6"/>
    <n v="0.85514999999999997"/>
    <n v="0.82540999999999998"/>
    <n v="0.87951999999999997"/>
    <n v="0.85246500000000003"/>
    <n v="541.1"/>
  </r>
  <r>
    <x v="13"/>
    <x v="3"/>
    <x v="9"/>
    <n v="0.79093000000000002"/>
    <n v="0.78800000000000003"/>
    <n v="0.84"/>
    <n v="0.81399999999999995"/>
    <n v="520"/>
  </r>
  <r>
    <x v="13"/>
    <x v="3"/>
    <x v="9"/>
    <n v="0.79093000000000002"/>
    <n v="0.78800000000000003"/>
    <n v="0.84"/>
    <n v="0.81399999999999995"/>
    <n v="520"/>
  </r>
  <r>
    <x v="13"/>
    <x v="3"/>
    <x v="9"/>
    <n v="0.79093000000000002"/>
    <n v="0.78800000000000003"/>
    <n v="0.84"/>
    <n v="0.81399999999999995"/>
    <n v="520"/>
  </r>
  <r>
    <x v="13"/>
    <x v="3"/>
    <x v="9"/>
    <n v="0.79093000000000002"/>
    <n v="0.78800000000000003"/>
    <n v="0.84"/>
    <n v="0.81399999999999995"/>
    <n v="520"/>
  </r>
  <r>
    <x v="13"/>
    <x v="3"/>
    <x v="9"/>
    <n v="0.79093000000000002"/>
    <n v="0.78800000000000003"/>
    <n v="0.84"/>
    <n v="0.81399999999999995"/>
    <n v="520"/>
  </r>
  <r>
    <x v="13"/>
    <x v="3"/>
    <x v="9"/>
    <n v="0.79093000000000002"/>
    <n v="0.78800000000000003"/>
    <n v="0.84"/>
    <n v="0.81399999999999995"/>
    <n v="520"/>
  </r>
  <r>
    <x v="13"/>
    <x v="3"/>
    <x v="9"/>
    <n v="0.79093000000000002"/>
    <n v="0.78800000000000003"/>
    <n v="0.84"/>
    <n v="0.81399999999999995"/>
    <n v="520"/>
  </r>
  <r>
    <x v="13"/>
    <x v="3"/>
    <x v="9"/>
    <n v="0.79093000000000002"/>
    <n v="0.78800000000000003"/>
    <n v="0.84"/>
    <n v="0.81399999999999995"/>
    <n v="520"/>
  </r>
  <r>
    <x v="13"/>
    <x v="3"/>
    <x v="9"/>
    <n v="0.79093000000000002"/>
    <n v="0.78800000000000003"/>
    <n v="0.84"/>
    <n v="0.81399999999999995"/>
    <n v="520"/>
  </r>
  <r>
    <x v="13"/>
    <x v="3"/>
    <x v="9"/>
    <n v="0.79093000000000002"/>
    <n v="0.78800000000000003"/>
    <n v="0.84"/>
    <n v="0.81399999999999995"/>
    <n v="520"/>
  </r>
  <r>
    <x v="13"/>
    <x v="3"/>
    <x v="9"/>
    <n v="0.79093000000000002"/>
    <n v="0.78800000000000003"/>
    <n v="0.84"/>
    <n v="0.81399999999999995"/>
    <n v="520"/>
  </r>
  <r>
    <x v="13"/>
    <x v="3"/>
    <x v="9"/>
    <n v="0.79093000000000002"/>
    <n v="0.78800000000000003"/>
    <n v="0.84"/>
    <n v="0.81399999999999995"/>
    <n v="520"/>
  </r>
  <r>
    <x v="13"/>
    <x v="3"/>
    <x v="9"/>
    <n v="0.79093000000000002"/>
    <n v="0.78800000000000003"/>
    <n v="0.84"/>
    <n v="0.81399999999999995"/>
    <n v="520"/>
  </r>
  <r>
    <x v="13"/>
    <x v="4"/>
    <x v="9"/>
    <n v="0.79776000000000002"/>
    <n v="0.78800000000000003"/>
    <n v="0.84"/>
    <n v="0.81399999999999995"/>
    <n v="520"/>
  </r>
  <r>
    <x v="13"/>
    <x v="4"/>
    <x v="9"/>
    <n v="0.79776000000000002"/>
    <n v="0.78800000000000003"/>
    <n v="0.84"/>
    <n v="0.81399999999999995"/>
    <n v="520"/>
  </r>
  <r>
    <x v="13"/>
    <x v="4"/>
    <x v="9"/>
    <n v="0.79776000000000002"/>
    <n v="0.78800000000000003"/>
    <n v="0.84"/>
    <n v="0.81399999999999995"/>
    <n v="520"/>
  </r>
  <r>
    <x v="13"/>
    <x v="4"/>
    <x v="9"/>
    <n v="0.79776000000000002"/>
    <n v="0.78800000000000003"/>
    <n v="0.84"/>
    <n v="0.81399999999999995"/>
    <n v="520"/>
  </r>
  <r>
    <x v="13"/>
    <x v="4"/>
    <x v="9"/>
    <n v="0.79776000000000002"/>
    <n v="0.78800000000000003"/>
    <n v="0.84"/>
    <n v="0.81399999999999995"/>
    <n v="520"/>
  </r>
  <r>
    <x v="13"/>
    <x v="4"/>
    <x v="9"/>
    <n v="0.79776000000000002"/>
    <n v="0.78800000000000003"/>
    <n v="0.84"/>
    <n v="0.81399999999999995"/>
    <n v="520"/>
  </r>
  <r>
    <x v="13"/>
    <x v="4"/>
    <x v="9"/>
    <n v="0.79776000000000002"/>
    <n v="0.78800000000000003"/>
    <n v="0.84"/>
    <n v="0.81399999999999995"/>
    <n v="520"/>
  </r>
  <r>
    <x v="13"/>
    <x v="4"/>
    <x v="9"/>
    <n v="0.79776000000000002"/>
    <n v="0.78800000000000003"/>
    <n v="0.84"/>
    <n v="0.81399999999999995"/>
    <n v="520"/>
  </r>
  <r>
    <x v="13"/>
    <x v="4"/>
    <x v="9"/>
    <n v="0.79776000000000002"/>
    <n v="0.78800000000000003"/>
    <n v="0.84"/>
    <n v="0.81399999999999995"/>
    <n v="520"/>
  </r>
  <r>
    <x v="13"/>
    <x v="4"/>
    <x v="9"/>
    <n v="0.79776000000000002"/>
    <n v="0.78800000000000003"/>
    <n v="0.84"/>
    <n v="0.81399999999999995"/>
    <n v="520"/>
  </r>
  <r>
    <x v="13"/>
    <x v="4"/>
    <x v="9"/>
    <n v="0.79776000000000002"/>
    <n v="0.78800000000000003"/>
    <n v="0.84"/>
    <n v="0.81399999999999995"/>
    <n v="520"/>
  </r>
  <r>
    <x v="13"/>
    <x v="4"/>
    <x v="9"/>
    <n v="0.79776000000000002"/>
    <n v="0.78800000000000003"/>
    <n v="0.84"/>
    <n v="0.81399999999999995"/>
    <n v="520"/>
  </r>
  <r>
    <x v="13"/>
    <x v="4"/>
    <x v="9"/>
    <n v="0.79776000000000002"/>
    <n v="0.78800000000000003"/>
    <n v="0.84"/>
    <n v="0.81399999999999995"/>
    <n v="520"/>
  </r>
  <r>
    <x v="13"/>
    <x v="4"/>
    <x v="9"/>
    <n v="0.79776000000000002"/>
    <n v="0.78800000000000003"/>
    <n v="0.84"/>
    <n v="0.81399999999999995"/>
    <n v="520"/>
  </r>
  <r>
    <x v="13"/>
    <x v="4"/>
    <x v="9"/>
    <n v="0.79776000000000002"/>
    <n v="0.78800000000000003"/>
    <n v="0.84"/>
    <n v="0.81399999999999995"/>
    <n v="520"/>
  </r>
  <r>
    <x v="13"/>
    <x v="4"/>
    <x v="9"/>
    <n v="0.79776000000000002"/>
    <n v="0.78800000000000003"/>
    <n v="0.84"/>
    <n v="0.81399999999999995"/>
    <n v="520"/>
  </r>
  <r>
    <x v="13"/>
    <x v="4"/>
    <x v="9"/>
    <n v="0.79776000000000002"/>
    <n v="0.78800000000000003"/>
    <n v="0.84"/>
    <n v="0.81399999999999995"/>
    <n v="520"/>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4"/>
    <n v="95.546999999999997"/>
    <n v="90.2"/>
    <n v="96.406000000000006"/>
    <n v="93.302999999999997"/>
    <n v="620.6"/>
  </r>
  <r>
    <x v="13"/>
    <x v="4"/>
    <x v="10"/>
    <n v="0.90581999999999996"/>
    <n v="0.87099000000000004"/>
    <n v="0.90898999999999996"/>
    <n v="0.88998999999999995"/>
    <n v="380"/>
  </r>
  <r>
    <x v="13"/>
    <x v="4"/>
    <x v="10"/>
    <n v="0.90581999999999996"/>
    <n v="0.87099000000000004"/>
    <n v="0.90898999999999996"/>
    <n v="0.88998999999999995"/>
    <n v="380"/>
  </r>
  <r>
    <x v="13"/>
    <x v="4"/>
    <x v="10"/>
    <n v="0.90581999999999996"/>
    <n v="0.87099000000000004"/>
    <n v="0.90898999999999996"/>
    <n v="0.88998999999999995"/>
    <n v="380"/>
  </r>
  <r>
    <x v="13"/>
    <x v="4"/>
    <x v="10"/>
    <n v="0.90581999999999996"/>
    <n v="0.87099000000000004"/>
    <n v="0.90898999999999996"/>
    <n v="0.88998999999999995"/>
    <n v="380"/>
  </r>
  <r>
    <x v="13"/>
    <x v="4"/>
    <x v="10"/>
    <n v="0.90581999999999996"/>
    <n v="0.87099000000000004"/>
    <n v="0.90898999999999996"/>
    <n v="0.88998999999999995"/>
    <n v="380"/>
  </r>
  <r>
    <x v="13"/>
    <x v="4"/>
    <x v="10"/>
    <n v="0.90581999999999996"/>
    <n v="0.87099000000000004"/>
    <n v="0.90898999999999996"/>
    <n v="0.88998999999999995"/>
    <n v="380"/>
  </r>
  <r>
    <x v="13"/>
    <x v="4"/>
    <x v="10"/>
    <n v="0.90581999999999996"/>
    <n v="0.87099000000000004"/>
    <n v="0.90898999999999996"/>
    <n v="0.88998999999999995"/>
    <n v="380"/>
  </r>
  <r>
    <x v="13"/>
    <x v="4"/>
    <x v="10"/>
    <n v="0.90581999999999996"/>
    <n v="0.87099000000000004"/>
    <n v="0.90898999999999996"/>
    <n v="0.88998999999999995"/>
    <n v="380"/>
  </r>
  <r>
    <x v="13"/>
    <x v="4"/>
    <x v="10"/>
    <n v="0.90581999999999996"/>
    <n v="0.87099000000000004"/>
    <n v="0.90898999999999996"/>
    <n v="0.88998999999999995"/>
    <n v="380"/>
  </r>
  <r>
    <x v="13"/>
    <x v="4"/>
    <x v="10"/>
    <n v="0.90581999999999996"/>
    <n v="0.87099000000000004"/>
    <n v="0.90898999999999996"/>
    <n v="0.88998999999999995"/>
    <n v="380"/>
  </r>
  <r>
    <x v="13"/>
    <x v="4"/>
    <x v="10"/>
    <n v="0.90581999999999996"/>
    <n v="0.87099000000000004"/>
    <n v="0.90898999999999996"/>
    <n v="0.88998999999999995"/>
    <n v="380"/>
  </r>
  <r>
    <x v="13"/>
    <x v="4"/>
    <x v="10"/>
    <n v="0.90581999999999996"/>
    <n v="0.87099000000000004"/>
    <n v="0.90898999999999996"/>
    <n v="0.88998999999999995"/>
    <n v="380"/>
  </r>
  <r>
    <x v="13"/>
    <x v="4"/>
    <x v="10"/>
    <n v="0.90581999999999996"/>
    <n v="0.87099000000000004"/>
    <n v="0.90898999999999996"/>
    <n v="0.88998999999999995"/>
    <n v="380"/>
  </r>
  <r>
    <x v="13"/>
    <x v="4"/>
    <x v="10"/>
    <n v="0.90581999999999996"/>
    <n v="0.87099000000000004"/>
    <n v="0.90898999999999996"/>
    <n v="0.88998999999999995"/>
    <n v="380"/>
  </r>
  <r>
    <x v="13"/>
    <x v="4"/>
    <x v="10"/>
    <n v="0.90581999999999996"/>
    <n v="0.87099000000000004"/>
    <n v="0.90898999999999996"/>
    <n v="0.88998999999999995"/>
    <n v="380"/>
  </r>
  <r>
    <x v="13"/>
    <x v="4"/>
    <x v="10"/>
    <n v="0.90581999999999996"/>
    <n v="0.87099000000000004"/>
    <n v="0.90898999999999996"/>
    <n v="0.88998999999999995"/>
    <n v="380"/>
  </r>
  <r>
    <x v="13"/>
    <x v="4"/>
    <x v="10"/>
    <n v="0.90581999999999996"/>
    <n v="0.87099000000000004"/>
    <n v="0.90898999999999996"/>
    <n v="0.88998999999999995"/>
    <n v="380"/>
  </r>
  <r>
    <x v="13"/>
    <x v="4"/>
    <x v="10"/>
    <n v="0.90581999999999996"/>
    <n v="0.87099000000000004"/>
    <n v="0.90898999999999996"/>
    <n v="0.88998999999999995"/>
    <n v="380"/>
  </r>
  <r>
    <x v="13"/>
    <x v="4"/>
    <x v="10"/>
    <n v="0.90581999999999996"/>
    <n v="0.87099000000000004"/>
    <n v="0.90898999999999996"/>
    <n v="0.88998999999999995"/>
    <n v="380"/>
  </r>
  <r>
    <x v="13"/>
    <x v="4"/>
    <x v="10"/>
    <n v="0.90581999999999996"/>
    <n v="0.87099000000000004"/>
    <n v="0.90898999999999996"/>
    <n v="0.88998999999999995"/>
    <n v="380"/>
  </r>
  <r>
    <x v="13"/>
    <x v="4"/>
    <x v="10"/>
    <n v="0.90581999999999996"/>
    <n v="0.87099000000000004"/>
    <n v="0.90898999999999996"/>
    <n v="0.88998999999999995"/>
    <n v="380"/>
  </r>
  <r>
    <x v="13"/>
    <x v="4"/>
    <x v="10"/>
    <n v="0.90581999999999996"/>
    <n v="0.87099000000000004"/>
    <n v="0.90898999999999996"/>
    <n v="0.88998999999999995"/>
    <n v="380"/>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6"/>
    <n v="0.8508"/>
    <n v="0.82540999999999998"/>
    <n v="0.87951999999999997"/>
    <n v="0.85246500000000003"/>
    <n v="541.1"/>
  </r>
  <r>
    <x v="13"/>
    <x v="4"/>
    <x v="9"/>
    <n v="0.79776000000000002"/>
    <n v="0.78800000000000003"/>
    <n v="0.84"/>
    <n v="0.81399999999999995"/>
    <n v="520"/>
  </r>
  <r>
    <x v="13"/>
    <x v="4"/>
    <x v="9"/>
    <n v="0.79776000000000002"/>
    <n v="0.78800000000000003"/>
    <n v="0.84"/>
    <n v="0.81399999999999995"/>
    <n v="520"/>
  </r>
  <r>
    <x v="13"/>
    <x v="4"/>
    <x v="9"/>
    <n v="0.79776000000000002"/>
    <n v="0.78800000000000003"/>
    <n v="0.84"/>
    <n v="0.81399999999999995"/>
    <n v="520"/>
  </r>
  <r>
    <x v="13"/>
    <x v="4"/>
    <x v="9"/>
    <n v="0.79776000000000002"/>
    <n v="0.78800000000000003"/>
    <n v="0.84"/>
    <n v="0.81399999999999995"/>
    <n v="520"/>
  </r>
  <r>
    <x v="13"/>
    <x v="4"/>
    <x v="9"/>
    <n v="0.79776000000000002"/>
    <n v="0.78800000000000003"/>
    <n v="0.84"/>
    <n v="0.81399999999999995"/>
    <n v="520"/>
  </r>
  <r>
    <x v="13"/>
    <x v="4"/>
    <x v="9"/>
    <n v="0.79776000000000002"/>
    <n v="0.78800000000000003"/>
    <n v="0.84"/>
    <n v="0.81399999999999995"/>
    <n v="520"/>
  </r>
  <r>
    <x v="13"/>
    <x v="4"/>
    <x v="9"/>
    <n v="0.79776000000000002"/>
    <n v="0.78800000000000003"/>
    <n v="0.84"/>
    <n v="0.81399999999999995"/>
    <n v="520"/>
  </r>
  <r>
    <x v="13"/>
    <x v="4"/>
    <x v="9"/>
    <n v="0.79776000000000002"/>
    <n v="0.78800000000000003"/>
    <n v="0.84"/>
    <n v="0.81399999999999995"/>
    <n v="520"/>
  </r>
  <r>
    <x v="13"/>
    <x v="4"/>
    <x v="9"/>
    <n v="0.79776000000000002"/>
    <n v="0.78800000000000003"/>
    <n v="0.84"/>
    <n v="0.81399999999999995"/>
    <n v="520"/>
  </r>
  <r>
    <x v="13"/>
    <x v="4"/>
    <x v="9"/>
    <n v="0.79776000000000002"/>
    <n v="0.78800000000000003"/>
    <n v="0.84"/>
    <n v="0.81399999999999995"/>
    <n v="520"/>
  </r>
  <r>
    <x v="13"/>
    <x v="4"/>
    <x v="9"/>
    <n v="0.79776000000000002"/>
    <n v="0.78800000000000003"/>
    <n v="0.84"/>
    <n v="0.81399999999999995"/>
    <n v="520"/>
  </r>
  <r>
    <x v="13"/>
    <x v="4"/>
    <x v="9"/>
    <n v="0.79776000000000002"/>
    <n v="0.78800000000000003"/>
    <n v="0.84"/>
    <n v="0.81399999999999995"/>
    <n v="520"/>
  </r>
  <r>
    <x v="13"/>
    <x v="5"/>
    <x v="9"/>
    <n v="0.79937000000000002"/>
    <n v="0.78800000000000003"/>
    <n v="0.84"/>
    <n v="0.81399999999999995"/>
    <n v="520"/>
  </r>
  <r>
    <x v="13"/>
    <x v="5"/>
    <x v="9"/>
    <n v="0.79937000000000002"/>
    <n v="0.78800000000000003"/>
    <n v="0.84"/>
    <n v="0.81399999999999995"/>
    <n v="520"/>
  </r>
  <r>
    <x v="13"/>
    <x v="5"/>
    <x v="9"/>
    <n v="0.79937000000000002"/>
    <n v="0.78800000000000003"/>
    <n v="0.84"/>
    <n v="0.81399999999999995"/>
    <n v="520"/>
  </r>
  <r>
    <x v="13"/>
    <x v="5"/>
    <x v="9"/>
    <n v="0.79937000000000002"/>
    <n v="0.78800000000000003"/>
    <n v="0.84"/>
    <n v="0.81399999999999995"/>
    <n v="520"/>
  </r>
  <r>
    <x v="13"/>
    <x v="5"/>
    <x v="9"/>
    <n v="0.79937000000000002"/>
    <n v="0.78800000000000003"/>
    <n v="0.84"/>
    <n v="0.81399999999999995"/>
    <n v="520"/>
  </r>
  <r>
    <x v="13"/>
    <x v="5"/>
    <x v="9"/>
    <n v="0.79937000000000002"/>
    <n v="0.78800000000000003"/>
    <n v="0.84"/>
    <n v="0.81399999999999995"/>
    <n v="520"/>
  </r>
  <r>
    <x v="13"/>
    <x v="5"/>
    <x v="9"/>
    <n v="0.79937000000000002"/>
    <n v="0.78800000000000003"/>
    <n v="0.84"/>
    <n v="0.81399999999999995"/>
    <n v="520"/>
  </r>
  <r>
    <x v="13"/>
    <x v="5"/>
    <x v="9"/>
    <n v="0.79937000000000002"/>
    <n v="0.78800000000000003"/>
    <n v="0.84"/>
    <n v="0.81399999999999995"/>
    <n v="520"/>
  </r>
  <r>
    <x v="13"/>
    <x v="5"/>
    <x v="9"/>
    <n v="0.79937000000000002"/>
    <n v="0.78800000000000003"/>
    <n v="0.84"/>
    <n v="0.81399999999999995"/>
    <n v="520"/>
  </r>
  <r>
    <x v="13"/>
    <x v="5"/>
    <x v="9"/>
    <n v="0.79937000000000002"/>
    <n v="0.78800000000000003"/>
    <n v="0.84"/>
    <n v="0.81399999999999995"/>
    <n v="520"/>
  </r>
  <r>
    <x v="13"/>
    <x v="5"/>
    <x v="9"/>
    <n v="0.79937000000000002"/>
    <n v="0.78800000000000003"/>
    <n v="0.84"/>
    <n v="0.81399999999999995"/>
    <n v="520"/>
  </r>
  <r>
    <x v="13"/>
    <x v="5"/>
    <x v="9"/>
    <n v="0.79937000000000002"/>
    <n v="0.78800000000000003"/>
    <n v="0.84"/>
    <n v="0.81399999999999995"/>
    <n v="520"/>
  </r>
  <r>
    <x v="13"/>
    <x v="5"/>
    <x v="9"/>
    <n v="0.79937000000000002"/>
    <n v="0.78800000000000003"/>
    <n v="0.84"/>
    <n v="0.81399999999999995"/>
    <n v="520"/>
  </r>
  <r>
    <x v="13"/>
    <x v="5"/>
    <x v="9"/>
    <n v="0.79937000000000002"/>
    <n v="0.78800000000000003"/>
    <n v="0.84"/>
    <n v="0.81399999999999995"/>
    <n v="520"/>
  </r>
  <r>
    <x v="13"/>
    <x v="5"/>
    <x v="9"/>
    <n v="0.79937000000000002"/>
    <n v="0.78800000000000003"/>
    <n v="0.84"/>
    <n v="0.81399999999999995"/>
    <n v="520"/>
  </r>
  <r>
    <x v="13"/>
    <x v="5"/>
    <x v="9"/>
    <n v="0.79937000000000002"/>
    <n v="0.78800000000000003"/>
    <n v="0.84"/>
    <n v="0.81399999999999995"/>
    <n v="520"/>
  </r>
  <r>
    <x v="13"/>
    <x v="5"/>
    <x v="9"/>
    <n v="0.79937000000000002"/>
    <n v="0.78800000000000003"/>
    <n v="0.84"/>
    <n v="0.81399999999999995"/>
    <n v="520"/>
  </r>
  <r>
    <x v="13"/>
    <x v="5"/>
    <x v="9"/>
    <n v="0.79937000000000002"/>
    <n v="0.78800000000000003"/>
    <n v="0.84"/>
    <n v="0.81399999999999995"/>
    <n v="520"/>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4"/>
    <n v="94.623999999999995"/>
    <n v="90.2"/>
    <n v="96.406000000000006"/>
    <n v="93.302999999999997"/>
    <n v="620.6"/>
  </r>
  <r>
    <x v="13"/>
    <x v="5"/>
    <x v="10"/>
    <n v="0.90522999999999998"/>
    <n v="0.87099000000000004"/>
    <n v="0.91100999999999999"/>
    <n v="0.89100000000000001"/>
    <n v="400.2"/>
  </r>
  <r>
    <x v="13"/>
    <x v="5"/>
    <x v="10"/>
    <n v="0.90522999999999998"/>
    <n v="0.87099000000000004"/>
    <n v="0.91100999999999999"/>
    <n v="0.89100000000000001"/>
    <n v="400.2"/>
  </r>
  <r>
    <x v="13"/>
    <x v="5"/>
    <x v="10"/>
    <n v="0.90522999999999998"/>
    <n v="0.87099000000000004"/>
    <n v="0.91100999999999999"/>
    <n v="0.89100000000000001"/>
    <n v="400.2"/>
  </r>
  <r>
    <x v="13"/>
    <x v="5"/>
    <x v="10"/>
    <n v="0.90522999999999998"/>
    <n v="0.87099000000000004"/>
    <n v="0.91100999999999999"/>
    <n v="0.89100000000000001"/>
    <n v="400.2"/>
  </r>
  <r>
    <x v="13"/>
    <x v="5"/>
    <x v="10"/>
    <n v="0.90522999999999998"/>
    <n v="0.87099000000000004"/>
    <n v="0.91100999999999999"/>
    <n v="0.89100000000000001"/>
    <n v="400.2"/>
  </r>
  <r>
    <x v="13"/>
    <x v="5"/>
    <x v="10"/>
    <n v="0.90522999999999998"/>
    <n v="0.87099000000000004"/>
    <n v="0.91100999999999999"/>
    <n v="0.89100000000000001"/>
    <n v="400.2"/>
  </r>
  <r>
    <x v="13"/>
    <x v="5"/>
    <x v="10"/>
    <n v="0.90522999999999998"/>
    <n v="0.87099000000000004"/>
    <n v="0.91100999999999999"/>
    <n v="0.89100000000000001"/>
    <n v="400.2"/>
  </r>
  <r>
    <x v="13"/>
    <x v="5"/>
    <x v="10"/>
    <n v="0.90522999999999998"/>
    <n v="0.87099000000000004"/>
    <n v="0.91100999999999999"/>
    <n v="0.89100000000000001"/>
    <n v="400.2"/>
  </r>
  <r>
    <x v="13"/>
    <x v="5"/>
    <x v="10"/>
    <n v="0.90522999999999998"/>
    <n v="0.87099000000000004"/>
    <n v="0.91100999999999999"/>
    <n v="0.89100000000000001"/>
    <n v="400.2"/>
  </r>
  <r>
    <x v="13"/>
    <x v="5"/>
    <x v="10"/>
    <n v="0.90522999999999998"/>
    <n v="0.87099000000000004"/>
    <n v="0.91100999999999999"/>
    <n v="0.89100000000000001"/>
    <n v="400.2"/>
  </r>
  <r>
    <x v="13"/>
    <x v="5"/>
    <x v="10"/>
    <n v="0.90522999999999998"/>
    <n v="0.87099000000000004"/>
    <n v="0.91100999999999999"/>
    <n v="0.89100000000000001"/>
    <n v="400.2"/>
  </r>
  <r>
    <x v="13"/>
    <x v="5"/>
    <x v="10"/>
    <n v="0.90522999999999998"/>
    <n v="0.87099000000000004"/>
    <n v="0.91100999999999999"/>
    <n v="0.89100000000000001"/>
    <n v="400.2"/>
  </r>
  <r>
    <x v="13"/>
    <x v="5"/>
    <x v="10"/>
    <n v="0.90522999999999998"/>
    <n v="0.87099000000000004"/>
    <n v="0.91100999999999999"/>
    <n v="0.89100000000000001"/>
    <n v="400.2"/>
  </r>
  <r>
    <x v="13"/>
    <x v="5"/>
    <x v="10"/>
    <n v="0.90522999999999998"/>
    <n v="0.87099000000000004"/>
    <n v="0.91100999999999999"/>
    <n v="0.89100000000000001"/>
    <n v="400.2"/>
  </r>
  <r>
    <x v="13"/>
    <x v="5"/>
    <x v="10"/>
    <n v="0.90522999999999998"/>
    <n v="0.87099000000000004"/>
    <n v="0.91100999999999999"/>
    <n v="0.89100000000000001"/>
    <n v="400.2"/>
  </r>
  <r>
    <x v="13"/>
    <x v="5"/>
    <x v="10"/>
    <n v="0.90522999999999998"/>
    <n v="0.87099000000000004"/>
    <n v="0.91100999999999999"/>
    <n v="0.89100000000000001"/>
    <n v="400.2"/>
  </r>
  <r>
    <x v="13"/>
    <x v="5"/>
    <x v="10"/>
    <n v="0.90522999999999998"/>
    <n v="0.87099000000000004"/>
    <n v="0.91100999999999999"/>
    <n v="0.89100000000000001"/>
    <n v="400.2"/>
  </r>
  <r>
    <x v="13"/>
    <x v="5"/>
    <x v="10"/>
    <n v="0.90522999999999998"/>
    <n v="0.87099000000000004"/>
    <n v="0.91100999999999999"/>
    <n v="0.89100000000000001"/>
    <n v="400.2"/>
  </r>
  <r>
    <x v="13"/>
    <x v="5"/>
    <x v="10"/>
    <n v="0.90522999999999998"/>
    <n v="0.87099000000000004"/>
    <n v="0.91100999999999999"/>
    <n v="0.89100000000000001"/>
    <n v="400.2"/>
  </r>
  <r>
    <x v="13"/>
    <x v="5"/>
    <x v="10"/>
    <n v="0.90522999999999998"/>
    <n v="0.87099000000000004"/>
    <n v="0.91100999999999999"/>
    <n v="0.89100000000000001"/>
    <n v="400.2"/>
  </r>
  <r>
    <x v="13"/>
    <x v="5"/>
    <x v="10"/>
    <n v="0.90522999999999998"/>
    <n v="0.87099000000000004"/>
    <n v="0.91100999999999999"/>
    <n v="0.89100000000000001"/>
    <n v="400.2"/>
  </r>
  <r>
    <x v="13"/>
    <x v="5"/>
    <x v="10"/>
    <n v="0.90522999999999998"/>
    <n v="0.87099000000000004"/>
    <n v="0.91100999999999999"/>
    <n v="0.89100000000000001"/>
    <n v="400.2"/>
  </r>
  <r>
    <x v="13"/>
    <x v="5"/>
    <x v="10"/>
    <n v="0.90522999999999998"/>
    <n v="0.87099000000000004"/>
    <n v="0.91100999999999999"/>
    <n v="0.89100000000000001"/>
    <n v="400.2"/>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6"/>
    <n v="0.84557000000000004"/>
    <n v="0.82540999999999998"/>
    <n v="0.87951999999999997"/>
    <n v="0.85246500000000003"/>
    <n v="541.1"/>
  </r>
  <r>
    <x v="13"/>
    <x v="5"/>
    <x v="9"/>
    <n v="0.79937000000000002"/>
    <n v="0.78800000000000003"/>
    <n v="0.84"/>
    <n v="0.81399999999999995"/>
    <n v="520"/>
  </r>
  <r>
    <x v="13"/>
    <x v="5"/>
    <x v="9"/>
    <n v="0.79937000000000002"/>
    <n v="0.78800000000000003"/>
    <n v="0.84"/>
    <n v="0.81399999999999995"/>
    <n v="520"/>
  </r>
  <r>
    <x v="13"/>
    <x v="5"/>
    <x v="9"/>
    <n v="0.79937000000000002"/>
    <n v="0.78800000000000003"/>
    <n v="0.84"/>
    <n v="0.81399999999999995"/>
    <n v="520"/>
  </r>
  <r>
    <x v="13"/>
    <x v="5"/>
    <x v="9"/>
    <n v="0.79937000000000002"/>
    <n v="0.78800000000000003"/>
    <n v="0.84"/>
    <n v="0.81399999999999995"/>
    <n v="520"/>
  </r>
  <r>
    <x v="13"/>
    <x v="5"/>
    <x v="9"/>
    <n v="0.79937000000000002"/>
    <n v="0.78800000000000003"/>
    <n v="0.84"/>
    <n v="0.81399999999999995"/>
    <n v="520"/>
  </r>
  <r>
    <x v="13"/>
    <x v="5"/>
    <x v="9"/>
    <n v="0.79937000000000002"/>
    <n v="0.78800000000000003"/>
    <n v="0.84"/>
    <n v="0.81399999999999995"/>
    <n v="520"/>
  </r>
  <r>
    <x v="13"/>
    <x v="5"/>
    <x v="9"/>
    <n v="0.79937000000000002"/>
    <n v="0.78800000000000003"/>
    <n v="0.84"/>
    <n v="0.81399999999999995"/>
    <n v="520"/>
  </r>
  <r>
    <x v="13"/>
    <x v="5"/>
    <x v="9"/>
    <n v="0.79937000000000002"/>
    <n v="0.78800000000000003"/>
    <n v="0.84"/>
    <n v="0.81399999999999995"/>
    <n v="520"/>
  </r>
  <r>
    <x v="13"/>
    <x v="5"/>
    <x v="9"/>
    <n v="0.79937000000000002"/>
    <n v="0.78800000000000003"/>
    <n v="0.84"/>
    <n v="0.81399999999999995"/>
    <n v="520"/>
  </r>
  <r>
    <x v="13"/>
    <x v="5"/>
    <x v="9"/>
    <n v="0.79937000000000002"/>
    <n v="0.78800000000000003"/>
    <n v="0.84"/>
    <n v="0.81399999999999995"/>
    <n v="520"/>
  </r>
  <r>
    <x v="13"/>
    <x v="5"/>
    <x v="9"/>
    <n v="0.79937000000000002"/>
    <n v="0.78800000000000003"/>
    <n v="0.84"/>
    <n v="0.81399999999999995"/>
    <n v="520"/>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6"/>
    <x v="4"/>
    <n v="95.356999999999999"/>
    <n v="90.2"/>
    <n v="96.406000000000006"/>
    <n v="93.302999999999997"/>
    <n v="620.6"/>
  </r>
  <r>
    <x v="13"/>
    <x v="7"/>
    <x v="9"/>
    <n v="0.79893999999999998"/>
    <n v="0.78800000000000003"/>
    <n v="0.84"/>
    <n v="0.81399999999999995"/>
    <n v="520"/>
  </r>
  <r>
    <x v="13"/>
    <x v="7"/>
    <x v="9"/>
    <n v="0.79893999999999998"/>
    <n v="0.78800000000000003"/>
    <n v="0.84"/>
    <n v="0.81399999999999995"/>
    <n v="520"/>
  </r>
  <r>
    <x v="13"/>
    <x v="7"/>
    <x v="9"/>
    <n v="0.79893999999999998"/>
    <n v="0.78800000000000003"/>
    <n v="0.84"/>
    <n v="0.81399999999999995"/>
    <n v="520"/>
  </r>
  <r>
    <x v="13"/>
    <x v="7"/>
    <x v="9"/>
    <n v="0.79893999999999998"/>
    <n v="0.78800000000000003"/>
    <n v="0.84"/>
    <n v="0.81399999999999995"/>
    <n v="520"/>
  </r>
  <r>
    <x v="13"/>
    <x v="7"/>
    <x v="9"/>
    <n v="0.79893999999999998"/>
    <n v="0.78800000000000003"/>
    <n v="0.84"/>
    <n v="0.81399999999999995"/>
    <n v="520"/>
  </r>
  <r>
    <x v="13"/>
    <x v="7"/>
    <x v="9"/>
    <n v="0.79893999999999998"/>
    <n v="0.78800000000000003"/>
    <n v="0.84"/>
    <n v="0.81399999999999995"/>
    <n v="520"/>
  </r>
  <r>
    <x v="13"/>
    <x v="7"/>
    <x v="9"/>
    <n v="0.79893999999999998"/>
    <n v="0.78800000000000003"/>
    <n v="0.84"/>
    <n v="0.81399999999999995"/>
    <n v="520"/>
  </r>
  <r>
    <x v="13"/>
    <x v="7"/>
    <x v="9"/>
    <n v="0.79893999999999998"/>
    <n v="0.78800000000000003"/>
    <n v="0.84"/>
    <n v="0.81399999999999995"/>
    <n v="520"/>
  </r>
  <r>
    <x v="13"/>
    <x v="7"/>
    <x v="9"/>
    <n v="0.79893999999999998"/>
    <n v="0.78800000000000003"/>
    <n v="0.84"/>
    <n v="0.81399999999999995"/>
    <n v="520"/>
  </r>
  <r>
    <x v="13"/>
    <x v="7"/>
    <x v="9"/>
    <n v="0.79893999999999998"/>
    <n v="0.78800000000000003"/>
    <n v="0.84"/>
    <n v="0.81399999999999995"/>
    <n v="520"/>
  </r>
  <r>
    <x v="13"/>
    <x v="7"/>
    <x v="9"/>
    <n v="0.79893999999999998"/>
    <n v="0.78800000000000003"/>
    <n v="0.84"/>
    <n v="0.81399999999999995"/>
    <n v="520"/>
  </r>
  <r>
    <x v="13"/>
    <x v="7"/>
    <x v="9"/>
    <n v="0.79893999999999998"/>
    <n v="0.78800000000000003"/>
    <n v="0.84"/>
    <n v="0.81399999999999995"/>
    <n v="520"/>
  </r>
  <r>
    <x v="13"/>
    <x v="7"/>
    <x v="9"/>
    <n v="0.79893999999999998"/>
    <n v="0.78800000000000003"/>
    <n v="0.84"/>
    <n v="0.81399999999999995"/>
    <n v="520"/>
  </r>
  <r>
    <x v="13"/>
    <x v="7"/>
    <x v="9"/>
    <n v="0.79893999999999998"/>
    <n v="0.78800000000000003"/>
    <n v="0.84"/>
    <n v="0.81399999999999995"/>
    <n v="520"/>
  </r>
  <r>
    <x v="13"/>
    <x v="7"/>
    <x v="9"/>
    <n v="0.79893999999999998"/>
    <n v="0.78800000000000003"/>
    <n v="0.84"/>
    <n v="0.81399999999999995"/>
    <n v="520"/>
  </r>
  <r>
    <x v="13"/>
    <x v="7"/>
    <x v="9"/>
    <n v="0.79893999999999998"/>
    <n v="0.78800000000000003"/>
    <n v="0.84"/>
    <n v="0.81399999999999995"/>
    <n v="520"/>
  </r>
  <r>
    <x v="13"/>
    <x v="7"/>
    <x v="9"/>
    <n v="0.79893999999999998"/>
    <n v="0.78800000000000003"/>
    <n v="0.84"/>
    <n v="0.81399999999999995"/>
    <n v="520"/>
  </r>
  <r>
    <x v="13"/>
    <x v="7"/>
    <x v="9"/>
    <n v="0.79893999999999998"/>
    <n v="0.78800000000000003"/>
    <n v="0.84"/>
    <n v="0.81399999999999995"/>
    <n v="520"/>
  </r>
  <r>
    <x v="13"/>
    <x v="7"/>
    <x v="9"/>
    <n v="0.79893999999999998"/>
    <n v="0.78800000000000003"/>
    <n v="0.84"/>
    <n v="0.81399999999999995"/>
    <n v="520"/>
  </r>
  <r>
    <x v="13"/>
    <x v="7"/>
    <x v="9"/>
    <n v="0.79893999999999998"/>
    <n v="0.78800000000000003"/>
    <n v="0.84"/>
    <n v="0.81399999999999995"/>
    <n v="520"/>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4"/>
    <n v="96.778999999999996"/>
    <n v="90.2"/>
    <n v="96.804000000000002"/>
    <n v="93.501999999999995"/>
    <n v="660.4"/>
  </r>
  <r>
    <x v="13"/>
    <x v="7"/>
    <x v="10"/>
    <n v="0.91359999999999997"/>
    <n v="0.87099000000000004"/>
    <n v="0.91500000000000004"/>
    <n v="0.89299499999999998"/>
    <n v="440.1"/>
  </r>
  <r>
    <x v="13"/>
    <x v="7"/>
    <x v="10"/>
    <n v="0.91359999999999997"/>
    <n v="0.87099000000000004"/>
    <n v="0.91500000000000004"/>
    <n v="0.89299499999999998"/>
    <n v="440.1"/>
  </r>
  <r>
    <x v="13"/>
    <x v="7"/>
    <x v="10"/>
    <n v="0.91359999999999997"/>
    <n v="0.87099000000000004"/>
    <n v="0.91500000000000004"/>
    <n v="0.89299499999999998"/>
    <n v="440.1"/>
  </r>
  <r>
    <x v="13"/>
    <x v="7"/>
    <x v="10"/>
    <n v="0.91359999999999997"/>
    <n v="0.87099000000000004"/>
    <n v="0.91500000000000004"/>
    <n v="0.89299499999999998"/>
    <n v="440.1"/>
  </r>
  <r>
    <x v="13"/>
    <x v="7"/>
    <x v="10"/>
    <n v="0.91359999999999997"/>
    <n v="0.87099000000000004"/>
    <n v="0.91500000000000004"/>
    <n v="0.89299499999999998"/>
    <n v="440.1"/>
  </r>
  <r>
    <x v="13"/>
    <x v="7"/>
    <x v="10"/>
    <n v="0.91359999999999997"/>
    <n v="0.87099000000000004"/>
    <n v="0.91500000000000004"/>
    <n v="0.89299499999999998"/>
    <n v="440.1"/>
  </r>
  <r>
    <x v="13"/>
    <x v="7"/>
    <x v="10"/>
    <n v="0.91359999999999997"/>
    <n v="0.87099000000000004"/>
    <n v="0.91500000000000004"/>
    <n v="0.89299499999999998"/>
    <n v="440.1"/>
  </r>
  <r>
    <x v="13"/>
    <x v="7"/>
    <x v="10"/>
    <n v="0.91359999999999997"/>
    <n v="0.87099000000000004"/>
    <n v="0.91500000000000004"/>
    <n v="0.89299499999999998"/>
    <n v="440.1"/>
  </r>
  <r>
    <x v="13"/>
    <x v="7"/>
    <x v="10"/>
    <n v="0.91359999999999997"/>
    <n v="0.87099000000000004"/>
    <n v="0.91500000000000004"/>
    <n v="0.89299499999999998"/>
    <n v="440.1"/>
  </r>
  <r>
    <x v="13"/>
    <x v="7"/>
    <x v="10"/>
    <n v="0.91359999999999997"/>
    <n v="0.87099000000000004"/>
    <n v="0.91500000000000004"/>
    <n v="0.89299499999999998"/>
    <n v="440.1"/>
  </r>
  <r>
    <x v="13"/>
    <x v="7"/>
    <x v="10"/>
    <n v="0.91359999999999997"/>
    <n v="0.87099000000000004"/>
    <n v="0.91500000000000004"/>
    <n v="0.89299499999999998"/>
    <n v="440.1"/>
  </r>
  <r>
    <x v="13"/>
    <x v="7"/>
    <x v="10"/>
    <n v="0.91359999999999997"/>
    <n v="0.87099000000000004"/>
    <n v="0.91500000000000004"/>
    <n v="0.89299499999999998"/>
    <n v="440.1"/>
  </r>
  <r>
    <x v="13"/>
    <x v="7"/>
    <x v="10"/>
    <n v="0.91359999999999997"/>
    <n v="0.87099000000000004"/>
    <n v="0.91500000000000004"/>
    <n v="0.89299499999999998"/>
    <n v="440.1"/>
  </r>
  <r>
    <x v="13"/>
    <x v="7"/>
    <x v="10"/>
    <n v="0.91359999999999997"/>
    <n v="0.87099000000000004"/>
    <n v="0.91500000000000004"/>
    <n v="0.89299499999999998"/>
    <n v="440.1"/>
  </r>
  <r>
    <x v="13"/>
    <x v="7"/>
    <x v="10"/>
    <n v="0.91359999999999997"/>
    <n v="0.87099000000000004"/>
    <n v="0.91500000000000004"/>
    <n v="0.89299499999999998"/>
    <n v="440.1"/>
  </r>
  <r>
    <x v="13"/>
    <x v="7"/>
    <x v="10"/>
    <n v="0.91359999999999997"/>
    <n v="0.87099000000000004"/>
    <n v="0.91500000000000004"/>
    <n v="0.89299499999999998"/>
    <n v="440.1"/>
  </r>
  <r>
    <x v="13"/>
    <x v="7"/>
    <x v="10"/>
    <n v="0.91359999999999997"/>
    <n v="0.87099000000000004"/>
    <n v="0.91500000000000004"/>
    <n v="0.89299499999999998"/>
    <n v="440.1"/>
  </r>
  <r>
    <x v="13"/>
    <x v="7"/>
    <x v="10"/>
    <n v="0.91359999999999997"/>
    <n v="0.87099000000000004"/>
    <n v="0.91500000000000004"/>
    <n v="0.89299499999999998"/>
    <n v="440.1"/>
  </r>
  <r>
    <x v="13"/>
    <x v="7"/>
    <x v="10"/>
    <n v="0.91359999999999997"/>
    <n v="0.87099000000000004"/>
    <n v="0.91500000000000004"/>
    <n v="0.89299499999999998"/>
    <n v="440.1"/>
  </r>
  <r>
    <x v="13"/>
    <x v="7"/>
    <x v="10"/>
    <n v="0.91359999999999997"/>
    <n v="0.87099000000000004"/>
    <n v="0.91500000000000004"/>
    <n v="0.89299499999999998"/>
    <n v="440.1"/>
  </r>
  <r>
    <x v="13"/>
    <x v="7"/>
    <x v="10"/>
    <n v="0.91359999999999997"/>
    <n v="0.87099000000000004"/>
    <n v="0.91500000000000004"/>
    <n v="0.89299499999999998"/>
    <n v="440.1"/>
  </r>
  <r>
    <x v="13"/>
    <x v="7"/>
    <x v="10"/>
    <n v="0.91359999999999997"/>
    <n v="0.87099000000000004"/>
    <n v="0.91500000000000004"/>
    <n v="0.89299499999999998"/>
    <n v="440.1"/>
  </r>
  <r>
    <x v="13"/>
    <x v="7"/>
    <x v="10"/>
    <n v="0.91359999999999997"/>
    <n v="0.87099000000000004"/>
    <n v="0.91500000000000004"/>
    <n v="0.89299499999999998"/>
    <n v="440.1"/>
  </r>
  <r>
    <x v="13"/>
    <x v="7"/>
    <x v="10"/>
    <n v="0.91359999999999997"/>
    <n v="0.87099000000000004"/>
    <n v="0.91500000000000004"/>
    <n v="0.89299499999999998"/>
    <n v="440.1"/>
  </r>
  <r>
    <x v="13"/>
    <x v="7"/>
    <x v="10"/>
    <n v="0.91359999999999997"/>
    <n v="0.87099000000000004"/>
    <n v="0.91500000000000004"/>
    <n v="0.89299499999999998"/>
    <n v="440.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6"/>
    <n v="0.84001999999999999"/>
    <n v="0.82540999999999998"/>
    <n v="0.87951999999999997"/>
    <n v="0.85246500000000003"/>
    <n v="541.1"/>
  </r>
  <r>
    <x v="13"/>
    <x v="7"/>
    <x v="9"/>
    <n v="0.79893999999999998"/>
    <n v="0.78800000000000003"/>
    <n v="0.84"/>
    <n v="0.81399999999999995"/>
    <n v="520"/>
  </r>
  <r>
    <x v="13"/>
    <x v="7"/>
    <x v="9"/>
    <n v="0.79893999999999998"/>
    <n v="0.78800000000000003"/>
    <n v="0.84"/>
    <n v="0.81399999999999995"/>
    <n v="520"/>
  </r>
  <r>
    <x v="13"/>
    <x v="7"/>
    <x v="9"/>
    <n v="0.79893999999999998"/>
    <n v="0.78800000000000003"/>
    <n v="0.84"/>
    <n v="0.81399999999999995"/>
    <n v="520"/>
  </r>
  <r>
    <x v="13"/>
    <x v="7"/>
    <x v="9"/>
    <n v="0.79893999999999998"/>
    <n v="0.78800000000000003"/>
    <n v="0.84"/>
    <n v="0.81399999999999995"/>
    <n v="520"/>
  </r>
  <r>
    <x v="13"/>
    <x v="7"/>
    <x v="9"/>
    <n v="0.79893999999999998"/>
    <n v="0.78800000000000003"/>
    <n v="0.84"/>
    <n v="0.81399999999999995"/>
    <n v="520"/>
  </r>
  <r>
    <x v="13"/>
    <x v="7"/>
    <x v="9"/>
    <n v="0.79893999999999998"/>
    <n v="0.78800000000000003"/>
    <n v="0.84"/>
    <n v="0.81399999999999995"/>
    <n v="520"/>
  </r>
  <r>
    <x v="13"/>
    <x v="7"/>
    <x v="9"/>
    <n v="0.79893999999999998"/>
    <n v="0.78800000000000003"/>
    <n v="0.84"/>
    <n v="0.81399999999999995"/>
    <n v="520"/>
  </r>
  <r>
    <x v="13"/>
    <x v="7"/>
    <x v="9"/>
    <n v="0.79893999999999998"/>
    <n v="0.78800000000000003"/>
    <n v="0.84"/>
    <n v="0.81399999999999995"/>
    <n v="520"/>
  </r>
  <r>
    <x v="13"/>
    <x v="7"/>
    <x v="9"/>
    <n v="0.79893999999999998"/>
    <n v="0.78800000000000003"/>
    <n v="0.84"/>
    <n v="0.81399999999999995"/>
    <n v="520"/>
  </r>
  <r>
    <x v="13"/>
    <x v="8"/>
    <x v="9"/>
    <n v="0.79112000000000005"/>
    <n v="0.78800000000000003"/>
    <n v="0.84"/>
    <n v="0.81399999999999995"/>
    <n v="520"/>
  </r>
  <r>
    <x v="13"/>
    <x v="8"/>
    <x v="9"/>
    <n v="0.79112000000000005"/>
    <n v="0.78800000000000003"/>
    <n v="0.84"/>
    <n v="0.81399999999999995"/>
    <n v="520"/>
  </r>
  <r>
    <x v="13"/>
    <x v="8"/>
    <x v="9"/>
    <n v="0.79112000000000005"/>
    <n v="0.78800000000000003"/>
    <n v="0.84"/>
    <n v="0.81399999999999995"/>
    <n v="520"/>
  </r>
  <r>
    <x v="13"/>
    <x v="8"/>
    <x v="9"/>
    <n v="0.79112000000000005"/>
    <n v="0.78800000000000003"/>
    <n v="0.84"/>
    <n v="0.81399999999999995"/>
    <n v="520"/>
  </r>
  <r>
    <x v="13"/>
    <x v="8"/>
    <x v="9"/>
    <n v="0.79112000000000005"/>
    <n v="0.78800000000000003"/>
    <n v="0.84"/>
    <n v="0.81399999999999995"/>
    <n v="520"/>
  </r>
  <r>
    <x v="13"/>
    <x v="8"/>
    <x v="9"/>
    <n v="0.79112000000000005"/>
    <n v="0.78800000000000003"/>
    <n v="0.84"/>
    <n v="0.81399999999999995"/>
    <n v="520"/>
  </r>
  <r>
    <x v="13"/>
    <x v="8"/>
    <x v="9"/>
    <n v="0.79112000000000005"/>
    <n v="0.78800000000000003"/>
    <n v="0.84"/>
    <n v="0.81399999999999995"/>
    <n v="520"/>
  </r>
  <r>
    <x v="13"/>
    <x v="8"/>
    <x v="9"/>
    <n v="0.79112000000000005"/>
    <n v="0.78800000000000003"/>
    <n v="0.84"/>
    <n v="0.81399999999999995"/>
    <n v="520"/>
  </r>
  <r>
    <x v="13"/>
    <x v="8"/>
    <x v="9"/>
    <n v="0.79112000000000005"/>
    <n v="0.78800000000000003"/>
    <n v="0.84"/>
    <n v="0.81399999999999995"/>
    <n v="520"/>
  </r>
  <r>
    <x v="13"/>
    <x v="8"/>
    <x v="9"/>
    <n v="0.79112000000000005"/>
    <n v="0.78800000000000003"/>
    <n v="0.84"/>
    <n v="0.81399999999999995"/>
    <n v="520"/>
  </r>
  <r>
    <x v="13"/>
    <x v="8"/>
    <x v="9"/>
    <n v="0.79112000000000005"/>
    <n v="0.78800000000000003"/>
    <n v="0.84"/>
    <n v="0.81399999999999995"/>
    <n v="520"/>
  </r>
  <r>
    <x v="13"/>
    <x v="8"/>
    <x v="9"/>
    <n v="0.79112000000000005"/>
    <n v="0.78800000000000003"/>
    <n v="0.84"/>
    <n v="0.81399999999999995"/>
    <n v="520"/>
  </r>
  <r>
    <x v="13"/>
    <x v="8"/>
    <x v="9"/>
    <n v="0.79112000000000005"/>
    <n v="0.78800000000000003"/>
    <n v="0.84"/>
    <n v="0.81399999999999995"/>
    <n v="520"/>
  </r>
  <r>
    <x v="13"/>
    <x v="8"/>
    <x v="9"/>
    <n v="0.79112000000000005"/>
    <n v="0.78800000000000003"/>
    <n v="0.84"/>
    <n v="0.81399999999999995"/>
    <n v="520"/>
  </r>
  <r>
    <x v="13"/>
    <x v="8"/>
    <x v="9"/>
    <n v="0.79112000000000005"/>
    <n v="0.78800000000000003"/>
    <n v="0.84"/>
    <n v="0.81399999999999995"/>
    <n v="520"/>
  </r>
  <r>
    <x v="13"/>
    <x v="8"/>
    <x v="9"/>
    <n v="0.79112000000000005"/>
    <n v="0.78800000000000003"/>
    <n v="0.84"/>
    <n v="0.81399999999999995"/>
    <n v="520"/>
  </r>
  <r>
    <x v="13"/>
    <x v="8"/>
    <x v="9"/>
    <n v="0.79112000000000005"/>
    <n v="0.78800000000000003"/>
    <n v="0.84"/>
    <n v="0.81399999999999995"/>
    <n v="520"/>
  </r>
  <r>
    <x v="13"/>
    <x v="8"/>
    <x v="9"/>
    <n v="0.79112000000000005"/>
    <n v="0.78800000000000003"/>
    <n v="0.84"/>
    <n v="0.81399999999999995"/>
    <n v="520"/>
  </r>
  <r>
    <x v="13"/>
    <x v="8"/>
    <x v="9"/>
    <n v="0.79112000000000005"/>
    <n v="0.78800000000000003"/>
    <n v="0.84"/>
    <n v="0.81399999999999995"/>
    <n v="520"/>
  </r>
  <r>
    <x v="13"/>
    <x v="8"/>
    <x v="9"/>
    <n v="0.79112000000000005"/>
    <n v="0.78800000000000003"/>
    <n v="0.84"/>
    <n v="0.81399999999999995"/>
    <n v="520"/>
  </r>
  <r>
    <x v="13"/>
    <x v="8"/>
    <x v="9"/>
    <n v="0.79112000000000005"/>
    <n v="0.78800000000000003"/>
    <n v="0.84"/>
    <n v="0.81399999999999995"/>
    <n v="520"/>
  </r>
  <r>
    <x v="13"/>
    <x v="8"/>
    <x v="9"/>
    <n v="0.79112000000000005"/>
    <n v="0.78800000000000003"/>
    <n v="0.84"/>
    <n v="0.81399999999999995"/>
    <n v="520"/>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4"/>
    <n v="97.15"/>
    <n v="90.2"/>
    <n v="97.206000000000003"/>
    <n v="93.703000000000003"/>
    <n v="700.6"/>
  </r>
  <r>
    <x v="13"/>
    <x v="8"/>
    <x v="10"/>
    <n v="0.91803999999999997"/>
    <n v="0.87099000000000004"/>
    <n v="0.91732000000000002"/>
    <n v="0.89415500000000003"/>
    <n v="463.3"/>
  </r>
  <r>
    <x v="13"/>
    <x v="8"/>
    <x v="10"/>
    <n v="0.91803999999999997"/>
    <n v="0.87099000000000004"/>
    <n v="0.91732000000000002"/>
    <n v="0.89415500000000003"/>
    <n v="463.3"/>
  </r>
  <r>
    <x v="13"/>
    <x v="8"/>
    <x v="10"/>
    <n v="0.91803999999999997"/>
    <n v="0.87099000000000004"/>
    <n v="0.91732000000000002"/>
    <n v="0.89415500000000003"/>
    <n v="463.3"/>
  </r>
  <r>
    <x v="13"/>
    <x v="8"/>
    <x v="10"/>
    <n v="0.91803999999999997"/>
    <n v="0.87099000000000004"/>
    <n v="0.91732000000000002"/>
    <n v="0.89415500000000003"/>
    <n v="463.3"/>
  </r>
  <r>
    <x v="13"/>
    <x v="8"/>
    <x v="10"/>
    <n v="0.91803999999999997"/>
    <n v="0.87099000000000004"/>
    <n v="0.91732000000000002"/>
    <n v="0.89415500000000003"/>
    <n v="463.3"/>
  </r>
  <r>
    <x v="13"/>
    <x v="8"/>
    <x v="10"/>
    <n v="0.91803999999999997"/>
    <n v="0.87099000000000004"/>
    <n v="0.91732000000000002"/>
    <n v="0.89415500000000003"/>
    <n v="463.3"/>
  </r>
  <r>
    <x v="13"/>
    <x v="8"/>
    <x v="10"/>
    <n v="0.91803999999999997"/>
    <n v="0.87099000000000004"/>
    <n v="0.91732000000000002"/>
    <n v="0.89415500000000003"/>
    <n v="463.3"/>
  </r>
  <r>
    <x v="13"/>
    <x v="8"/>
    <x v="10"/>
    <n v="0.91803999999999997"/>
    <n v="0.87099000000000004"/>
    <n v="0.91732000000000002"/>
    <n v="0.89415500000000003"/>
    <n v="463.3"/>
  </r>
  <r>
    <x v="13"/>
    <x v="8"/>
    <x v="10"/>
    <n v="0.91803999999999997"/>
    <n v="0.87099000000000004"/>
    <n v="0.91732000000000002"/>
    <n v="0.89415500000000003"/>
    <n v="463.3"/>
  </r>
  <r>
    <x v="13"/>
    <x v="8"/>
    <x v="10"/>
    <n v="0.91803999999999997"/>
    <n v="0.87099000000000004"/>
    <n v="0.91732000000000002"/>
    <n v="0.89415500000000003"/>
    <n v="463.3"/>
  </r>
  <r>
    <x v="13"/>
    <x v="8"/>
    <x v="10"/>
    <n v="0.91803999999999997"/>
    <n v="0.87099000000000004"/>
    <n v="0.91732000000000002"/>
    <n v="0.89415500000000003"/>
    <n v="463.3"/>
  </r>
  <r>
    <x v="13"/>
    <x v="8"/>
    <x v="10"/>
    <n v="0.91803999999999997"/>
    <n v="0.87099000000000004"/>
    <n v="0.91732000000000002"/>
    <n v="0.89415500000000003"/>
    <n v="463.3"/>
  </r>
  <r>
    <x v="13"/>
    <x v="8"/>
    <x v="10"/>
    <n v="0.91803999999999997"/>
    <n v="0.87099000000000004"/>
    <n v="0.91732000000000002"/>
    <n v="0.89415500000000003"/>
    <n v="463.3"/>
  </r>
  <r>
    <x v="13"/>
    <x v="8"/>
    <x v="10"/>
    <n v="0.91803999999999997"/>
    <n v="0.87099000000000004"/>
    <n v="0.91732000000000002"/>
    <n v="0.89415500000000003"/>
    <n v="463.3"/>
  </r>
  <r>
    <x v="13"/>
    <x v="8"/>
    <x v="10"/>
    <n v="0.91803999999999997"/>
    <n v="0.87099000000000004"/>
    <n v="0.91732000000000002"/>
    <n v="0.89415500000000003"/>
    <n v="463.3"/>
  </r>
  <r>
    <x v="13"/>
    <x v="8"/>
    <x v="10"/>
    <n v="0.91803999999999997"/>
    <n v="0.87099000000000004"/>
    <n v="0.91732000000000002"/>
    <n v="0.89415500000000003"/>
    <n v="463.3"/>
  </r>
  <r>
    <x v="13"/>
    <x v="8"/>
    <x v="10"/>
    <n v="0.91803999999999997"/>
    <n v="0.87099000000000004"/>
    <n v="0.91732000000000002"/>
    <n v="0.89415500000000003"/>
    <n v="463.3"/>
  </r>
  <r>
    <x v="13"/>
    <x v="8"/>
    <x v="10"/>
    <n v="0.91803999999999997"/>
    <n v="0.87099000000000004"/>
    <n v="0.91732000000000002"/>
    <n v="0.89415500000000003"/>
    <n v="463.3"/>
  </r>
  <r>
    <x v="13"/>
    <x v="8"/>
    <x v="10"/>
    <n v="0.91803999999999997"/>
    <n v="0.87099000000000004"/>
    <n v="0.91732000000000002"/>
    <n v="0.89415500000000003"/>
    <n v="463.3"/>
  </r>
  <r>
    <x v="13"/>
    <x v="8"/>
    <x v="10"/>
    <n v="0.91803999999999997"/>
    <n v="0.87099000000000004"/>
    <n v="0.91732000000000002"/>
    <n v="0.89415500000000003"/>
    <n v="463.3"/>
  </r>
  <r>
    <x v="13"/>
    <x v="8"/>
    <x v="10"/>
    <n v="0.91803999999999997"/>
    <n v="0.87099000000000004"/>
    <n v="0.91732000000000002"/>
    <n v="0.89415500000000003"/>
    <n v="463.3"/>
  </r>
  <r>
    <x v="13"/>
    <x v="8"/>
    <x v="10"/>
    <n v="0.91803999999999997"/>
    <n v="0.87099000000000004"/>
    <n v="0.91732000000000002"/>
    <n v="0.89415500000000003"/>
    <n v="463.3"/>
  </r>
  <r>
    <x v="13"/>
    <x v="8"/>
    <x v="10"/>
    <n v="0.91803999999999997"/>
    <n v="0.87099000000000004"/>
    <n v="0.91732000000000002"/>
    <n v="0.89415500000000003"/>
    <n v="463.3"/>
  </r>
  <r>
    <x v="13"/>
    <x v="8"/>
    <x v="10"/>
    <n v="0.91803999999999997"/>
    <n v="0.87099000000000004"/>
    <n v="0.91732000000000002"/>
    <n v="0.89415500000000003"/>
    <n v="463.3"/>
  </r>
  <r>
    <x v="13"/>
    <x v="8"/>
    <x v="10"/>
    <n v="0.91803999999999997"/>
    <n v="0.87099000000000004"/>
    <n v="0.91732000000000002"/>
    <n v="0.89415500000000003"/>
    <n v="463.3"/>
  </r>
  <r>
    <x v="13"/>
    <x v="8"/>
    <x v="10"/>
    <n v="0.91803999999999997"/>
    <n v="0.87099000000000004"/>
    <n v="0.91732000000000002"/>
    <n v="0.89415500000000003"/>
    <n v="463.3"/>
  </r>
  <r>
    <x v="13"/>
    <x v="8"/>
    <x v="10"/>
    <n v="0.91803999999999997"/>
    <n v="0.87099000000000004"/>
    <n v="0.91732000000000002"/>
    <n v="0.89415500000000003"/>
    <n v="463.3"/>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6"/>
    <n v="0.83584000000000003"/>
    <n v="0.82540999999999998"/>
    <n v="0.87951999999999997"/>
    <n v="0.85246500000000003"/>
    <n v="541.1"/>
  </r>
  <r>
    <x v="13"/>
    <x v="8"/>
    <x v="9"/>
    <n v="0.79112000000000005"/>
    <n v="0.78800000000000003"/>
    <n v="0.84"/>
    <n v="0.81399999999999995"/>
    <n v="520"/>
  </r>
  <r>
    <x v="13"/>
    <x v="8"/>
    <x v="9"/>
    <n v="0.79112000000000005"/>
    <n v="0.78800000000000003"/>
    <n v="0.84"/>
    <n v="0.81399999999999995"/>
    <n v="520"/>
  </r>
  <r>
    <x v="13"/>
    <x v="8"/>
    <x v="9"/>
    <n v="0.79112000000000005"/>
    <n v="0.78800000000000003"/>
    <n v="0.84"/>
    <n v="0.81399999999999995"/>
    <n v="520"/>
  </r>
  <r>
    <x v="13"/>
    <x v="8"/>
    <x v="9"/>
    <n v="0.79112000000000005"/>
    <n v="0.78800000000000003"/>
    <n v="0.84"/>
    <n v="0.81399999999999995"/>
    <n v="520"/>
  </r>
  <r>
    <x v="13"/>
    <x v="8"/>
    <x v="9"/>
    <n v="0.79112000000000005"/>
    <n v="0.78800000000000003"/>
    <n v="0.84"/>
    <n v="0.81399999999999995"/>
    <n v="520"/>
  </r>
  <r>
    <x v="13"/>
    <x v="8"/>
    <x v="9"/>
    <n v="0.79112000000000005"/>
    <n v="0.78800000000000003"/>
    <n v="0.84"/>
    <n v="0.81399999999999995"/>
    <n v="520"/>
  </r>
  <r>
    <x v="13"/>
    <x v="8"/>
    <x v="9"/>
    <n v="0.79112000000000005"/>
    <n v="0.78800000000000003"/>
    <n v="0.84"/>
    <n v="0.81399999999999995"/>
    <n v="520"/>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9"/>
    <n v="0.79293999999999998"/>
    <n v="0.78800000000000003"/>
    <n v="0.84"/>
    <n v="0.81399999999999995"/>
    <n v="520"/>
  </r>
  <r>
    <x v="13"/>
    <x v="9"/>
    <x v="9"/>
    <n v="0.79293999999999998"/>
    <n v="0.78800000000000003"/>
    <n v="0.84"/>
    <n v="0.81399999999999995"/>
    <n v="520"/>
  </r>
  <r>
    <x v="13"/>
    <x v="9"/>
    <x v="9"/>
    <n v="0.79293999999999998"/>
    <n v="0.78800000000000003"/>
    <n v="0.84"/>
    <n v="0.81399999999999995"/>
    <n v="520"/>
  </r>
  <r>
    <x v="13"/>
    <x v="9"/>
    <x v="9"/>
    <n v="0.79293999999999998"/>
    <n v="0.78800000000000003"/>
    <n v="0.84"/>
    <n v="0.81399999999999995"/>
    <n v="520"/>
  </r>
  <r>
    <x v="13"/>
    <x v="9"/>
    <x v="9"/>
    <n v="0.79293999999999998"/>
    <n v="0.78800000000000003"/>
    <n v="0.84"/>
    <n v="0.81399999999999995"/>
    <n v="520"/>
  </r>
  <r>
    <x v="13"/>
    <x v="9"/>
    <x v="9"/>
    <n v="0.79293999999999998"/>
    <n v="0.78800000000000003"/>
    <n v="0.84"/>
    <n v="0.81399999999999995"/>
    <n v="520"/>
  </r>
  <r>
    <x v="13"/>
    <x v="9"/>
    <x v="9"/>
    <n v="0.79293999999999998"/>
    <n v="0.78800000000000003"/>
    <n v="0.84"/>
    <n v="0.81399999999999995"/>
    <n v="520"/>
  </r>
  <r>
    <x v="13"/>
    <x v="9"/>
    <x v="9"/>
    <n v="0.79293999999999998"/>
    <n v="0.78800000000000003"/>
    <n v="0.84"/>
    <n v="0.81399999999999995"/>
    <n v="520"/>
  </r>
  <r>
    <x v="13"/>
    <x v="9"/>
    <x v="9"/>
    <n v="0.79293999999999998"/>
    <n v="0.78800000000000003"/>
    <n v="0.84"/>
    <n v="0.81399999999999995"/>
    <n v="520"/>
  </r>
  <r>
    <x v="13"/>
    <x v="9"/>
    <x v="9"/>
    <n v="0.79293999999999998"/>
    <n v="0.78800000000000003"/>
    <n v="0.84"/>
    <n v="0.81399999999999995"/>
    <n v="520"/>
  </r>
  <r>
    <x v="13"/>
    <x v="9"/>
    <x v="9"/>
    <n v="0.79293999999999998"/>
    <n v="0.78800000000000003"/>
    <n v="0.84"/>
    <n v="0.81399999999999995"/>
    <n v="520"/>
  </r>
  <r>
    <x v="13"/>
    <x v="9"/>
    <x v="9"/>
    <n v="0.79293999999999998"/>
    <n v="0.78800000000000003"/>
    <n v="0.84"/>
    <n v="0.81399999999999995"/>
    <n v="520"/>
  </r>
  <r>
    <x v="13"/>
    <x v="9"/>
    <x v="9"/>
    <n v="0.79293999999999998"/>
    <n v="0.78800000000000003"/>
    <n v="0.84"/>
    <n v="0.81399999999999995"/>
    <n v="520"/>
  </r>
  <r>
    <x v="13"/>
    <x v="9"/>
    <x v="9"/>
    <n v="0.79293999999999998"/>
    <n v="0.78800000000000003"/>
    <n v="0.84"/>
    <n v="0.81399999999999995"/>
    <n v="520"/>
  </r>
  <r>
    <x v="13"/>
    <x v="9"/>
    <x v="9"/>
    <n v="0.79293999999999998"/>
    <n v="0.78800000000000003"/>
    <n v="0.84"/>
    <n v="0.81399999999999995"/>
    <n v="520"/>
  </r>
  <r>
    <x v="13"/>
    <x v="9"/>
    <x v="9"/>
    <n v="0.79293999999999998"/>
    <n v="0.78800000000000003"/>
    <n v="0.84"/>
    <n v="0.81399999999999995"/>
    <n v="520"/>
  </r>
  <r>
    <x v="13"/>
    <x v="9"/>
    <x v="9"/>
    <n v="0.79293999999999998"/>
    <n v="0.78800000000000003"/>
    <n v="0.84"/>
    <n v="0.81399999999999995"/>
    <n v="520"/>
  </r>
  <r>
    <x v="13"/>
    <x v="9"/>
    <x v="9"/>
    <n v="0.79293999999999998"/>
    <n v="0.78800000000000003"/>
    <n v="0.84"/>
    <n v="0.81399999999999995"/>
    <n v="520"/>
  </r>
  <r>
    <x v="13"/>
    <x v="9"/>
    <x v="9"/>
    <n v="0.79293999999999998"/>
    <n v="0.78800000000000003"/>
    <n v="0.84"/>
    <n v="0.81399999999999995"/>
    <n v="520"/>
  </r>
  <r>
    <x v="13"/>
    <x v="9"/>
    <x v="9"/>
    <n v="0.79293999999999998"/>
    <n v="0.78800000000000003"/>
    <n v="0.84"/>
    <n v="0.81399999999999995"/>
    <n v="520"/>
  </r>
  <r>
    <x v="13"/>
    <x v="9"/>
    <x v="9"/>
    <n v="0.79293999999999998"/>
    <n v="0.78800000000000003"/>
    <n v="0.84"/>
    <n v="0.81399999999999995"/>
    <n v="520"/>
  </r>
  <r>
    <x v="13"/>
    <x v="9"/>
    <x v="9"/>
    <n v="0.79293999999999998"/>
    <n v="0.78800000000000003"/>
    <n v="0.84"/>
    <n v="0.81399999999999995"/>
    <n v="520"/>
  </r>
  <r>
    <x v="13"/>
    <x v="9"/>
    <x v="9"/>
    <n v="0.79293999999999998"/>
    <n v="0.78800000000000003"/>
    <n v="0.84"/>
    <n v="0.81399999999999995"/>
    <n v="520"/>
  </r>
  <r>
    <x v="13"/>
    <x v="9"/>
    <x v="9"/>
    <n v="0.79293999999999998"/>
    <n v="0.78800000000000003"/>
    <n v="0.84"/>
    <n v="0.81399999999999995"/>
    <n v="520"/>
  </r>
  <r>
    <x v="13"/>
    <x v="9"/>
    <x v="9"/>
    <n v="0.79293999999999998"/>
    <n v="0.78800000000000003"/>
    <n v="0.84"/>
    <n v="0.81399999999999995"/>
    <n v="520"/>
  </r>
  <r>
    <x v="13"/>
    <x v="9"/>
    <x v="9"/>
    <n v="0.79293999999999998"/>
    <n v="0.78800000000000003"/>
    <n v="0.84"/>
    <n v="0.81399999999999995"/>
    <n v="520"/>
  </r>
  <r>
    <x v="13"/>
    <x v="9"/>
    <x v="9"/>
    <n v="0.79293999999999998"/>
    <n v="0.78800000000000003"/>
    <n v="0.84"/>
    <n v="0.81399999999999995"/>
    <n v="520"/>
  </r>
  <r>
    <x v="13"/>
    <x v="9"/>
    <x v="9"/>
    <n v="0.79293999999999998"/>
    <n v="0.78800000000000003"/>
    <n v="0.84"/>
    <n v="0.81399999999999995"/>
    <n v="520"/>
  </r>
  <r>
    <x v="13"/>
    <x v="9"/>
    <x v="9"/>
    <n v="0.79293999999999998"/>
    <n v="0.78800000000000003"/>
    <n v="0.84"/>
    <n v="0.81399999999999995"/>
    <n v="520"/>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4"/>
    <n v="98.531000000000006"/>
    <n v="90.2"/>
    <n v="98.597999999999999"/>
    <n v="94.399000000000001"/>
    <n v="839.8"/>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10"/>
    <n v="0.93106"/>
    <n v="0.87099000000000004"/>
    <n v="0.93300000000000005"/>
    <n v="0.90199499999999999"/>
    <n v="620.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9"/>
    <x v="6"/>
    <n v="0.83277000000000001"/>
    <n v="0.82540999999999998"/>
    <n v="0.87951999999999997"/>
    <n v="0.85246500000000003"/>
    <n v="541.1"/>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9"/>
    <n v="0.79634000000000005"/>
    <n v="0.78800000000000003"/>
    <n v="0.84"/>
    <n v="0.81399999999999995"/>
    <n v="520"/>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4"/>
    <n v="97.063000000000002"/>
    <n v="90.2"/>
    <n v="98.597999999999999"/>
    <n v="94.399000000000001"/>
    <n v="839.8"/>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10"/>
    <n v="0.93361000000000005"/>
    <n v="0.87099000000000004"/>
    <n v="0.93899999999999995"/>
    <n v="0.90499499999999999"/>
    <n v="680.1"/>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0"/>
    <x v="6"/>
    <n v="0.81445999999999996"/>
    <n v="0.8155"/>
    <n v="0.87951999999999997"/>
    <n v="0.84750999999999999"/>
    <n v="640.20000000000005"/>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9"/>
    <n v="0.78776000000000002"/>
    <n v="0.78198999999999996"/>
    <n v="0.84"/>
    <n v="0.81099500000000002"/>
    <n v="580.1"/>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4"/>
    <n v="97.364999999999995"/>
    <n v="90.2"/>
    <n v="98.597999999999999"/>
    <n v="94.399000000000001"/>
    <n v="839.8"/>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10"/>
    <n v="0.94089999999999996"/>
    <n v="0.87099000000000004"/>
    <n v="0.94298999999999999"/>
    <n v="0.90698999999999996"/>
    <n v="720"/>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1"/>
    <x v="6"/>
    <n v="0.81191000000000002"/>
    <n v="0.80954999999999999"/>
    <n v="0.87951999999999997"/>
    <n v="0.84453500000000004"/>
    <n v="699.7"/>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9"/>
    <n v="0.78061999999999998"/>
    <n v="0.78"/>
    <n v="0.84"/>
    <n v="0.81"/>
    <n v="600"/>
  </r>
  <r>
    <x v="13"/>
    <x v="12"/>
    <x v="9"/>
    <n v="0.78061999999999998"/>
    <n v="0.78"/>
    <n v="0.84"/>
    <n v="0.81"/>
    <n v="600"/>
  </r>
  <r>
    <x v="13"/>
    <x v="12"/>
    <x v="9"/>
    <n v="0.78061999999999998"/>
    <n v="0.78"/>
    <n v="0.84"/>
    <n v="0.81"/>
    <n v="600"/>
  </r>
  <r>
    <x v="13"/>
    <x v="12"/>
    <x v="9"/>
    <n v="0.78061999999999998"/>
    <n v="0.78"/>
    <n v="0.84"/>
    <n v="0.81"/>
    <n v="600"/>
  </r>
  <r>
    <x v="13"/>
    <x v="12"/>
    <x v="9"/>
    <n v="0.78061999999999998"/>
    <n v="0.78"/>
    <n v="0.84"/>
    <n v="0.81"/>
    <n v="600"/>
  </r>
  <r>
    <x v="13"/>
    <x v="12"/>
    <x v="9"/>
    <n v="0.78061999999999998"/>
    <n v="0.78"/>
    <n v="0.84"/>
    <n v="0.81"/>
    <n v="600"/>
  </r>
  <r>
    <x v="13"/>
    <x v="12"/>
    <x v="9"/>
    <n v="0.78061999999999998"/>
    <n v="0.78"/>
    <n v="0.84"/>
    <n v="0.81"/>
    <n v="600"/>
  </r>
  <r>
    <x v="13"/>
    <x v="12"/>
    <x v="9"/>
    <n v="0.78061999999999998"/>
    <n v="0.78"/>
    <n v="0.84"/>
    <n v="0.81"/>
    <n v="600"/>
  </r>
  <r>
    <x v="13"/>
    <x v="12"/>
    <x v="9"/>
    <n v="0.78061999999999998"/>
    <n v="0.78"/>
    <n v="0.84"/>
    <n v="0.81"/>
    <n v="600"/>
  </r>
  <r>
    <x v="13"/>
    <x v="12"/>
    <x v="9"/>
    <n v="0.78061999999999998"/>
    <n v="0.78"/>
    <n v="0.84"/>
    <n v="0.81"/>
    <n v="600"/>
  </r>
  <r>
    <x v="13"/>
    <x v="12"/>
    <x v="9"/>
    <n v="0.78061999999999998"/>
    <n v="0.78"/>
    <n v="0.84"/>
    <n v="0.81"/>
    <n v="600"/>
  </r>
  <r>
    <x v="13"/>
    <x v="12"/>
    <x v="9"/>
    <n v="0.78061999999999998"/>
    <n v="0.78"/>
    <n v="0.84"/>
    <n v="0.81"/>
    <n v="600"/>
  </r>
  <r>
    <x v="13"/>
    <x v="12"/>
    <x v="9"/>
    <n v="0.78061999999999998"/>
    <n v="0.78"/>
    <n v="0.84"/>
    <n v="0.81"/>
    <n v="600"/>
  </r>
  <r>
    <x v="13"/>
    <x v="12"/>
    <x v="9"/>
    <n v="0.78061999999999998"/>
    <n v="0.78"/>
    <n v="0.84"/>
    <n v="0.81"/>
    <n v="600"/>
  </r>
  <r>
    <x v="13"/>
    <x v="12"/>
    <x v="9"/>
    <n v="0.78061999999999998"/>
    <n v="0.78"/>
    <n v="0.84"/>
    <n v="0.81"/>
    <n v="600"/>
  </r>
  <r>
    <x v="13"/>
    <x v="12"/>
    <x v="9"/>
    <n v="0.78061999999999998"/>
    <n v="0.78"/>
    <n v="0.84"/>
    <n v="0.81"/>
    <n v="600"/>
  </r>
  <r>
    <x v="13"/>
    <x v="12"/>
    <x v="9"/>
    <n v="0.78061999999999998"/>
    <n v="0.78"/>
    <n v="0.84"/>
    <n v="0.81"/>
    <n v="600"/>
  </r>
  <r>
    <x v="13"/>
    <x v="12"/>
    <x v="9"/>
    <n v="0.78061999999999998"/>
    <n v="0.78"/>
    <n v="0.84"/>
    <n v="0.81"/>
    <n v="600"/>
  </r>
  <r>
    <x v="13"/>
    <x v="12"/>
    <x v="9"/>
    <n v="0.78061999999999998"/>
    <n v="0.78"/>
    <n v="0.84"/>
    <n v="0.81"/>
    <n v="600"/>
  </r>
  <r>
    <x v="13"/>
    <x v="12"/>
    <x v="9"/>
    <n v="0.78061999999999998"/>
    <n v="0.78"/>
    <n v="0.84"/>
    <n v="0.81"/>
    <n v="600"/>
  </r>
  <r>
    <x v="13"/>
    <x v="12"/>
    <x v="9"/>
    <n v="0.78061999999999998"/>
    <n v="0.78"/>
    <n v="0.84"/>
    <n v="0.81"/>
    <n v="600"/>
  </r>
  <r>
    <x v="13"/>
    <x v="12"/>
    <x v="9"/>
    <n v="0.78061999999999998"/>
    <n v="0.78"/>
    <n v="0.84"/>
    <n v="0.81"/>
    <n v="600"/>
  </r>
  <r>
    <x v="13"/>
    <x v="12"/>
    <x v="9"/>
    <n v="0.78061999999999998"/>
    <n v="0.78"/>
    <n v="0.84"/>
    <n v="0.81"/>
    <n v="600"/>
  </r>
  <r>
    <x v="13"/>
    <x v="12"/>
    <x v="9"/>
    <n v="0.78061999999999998"/>
    <n v="0.78"/>
    <n v="0.84"/>
    <n v="0.81"/>
    <n v="600"/>
  </r>
  <r>
    <x v="13"/>
    <x v="12"/>
    <x v="9"/>
    <n v="0.78061999999999998"/>
    <n v="0.78"/>
    <n v="0.84"/>
    <n v="0.81"/>
    <n v="600"/>
  </r>
  <r>
    <x v="13"/>
    <x v="12"/>
    <x v="9"/>
    <n v="0.78061999999999998"/>
    <n v="0.78"/>
    <n v="0.84"/>
    <n v="0.81"/>
    <n v="600"/>
  </r>
  <r>
    <x v="13"/>
    <x v="12"/>
    <x v="9"/>
    <n v="0.78061999999999998"/>
    <n v="0.78"/>
    <n v="0.84"/>
    <n v="0.81"/>
    <n v="600"/>
  </r>
  <r>
    <x v="13"/>
    <x v="12"/>
    <x v="9"/>
    <n v="0.78061999999999998"/>
    <n v="0.78"/>
    <n v="0.84"/>
    <n v="0.81"/>
    <n v="600"/>
  </r>
  <r>
    <x v="13"/>
    <x v="12"/>
    <x v="9"/>
    <n v="0.78061999999999998"/>
    <n v="0.78"/>
    <n v="0.84"/>
    <n v="0.81"/>
    <n v="600"/>
  </r>
  <r>
    <x v="13"/>
    <x v="12"/>
    <x v="9"/>
    <n v="0.78061999999999998"/>
    <n v="0.78"/>
    <n v="0.84"/>
    <n v="0.81"/>
    <n v="600"/>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4"/>
    <n v="95.738"/>
    <n v="90.2"/>
    <n v="98.597999999999999"/>
    <n v="94.399000000000001"/>
    <n v="839.8"/>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10"/>
    <n v="0.95132000000000005"/>
    <n v="0.87099000000000004"/>
    <n v="0.95099999999999996"/>
    <n v="0.910995"/>
    <n v="800.1"/>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2"/>
    <x v="6"/>
    <n v="0.78624000000000005"/>
    <n v="0.78747999999999996"/>
    <n v="0.87951999999999997"/>
    <n v="0.83350000000000002"/>
    <n v="920.4"/>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9"/>
    <n v="0.78120999999999996"/>
    <n v="0.78"/>
    <n v="0.84"/>
    <n v="0.81"/>
    <n v="600"/>
  </r>
  <r>
    <x v="13"/>
    <x v="13"/>
    <x v="9"/>
    <n v="0.78120999999999996"/>
    <n v="0.78"/>
    <n v="0.84"/>
    <n v="0.81"/>
    <n v="600"/>
  </r>
  <r>
    <x v="13"/>
    <x v="13"/>
    <x v="9"/>
    <n v="0.78120999999999996"/>
    <n v="0.78"/>
    <n v="0.84"/>
    <n v="0.81"/>
    <n v="600"/>
  </r>
  <r>
    <x v="13"/>
    <x v="13"/>
    <x v="9"/>
    <n v="0.78120999999999996"/>
    <n v="0.78"/>
    <n v="0.84"/>
    <n v="0.81"/>
    <n v="600"/>
  </r>
  <r>
    <x v="13"/>
    <x v="13"/>
    <x v="9"/>
    <n v="0.78120999999999996"/>
    <n v="0.78"/>
    <n v="0.84"/>
    <n v="0.81"/>
    <n v="600"/>
  </r>
  <r>
    <x v="13"/>
    <x v="13"/>
    <x v="9"/>
    <n v="0.78120999999999996"/>
    <n v="0.78"/>
    <n v="0.84"/>
    <n v="0.81"/>
    <n v="600"/>
  </r>
  <r>
    <x v="13"/>
    <x v="13"/>
    <x v="9"/>
    <n v="0.78120999999999996"/>
    <n v="0.78"/>
    <n v="0.84"/>
    <n v="0.81"/>
    <n v="600"/>
  </r>
  <r>
    <x v="13"/>
    <x v="13"/>
    <x v="9"/>
    <n v="0.78120999999999996"/>
    <n v="0.78"/>
    <n v="0.84"/>
    <n v="0.81"/>
    <n v="600"/>
  </r>
  <r>
    <x v="13"/>
    <x v="13"/>
    <x v="9"/>
    <n v="0.78120999999999996"/>
    <n v="0.78"/>
    <n v="0.84"/>
    <n v="0.81"/>
    <n v="600"/>
  </r>
  <r>
    <x v="13"/>
    <x v="13"/>
    <x v="9"/>
    <n v="0.78120999999999996"/>
    <n v="0.78"/>
    <n v="0.84"/>
    <n v="0.81"/>
    <n v="600"/>
  </r>
  <r>
    <x v="13"/>
    <x v="13"/>
    <x v="9"/>
    <n v="0.78120999999999996"/>
    <n v="0.78"/>
    <n v="0.84"/>
    <n v="0.81"/>
    <n v="600"/>
  </r>
  <r>
    <x v="13"/>
    <x v="13"/>
    <x v="9"/>
    <n v="0.78120999999999996"/>
    <n v="0.78"/>
    <n v="0.84"/>
    <n v="0.81"/>
    <n v="600"/>
  </r>
  <r>
    <x v="13"/>
    <x v="13"/>
    <x v="9"/>
    <n v="0.78120999999999996"/>
    <n v="0.78"/>
    <n v="0.84"/>
    <n v="0.81"/>
    <n v="600"/>
  </r>
  <r>
    <x v="13"/>
    <x v="13"/>
    <x v="9"/>
    <n v="0.78120999999999996"/>
    <n v="0.78"/>
    <n v="0.84"/>
    <n v="0.81"/>
    <n v="600"/>
  </r>
  <r>
    <x v="13"/>
    <x v="13"/>
    <x v="9"/>
    <n v="0.78120999999999996"/>
    <n v="0.78"/>
    <n v="0.84"/>
    <n v="0.81"/>
    <n v="600"/>
  </r>
  <r>
    <x v="13"/>
    <x v="13"/>
    <x v="9"/>
    <n v="0.78120999999999996"/>
    <n v="0.78"/>
    <n v="0.84"/>
    <n v="0.81"/>
    <n v="600"/>
  </r>
  <r>
    <x v="13"/>
    <x v="13"/>
    <x v="9"/>
    <n v="0.78120999999999996"/>
    <n v="0.78"/>
    <n v="0.84"/>
    <n v="0.81"/>
    <n v="600"/>
  </r>
  <r>
    <x v="13"/>
    <x v="13"/>
    <x v="9"/>
    <n v="0.78120999999999996"/>
    <n v="0.78"/>
    <n v="0.84"/>
    <n v="0.81"/>
    <n v="600"/>
  </r>
  <r>
    <x v="13"/>
    <x v="13"/>
    <x v="9"/>
    <n v="0.78120999999999996"/>
    <n v="0.78"/>
    <n v="0.84"/>
    <n v="0.81"/>
    <n v="600"/>
  </r>
  <r>
    <x v="13"/>
    <x v="13"/>
    <x v="9"/>
    <n v="0.78120999999999996"/>
    <n v="0.78"/>
    <n v="0.84"/>
    <n v="0.81"/>
    <n v="600"/>
  </r>
  <r>
    <x v="13"/>
    <x v="13"/>
    <x v="9"/>
    <n v="0.78120999999999996"/>
    <n v="0.78"/>
    <n v="0.84"/>
    <n v="0.81"/>
    <n v="600"/>
  </r>
  <r>
    <x v="13"/>
    <x v="13"/>
    <x v="9"/>
    <n v="0.78120999999999996"/>
    <n v="0.78"/>
    <n v="0.84"/>
    <n v="0.81"/>
    <n v="600"/>
  </r>
  <r>
    <x v="13"/>
    <x v="13"/>
    <x v="9"/>
    <n v="0.78120999999999996"/>
    <n v="0.78"/>
    <n v="0.84"/>
    <n v="0.81"/>
    <n v="600"/>
  </r>
  <r>
    <x v="13"/>
    <x v="13"/>
    <x v="9"/>
    <n v="0.78120999999999996"/>
    <n v="0.78"/>
    <n v="0.84"/>
    <n v="0.81"/>
    <n v="600"/>
  </r>
  <r>
    <x v="13"/>
    <x v="13"/>
    <x v="9"/>
    <n v="0.78120999999999996"/>
    <n v="0.78"/>
    <n v="0.84"/>
    <n v="0.81"/>
    <n v="600"/>
  </r>
  <r>
    <x v="13"/>
    <x v="13"/>
    <x v="9"/>
    <n v="0.78120999999999996"/>
    <n v="0.78"/>
    <n v="0.84"/>
    <n v="0.81"/>
    <n v="600"/>
  </r>
  <r>
    <x v="13"/>
    <x v="13"/>
    <x v="9"/>
    <n v="0.78120999999999996"/>
    <n v="0.78"/>
    <n v="0.84"/>
    <n v="0.81"/>
    <n v="600"/>
  </r>
  <r>
    <x v="13"/>
    <x v="13"/>
    <x v="9"/>
    <n v="0.78120999999999996"/>
    <n v="0.78"/>
    <n v="0.84"/>
    <n v="0.81"/>
    <n v="600"/>
  </r>
  <r>
    <x v="13"/>
    <x v="13"/>
    <x v="9"/>
    <n v="0.78120999999999996"/>
    <n v="0.78"/>
    <n v="0.84"/>
    <n v="0.81"/>
    <n v="600"/>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4"/>
    <n v="95.478999999999999"/>
    <n v="90.2"/>
    <n v="98.597999999999999"/>
    <n v="94.399000000000001"/>
    <n v="839.8"/>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10"/>
    <n v="0.95152999999999999"/>
    <n v="0.87099000000000004"/>
    <n v="0.95299999999999996"/>
    <n v="0.911995"/>
    <n v="820.1"/>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3"/>
    <x v="13"/>
    <x v="6"/>
    <n v="0.77459"/>
    <n v="0.78349999999999997"/>
    <n v="0.87951999999999997"/>
    <n v="0.83150999999999997"/>
    <n v="960.2"/>
  </r>
  <r>
    <x v="14"/>
    <x v="47"/>
    <x v="4"/>
    <m/>
    <n v="91.498999999999995"/>
    <n v="91.623000000000005"/>
    <n v="91.561000000000007"/>
    <n v="12.4"/>
  </r>
  <r>
    <x v="14"/>
    <x v="47"/>
    <x v="4"/>
    <m/>
    <n v="91.498999999999995"/>
    <n v="91.623000000000005"/>
    <n v="91.561000000000007"/>
    <n v="12.4"/>
  </r>
  <r>
    <x v="14"/>
    <x v="47"/>
    <x v="4"/>
    <m/>
    <n v="91.498999999999995"/>
    <n v="91.623000000000005"/>
    <n v="91.561000000000007"/>
    <n v="12.4"/>
  </r>
  <r>
    <x v="14"/>
    <x v="47"/>
    <x v="4"/>
    <m/>
    <n v="91.498999999999995"/>
    <n v="91.623000000000005"/>
    <n v="91.561000000000007"/>
    <n v="12.4"/>
  </r>
  <r>
    <x v="14"/>
    <x v="47"/>
    <x v="4"/>
    <m/>
    <n v="91.498999999999995"/>
    <n v="91.623000000000005"/>
    <n v="91.561000000000007"/>
    <n v="12.4"/>
  </r>
  <r>
    <x v="14"/>
    <x v="47"/>
    <x v="4"/>
    <m/>
    <n v="91.498999999999995"/>
    <n v="91.623000000000005"/>
    <n v="91.561000000000007"/>
    <n v="12.4"/>
  </r>
  <r>
    <x v="14"/>
    <x v="47"/>
    <x v="4"/>
    <m/>
    <n v="91.498999999999995"/>
    <n v="91.623000000000005"/>
    <n v="91.561000000000007"/>
    <n v="12.4"/>
  </r>
  <r>
    <x v="14"/>
    <x v="47"/>
    <x v="4"/>
    <m/>
    <n v="91.498999999999995"/>
    <n v="91.623000000000005"/>
    <n v="91.561000000000007"/>
    <n v="12.4"/>
  </r>
  <r>
    <x v="14"/>
    <x v="47"/>
    <x v="4"/>
    <m/>
    <n v="91.498999999999995"/>
    <n v="91.623000000000005"/>
    <n v="91.561000000000007"/>
    <n v="12.4"/>
  </r>
  <r>
    <x v="14"/>
    <x v="47"/>
    <x v="4"/>
    <m/>
    <n v="91.498999999999995"/>
    <n v="91.623000000000005"/>
    <n v="91.561000000000007"/>
    <n v="12.4"/>
  </r>
  <r>
    <x v="14"/>
    <x v="47"/>
    <x v="4"/>
    <m/>
    <n v="91.498999999999995"/>
    <n v="91.623000000000005"/>
    <n v="91.561000000000007"/>
    <n v="12.4"/>
  </r>
  <r>
    <x v="14"/>
    <x v="47"/>
    <x v="4"/>
    <m/>
    <n v="91.498999999999995"/>
    <n v="91.623000000000005"/>
    <n v="91.561000000000007"/>
    <n v="12.4"/>
  </r>
  <r>
    <x v="14"/>
    <x v="47"/>
    <x v="0"/>
    <m/>
    <n v="1.95038"/>
    <n v="1.9526699999999999"/>
    <n v="1.951525"/>
    <n v="22.9"/>
  </r>
  <r>
    <x v="14"/>
    <x v="47"/>
    <x v="0"/>
    <m/>
    <n v="1.95038"/>
    <n v="1.9526699999999999"/>
    <n v="1.951525"/>
    <n v="22.9"/>
  </r>
  <r>
    <x v="14"/>
    <x v="47"/>
    <x v="0"/>
    <m/>
    <n v="1.95038"/>
    <n v="1.9526699999999999"/>
    <n v="1.951525"/>
    <n v="22.9"/>
  </r>
  <r>
    <x v="14"/>
    <x v="47"/>
    <x v="0"/>
    <m/>
    <n v="1.95038"/>
    <n v="1.9526699999999999"/>
    <n v="1.951525"/>
    <n v="22.9"/>
  </r>
  <r>
    <x v="14"/>
    <x v="47"/>
    <x v="0"/>
    <m/>
    <n v="1.95038"/>
    <n v="1.9526699999999999"/>
    <n v="1.951525"/>
    <n v="22.9"/>
  </r>
  <r>
    <x v="14"/>
    <x v="47"/>
    <x v="0"/>
    <m/>
    <n v="1.95038"/>
    <n v="1.9526699999999999"/>
    <n v="1.951525"/>
    <n v="22.9"/>
  </r>
  <r>
    <x v="14"/>
    <x v="47"/>
    <x v="0"/>
    <m/>
    <n v="1.95038"/>
    <n v="1.9526699999999999"/>
    <n v="1.951525"/>
    <n v="22.9"/>
  </r>
  <r>
    <x v="14"/>
    <x v="47"/>
    <x v="0"/>
    <m/>
    <n v="1.95038"/>
    <n v="1.9526699999999999"/>
    <n v="1.951525"/>
    <n v="22.9"/>
  </r>
  <r>
    <x v="14"/>
    <x v="47"/>
    <x v="0"/>
    <m/>
    <n v="1.95038"/>
    <n v="1.9526699999999999"/>
    <n v="1.951525"/>
    <n v="22.9"/>
  </r>
  <r>
    <x v="14"/>
    <x v="47"/>
    <x v="0"/>
    <m/>
    <n v="1.95038"/>
    <n v="1.9526699999999999"/>
    <n v="1.951525"/>
    <n v="22.9"/>
  </r>
  <r>
    <x v="14"/>
    <x v="47"/>
    <x v="0"/>
    <m/>
    <n v="1.95038"/>
    <n v="1.9526699999999999"/>
    <n v="1.951525"/>
    <n v="22.9"/>
  </r>
  <r>
    <x v="14"/>
    <x v="47"/>
    <x v="10"/>
    <m/>
    <n v="0.87195999999999996"/>
    <n v="0.87258000000000002"/>
    <n v="0.87226999999999999"/>
    <n v="6.2"/>
  </r>
  <r>
    <x v="14"/>
    <x v="47"/>
    <x v="10"/>
    <m/>
    <n v="0.87195999999999996"/>
    <n v="0.87258000000000002"/>
    <n v="0.87226999999999999"/>
    <n v="6.2"/>
  </r>
  <r>
    <x v="14"/>
    <x v="47"/>
    <x v="10"/>
    <m/>
    <n v="0.87195999999999996"/>
    <n v="0.87258000000000002"/>
    <n v="0.87226999999999999"/>
    <n v="6.2"/>
  </r>
  <r>
    <x v="14"/>
    <x v="47"/>
    <x v="10"/>
    <m/>
    <n v="0.87195999999999996"/>
    <n v="0.87258000000000002"/>
    <n v="0.87226999999999999"/>
    <n v="6.2"/>
  </r>
  <r>
    <x v="14"/>
    <x v="47"/>
    <x v="10"/>
    <m/>
    <n v="0.87195999999999996"/>
    <n v="0.87258000000000002"/>
    <n v="0.87226999999999999"/>
    <n v="6.2"/>
  </r>
  <r>
    <x v="14"/>
    <x v="47"/>
    <x v="10"/>
    <m/>
    <n v="0.87195999999999996"/>
    <n v="0.87258000000000002"/>
    <n v="0.87226999999999999"/>
    <n v="6.2"/>
  </r>
  <r>
    <x v="14"/>
    <x v="48"/>
    <x v="4"/>
    <m/>
    <n v="91.498999999999995"/>
    <n v="92.96"/>
    <n v="92.229500000000002"/>
    <n v="146.1"/>
  </r>
  <r>
    <x v="14"/>
    <x v="48"/>
    <x v="4"/>
    <m/>
    <n v="91.498999999999995"/>
    <n v="92.96"/>
    <n v="92.229500000000002"/>
    <n v="146.1"/>
  </r>
  <r>
    <x v="14"/>
    <x v="48"/>
    <x v="4"/>
    <m/>
    <n v="91.498999999999995"/>
    <n v="92.96"/>
    <n v="92.229500000000002"/>
    <n v="146.1"/>
  </r>
  <r>
    <x v="14"/>
    <x v="48"/>
    <x v="4"/>
    <m/>
    <n v="91.498999999999995"/>
    <n v="92.96"/>
    <n v="92.229500000000002"/>
    <n v="146.1"/>
  </r>
  <r>
    <x v="14"/>
    <x v="48"/>
    <x v="4"/>
    <m/>
    <n v="91.498999999999995"/>
    <n v="92.96"/>
    <n v="92.229500000000002"/>
    <n v="146.1"/>
  </r>
  <r>
    <x v="14"/>
    <x v="48"/>
    <x v="4"/>
    <m/>
    <n v="91.498999999999995"/>
    <n v="92.96"/>
    <n v="92.229500000000002"/>
    <n v="146.1"/>
  </r>
  <r>
    <x v="14"/>
    <x v="48"/>
    <x v="4"/>
    <m/>
    <n v="91.498999999999995"/>
    <n v="92.96"/>
    <n v="92.229500000000002"/>
    <n v="146.1"/>
  </r>
  <r>
    <x v="14"/>
    <x v="48"/>
    <x v="4"/>
    <m/>
    <n v="91.498999999999995"/>
    <n v="92.96"/>
    <n v="92.229500000000002"/>
    <n v="146.1"/>
  </r>
  <r>
    <x v="14"/>
    <x v="48"/>
    <x v="4"/>
    <m/>
    <n v="91.498999999999995"/>
    <n v="92.96"/>
    <n v="92.229500000000002"/>
    <n v="146.1"/>
  </r>
  <r>
    <x v="14"/>
    <x v="48"/>
    <x v="4"/>
    <m/>
    <n v="91.498999999999995"/>
    <n v="92.96"/>
    <n v="92.229500000000002"/>
    <n v="146.1"/>
  </r>
  <r>
    <x v="14"/>
    <x v="48"/>
    <x v="4"/>
    <m/>
    <n v="91.498999999999995"/>
    <n v="92.96"/>
    <n v="92.229500000000002"/>
    <n v="146.1"/>
  </r>
  <r>
    <x v="14"/>
    <x v="48"/>
    <x v="4"/>
    <m/>
    <n v="91.498999999999995"/>
    <n v="92.96"/>
    <n v="92.229500000000002"/>
    <n v="146.1"/>
  </r>
  <r>
    <x v="14"/>
    <x v="48"/>
    <x v="0"/>
    <m/>
    <n v="1.93"/>
    <n v="1.9526699999999999"/>
    <n v="1.941335"/>
    <n v="226.7"/>
  </r>
  <r>
    <x v="14"/>
    <x v="48"/>
    <x v="0"/>
    <m/>
    <n v="1.93"/>
    <n v="1.9526699999999999"/>
    <n v="1.941335"/>
    <n v="226.7"/>
  </r>
  <r>
    <x v="14"/>
    <x v="48"/>
    <x v="0"/>
    <m/>
    <n v="1.93"/>
    <n v="1.9526699999999999"/>
    <n v="1.941335"/>
    <n v="226.7"/>
  </r>
  <r>
    <x v="14"/>
    <x v="48"/>
    <x v="0"/>
    <m/>
    <n v="1.93"/>
    <n v="1.9526699999999999"/>
    <n v="1.941335"/>
    <n v="226.7"/>
  </r>
  <r>
    <x v="14"/>
    <x v="48"/>
    <x v="0"/>
    <m/>
    <n v="1.93"/>
    <n v="1.9526699999999999"/>
    <n v="1.941335"/>
    <n v="226.7"/>
  </r>
  <r>
    <x v="14"/>
    <x v="48"/>
    <x v="0"/>
    <m/>
    <n v="1.93"/>
    <n v="1.9526699999999999"/>
    <n v="1.941335"/>
    <n v="226.7"/>
  </r>
  <r>
    <x v="14"/>
    <x v="48"/>
    <x v="0"/>
    <m/>
    <n v="1.93"/>
    <n v="1.9526699999999999"/>
    <n v="1.941335"/>
    <n v="226.7"/>
  </r>
  <r>
    <x v="14"/>
    <x v="48"/>
    <x v="0"/>
    <m/>
    <n v="1.93"/>
    <n v="1.9526699999999999"/>
    <n v="1.941335"/>
    <n v="226.7"/>
  </r>
  <r>
    <x v="14"/>
    <x v="48"/>
    <x v="0"/>
    <m/>
    <n v="1.93"/>
    <n v="1.9526699999999999"/>
    <n v="1.941335"/>
    <n v="226.7"/>
  </r>
  <r>
    <x v="14"/>
    <x v="48"/>
    <x v="0"/>
    <m/>
    <n v="1.93"/>
    <n v="1.9526699999999999"/>
    <n v="1.941335"/>
    <n v="226.7"/>
  </r>
  <r>
    <x v="14"/>
    <x v="48"/>
    <x v="0"/>
    <m/>
    <n v="1.93"/>
    <n v="1.9526699999999999"/>
    <n v="1.941335"/>
    <n v="226.7"/>
  </r>
  <r>
    <x v="14"/>
    <x v="48"/>
    <x v="0"/>
    <m/>
    <n v="1.93"/>
    <n v="1.9526699999999999"/>
    <n v="1.941335"/>
    <n v="226.7"/>
  </r>
  <r>
    <x v="14"/>
    <x v="48"/>
    <x v="0"/>
    <m/>
    <n v="1.93"/>
    <n v="1.9526699999999999"/>
    <n v="1.941335"/>
    <n v="226.7"/>
  </r>
  <r>
    <x v="14"/>
    <x v="48"/>
    <x v="0"/>
    <m/>
    <n v="1.93"/>
    <n v="1.9526699999999999"/>
    <n v="1.941335"/>
    <n v="226.7"/>
  </r>
  <r>
    <x v="14"/>
    <x v="48"/>
    <x v="0"/>
    <m/>
    <n v="1.93"/>
    <n v="1.9526699999999999"/>
    <n v="1.941335"/>
    <n v="226.7"/>
  </r>
  <r>
    <x v="14"/>
    <x v="48"/>
    <x v="0"/>
    <m/>
    <n v="1.93"/>
    <n v="1.9526699999999999"/>
    <n v="1.941335"/>
    <n v="226.7"/>
  </r>
  <r>
    <x v="14"/>
    <x v="48"/>
    <x v="10"/>
    <m/>
    <n v="0.87195999999999996"/>
    <n v="0.88327999999999995"/>
    <n v="0.87761999999999996"/>
    <n v="113.2"/>
  </r>
  <r>
    <x v="14"/>
    <x v="48"/>
    <x v="10"/>
    <m/>
    <n v="0.87195999999999996"/>
    <n v="0.88327999999999995"/>
    <n v="0.87761999999999996"/>
    <n v="113.2"/>
  </r>
  <r>
    <x v="14"/>
    <x v="48"/>
    <x v="10"/>
    <m/>
    <n v="0.87195999999999996"/>
    <n v="0.88327999999999995"/>
    <n v="0.87761999999999996"/>
    <n v="113.2"/>
  </r>
  <r>
    <x v="14"/>
    <x v="48"/>
    <x v="10"/>
    <m/>
    <n v="0.87195999999999996"/>
    <n v="0.88327999999999995"/>
    <n v="0.87761999999999996"/>
    <n v="113.2"/>
  </r>
  <r>
    <x v="14"/>
    <x v="48"/>
    <x v="10"/>
    <m/>
    <n v="0.87195999999999996"/>
    <n v="0.88327999999999995"/>
    <n v="0.87761999999999996"/>
    <n v="113.2"/>
  </r>
  <r>
    <x v="14"/>
    <x v="48"/>
    <x v="10"/>
    <m/>
    <n v="0.87195999999999996"/>
    <n v="0.88327999999999995"/>
    <n v="0.87761999999999996"/>
    <n v="113.2"/>
  </r>
  <r>
    <x v="14"/>
    <x v="48"/>
    <x v="10"/>
    <m/>
    <n v="0.87195999999999996"/>
    <n v="0.88327999999999995"/>
    <n v="0.87761999999999996"/>
    <n v="113.2"/>
  </r>
  <r>
    <x v="14"/>
    <x v="48"/>
    <x v="10"/>
    <m/>
    <n v="0.87195999999999996"/>
    <n v="0.88327999999999995"/>
    <n v="0.87761999999999996"/>
    <n v="113.2"/>
  </r>
  <r>
    <x v="14"/>
    <x v="48"/>
    <x v="10"/>
    <m/>
    <n v="0.87195999999999996"/>
    <n v="0.88327999999999995"/>
    <n v="0.87761999999999996"/>
    <n v="113.2"/>
  </r>
  <r>
    <x v="14"/>
    <x v="48"/>
    <x v="10"/>
    <m/>
    <n v="0.87195999999999996"/>
    <n v="0.88327999999999995"/>
    <n v="0.87761999999999996"/>
    <n v="113.2"/>
  </r>
  <r>
    <x v="14"/>
    <x v="49"/>
    <x v="4"/>
    <m/>
    <n v="91.498999999999995"/>
    <n v="95.132000000000005"/>
    <n v="93.3155"/>
    <n v="363.3"/>
  </r>
  <r>
    <x v="14"/>
    <x v="49"/>
    <x v="4"/>
    <m/>
    <n v="91.498999999999995"/>
    <n v="95.132000000000005"/>
    <n v="93.3155"/>
    <n v="363.3"/>
  </r>
  <r>
    <x v="14"/>
    <x v="49"/>
    <x v="4"/>
    <m/>
    <n v="91.498999999999995"/>
    <n v="95.132000000000005"/>
    <n v="93.3155"/>
    <n v="363.3"/>
  </r>
  <r>
    <x v="14"/>
    <x v="49"/>
    <x v="4"/>
    <m/>
    <n v="91.498999999999995"/>
    <n v="95.132000000000005"/>
    <n v="93.3155"/>
    <n v="363.3"/>
  </r>
  <r>
    <x v="14"/>
    <x v="49"/>
    <x v="4"/>
    <m/>
    <n v="91.498999999999995"/>
    <n v="95.132000000000005"/>
    <n v="93.3155"/>
    <n v="363.3"/>
  </r>
  <r>
    <x v="14"/>
    <x v="49"/>
    <x v="4"/>
    <m/>
    <n v="91.498999999999995"/>
    <n v="95.132000000000005"/>
    <n v="93.3155"/>
    <n v="363.3"/>
  </r>
  <r>
    <x v="14"/>
    <x v="49"/>
    <x v="4"/>
    <m/>
    <n v="91.498999999999995"/>
    <n v="95.132000000000005"/>
    <n v="93.3155"/>
    <n v="363.3"/>
  </r>
  <r>
    <x v="14"/>
    <x v="49"/>
    <x v="4"/>
    <m/>
    <n v="91.498999999999995"/>
    <n v="95.132000000000005"/>
    <n v="93.3155"/>
    <n v="363.3"/>
  </r>
  <r>
    <x v="14"/>
    <x v="49"/>
    <x v="4"/>
    <m/>
    <n v="91.498999999999995"/>
    <n v="95.132000000000005"/>
    <n v="93.3155"/>
    <n v="363.3"/>
  </r>
  <r>
    <x v="14"/>
    <x v="49"/>
    <x v="4"/>
    <m/>
    <n v="91.498999999999995"/>
    <n v="95.132000000000005"/>
    <n v="93.3155"/>
    <n v="363.3"/>
  </r>
  <r>
    <x v="14"/>
    <x v="49"/>
    <x v="4"/>
    <m/>
    <n v="91.498999999999995"/>
    <n v="95.132000000000005"/>
    <n v="93.3155"/>
    <n v="363.3"/>
  </r>
  <r>
    <x v="14"/>
    <x v="49"/>
    <x v="4"/>
    <m/>
    <n v="91.498999999999995"/>
    <n v="95.132000000000005"/>
    <n v="93.3155"/>
    <n v="363.3"/>
  </r>
  <r>
    <x v="14"/>
    <x v="49"/>
    <x v="4"/>
    <m/>
    <n v="91.498999999999995"/>
    <n v="95.132000000000005"/>
    <n v="93.3155"/>
    <n v="363.3"/>
  </r>
  <r>
    <x v="14"/>
    <x v="49"/>
    <x v="4"/>
    <m/>
    <n v="91.498999999999995"/>
    <n v="95.132000000000005"/>
    <n v="93.3155"/>
    <n v="363.3"/>
  </r>
  <r>
    <x v="14"/>
    <x v="49"/>
    <x v="4"/>
    <m/>
    <n v="91.498999999999995"/>
    <n v="95.132000000000005"/>
    <n v="93.3155"/>
    <n v="363.3"/>
  </r>
  <r>
    <x v="14"/>
    <x v="49"/>
    <x v="4"/>
    <m/>
    <n v="91.498999999999995"/>
    <n v="95.132000000000005"/>
    <n v="93.3155"/>
    <n v="363.3"/>
  </r>
  <r>
    <x v="14"/>
    <x v="49"/>
    <x v="4"/>
    <m/>
    <n v="91.498999999999995"/>
    <n v="95.132000000000005"/>
    <n v="93.3155"/>
    <n v="363.3"/>
  </r>
  <r>
    <x v="14"/>
    <x v="49"/>
    <x v="4"/>
    <m/>
    <n v="91.498999999999995"/>
    <n v="95.132000000000005"/>
    <n v="93.3155"/>
    <n v="363.3"/>
  </r>
  <r>
    <x v="14"/>
    <x v="49"/>
    <x v="4"/>
    <m/>
    <n v="91.498999999999995"/>
    <n v="95.132000000000005"/>
    <n v="93.3155"/>
    <n v="363.3"/>
  </r>
  <r>
    <x v="14"/>
    <x v="49"/>
    <x v="4"/>
    <m/>
    <n v="91.498999999999995"/>
    <n v="95.132000000000005"/>
    <n v="93.3155"/>
    <n v="363.3"/>
  </r>
  <r>
    <x v="14"/>
    <x v="49"/>
    <x v="4"/>
    <m/>
    <n v="91.498999999999995"/>
    <n v="95.132000000000005"/>
    <n v="93.3155"/>
    <n v="363.3"/>
  </r>
  <r>
    <x v="14"/>
    <x v="49"/>
    <x v="0"/>
    <m/>
    <n v="1.9189400000000001"/>
    <n v="1.9526699999999999"/>
    <n v="1.935805"/>
    <n v="337.3"/>
  </r>
  <r>
    <x v="14"/>
    <x v="49"/>
    <x v="0"/>
    <m/>
    <n v="1.9189400000000001"/>
    <n v="1.9526699999999999"/>
    <n v="1.935805"/>
    <n v="337.3"/>
  </r>
  <r>
    <x v="14"/>
    <x v="49"/>
    <x v="0"/>
    <m/>
    <n v="1.9189400000000001"/>
    <n v="1.9526699999999999"/>
    <n v="1.935805"/>
    <n v="337.3"/>
  </r>
  <r>
    <x v="14"/>
    <x v="49"/>
    <x v="0"/>
    <m/>
    <n v="1.9189400000000001"/>
    <n v="1.9526699999999999"/>
    <n v="1.935805"/>
    <n v="337.3"/>
  </r>
  <r>
    <x v="14"/>
    <x v="49"/>
    <x v="0"/>
    <m/>
    <n v="1.9189400000000001"/>
    <n v="1.9526699999999999"/>
    <n v="1.935805"/>
    <n v="337.3"/>
  </r>
  <r>
    <x v="14"/>
    <x v="49"/>
    <x v="0"/>
    <m/>
    <n v="1.9189400000000001"/>
    <n v="1.9526699999999999"/>
    <n v="1.935805"/>
    <n v="337.3"/>
  </r>
  <r>
    <x v="14"/>
    <x v="49"/>
    <x v="0"/>
    <m/>
    <n v="1.9189400000000001"/>
    <n v="1.9526699999999999"/>
    <n v="1.935805"/>
    <n v="337.3"/>
  </r>
  <r>
    <x v="14"/>
    <x v="49"/>
    <x v="0"/>
    <m/>
    <n v="1.9189400000000001"/>
    <n v="1.9526699999999999"/>
    <n v="1.935805"/>
    <n v="337.3"/>
  </r>
  <r>
    <x v="14"/>
    <x v="49"/>
    <x v="0"/>
    <m/>
    <n v="1.9189400000000001"/>
    <n v="1.9526699999999999"/>
    <n v="1.935805"/>
    <n v="337.3"/>
  </r>
  <r>
    <x v="14"/>
    <x v="49"/>
    <x v="0"/>
    <m/>
    <n v="1.9189400000000001"/>
    <n v="1.9526699999999999"/>
    <n v="1.935805"/>
    <n v="337.3"/>
  </r>
  <r>
    <x v="14"/>
    <x v="49"/>
    <x v="0"/>
    <m/>
    <n v="1.9189400000000001"/>
    <n v="1.9526699999999999"/>
    <n v="1.935805"/>
    <n v="337.3"/>
  </r>
  <r>
    <x v="14"/>
    <x v="49"/>
    <x v="0"/>
    <m/>
    <n v="1.9189400000000001"/>
    <n v="1.9526699999999999"/>
    <n v="1.935805"/>
    <n v="337.3"/>
  </r>
  <r>
    <x v="14"/>
    <x v="49"/>
    <x v="0"/>
    <m/>
    <n v="1.9189400000000001"/>
    <n v="1.9526699999999999"/>
    <n v="1.935805"/>
    <n v="337.3"/>
  </r>
  <r>
    <x v="14"/>
    <x v="49"/>
    <x v="0"/>
    <m/>
    <n v="1.9189400000000001"/>
    <n v="1.9526699999999999"/>
    <n v="1.935805"/>
    <n v="337.3"/>
  </r>
  <r>
    <x v="14"/>
    <x v="49"/>
    <x v="0"/>
    <m/>
    <n v="1.9189400000000001"/>
    <n v="1.9526699999999999"/>
    <n v="1.935805"/>
    <n v="337.3"/>
  </r>
  <r>
    <x v="14"/>
    <x v="49"/>
    <x v="0"/>
    <m/>
    <n v="1.9189400000000001"/>
    <n v="1.9526699999999999"/>
    <n v="1.935805"/>
    <n v="337.3"/>
  </r>
  <r>
    <x v="14"/>
    <x v="49"/>
    <x v="0"/>
    <m/>
    <n v="1.9189400000000001"/>
    <n v="1.9526699999999999"/>
    <n v="1.935805"/>
    <n v="337.3"/>
  </r>
  <r>
    <x v="14"/>
    <x v="49"/>
    <x v="0"/>
    <m/>
    <n v="1.9189400000000001"/>
    <n v="1.9526699999999999"/>
    <n v="1.935805"/>
    <n v="337.3"/>
  </r>
  <r>
    <x v="14"/>
    <x v="49"/>
    <x v="10"/>
    <m/>
    <n v="0.87195999999999996"/>
    <n v="0.88710999999999995"/>
    <n v="0.87953499999999996"/>
    <n v="151.5"/>
  </r>
  <r>
    <x v="14"/>
    <x v="49"/>
    <x v="10"/>
    <m/>
    <n v="0.87195999999999996"/>
    <n v="0.88710999999999995"/>
    <n v="0.87953499999999996"/>
    <n v="151.5"/>
  </r>
  <r>
    <x v="14"/>
    <x v="49"/>
    <x v="10"/>
    <m/>
    <n v="0.87195999999999996"/>
    <n v="0.88710999999999995"/>
    <n v="0.87953499999999996"/>
    <n v="151.5"/>
  </r>
  <r>
    <x v="14"/>
    <x v="49"/>
    <x v="10"/>
    <m/>
    <n v="0.87195999999999996"/>
    <n v="0.88710999999999995"/>
    <n v="0.87953499999999996"/>
    <n v="151.5"/>
  </r>
  <r>
    <x v="14"/>
    <x v="49"/>
    <x v="10"/>
    <m/>
    <n v="0.87195999999999996"/>
    <n v="0.88710999999999995"/>
    <n v="0.87953499999999996"/>
    <n v="151.5"/>
  </r>
  <r>
    <x v="14"/>
    <x v="49"/>
    <x v="10"/>
    <m/>
    <n v="0.87195999999999996"/>
    <n v="0.88710999999999995"/>
    <n v="0.87953499999999996"/>
    <n v="151.5"/>
  </r>
  <r>
    <x v="14"/>
    <x v="49"/>
    <x v="10"/>
    <m/>
    <n v="0.87195999999999996"/>
    <n v="0.88710999999999995"/>
    <n v="0.87953499999999996"/>
    <n v="151.5"/>
  </r>
  <r>
    <x v="14"/>
    <x v="49"/>
    <x v="10"/>
    <m/>
    <n v="0.87195999999999996"/>
    <n v="0.88710999999999995"/>
    <n v="0.87953499999999996"/>
    <n v="151.5"/>
  </r>
  <r>
    <x v="14"/>
    <x v="49"/>
    <x v="10"/>
    <m/>
    <n v="0.87195999999999996"/>
    <n v="0.88710999999999995"/>
    <n v="0.87953499999999996"/>
    <n v="151.5"/>
  </r>
  <r>
    <x v="14"/>
    <x v="49"/>
    <x v="10"/>
    <m/>
    <n v="0.87195999999999996"/>
    <n v="0.88710999999999995"/>
    <n v="0.87953499999999996"/>
    <n v="151.5"/>
  </r>
  <r>
    <x v="14"/>
    <x v="49"/>
    <x v="10"/>
    <m/>
    <n v="0.87195999999999996"/>
    <n v="0.88710999999999995"/>
    <n v="0.87953499999999996"/>
    <n v="151.5"/>
  </r>
  <r>
    <x v="14"/>
    <x v="50"/>
    <x v="4"/>
    <m/>
    <n v="91.498999999999995"/>
    <n v="96.022000000000006"/>
    <n v="93.760499999999993"/>
    <n v="452.3"/>
  </r>
  <r>
    <x v="14"/>
    <x v="50"/>
    <x v="4"/>
    <m/>
    <n v="91.498999999999995"/>
    <n v="96.022000000000006"/>
    <n v="93.760499999999993"/>
    <n v="452.3"/>
  </r>
  <r>
    <x v="14"/>
    <x v="50"/>
    <x v="4"/>
    <m/>
    <n v="91.498999999999995"/>
    <n v="96.022000000000006"/>
    <n v="93.760499999999993"/>
    <n v="452.3"/>
  </r>
  <r>
    <x v="14"/>
    <x v="50"/>
    <x v="4"/>
    <m/>
    <n v="91.498999999999995"/>
    <n v="96.022000000000006"/>
    <n v="93.760499999999993"/>
    <n v="452.3"/>
  </r>
  <r>
    <x v="14"/>
    <x v="50"/>
    <x v="4"/>
    <m/>
    <n v="91.498999999999995"/>
    <n v="96.022000000000006"/>
    <n v="93.760499999999993"/>
    <n v="452.3"/>
  </r>
  <r>
    <x v="14"/>
    <x v="50"/>
    <x v="4"/>
    <m/>
    <n v="91.498999999999995"/>
    <n v="96.022000000000006"/>
    <n v="93.760499999999993"/>
    <n v="452.3"/>
  </r>
  <r>
    <x v="14"/>
    <x v="50"/>
    <x v="4"/>
    <m/>
    <n v="91.498999999999995"/>
    <n v="96.022000000000006"/>
    <n v="93.760499999999993"/>
    <n v="452.3"/>
  </r>
  <r>
    <x v="14"/>
    <x v="50"/>
    <x v="4"/>
    <m/>
    <n v="91.498999999999995"/>
    <n v="96.022000000000006"/>
    <n v="93.760499999999993"/>
    <n v="452.3"/>
  </r>
  <r>
    <x v="14"/>
    <x v="50"/>
    <x v="4"/>
    <m/>
    <n v="91.498999999999995"/>
    <n v="96.022000000000006"/>
    <n v="93.760499999999993"/>
    <n v="452.3"/>
  </r>
  <r>
    <x v="14"/>
    <x v="50"/>
    <x v="4"/>
    <m/>
    <n v="91.498999999999995"/>
    <n v="96.022000000000006"/>
    <n v="93.760499999999993"/>
    <n v="452.3"/>
  </r>
  <r>
    <x v="14"/>
    <x v="50"/>
    <x v="4"/>
    <m/>
    <n v="91.498999999999995"/>
    <n v="96.022000000000006"/>
    <n v="93.760499999999993"/>
    <n v="452.3"/>
  </r>
  <r>
    <x v="14"/>
    <x v="50"/>
    <x v="4"/>
    <m/>
    <n v="91.498999999999995"/>
    <n v="96.022000000000006"/>
    <n v="93.760499999999993"/>
    <n v="452.3"/>
  </r>
  <r>
    <x v="14"/>
    <x v="50"/>
    <x v="4"/>
    <m/>
    <n v="91.498999999999995"/>
    <n v="96.022000000000006"/>
    <n v="93.760499999999993"/>
    <n v="452.3"/>
  </r>
  <r>
    <x v="14"/>
    <x v="50"/>
    <x v="4"/>
    <m/>
    <n v="91.498999999999995"/>
    <n v="96.022000000000006"/>
    <n v="93.760499999999993"/>
    <n v="452.3"/>
  </r>
  <r>
    <x v="14"/>
    <x v="50"/>
    <x v="4"/>
    <m/>
    <n v="91.498999999999995"/>
    <n v="96.022000000000006"/>
    <n v="93.760499999999993"/>
    <n v="452.3"/>
  </r>
  <r>
    <x v="14"/>
    <x v="50"/>
    <x v="4"/>
    <m/>
    <n v="91.498999999999995"/>
    <n v="96.022000000000006"/>
    <n v="93.760499999999993"/>
    <n v="452.3"/>
  </r>
  <r>
    <x v="14"/>
    <x v="50"/>
    <x v="4"/>
    <m/>
    <n v="91.498999999999995"/>
    <n v="96.022000000000006"/>
    <n v="93.760499999999993"/>
    <n v="452.3"/>
  </r>
  <r>
    <x v="14"/>
    <x v="50"/>
    <x v="4"/>
    <m/>
    <n v="91.498999999999995"/>
    <n v="96.022000000000006"/>
    <n v="93.760499999999993"/>
    <n v="452.3"/>
  </r>
  <r>
    <x v="14"/>
    <x v="50"/>
    <x v="4"/>
    <m/>
    <n v="91.498999999999995"/>
    <n v="96.022000000000006"/>
    <n v="93.760499999999993"/>
    <n v="452.3"/>
  </r>
  <r>
    <x v="14"/>
    <x v="50"/>
    <x v="4"/>
    <m/>
    <n v="91.498999999999995"/>
    <n v="96.022000000000006"/>
    <n v="93.760499999999993"/>
    <n v="452.3"/>
  </r>
  <r>
    <x v="14"/>
    <x v="50"/>
    <x v="4"/>
    <m/>
    <n v="91.498999999999995"/>
    <n v="96.022000000000006"/>
    <n v="93.760499999999993"/>
    <n v="452.3"/>
  </r>
  <r>
    <x v="14"/>
    <x v="50"/>
    <x v="4"/>
    <m/>
    <n v="91.498999999999995"/>
    <n v="96.022000000000006"/>
    <n v="93.760499999999993"/>
    <n v="452.3"/>
  </r>
  <r>
    <x v="14"/>
    <x v="50"/>
    <x v="4"/>
    <m/>
    <n v="91.498999999999995"/>
    <n v="96.022000000000006"/>
    <n v="93.760499999999993"/>
    <n v="452.3"/>
  </r>
  <r>
    <x v="14"/>
    <x v="50"/>
    <x v="4"/>
    <m/>
    <n v="91.498999999999995"/>
    <n v="96.022000000000006"/>
    <n v="93.760499999999993"/>
    <n v="452.3"/>
  </r>
  <r>
    <x v="14"/>
    <x v="50"/>
    <x v="4"/>
    <m/>
    <n v="91.498999999999995"/>
    <n v="96.022000000000006"/>
    <n v="93.760499999999993"/>
    <n v="452.3"/>
  </r>
  <r>
    <x v="14"/>
    <x v="50"/>
    <x v="4"/>
    <m/>
    <n v="91.498999999999995"/>
    <n v="96.022000000000006"/>
    <n v="93.760499999999993"/>
    <n v="452.3"/>
  </r>
  <r>
    <x v="14"/>
    <x v="50"/>
    <x v="0"/>
    <m/>
    <n v="1.9189400000000001"/>
    <n v="1.9526699999999999"/>
    <n v="1.935805"/>
    <n v="337.3"/>
  </r>
  <r>
    <x v="14"/>
    <x v="50"/>
    <x v="0"/>
    <m/>
    <n v="1.9189400000000001"/>
    <n v="1.9526699999999999"/>
    <n v="1.935805"/>
    <n v="337.3"/>
  </r>
  <r>
    <x v="14"/>
    <x v="50"/>
    <x v="0"/>
    <m/>
    <n v="1.9189400000000001"/>
    <n v="1.9526699999999999"/>
    <n v="1.935805"/>
    <n v="337.3"/>
  </r>
  <r>
    <x v="14"/>
    <x v="50"/>
    <x v="0"/>
    <m/>
    <n v="1.9189400000000001"/>
    <n v="1.9526699999999999"/>
    <n v="1.935805"/>
    <n v="337.3"/>
  </r>
  <r>
    <x v="14"/>
    <x v="50"/>
    <x v="0"/>
    <m/>
    <n v="1.9189400000000001"/>
    <n v="1.9526699999999999"/>
    <n v="1.935805"/>
    <n v="337.3"/>
  </r>
  <r>
    <x v="14"/>
    <x v="50"/>
    <x v="0"/>
    <m/>
    <n v="1.9189400000000001"/>
    <n v="1.9526699999999999"/>
    <n v="1.935805"/>
    <n v="337.3"/>
  </r>
  <r>
    <x v="14"/>
    <x v="50"/>
    <x v="0"/>
    <m/>
    <n v="1.9189400000000001"/>
    <n v="1.9526699999999999"/>
    <n v="1.935805"/>
    <n v="337.3"/>
  </r>
  <r>
    <x v="14"/>
    <x v="50"/>
    <x v="0"/>
    <m/>
    <n v="1.9189400000000001"/>
    <n v="1.9526699999999999"/>
    <n v="1.935805"/>
    <n v="337.3"/>
  </r>
  <r>
    <x v="14"/>
    <x v="50"/>
    <x v="0"/>
    <m/>
    <n v="1.9189400000000001"/>
    <n v="1.9526699999999999"/>
    <n v="1.935805"/>
    <n v="337.3"/>
  </r>
  <r>
    <x v="14"/>
    <x v="50"/>
    <x v="0"/>
    <m/>
    <n v="1.9189400000000001"/>
    <n v="1.9526699999999999"/>
    <n v="1.935805"/>
    <n v="337.3"/>
  </r>
  <r>
    <x v="14"/>
    <x v="50"/>
    <x v="0"/>
    <m/>
    <n v="1.9189400000000001"/>
    <n v="1.9526699999999999"/>
    <n v="1.935805"/>
    <n v="337.3"/>
  </r>
  <r>
    <x v="14"/>
    <x v="50"/>
    <x v="0"/>
    <m/>
    <n v="1.9189400000000001"/>
    <n v="1.9526699999999999"/>
    <n v="1.935805"/>
    <n v="337.3"/>
  </r>
  <r>
    <x v="14"/>
    <x v="50"/>
    <x v="0"/>
    <m/>
    <n v="1.9189400000000001"/>
    <n v="1.9526699999999999"/>
    <n v="1.935805"/>
    <n v="337.3"/>
  </r>
  <r>
    <x v="14"/>
    <x v="50"/>
    <x v="0"/>
    <m/>
    <n v="1.9189400000000001"/>
    <n v="1.9526699999999999"/>
    <n v="1.935805"/>
    <n v="337.3"/>
  </r>
  <r>
    <x v="14"/>
    <x v="50"/>
    <x v="0"/>
    <m/>
    <n v="1.9189400000000001"/>
    <n v="1.9526699999999999"/>
    <n v="1.935805"/>
    <n v="337.3"/>
  </r>
  <r>
    <x v="14"/>
    <x v="50"/>
    <x v="0"/>
    <m/>
    <n v="1.9189400000000001"/>
    <n v="1.9526699999999999"/>
    <n v="1.935805"/>
    <n v="337.3"/>
  </r>
  <r>
    <x v="14"/>
    <x v="50"/>
    <x v="0"/>
    <m/>
    <n v="1.9189400000000001"/>
    <n v="1.9526699999999999"/>
    <n v="1.935805"/>
    <n v="337.3"/>
  </r>
  <r>
    <x v="14"/>
    <x v="50"/>
    <x v="0"/>
    <m/>
    <n v="1.9189400000000001"/>
    <n v="1.9526699999999999"/>
    <n v="1.935805"/>
    <n v="337.3"/>
  </r>
  <r>
    <x v="14"/>
    <x v="50"/>
    <x v="10"/>
    <m/>
    <n v="0.87195999999999996"/>
    <n v="0.89266000000000001"/>
    <n v="0.88231000000000004"/>
    <n v="207"/>
  </r>
  <r>
    <x v="14"/>
    <x v="50"/>
    <x v="10"/>
    <m/>
    <n v="0.87195999999999996"/>
    <n v="0.89266000000000001"/>
    <n v="0.88231000000000004"/>
    <n v="207"/>
  </r>
  <r>
    <x v="14"/>
    <x v="50"/>
    <x v="10"/>
    <m/>
    <n v="0.87195999999999996"/>
    <n v="0.89266000000000001"/>
    <n v="0.88231000000000004"/>
    <n v="207"/>
  </r>
  <r>
    <x v="14"/>
    <x v="50"/>
    <x v="10"/>
    <m/>
    <n v="0.87195999999999996"/>
    <n v="0.89266000000000001"/>
    <n v="0.88231000000000004"/>
    <n v="207"/>
  </r>
  <r>
    <x v="14"/>
    <x v="50"/>
    <x v="10"/>
    <m/>
    <n v="0.87195999999999996"/>
    <n v="0.89266000000000001"/>
    <n v="0.88231000000000004"/>
    <n v="207"/>
  </r>
  <r>
    <x v="14"/>
    <x v="50"/>
    <x v="10"/>
    <m/>
    <n v="0.87195999999999996"/>
    <n v="0.89266000000000001"/>
    <n v="0.88231000000000004"/>
    <n v="207"/>
  </r>
  <r>
    <x v="14"/>
    <x v="50"/>
    <x v="10"/>
    <m/>
    <n v="0.87195999999999996"/>
    <n v="0.89266000000000001"/>
    <n v="0.88231000000000004"/>
    <n v="207"/>
  </r>
  <r>
    <x v="14"/>
    <x v="50"/>
    <x v="10"/>
    <m/>
    <n v="0.87195999999999996"/>
    <n v="0.89266000000000001"/>
    <n v="0.88231000000000004"/>
    <n v="207"/>
  </r>
  <r>
    <x v="14"/>
    <x v="50"/>
    <x v="10"/>
    <m/>
    <n v="0.87195999999999996"/>
    <n v="0.89266000000000001"/>
    <n v="0.88231000000000004"/>
    <n v="207"/>
  </r>
  <r>
    <x v="14"/>
    <x v="50"/>
    <x v="10"/>
    <m/>
    <n v="0.87195999999999996"/>
    <n v="0.89266000000000001"/>
    <n v="0.88231000000000004"/>
    <n v="207"/>
  </r>
  <r>
    <x v="14"/>
    <x v="50"/>
    <x v="10"/>
    <m/>
    <n v="0.87195999999999996"/>
    <n v="0.89266000000000001"/>
    <n v="0.88231000000000004"/>
    <n v="207"/>
  </r>
  <r>
    <x v="14"/>
    <x v="50"/>
    <x v="10"/>
    <m/>
    <n v="0.87195999999999996"/>
    <n v="0.89266000000000001"/>
    <n v="0.88231000000000004"/>
    <n v="207"/>
  </r>
  <r>
    <x v="14"/>
    <x v="50"/>
    <x v="10"/>
    <m/>
    <n v="0.87195999999999996"/>
    <n v="0.89266000000000001"/>
    <n v="0.88231000000000004"/>
    <n v="207"/>
  </r>
  <r>
    <x v="14"/>
    <x v="50"/>
    <x v="10"/>
    <m/>
    <n v="0.87195999999999996"/>
    <n v="0.89266000000000001"/>
    <n v="0.88231000000000004"/>
    <n v="207"/>
  </r>
  <r>
    <x v="14"/>
    <x v="51"/>
    <x v="4"/>
    <m/>
    <n v="91.498999999999995"/>
    <n v="96.022000000000006"/>
    <n v="93.760499999999993"/>
    <n v="452.3"/>
  </r>
  <r>
    <x v="14"/>
    <x v="51"/>
    <x v="4"/>
    <m/>
    <n v="91.498999999999995"/>
    <n v="96.022000000000006"/>
    <n v="93.760499999999993"/>
    <n v="452.3"/>
  </r>
  <r>
    <x v="14"/>
    <x v="51"/>
    <x v="4"/>
    <m/>
    <n v="91.498999999999995"/>
    <n v="96.022000000000006"/>
    <n v="93.760499999999993"/>
    <n v="452.3"/>
  </r>
  <r>
    <x v="14"/>
    <x v="51"/>
    <x v="4"/>
    <m/>
    <n v="91.498999999999995"/>
    <n v="96.022000000000006"/>
    <n v="93.760499999999993"/>
    <n v="452.3"/>
  </r>
  <r>
    <x v="14"/>
    <x v="51"/>
    <x v="4"/>
    <m/>
    <n v="91.498999999999995"/>
    <n v="96.022000000000006"/>
    <n v="93.760499999999993"/>
    <n v="452.3"/>
  </r>
  <r>
    <x v="14"/>
    <x v="51"/>
    <x v="4"/>
    <m/>
    <n v="91.498999999999995"/>
    <n v="96.022000000000006"/>
    <n v="93.760499999999993"/>
    <n v="452.3"/>
  </r>
  <r>
    <x v="14"/>
    <x v="51"/>
    <x v="4"/>
    <m/>
    <n v="91.498999999999995"/>
    <n v="96.022000000000006"/>
    <n v="93.760499999999993"/>
    <n v="452.3"/>
  </r>
  <r>
    <x v="14"/>
    <x v="51"/>
    <x v="4"/>
    <m/>
    <n v="91.498999999999995"/>
    <n v="96.022000000000006"/>
    <n v="93.760499999999993"/>
    <n v="452.3"/>
  </r>
  <r>
    <x v="14"/>
    <x v="51"/>
    <x v="4"/>
    <m/>
    <n v="91.498999999999995"/>
    <n v="96.022000000000006"/>
    <n v="93.760499999999993"/>
    <n v="452.3"/>
  </r>
  <r>
    <x v="14"/>
    <x v="51"/>
    <x v="4"/>
    <m/>
    <n v="91.498999999999995"/>
    <n v="96.022000000000006"/>
    <n v="93.760499999999993"/>
    <n v="452.3"/>
  </r>
  <r>
    <x v="14"/>
    <x v="51"/>
    <x v="4"/>
    <m/>
    <n v="91.498999999999995"/>
    <n v="96.022000000000006"/>
    <n v="93.760499999999993"/>
    <n v="452.3"/>
  </r>
  <r>
    <x v="14"/>
    <x v="51"/>
    <x v="4"/>
    <m/>
    <n v="91.498999999999995"/>
    <n v="96.022000000000006"/>
    <n v="93.760499999999993"/>
    <n v="452.3"/>
  </r>
  <r>
    <x v="14"/>
    <x v="51"/>
    <x v="4"/>
    <m/>
    <n v="91.498999999999995"/>
    <n v="96.022000000000006"/>
    <n v="93.760499999999993"/>
    <n v="452.3"/>
  </r>
  <r>
    <x v="14"/>
    <x v="51"/>
    <x v="4"/>
    <m/>
    <n v="91.498999999999995"/>
    <n v="96.022000000000006"/>
    <n v="93.760499999999993"/>
    <n v="452.3"/>
  </r>
  <r>
    <x v="14"/>
    <x v="51"/>
    <x v="4"/>
    <m/>
    <n v="91.498999999999995"/>
    <n v="96.022000000000006"/>
    <n v="93.760499999999993"/>
    <n v="452.3"/>
  </r>
  <r>
    <x v="14"/>
    <x v="51"/>
    <x v="4"/>
    <m/>
    <n v="91.498999999999995"/>
    <n v="96.022000000000006"/>
    <n v="93.760499999999993"/>
    <n v="452.3"/>
  </r>
  <r>
    <x v="14"/>
    <x v="51"/>
    <x v="4"/>
    <m/>
    <n v="91.498999999999995"/>
    <n v="96.022000000000006"/>
    <n v="93.760499999999993"/>
    <n v="452.3"/>
  </r>
  <r>
    <x v="14"/>
    <x v="51"/>
    <x v="4"/>
    <m/>
    <n v="91.498999999999995"/>
    <n v="96.022000000000006"/>
    <n v="93.760499999999993"/>
    <n v="452.3"/>
  </r>
  <r>
    <x v="14"/>
    <x v="51"/>
    <x v="4"/>
    <m/>
    <n v="91.498999999999995"/>
    <n v="96.022000000000006"/>
    <n v="93.760499999999993"/>
    <n v="452.3"/>
  </r>
  <r>
    <x v="14"/>
    <x v="51"/>
    <x v="4"/>
    <m/>
    <n v="91.498999999999995"/>
    <n v="96.022000000000006"/>
    <n v="93.760499999999993"/>
    <n v="452.3"/>
  </r>
  <r>
    <x v="14"/>
    <x v="51"/>
    <x v="4"/>
    <m/>
    <n v="91.498999999999995"/>
    <n v="96.022000000000006"/>
    <n v="93.760499999999993"/>
    <n v="452.3"/>
  </r>
  <r>
    <x v="14"/>
    <x v="51"/>
    <x v="4"/>
    <m/>
    <n v="91.498999999999995"/>
    <n v="96.022000000000006"/>
    <n v="93.760499999999993"/>
    <n v="452.3"/>
  </r>
  <r>
    <x v="14"/>
    <x v="51"/>
    <x v="4"/>
    <m/>
    <n v="91.498999999999995"/>
    <n v="96.022000000000006"/>
    <n v="93.760499999999993"/>
    <n v="452.3"/>
  </r>
  <r>
    <x v="14"/>
    <x v="51"/>
    <x v="4"/>
    <m/>
    <n v="91.498999999999995"/>
    <n v="96.022000000000006"/>
    <n v="93.760499999999993"/>
    <n v="452.3"/>
  </r>
  <r>
    <x v="14"/>
    <x v="51"/>
    <x v="4"/>
    <m/>
    <n v="91.498999999999995"/>
    <n v="96.022000000000006"/>
    <n v="93.760499999999993"/>
    <n v="452.3"/>
  </r>
  <r>
    <x v="14"/>
    <x v="51"/>
    <x v="4"/>
    <m/>
    <n v="91.498999999999995"/>
    <n v="96.022000000000006"/>
    <n v="93.760499999999993"/>
    <n v="452.3"/>
  </r>
  <r>
    <x v="14"/>
    <x v="51"/>
    <x v="4"/>
    <m/>
    <n v="91.498999999999995"/>
    <n v="96.022000000000006"/>
    <n v="93.760499999999993"/>
    <n v="452.3"/>
  </r>
  <r>
    <x v="14"/>
    <x v="51"/>
    <x v="0"/>
    <m/>
    <n v="1.9189400000000001"/>
    <n v="1.9526699999999999"/>
    <n v="1.935805"/>
    <n v="337.3"/>
  </r>
  <r>
    <x v="14"/>
    <x v="51"/>
    <x v="0"/>
    <m/>
    <n v="1.9189400000000001"/>
    <n v="1.9526699999999999"/>
    <n v="1.935805"/>
    <n v="337.3"/>
  </r>
  <r>
    <x v="14"/>
    <x v="51"/>
    <x v="0"/>
    <m/>
    <n v="1.9189400000000001"/>
    <n v="1.9526699999999999"/>
    <n v="1.935805"/>
    <n v="337.3"/>
  </r>
  <r>
    <x v="14"/>
    <x v="51"/>
    <x v="0"/>
    <m/>
    <n v="1.9189400000000001"/>
    <n v="1.9526699999999999"/>
    <n v="1.935805"/>
    <n v="337.3"/>
  </r>
  <r>
    <x v="14"/>
    <x v="51"/>
    <x v="0"/>
    <m/>
    <n v="1.9189400000000001"/>
    <n v="1.9526699999999999"/>
    <n v="1.935805"/>
    <n v="337.3"/>
  </r>
  <r>
    <x v="14"/>
    <x v="51"/>
    <x v="0"/>
    <m/>
    <n v="1.9189400000000001"/>
    <n v="1.9526699999999999"/>
    <n v="1.935805"/>
    <n v="337.3"/>
  </r>
  <r>
    <x v="14"/>
    <x v="51"/>
    <x v="0"/>
    <m/>
    <n v="1.9189400000000001"/>
    <n v="1.9526699999999999"/>
    <n v="1.935805"/>
    <n v="337.3"/>
  </r>
  <r>
    <x v="14"/>
    <x v="51"/>
    <x v="0"/>
    <m/>
    <n v="1.9189400000000001"/>
    <n v="1.9526699999999999"/>
    <n v="1.935805"/>
    <n v="337.3"/>
  </r>
  <r>
    <x v="14"/>
    <x v="51"/>
    <x v="0"/>
    <m/>
    <n v="1.9189400000000001"/>
    <n v="1.9526699999999999"/>
    <n v="1.935805"/>
    <n v="337.3"/>
  </r>
  <r>
    <x v="14"/>
    <x v="51"/>
    <x v="0"/>
    <m/>
    <n v="1.9189400000000001"/>
    <n v="1.9526699999999999"/>
    <n v="1.935805"/>
    <n v="337.3"/>
  </r>
  <r>
    <x v="14"/>
    <x v="51"/>
    <x v="0"/>
    <m/>
    <n v="1.9189400000000001"/>
    <n v="1.9526699999999999"/>
    <n v="1.935805"/>
    <n v="337.3"/>
  </r>
  <r>
    <x v="14"/>
    <x v="51"/>
    <x v="0"/>
    <m/>
    <n v="1.9189400000000001"/>
    <n v="1.9526699999999999"/>
    <n v="1.935805"/>
    <n v="337.3"/>
  </r>
  <r>
    <x v="14"/>
    <x v="51"/>
    <x v="0"/>
    <m/>
    <n v="1.9189400000000001"/>
    <n v="1.9526699999999999"/>
    <n v="1.935805"/>
    <n v="337.3"/>
  </r>
  <r>
    <x v="14"/>
    <x v="51"/>
    <x v="0"/>
    <m/>
    <n v="1.9189400000000001"/>
    <n v="1.9526699999999999"/>
    <n v="1.935805"/>
    <n v="337.3"/>
  </r>
  <r>
    <x v="14"/>
    <x v="51"/>
    <x v="0"/>
    <m/>
    <n v="1.9189400000000001"/>
    <n v="1.9526699999999999"/>
    <n v="1.935805"/>
    <n v="337.3"/>
  </r>
  <r>
    <x v="14"/>
    <x v="51"/>
    <x v="0"/>
    <m/>
    <n v="1.9189400000000001"/>
    <n v="1.9526699999999999"/>
    <n v="1.935805"/>
    <n v="337.3"/>
  </r>
  <r>
    <x v="14"/>
    <x v="51"/>
    <x v="0"/>
    <m/>
    <n v="1.9189400000000001"/>
    <n v="1.9526699999999999"/>
    <n v="1.935805"/>
    <n v="337.3"/>
  </r>
  <r>
    <x v="14"/>
    <x v="51"/>
    <x v="0"/>
    <m/>
    <n v="1.9189400000000001"/>
    <n v="1.9526699999999999"/>
    <n v="1.935805"/>
    <n v="337.3"/>
  </r>
  <r>
    <x v="14"/>
    <x v="51"/>
    <x v="10"/>
    <m/>
    <n v="0.87195999999999996"/>
    <n v="0.89266000000000001"/>
    <n v="0.88231000000000004"/>
    <n v="207"/>
  </r>
  <r>
    <x v="14"/>
    <x v="51"/>
    <x v="10"/>
    <m/>
    <n v="0.87195999999999996"/>
    <n v="0.89266000000000001"/>
    <n v="0.88231000000000004"/>
    <n v="207"/>
  </r>
  <r>
    <x v="14"/>
    <x v="51"/>
    <x v="10"/>
    <m/>
    <n v="0.87195999999999996"/>
    <n v="0.89266000000000001"/>
    <n v="0.88231000000000004"/>
    <n v="207"/>
  </r>
  <r>
    <x v="14"/>
    <x v="51"/>
    <x v="10"/>
    <m/>
    <n v="0.87195999999999996"/>
    <n v="0.89266000000000001"/>
    <n v="0.88231000000000004"/>
    <n v="207"/>
  </r>
  <r>
    <x v="14"/>
    <x v="51"/>
    <x v="10"/>
    <m/>
    <n v="0.87195999999999996"/>
    <n v="0.89266000000000001"/>
    <n v="0.88231000000000004"/>
    <n v="207"/>
  </r>
  <r>
    <x v="14"/>
    <x v="51"/>
    <x v="10"/>
    <m/>
    <n v="0.87195999999999996"/>
    <n v="0.89266000000000001"/>
    <n v="0.88231000000000004"/>
    <n v="207"/>
  </r>
  <r>
    <x v="14"/>
    <x v="51"/>
    <x v="10"/>
    <m/>
    <n v="0.87195999999999996"/>
    <n v="0.89266000000000001"/>
    <n v="0.88231000000000004"/>
    <n v="207"/>
  </r>
  <r>
    <x v="14"/>
    <x v="51"/>
    <x v="10"/>
    <m/>
    <n v="0.87195999999999996"/>
    <n v="0.89266000000000001"/>
    <n v="0.88231000000000004"/>
    <n v="207"/>
  </r>
  <r>
    <x v="14"/>
    <x v="51"/>
    <x v="10"/>
    <m/>
    <n v="0.87195999999999996"/>
    <n v="0.89266000000000001"/>
    <n v="0.88231000000000004"/>
    <n v="207"/>
  </r>
  <r>
    <x v="14"/>
    <x v="51"/>
    <x v="10"/>
    <m/>
    <n v="0.87195999999999996"/>
    <n v="0.89266000000000001"/>
    <n v="0.88231000000000004"/>
    <n v="207"/>
  </r>
  <r>
    <x v="14"/>
    <x v="51"/>
    <x v="10"/>
    <m/>
    <n v="0.87195999999999996"/>
    <n v="0.89266000000000001"/>
    <n v="0.88231000000000004"/>
    <n v="207"/>
  </r>
  <r>
    <x v="14"/>
    <x v="51"/>
    <x v="10"/>
    <m/>
    <n v="0.87195999999999996"/>
    <n v="0.89266000000000001"/>
    <n v="0.88231000000000004"/>
    <n v="207"/>
  </r>
  <r>
    <x v="14"/>
    <x v="51"/>
    <x v="10"/>
    <m/>
    <n v="0.87195999999999996"/>
    <n v="0.89266000000000001"/>
    <n v="0.88231000000000004"/>
    <n v="207"/>
  </r>
  <r>
    <x v="14"/>
    <x v="51"/>
    <x v="10"/>
    <m/>
    <n v="0.87195999999999996"/>
    <n v="0.89266000000000001"/>
    <n v="0.88231000000000004"/>
    <n v="207"/>
  </r>
  <r>
    <x v="14"/>
    <x v="52"/>
    <x v="4"/>
    <m/>
    <n v="91.498999999999995"/>
    <n v="96.022000000000006"/>
    <n v="93.760499999999993"/>
    <n v="452.3"/>
  </r>
  <r>
    <x v="14"/>
    <x v="52"/>
    <x v="4"/>
    <m/>
    <n v="91.498999999999995"/>
    <n v="96.022000000000006"/>
    <n v="93.760499999999993"/>
    <n v="452.3"/>
  </r>
  <r>
    <x v="14"/>
    <x v="52"/>
    <x v="4"/>
    <m/>
    <n v="91.498999999999995"/>
    <n v="96.022000000000006"/>
    <n v="93.760499999999993"/>
    <n v="452.3"/>
  </r>
  <r>
    <x v="14"/>
    <x v="52"/>
    <x v="4"/>
    <m/>
    <n v="91.498999999999995"/>
    <n v="96.022000000000006"/>
    <n v="93.760499999999993"/>
    <n v="452.3"/>
  </r>
  <r>
    <x v="14"/>
    <x v="52"/>
    <x v="4"/>
    <m/>
    <n v="91.498999999999995"/>
    <n v="96.022000000000006"/>
    <n v="93.760499999999993"/>
    <n v="452.3"/>
  </r>
  <r>
    <x v="14"/>
    <x v="52"/>
    <x v="4"/>
    <m/>
    <n v="91.498999999999995"/>
    <n v="96.022000000000006"/>
    <n v="93.760499999999993"/>
    <n v="452.3"/>
  </r>
  <r>
    <x v="14"/>
    <x v="52"/>
    <x v="4"/>
    <m/>
    <n v="91.498999999999995"/>
    <n v="96.022000000000006"/>
    <n v="93.760499999999993"/>
    <n v="452.3"/>
  </r>
  <r>
    <x v="14"/>
    <x v="52"/>
    <x v="4"/>
    <m/>
    <n v="91.498999999999995"/>
    <n v="96.022000000000006"/>
    <n v="93.760499999999993"/>
    <n v="452.3"/>
  </r>
  <r>
    <x v="14"/>
    <x v="52"/>
    <x v="4"/>
    <m/>
    <n v="91.498999999999995"/>
    <n v="96.022000000000006"/>
    <n v="93.760499999999993"/>
    <n v="452.3"/>
  </r>
  <r>
    <x v="14"/>
    <x v="52"/>
    <x v="4"/>
    <m/>
    <n v="91.498999999999995"/>
    <n v="96.022000000000006"/>
    <n v="93.760499999999993"/>
    <n v="452.3"/>
  </r>
  <r>
    <x v="14"/>
    <x v="52"/>
    <x v="4"/>
    <m/>
    <n v="91.498999999999995"/>
    <n v="96.022000000000006"/>
    <n v="93.760499999999993"/>
    <n v="452.3"/>
  </r>
  <r>
    <x v="14"/>
    <x v="52"/>
    <x v="4"/>
    <m/>
    <n v="91.498999999999995"/>
    <n v="96.022000000000006"/>
    <n v="93.760499999999993"/>
    <n v="452.3"/>
  </r>
  <r>
    <x v="14"/>
    <x v="52"/>
    <x v="4"/>
    <m/>
    <n v="91.498999999999995"/>
    <n v="96.022000000000006"/>
    <n v="93.760499999999993"/>
    <n v="452.3"/>
  </r>
  <r>
    <x v="14"/>
    <x v="52"/>
    <x v="4"/>
    <m/>
    <n v="91.498999999999995"/>
    <n v="96.022000000000006"/>
    <n v="93.760499999999993"/>
    <n v="452.3"/>
  </r>
  <r>
    <x v="14"/>
    <x v="52"/>
    <x v="4"/>
    <m/>
    <n v="91.498999999999995"/>
    <n v="96.022000000000006"/>
    <n v="93.760499999999993"/>
    <n v="452.3"/>
  </r>
  <r>
    <x v="14"/>
    <x v="52"/>
    <x v="4"/>
    <m/>
    <n v="91.498999999999995"/>
    <n v="96.022000000000006"/>
    <n v="93.760499999999993"/>
    <n v="452.3"/>
  </r>
  <r>
    <x v="14"/>
    <x v="52"/>
    <x v="4"/>
    <m/>
    <n v="91.498999999999995"/>
    <n v="96.022000000000006"/>
    <n v="93.760499999999993"/>
    <n v="452.3"/>
  </r>
  <r>
    <x v="14"/>
    <x v="52"/>
    <x v="4"/>
    <m/>
    <n v="91.498999999999995"/>
    <n v="96.022000000000006"/>
    <n v="93.760499999999993"/>
    <n v="452.3"/>
  </r>
  <r>
    <x v="14"/>
    <x v="52"/>
    <x v="4"/>
    <m/>
    <n v="91.498999999999995"/>
    <n v="96.022000000000006"/>
    <n v="93.760499999999993"/>
    <n v="452.3"/>
  </r>
  <r>
    <x v="14"/>
    <x v="52"/>
    <x v="4"/>
    <m/>
    <n v="91.498999999999995"/>
    <n v="96.022000000000006"/>
    <n v="93.760499999999993"/>
    <n v="452.3"/>
  </r>
  <r>
    <x v="14"/>
    <x v="52"/>
    <x v="4"/>
    <m/>
    <n v="91.498999999999995"/>
    <n v="96.022000000000006"/>
    <n v="93.760499999999993"/>
    <n v="452.3"/>
  </r>
  <r>
    <x v="14"/>
    <x v="52"/>
    <x v="4"/>
    <m/>
    <n v="91.498999999999995"/>
    <n v="96.022000000000006"/>
    <n v="93.760499999999993"/>
    <n v="452.3"/>
  </r>
  <r>
    <x v="14"/>
    <x v="52"/>
    <x v="4"/>
    <m/>
    <n v="91.498999999999995"/>
    <n v="96.022000000000006"/>
    <n v="93.760499999999993"/>
    <n v="452.3"/>
  </r>
  <r>
    <x v="14"/>
    <x v="52"/>
    <x v="4"/>
    <m/>
    <n v="91.498999999999995"/>
    <n v="96.022000000000006"/>
    <n v="93.760499999999993"/>
    <n v="452.3"/>
  </r>
  <r>
    <x v="14"/>
    <x v="52"/>
    <x v="4"/>
    <m/>
    <n v="91.498999999999995"/>
    <n v="96.022000000000006"/>
    <n v="93.760499999999993"/>
    <n v="452.3"/>
  </r>
  <r>
    <x v="14"/>
    <x v="52"/>
    <x v="4"/>
    <m/>
    <n v="91.498999999999995"/>
    <n v="96.022000000000006"/>
    <n v="93.760499999999993"/>
    <n v="452.3"/>
  </r>
  <r>
    <x v="14"/>
    <x v="52"/>
    <x v="4"/>
    <m/>
    <n v="91.498999999999995"/>
    <n v="96.022000000000006"/>
    <n v="93.760499999999993"/>
    <n v="452.3"/>
  </r>
  <r>
    <x v="14"/>
    <x v="52"/>
    <x v="0"/>
    <m/>
    <n v="1.9189400000000001"/>
    <n v="1.9608000000000001"/>
    <n v="1.93987"/>
    <n v="418.6"/>
  </r>
  <r>
    <x v="14"/>
    <x v="52"/>
    <x v="0"/>
    <m/>
    <n v="1.9189400000000001"/>
    <n v="1.9608000000000001"/>
    <n v="1.93987"/>
    <n v="418.6"/>
  </r>
  <r>
    <x v="14"/>
    <x v="52"/>
    <x v="0"/>
    <m/>
    <n v="1.9189400000000001"/>
    <n v="1.9608000000000001"/>
    <n v="1.93987"/>
    <n v="418.6"/>
  </r>
  <r>
    <x v="14"/>
    <x v="52"/>
    <x v="0"/>
    <m/>
    <n v="1.9189400000000001"/>
    <n v="1.9608000000000001"/>
    <n v="1.93987"/>
    <n v="418.6"/>
  </r>
  <r>
    <x v="14"/>
    <x v="52"/>
    <x v="0"/>
    <m/>
    <n v="1.9189400000000001"/>
    <n v="1.9608000000000001"/>
    <n v="1.93987"/>
    <n v="418.6"/>
  </r>
  <r>
    <x v="14"/>
    <x v="52"/>
    <x v="0"/>
    <m/>
    <n v="1.9189400000000001"/>
    <n v="1.9608000000000001"/>
    <n v="1.93987"/>
    <n v="418.6"/>
  </r>
  <r>
    <x v="14"/>
    <x v="52"/>
    <x v="0"/>
    <m/>
    <n v="1.9189400000000001"/>
    <n v="1.9608000000000001"/>
    <n v="1.93987"/>
    <n v="418.6"/>
  </r>
  <r>
    <x v="14"/>
    <x v="52"/>
    <x v="0"/>
    <m/>
    <n v="1.9189400000000001"/>
    <n v="1.9608000000000001"/>
    <n v="1.93987"/>
    <n v="418.6"/>
  </r>
  <r>
    <x v="14"/>
    <x v="52"/>
    <x v="0"/>
    <m/>
    <n v="1.9189400000000001"/>
    <n v="1.9608000000000001"/>
    <n v="1.93987"/>
    <n v="418.6"/>
  </r>
  <r>
    <x v="14"/>
    <x v="52"/>
    <x v="0"/>
    <m/>
    <n v="1.9189400000000001"/>
    <n v="1.9608000000000001"/>
    <n v="1.93987"/>
    <n v="418.6"/>
  </r>
  <r>
    <x v="14"/>
    <x v="52"/>
    <x v="0"/>
    <m/>
    <n v="1.9189400000000001"/>
    <n v="1.9608000000000001"/>
    <n v="1.93987"/>
    <n v="418.6"/>
  </r>
  <r>
    <x v="14"/>
    <x v="52"/>
    <x v="0"/>
    <m/>
    <n v="1.9189400000000001"/>
    <n v="1.9608000000000001"/>
    <n v="1.93987"/>
    <n v="418.6"/>
  </r>
  <r>
    <x v="14"/>
    <x v="52"/>
    <x v="0"/>
    <m/>
    <n v="1.9189400000000001"/>
    <n v="1.9608000000000001"/>
    <n v="1.93987"/>
    <n v="418.6"/>
  </r>
  <r>
    <x v="14"/>
    <x v="52"/>
    <x v="0"/>
    <m/>
    <n v="1.9189400000000001"/>
    <n v="1.9608000000000001"/>
    <n v="1.93987"/>
    <n v="418.6"/>
  </r>
  <r>
    <x v="14"/>
    <x v="52"/>
    <x v="0"/>
    <m/>
    <n v="1.9189400000000001"/>
    <n v="1.9608000000000001"/>
    <n v="1.93987"/>
    <n v="418.6"/>
  </r>
  <r>
    <x v="14"/>
    <x v="52"/>
    <x v="0"/>
    <m/>
    <n v="1.9189400000000001"/>
    <n v="1.9608000000000001"/>
    <n v="1.93987"/>
    <n v="418.6"/>
  </r>
  <r>
    <x v="14"/>
    <x v="52"/>
    <x v="0"/>
    <m/>
    <n v="1.9189400000000001"/>
    <n v="1.9608000000000001"/>
    <n v="1.93987"/>
    <n v="418.6"/>
  </r>
  <r>
    <x v="14"/>
    <x v="52"/>
    <x v="0"/>
    <m/>
    <n v="1.9189400000000001"/>
    <n v="1.9608000000000001"/>
    <n v="1.93987"/>
    <n v="418.6"/>
  </r>
  <r>
    <x v="14"/>
    <x v="52"/>
    <x v="10"/>
    <m/>
    <n v="0.87195999999999996"/>
    <n v="0.89266000000000001"/>
    <n v="0.88231000000000004"/>
    <n v="207"/>
  </r>
  <r>
    <x v="14"/>
    <x v="52"/>
    <x v="10"/>
    <m/>
    <n v="0.87195999999999996"/>
    <n v="0.89266000000000001"/>
    <n v="0.88231000000000004"/>
    <n v="207"/>
  </r>
  <r>
    <x v="14"/>
    <x v="52"/>
    <x v="10"/>
    <m/>
    <n v="0.87195999999999996"/>
    <n v="0.89266000000000001"/>
    <n v="0.88231000000000004"/>
    <n v="207"/>
  </r>
  <r>
    <x v="14"/>
    <x v="52"/>
    <x v="10"/>
    <m/>
    <n v="0.87195999999999996"/>
    <n v="0.89266000000000001"/>
    <n v="0.88231000000000004"/>
    <n v="207"/>
  </r>
  <r>
    <x v="14"/>
    <x v="52"/>
    <x v="10"/>
    <m/>
    <n v="0.87195999999999996"/>
    <n v="0.89266000000000001"/>
    <n v="0.88231000000000004"/>
    <n v="207"/>
  </r>
  <r>
    <x v="14"/>
    <x v="52"/>
    <x v="10"/>
    <m/>
    <n v="0.87195999999999996"/>
    <n v="0.89266000000000001"/>
    <n v="0.88231000000000004"/>
    <n v="207"/>
  </r>
  <r>
    <x v="14"/>
    <x v="52"/>
    <x v="10"/>
    <m/>
    <n v="0.87195999999999996"/>
    <n v="0.89266000000000001"/>
    <n v="0.88231000000000004"/>
    <n v="207"/>
  </r>
  <r>
    <x v="14"/>
    <x v="52"/>
    <x v="10"/>
    <m/>
    <n v="0.87195999999999996"/>
    <n v="0.89266000000000001"/>
    <n v="0.88231000000000004"/>
    <n v="207"/>
  </r>
  <r>
    <x v="14"/>
    <x v="52"/>
    <x v="10"/>
    <m/>
    <n v="0.87195999999999996"/>
    <n v="0.89266000000000001"/>
    <n v="0.88231000000000004"/>
    <n v="207"/>
  </r>
  <r>
    <x v="14"/>
    <x v="52"/>
    <x v="10"/>
    <m/>
    <n v="0.87195999999999996"/>
    <n v="0.89266000000000001"/>
    <n v="0.88231000000000004"/>
    <n v="207"/>
  </r>
  <r>
    <x v="14"/>
    <x v="52"/>
    <x v="10"/>
    <m/>
    <n v="0.87195999999999996"/>
    <n v="0.89266000000000001"/>
    <n v="0.88231000000000004"/>
    <n v="207"/>
  </r>
  <r>
    <x v="14"/>
    <x v="52"/>
    <x v="10"/>
    <m/>
    <n v="0.87195999999999996"/>
    <n v="0.89266000000000001"/>
    <n v="0.88231000000000004"/>
    <n v="207"/>
  </r>
  <r>
    <x v="14"/>
    <x v="52"/>
    <x v="10"/>
    <m/>
    <n v="0.87195999999999996"/>
    <n v="0.89266000000000001"/>
    <n v="0.88231000000000004"/>
    <n v="207"/>
  </r>
  <r>
    <x v="14"/>
    <x v="52"/>
    <x v="10"/>
    <m/>
    <n v="0.87195999999999996"/>
    <n v="0.89266000000000001"/>
    <n v="0.88231000000000004"/>
    <n v="207"/>
  </r>
  <r>
    <x v="14"/>
    <x v="53"/>
    <x v="4"/>
    <m/>
    <n v="91.498999999999995"/>
    <n v="96.022000000000006"/>
    <n v="93.760499999999993"/>
    <n v="452.3"/>
  </r>
  <r>
    <x v="14"/>
    <x v="53"/>
    <x v="4"/>
    <m/>
    <n v="91.498999999999995"/>
    <n v="96.022000000000006"/>
    <n v="93.760499999999993"/>
    <n v="452.3"/>
  </r>
  <r>
    <x v="14"/>
    <x v="53"/>
    <x v="4"/>
    <m/>
    <n v="91.498999999999995"/>
    <n v="96.022000000000006"/>
    <n v="93.760499999999993"/>
    <n v="452.3"/>
  </r>
  <r>
    <x v="14"/>
    <x v="53"/>
    <x v="4"/>
    <m/>
    <n v="91.498999999999995"/>
    <n v="96.022000000000006"/>
    <n v="93.760499999999993"/>
    <n v="452.3"/>
  </r>
  <r>
    <x v="14"/>
    <x v="53"/>
    <x v="4"/>
    <m/>
    <n v="91.498999999999995"/>
    <n v="96.022000000000006"/>
    <n v="93.760499999999993"/>
    <n v="452.3"/>
  </r>
  <r>
    <x v="14"/>
    <x v="53"/>
    <x v="4"/>
    <m/>
    <n v="91.498999999999995"/>
    <n v="96.022000000000006"/>
    <n v="93.760499999999993"/>
    <n v="452.3"/>
  </r>
  <r>
    <x v="14"/>
    <x v="53"/>
    <x v="4"/>
    <m/>
    <n v="91.498999999999995"/>
    <n v="96.022000000000006"/>
    <n v="93.760499999999993"/>
    <n v="452.3"/>
  </r>
  <r>
    <x v="14"/>
    <x v="53"/>
    <x v="4"/>
    <m/>
    <n v="91.498999999999995"/>
    <n v="96.022000000000006"/>
    <n v="93.760499999999993"/>
    <n v="452.3"/>
  </r>
  <r>
    <x v="14"/>
    <x v="53"/>
    <x v="4"/>
    <m/>
    <n v="91.498999999999995"/>
    <n v="96.022000000000006"/>
    <n v="93.760499999999993"/>
    <n v="452.3"/>
  </r>
  <r>
    <x v="14"/>
    <x v="53"/>
    <x v="4"/>
    <m/>
    <n v="91.498999999999995"/>
    <n v="96.022000000000006"/>
    <n v="93.760499999999993"/>
    <n v="452.3"/>
  </r>
  <r>
    <x v="14"/>
    <x v="53"/>
    <x v="4"/>
    <m/>
    <n v="91.498999999999995"/>
    <n v="96.022000000000006"/>
    <n v="93.760499999999993"/>
    <n v="452.3"/>
  </r>
  <r>
    <x v="14"/>
    <x v="53"/>
    <x v="4"/>
    <m/>
    <n v="91.498999999999995"/>
    <n v="96.022000000000006"/>
    <n v="93.760499999999993"/>
    <n v="452.3"/>
  </r>
  <r>
    <x v="14"/>
    <x v="53"/>
    <x v="4"/>
    <m/>
    <n v="91.498999999999995"/>
    <n v="96.022000000000006"/>
    <n v="93.760499999999993"/>
    <n v="452.3"/>
  </r>
  <r>
    <x v="14"/>
    <x v="53"/>
    <x v="4"/>
    <m/>
    <n v="91.498999999999995"/>
    <n v="96.022000000000006"/>
    <n v="93.760499999999993"/>
    <n v="452.3"/>
  </r>
  <r>
    <x v="14"/>
    <x v="53"/>
    <x v="4"/>
    <m/>
    <n v="91.498999999999995"/>
    <n v="96.022000000000006"/>
    <n v="93.760499999999993"/>
    <n v="452.3"/>
  </r>
  <r>
    <x v="14"/>
    <x v="53"/>
    <x v="4"/>
    <m/>
    <n v="91.498999999999995"/>
    <n v="96.022000000000006"/>
    <n v="93.760499999999993"/>
    <n v="452.3"/>
  </r>
  <r>
    <x v="14"/>
    <x v="53"/>
    <x v="4"/>
    <m/>
    <n v="91.498999999999995"/>
    <n v="96.022000000000006"/>
    <n v="93.760499999999993"/>
    <n v="452.3"/>
  </r>
  <r>
    <x v="14"/>
    <x v="53"/>
    <x v="4"/>
    <m/>
    <n v="91.498999999999995"/>
    <n v="96.022000000000006"/>
    <n v="93.760499999999993"/>
    <n v="452.3"/>
  </r>
  <r>
    <x v="14"/>
    <x v="53"/>
    <x v="4"/>
    <m/>
    <n v="91.498999999999995"/>
    <n v="96.022000000000006"/>
    <n v="93.760499999999993"/>
    <n v="452.3"/>
  </r>
  <r>
    <x v="14"/>
    <x v="53"/>
    <x v="4"/>
    <m/>
    <n v="91.498999999999995"/>
    <n v="96.022000000000006"/>
    <n v="93.760499999999993"/>
    <n v="452.3"/>
  </r>
  <r>
    <x v="14"/>
    <x v="53"/>
    <x v="4"/>
    <m/>
    <n v="91.498999999999995"/>
    <n v="96.022000000000006"/>
    <n v="93.760499999999993"/>
    <n v="452.3"/>
  </r>
  <r>
    <x v="14"/>
    <x v="53"/>
    <x v="4"/>
    <m/>
    <n v="91.498999999999995"/>
    <n v="96.022000000000006"/>
    <n v="93.760499999999993"/>
    <n v="452.3"/>
  </r>
  <r>
    <x v="14"/>
    <x v="53"/>
    <x v="4"/>
    <m/>
    <n v="91.498999999999995"/>
    <n v="96.022000000000006"/>
    <n v="93.760499999999993"/>
    <n v="452.3"/>
  </r>
  <r>
    <x v="14"/>
    <x v="53"/>
    <x v="4"/>
    <m/>
    <n v="91.498999999999995"/>
    <n v="96.022000000000006"/>
    <n v="93.760499999999993"/>
    <n v="452.3"/>
  </r>
  <r>
    <x v="14"/>
    <x v="53"/>
    <x v="4"/>
    <m/>
    <n v="91.498999999999995"/>
    <n v="96.022000000000006"/>
    <n v="93.760499999999993"/>
    <n v="452.3"/>
  </r>
  <r>
    <x v="14"/>
    <x v="53"/>
    <x v="4"/>
    <m/>
    <n v="91.498999999999995"/>
    <n v="96.022000000000006"/>
    <n v="93.760499999999993"/>
    <n v="452.3"/>
  </r>
  <r>
    <x v="14"/>
    <x v="53"/>
    <x v="4"/>
    <m/>
    <n v="91.498999999999995"/>
    <n v="96.022000000000006"/>
    <n v="93.760499999999993"/>
    <n v="452.3"/>
  </r>
  <r>
    <x v="14"/>
    <x v="53"/>
    <x v="0"/>
    <m/>
    <n v="1.9189400000000001"/>
    <n v="1.9608000000000001"/>
    <n v="1.93987"/>
    <n v="418.6"/>
  </r>
  <r>
    <x v="14"/>
    <x v="53"/>
    <x v="0"/>
    <m/>
    <n v="1.9189400000000001"/>
    <n v="1.9608000000000001"/>
    <n v="1.93987"/>
    <n v="418.6"/>
  </r>
  <r>
    <x v="14"/>
    <x v="53"/>
    <x v="0"/>
    <m/>
    <n v="1.9189400000000001"/>
    <n v="1.9608000000000001"/>
    <n v="1.93987"/>
    <n v="418.6"/>
  </r>
  <r>
    <x v="14"/>
    <x v="53"/>
    <x v="0"/>
    <m/>
    <n v="1.9189400000000001"/>
    <n v="1.9608000000000001"/>
    <n v="1.93987"/>
    <n v="418.6"/>
  </r>
  <r>
    <x v="14"/>
    <x v="53"/>
    <x v="0"/>
    <m/>
    <n v="1.9189400000000001"/>
    <n v="1.9608000000000001"/>
    <n v="1.93987"/>
    <n v="418.6"/>
  </r>
  <r>
    <x v="14"/>
    <x v="53"/>
    <x v="0"/>
    <m/>
    <n v="1.9189400000000001"/>
    <n v="1.9608000000000001"/>
    <n v="1.93987"/>
    <n v="418.6"/>
  </r>
  <r>
    <x v="14"/>
    <x v="53"/>
    <x v="0"/>
    <m/>
    <n v="1.9189400000000001"/>
    <n v="1.9608000000000001"/>
    <n v="1.93987"/>
    <n v="418.6"/>
  </r>
  <r>
    <x v="14"/>
    <x v="53"/>
    <x v="0"/>
    <m/>
    <n v="1.9189400000000001"/>
    <n v="1.9608000000000001"/>
    <n v="1.93987"/>
    <n v="418.6"/>
  </r>
  <r>
    <x v="14"/>
    <x v="53"/>
    <x v="0"/>
    <m/>
    <n v="1.9189400000000001"/>
    <n v="1.9608000000000001"/>
    <n v="1.93987"/>
    <n v="418.6"/>
  </r>
  <r>
    <x v="14"/>
    <x v="53"/>
    <x v="0"/>
    <m/>
    <n v="1.9189400000000001"/>
    <n v="1.9608000000000001"/>
    <n v="1.93987"/>
    <n v="418.6"/>
  </r>
  <r>
    <x v="14"/>
    <x v="53"/>
    <x v="0"/>
    <m/>
    <n v="1.9189400000000001"/>
    <n v="1.9608000000000001"/>
    <n v="1.93987"/>
    <n v="418.6"/>
  </r>
  <r>
    <x v="14"/>
    <x v="53"/>
    <x v="0"/>
    <m/>
    <n v="1.9189400000000001"/>
    <n v="1.9608000000000001"/>
    <n v="1.93987"/>
    <n v="418.6"/>
  </r>
  <r>
    <x v="14"/>
    <x v="53"/>
    <x v="0"/>
    <m/>
    <n v="1.9189400000000001"/>
    <n v="1.9608000000000001"/>
    <n v="1.93987"/>
    <n v="418.6"/>
  </r>
  <r>
    <x v="14"/>
    <x v="53"/>
    <x v="0"/>
    <m/>
    <n v="1.9189400000000001"/>
    <n v="1.9608000000000001"/>
    <n v="1.93987"/>
    <n v="418.6"/>
  </r>
  <r>
    <x v="14"/>
    <x v="53"/>
    <x v="0"/>
    <m/>
    <n v="1.9189400000000001"/>
    <n v="1.9608000000000001"/>
    <n v="1.93987"/>
    <n v="418.6"/>
  </r>
  <r>
    <x v="14"/>
    <x v="53"/>
    <x v="0"/>
    <m/>
    <n v="1.9189400000000001"/>
    <n v="1.9608000000000001"/>
    <n v="1.93987"/>
    <n v="418.6"/>
  </r>
  <r>
    <x v="14"/>
    <x v="53"/>
    <x v="0"/>
    <m/>
    <n v="1.9189400000000001"/>
    <n v="1.9608000000000001"/>
    <n v="1.93987"/>
    <n v="418.6"/>
  </r>
  <r>
    <x v="14"/>
    <x v="53"/>
    <x v="0"/>
    <m/>
    <n v="1.9189400000000001"/>
    <n v="1.9608000000000001"/>
    <n v="1.93987"/>
    <n v="418.6"/>
  </r>
  <r>
    <x v="14"/>
    <x v="53"/>
    <x v="10"/>
    <m/>
    <n v="0.87195999999999996"/>
    <n v="0.89266000000000001"/>
    <n v="0.88231000000000004"/>
    <n v="207"/>
  </r>
  <r>
    <x v="14"/>
    <x v="53"/>
    <x v="10"/>
    <m/>
    <n v="0.87195999999999996"/>
    <n v="0.89266000000000001"/>
    <n v="0.88231000000000004"/>
    <n v="207"/>
  </r>
  <r>
    <x v="14"/>
    <x v="53"/>
    <x v="10"/>
    <m/>
    <n v="0.87195999999999996"/>
    <n v="0.89266000000000001"/>
    <n v="0.88231000000000004"/>
    <n v="207"/>
  </r>
  <r>
    <x v="14"/>
    <x v="53"/>
    <x v="10"/>
    <m/>
    <n v="0.87195999999999996"/>
    <n v="0.89266000000000001"/>
    <n v="0.88231000000000004"/>
    <n v="207"/>
  </r>
  <r>
    <x v="14"/>
    <x v="53"/>
    <x v="10"/>
    <m/>
    <n v="0.87195999999999996"/>
    <n v="0.89266000000000001"/>
    <n v="0.88231000000000004"/>
    <n v="207"/>
  </r>
  <r>
    <x v="14"/>
    <x v="53"/>
    <x v="10"/>
    <m/>
    <n v="0.87195999999999996"/>
    <n v="0.89266000000000001"/>
    <n v="0.88231000000000004"/>
    <n v="207"/>
  </r>
  <r>
    <x v="14"/>
    <x v="53"/>
    <x v="10"/>
    <m/>
    <n v="0.87195999999999996"/>
    <n v="0.89266000000000001"/>
    <n v="0.88231000000000004"/>
    <n v="207"/>
  </r>
  <r>
    <x v="14"/>
    <x v="53"/>
    <x v="10"/>
    <m/>
    <n v="0.87195999999999996"/>
    <n v="0.89266000000000001"/>
    <n v="0.88231000000000004"/>
    <n v="207"/>
  </r>
  <r>
    <x v="14"/>
    <x v="53"/>
    <x v="10"/>
    <m/>
    <n v="0.87195999999999996"/>
    <n v="0.89266000000000001"/>
    <n v="0.88231000000000004"/>
    <n v="207"/>
  </r>
  <r>
    <x v="14"/>
    <x v="53"/>
    <x v="10"/>
    <m/>
    <n v="0.87195999999999996"/>
    <n v="0.89266000000000001"/>
    <n v="0.88231000000000004"/>
    <n v="207"/>
  </r>
  <r>
    <x v="14"/>
    <x v="53"/>
    <x v="10"/>
    <m/>
    <n v="0.87195999999999996"/>
    <n v="0.89266000000000001"/>
    <n v="0.88231000000000004"/>
    <n v="207"/>
  </r>
  <r>
    <x v="14"/>
    <x v="53"/>
    <x v="10"/>
    <m/>
    <n v="0.87195999999999996"/>
    <n v="0.89266000000000001"/>
    <n v="0.88231000000000004"/>
    <n v="207"/>
  </r>
  <r>
    <x v="14"/>
    <x v="53"/>
    <x v="10"/>
    <m/>
    <n v="0.87195999999999996"/>
    <n v="0.89266000000000001"/>
    <n v="0.88231000000000004"/>
    <n v="207"/>
  </r>
  <r>
    <x v="14"/>
    <x v="53"/>
    <x v="10"/>
    <m/>
    <n v="0.87195999999999996"/>
    <n v="0.89266000000000001"/>
    <n v="0.88231000000000004"/>
    <n v="207"/>
  </r>
  <r>
    <x v="14"/>
    <x v="54"/>
    <x v="4"/>
    <m/>
    <n v="91.498999999999995"/>
    <n v="96.022000000000006"/>
    <n v="93.760499999999993"/>
    <n v="452.3"/>
  </r>
  <r>
    <x v="14"/>
    <x v="54"/>
    <x v="4"/>
    <m/>
    <n v="91.498999999999995"/>
    <n v="96.022000000000006"/>
    <n v="93.760499999999993"/>
    <n v="452.3"/>
  </r>
  <r>
    <x v="14"/>
    <x v="54"/>
    <x v="4"/>
    <m/>
    <n v="91.498999999999995"/>
    <n v="96.022000000000006"/>
    <n v="93.760499999999993"/>
    <n v="452.3"/>
  </r>
  <r>
    <x v="14"/>
    <x v="54"/>
    <x v="4"/>
    <m/>
    <n v="91.498999999999995"/>
    <n v="96.022000000000006"/>
    <n v="93.760499999999993"/>
    <n v="452.3"/>
  </r>
  <r>
    <x v="14"/>
    <x v="54"/>
    <x v="4"/>
    <m/>
    <n v="91.498999999999995"/>
    <n v="96.022000000000006"/>
    <n v="93.760499999999993"/>
    <n v="452.3"/>
  </r>
  <r>
    <x v="14"/>
    <x v="54"/>
    <x v="4"/>
    <m/>
    <n v="91.498999999999995"/>
    <n v="96.022000000000006"/>
    <n v="93.760499999999993"/>
    <n v="452.3"/>
  </r>
  <r>
    <x v="14"/>
    <x v="54"/>
    <x v="4"/>
    <m/>
    <n v="91.498999999999995"/>
    <n v="96.022000000000006"/>
    <n v="93.760499999999993"/>
    <n v="452.3"/>
  </r>
  <r>
    <x v="14"/>
    <x v="54"/>
    <x v="4"/>
    <m/>
    <n v="91.498999999999995"/>
    <n v="96.022000000000006"/>
    <n v="93.760499999999993"/>
    <n v="452.3"/>
  </r>
  <r>
    <x v="14"/>
    <x v="54"/>
    <x v="4"/>
    <m/>
    <n v="91.498999999999995"/>
    <n v="96.022000000000006"/>
    <n v="93.760499999999993"/>
    <n v="452.3"/>
  </r>
  <r>
    <x v="14"/>
    <x v="54"/>
    <x v="4"/>
    <m/>
    <n v="91.498999999999995"/>
    <n v="96.022000000000006"/>
    <n v="93.760499999999993"/>
    <n v="452.3"/>
  </r>
  <r>
    <x v="14"/>
    <x v="54"/>
    <x v="4"/>
    <m/>
    <n v="91.498999999999995"/>
    <n v="96.022000000000006"/>
    <n v="93.760499999999993"/>
    <n v="452.3"/>
  </r>
  <r>
    <x v="14"/>
    <x v="54"/>
    <x v="4"/>
    <m/>
    <n v="91.498999999999995"/>
    <n v="96.022000000000006"/>
    <n v="93.760499999999993"/>
    <n v="452.3"/>
  </r>
  <r>
    <x v="14"/>
    <x v="54"/>
    <x v="4"/>
    <m/>
    <n v="91.498999999999995"/>
    <n v="96.022000000000006"/>
    <n v="93.760499999999993"/>
    <n v="452.3"/>
  </r>
  <r>
    <x v="14"/>
    <x v="54"/>
    <x v="4"/>
    <m/>
    <n v="91.498999999999995"/>
    <n v="96.022000000000006"/>
    <n v="93.760499999999993"/>
    <n v="452.3"/>
  </r>
  <r>
    <x v="14"/>
    <x v="54"/>
    <x v="4"/>
    <m/>
    <n v="91.498999999999995"/>
    <n v="96.022000000000006"/>
    <n v="93.760499999999993"/>
    <n v="452.3"/>
  </r>
  <r>
    <x v="14"/>
    <x v="54"/>
    <x v="4"/>
    <m/>
    <n v="91.498999999999995"/>
    <n v="96.022000000000006"/>
    <n v="93.760499999999993"/>
    <n v="452.3"/>
  </r>
  <r>
    <x v="14"/>
    <x v="54"/>
    <x v="4"/>
    <m/>
    <n v="91.498999999999995"/>
    <n v="96.022000000000006"/>
    <n v="93.760499999999993"/>
    <n v="452.3"/>
  </r>
  <r>
    <x v="14"/>
    <x v="54"/>
    <x v="4"/>
    <m/>
    <n v="91.498999999999995"/>
    <n v="96.022000000000006"/>
    <n v="93.760499999999993"/>
    <n v="452.3"/>
  </r>
  <r>
    <x v="14"/>
    <x v="54"/>
    <x v="4"/>
    <m/>
    <n v="91.498999999999995"/>
    <n v="96.022000000000006"/>
    <n v="93.760499999999993"/>
    <n v="452.3"/>
  </r>
  <r>
    <x v="14"/>
    <x v="54"/>
    <x v="4"/>
    <m/>
    <n v="91.498999999999995"/>
    <n v="96.022000000000006"/>
    <n v="93.760499999999993"/>
    <n v="452.3"/>
  </r>
  <r>
    <x v="14"/>
    <x v="54"/>
    <x v="4"/>
    <m/>
    <n v="91.498999999999995"/>
    <n v="96.022000000000006"/>
    <n v="93.760499999999993"/>
    <n v="452.3"/>
  </r>
  <r>
    <x v="14"/>
    <x v="54"/>
    <x v="4"/>
    <m/>
    <n v="91.498999999999995"/>
    <n v="96.022000000000006"/>
    <n v="93.760499999999993"/>
    <n v="452.3"/>
  </r>
  <r>
    <x v="14"/>
    <x v="54"/>
    <x v="4"/>
    <m/>
    <n v="91.498999999999995"/>
    <n v="96.022000000000006"/>
    <n v="93.760499999999993"/>
    <n v="452.3"/>
  </r>
  <r>
    <x v="14"/>
    <x v="54"/>
    <x v="4"/>
    <m/>
    <n v="91.498999999999995"/>
    <n v="96.022000000000006"/>
    <n v="93.760499999999993"/>
    <n v="452.3"/>
  </r>
  <r>
    <x v="14"/>
    <x v="54"/>
    <x v="4"/>
    <m/>
    <n v="91.498999999999995"/>
    <n v="96.022000000000006"/>
    <n v="93.760499999999993"/>
    <n v="452.3"/>
  </r>
  <r>
    <x v="14"/>
    <x v="54"/>
    <x v="4"/>
    <m/>
    <n v="91.498999999999995"/>
    <n v="96.022000000000006"/>
    <n v="93.760499999999993"/>
    <n v="452.3"/>
  </r>
  <r>
    <x v="14"/>
    <x v="54"/>
    <x v="4"/>
    <m/>
    <n v="91.498999999999995"/>
    <n v="96.022000000000006"/>
    <n v="93.760499999999993"/>
    <n v="452.3"/>
  </r>
  <r>
    <x v="14"/>
    <x v="54"/>
    <x v="0"/>
    <m/>
    <n v="1.9189400000000001"/>
    <n v="1.9608000000000001"/>
    <n v="1.93987"/>
    <n v="418.6"/>
  </r>
  <r>
    <x v="14"/>
    <x v="54"/>
    <x v="0"/>
    <m/>
    <n v="1.9189400000000001"/>
    <n v="1.9608000000000001"/>
    <n v="1.93987"/>
    <n v="418.6"/>
  </r>
  <r>
    <x v="14"/>
    <x v="54"/>
    <x v="0"/>
    <m/>
    <n v="1.9189400000000001"/>
    <n v="1.9608000000000001"/>
    <n v="1.93987"/>
    <n v="418.6"/>
  </r>
  <r>
    <x v="14"/>
    <x v="54"/>
    <x v="0"/>
    <m/>
    <n v="1.9189400000000001"/>
    <n v="1.9608000000000001"/>
    <n v="1.93987"/>
    <n v="418.6"/>
  </r>
  <r>
    <x v="14"/>
    <x v="54"/>
    <x v="0"/>
    <m/>
    <n v="1.9189400000000001"/>
    <n v="1.9608000000000001"/>
    <n v="1.93987"/>
    <n v="418.6"/>
  </r>
  <r>
    <x v="14"/>
    <x v="54"/>
    <x v="0"/>
    <m/>
    <n v="1.9189400000000001"/>
    <n v="1.9608000000000001"/>
    <n v="1.93987"/>
    <n v="418.6"/>
  </r>
  <r>
    <x v="14"/>
    <x v="54"/>
    <x v="0"/>
    <m/>
    <n v="1.9189400000000001"/>
    <n v="1.9608000000000001"/>
    <n v="1.93987"/>
    <n v="418.6"/>
  </r>
  <r>
    <x v="14"/>
    <x v="54"/>
    <x v="0"/>
    <m/>
    <n v="1.9189400000000001"/>
    <n v="1.9608000000000001"/>
    <n v="1.93987"/>
    <n v="418.6"/>
  </r>
  <r>
    <x v="14"/>
    <x v="54"/>
    <x v="0"/>
    <m/>
    <n v="1.9189400000000001"/>
    <n v="1.9608000000000001"/>
    <n v="1.93987"/>
    <n v="418.6"/>
  </r>
  <r>
    <x v="14"/>
    <x v="54"/>
    <x v="0"/>
    <m/>
    <n v="1.9189400000000001"/>
    <n v="1.9608000000000001"/>
    <n v="1.93987"/>
    <n v="418.6"/>
  </r>
  <r>
    <x v="14"/>
    <x v="54"/>
    <x v="0"/>
    <m/>
    <n v="1.9189400000000001"/>
    <n v="1.9608000000000001"/>
    <n v="1.93987"/>
    <n v="418.6"/>
  </r>
  <r>
    <x v="14"/>
    <x v="54"/>
    <x v="0"/>
    <m/>
    <n v="1.9189400000000001"/>
    <n v="1.9608000000000001"/>
    <n v="1.93987"/>
    <n v="418.6"/>
  </r>
  <r>
    <x v="14"/>
    <x v="54"/>
    <x v="0"/>
    <m/>
    <n v="1.9189400000000001"/>
    <n v="1.9608000000000001"/>
    <n v="1.93987"/>
    <n v="418.6"/>
  </r>
  <r>
    <x v="14"/>
    <x v="54"/>
    <x v="0"/>
    <m/>
    <n v="1.9189400000000001"/>
    <n v="1.9608000000000001"/>
    <n v="1.93987"/>
    <n v="418.6"/>
  </r>
  <r>
    <x v="14"/>
    <x v="54"/>
    <x v="0"/>
    <m/>
    <n v="1.9189400000000001"/>
    <n v="1.9608000000000001"/>
    <n v="1.93987"/>
    <n v="418.6"/>
  </r>
  <r>
    <x v="14"/>
    <x v="54"/>
    <x v="0"/>
    <m/>
    <n v="1.9189400000000001"/>
    <n v="1.9608000000000001"/>
    <n v="1.93987"/>
    <n v="418.6"/>
  </r>
  <r>
    <x v="14"/>
    <x v="54"/>
    <x v="0"/>
    <m/>
    <n v="1.9189400000000001"/>
    <n v="1.9608000000000001"/>
    <n v="1.93987"/>
    <n v="418.6"/>
  </r>
  <r>
    <x v="14"/>
    <x v="54"/>
    <x v="0"/>
    <m/>
    <n v="1.9189400000000001"/>
    <n v="1.9608000000000001"/>
    <n v="1.93987"/>
    <n v="418.6"/>
  </r>
  <r>
    <x v="14"/>
    <x v="54"/>
    <x v="10"/>
    <m/>
    <n v="0.87195999999999996"/>
    <n v="0.89266000000000001"/>
    <n v="0.88231000000000004"/>
    <n v="207"/>
  </r>
  <r>
    <x v="14"/>
    <x v="54"/>
    <x v="10"/>
    <m/>
    <n v="0.87195999999999996"/>
    <n v="0.89266000000000001"/>
    <n v="0.88231000000000004"/>
    <n v="207"/>
  </r>
  <r>
    <x v="14"/>
    <x v="54"/>
    <x v="10"/>
    <m/>
    <n v="0.87195999999999996"/>
    <n v="0.89266000000000001"/>
    <n v="0.88231000000000004"/>
    <n v="207"/>
  </r>
  <r>
    <x v="14"/>
    <x v="54"/>
    <x v="10"/>
    <m/>
    <n v="0.87195999999999996"/>
    <n v="0.89266000000000001"/>
    <n v="0.88231000000000004"/>
    <n v="207"/>
  </r>
  <r>
    <x v="14"/>
    <x v="54"/>
    <x v="10"/>
    <m/>
    <n v="0.87195999999999996"/>
    <n v="0.89266000000000001"/>
    <n v="0.88231000000000004"/>
    <n v="207"/>
  </r>
  <r>
    <x v="14"/>
    <x v="54"/>
    <x v="10"/>
    <m/>
    <n v="0.87195999999999996"/>
    <n v="0.89266000000000001"/>
    <n v="0.88231000000000004"/>
    <n v="207"/>
  </r>
  <r>
    <x v="14"/>
    <x v="54"/>
    <x v="10"/>
    <m/>
    <n v="0.87195999999999996"/>
    <n v="0.89266000000000001"/>
    <n v="0.88231000000000004"/>
    <n v="207"/>
  </r>
  <r>
    <x v="14"/>
    <x v="54"/>
    <x v="10"/>
    <m/>
    <n v="0.87195999999999996"/>
    <n v="0.89266000000000001"/>
    <n v="0.88231000000000004"/>
    <n v="207"/>
  </r>
  <r>
    <x v="14"/>
    <x v="54"/>
    <x v="10"/>
    <m/>
    <n v="0.87195999999999996"/>
    <n v="0.89266000000000001"/>
    <n v="0.88231000000000004"/>
    <n v="207"/>
  </r>
  <r>
    <x v="14"/>
    <x v="54"/>
    <x v="10"/>
    <m/>
    <n v="0.87195999999999996"/>
    <n v="0.89266000000000001"/>
    <n v="0.88231000000000004"/>
    <n v="207"/>
  </r>
  <r>
    <x v="14"/>
    <x v="54"/>
    <x v="10"/>
    <m/>
    <n v="0.87195999999999996"/>
    <n v="0.89266000000000001"/>
    <n v="0.88231000000000004"/>
    <n v="207"/>
  </r>
  <r>
    <x v="14"/>
    <x v="54"/>
    <x v="10"/>
    <m/>
    <n v="0.87195999999999996"/>
    <n v="0.89266000000000001"/>
    <n v="0.88231000000000004"/>
    <n v="207"/>
  </r>
  <r>
    <x v="14"/>
    <x v="54"/>
    <x v="10"/>
    <m/>
    <n v="0.87195999999999996"/>
    <n v="0.89266000000000001"/>
    <n v="0.88231000000000004"/>
    <n v="207"/>
  </r>
  <r>
    <x v="14"/>
    <x v="54"/>
    <x v="10"/>
    <m/>
    <n v="0.87195999999999996"/>
    <n v="0.89266000000000001"/>
    <n v="0.88231000000000004"/>
    <n v="207"/>
  </r>
  <r>
    <x v="14"/>
    <x v="54"/>
    <x v="10"/>
    <m/>
    <n v="0.87195999999999996"/>
    <n v="0.89266000000000001"/>
    <n v="0.88231000000000004"/>
    <n v="207"/>
  </r>
  <r>
    <x v="14"/>
    <x v="55"/>
    <x v="4"/>
    <m/>
    <n v="91.498999999999995"/>
    <n v="96.022000000000006"/>
    <n v="93.760499999999993"/>
    <n v="452.3"/>
  </r>
  <r>
    <x v="14"/>
    <x v="55"/>
    <x v="4"/>
    <m/>
    <n v="91.498999999999995"/>
    <n v="96.022000000000006"/>
    <n v="93.760499999999993"/>
    <n v="452.3"/>
  </r>
  <r>
    <x v="14"/>
    <x v="55"/>
    <x v="4"/>
    <m/>
    <n v="91.498999999999995"/>
    <n v="96.022000000000006"/>
    <n v="93.760499999999993"/>
    <n v="452.3"/>
  </r>
  <r>
    <x v="14"/>
    <x v="55"/>
    <x v="4"/>
    <m/>
    <n v="91.498999999999995"/>
    <n v="96.022000000000006"/>
    <n v="93.760499999999993"/>
    <n v="452.3"/>
  </r>
  <r>
    <x v="14"/>
    <x v="55"/>
    <x v="4"/>
    <m/>
    <n v="91.498999999999995"/>
    <n v="96.022000000000006"/>
    <n v="93.760499999999993"/>
    <n v="452.3"/>
  </r>
  <r>
    <x v="14"/>
    <x v="55"/>
    <x v="4"/>
    <m/>
    <n v="91.498999999999995"/>
    <n v="96.022000000000006"/>
    <n v="93.760499999999993"/>
    <n v="452.3"/>
  </r>
  <r>
    <x v="14"/>
    <x v="55"/>
    <x v="4"/>
    <m/>
    <n v="91.498999999999995"/>
    <n v="96.022000000000006"/>
    <n v="93.760499999999993"/>
    <n v="452.3"/>
  </r>
  <r>
    <x v="14"/>
    <x v="55"/>
    <x v="4"/>
    <m/>
    <n v="91.498999999999995"/>
    <n v="96.022000000000006"/>
    <n v="93.760499999999993"/>
    <n v="452.3"/>
  </r>
  <r>
    <x v="14"/>
    <x v="55"/>
    <x v="4"/>
    <m/>
    <n v="91.498999999999995"/>
    <n v="96.022000000000006"/>
    <n v="93.760499999999993"/>
    <n v="452.3"/>
  </r>
  <r>
    <x v="14"/>
    <x v="55"/>
    <x v="4"/>
    <m/>
    <n v="91.498999999999995"/>
    <n v="96.022000000000006"/>
    <n v="93.760499999999993"/>
    <n v="452.3"/>
  </r>
  <r>
    <x v="14"/>
    <x v="55"/>
    <x v="4"/>
    <m/>
    <n v="91.498999999999995"/>
    <n v="96.022000000000006"/>
    <n v="93.760499999999993"/>
    <n v="452.3"/>
  </r>
  <r>
    <x v="14"/>
    <x v="55"/>
    <x v="4"/>
    <m/>
    <n v="91.498999999999995"/>
    <n v="96.022000000000006"/>
    <n v="93.760499999999993"/>
    <n v="452.3"/>
  </r>
  <r>
    <x v="14"/>
    <x v="55"/>
    <x v="4"/>
    <m/>
    <n v="91.498999999999995"/>
    <n v="96.022000000000006"/>
    <n v="93.760499999999993"/>
    <n v="452.3"/>
  </r>
  <r>
    <x v="14"/>
    <x v="55"/>
    <x v="4"/>
    <m/>
    <n v="91.498999999999995"/>
    <n v="96.022000000000006"/>
    <n v="93.760499999999993"/>
    <n v="452.3"/>
  </r>
  <r>
    <x v="14"/>
    <x v="55"/>
    <x v="4"/>
    <m/>
    <n v="91.498999999999995"/>
    <n v="96.022000000000006"/>
    <n v="93.760499999999993"/>
    <n v="452.3"/>
  </r>
  <r>
    <x v="14"/>
    <x v="55"/>
    <x v="4"/>
    <m/>
    <n v="91.498999999999995"/>
    <n v="96.022000000000006"/>
    <n v="93.760499999999993"/>
    <n v="452.3"/>
  </r>
  <r>
    <x v="14"/>
    <x v="55"/>
    <x v="4"/>
    <m/>
    <n v="91.498999999999995"/>
    <n v="96.022000000000006"/>
    <n v="93.760499999999993"/>
    <n v="452.3"/>
  </r>
  <r>
    <x v="14"/>
    <x v="55"/>
    <x v="4"/>
    <m/>
    <n v="91.498999999999995"/>
    <n v="96.022000000000006"/>
    <n v="93.760499999999993"/>
    <n v="452.3"/>
  </r>
  <r>
    <x v="14"/>
    <x v="55"/>
    <x v="4"/>
    <m/>
    <n v="91.498999999999995"/>
    <n v="96.022000000000006"/>
    <n v="93.760499999999993"/>
    <n v="452.3"/>
  </r>
  <r>
    <x v="14"/>
    <x v="55"/>
    <x v="4"/>
    <m/>
    <n v="91.498999999999995"/>
    <n v="96.022000000000006"/>
    <n v="93.760499999999993"/>
    <n v="452.3"/>
  </r>
  <r>
    <x v="14"/>
    <x v="55"/>
    <x v="4"/>
    <m/>
    <n v="91.498999999999995"/>
    <n v="96.022000000000006"/>
    <n v="93.760499999999993"/>
    <n v="452.3"/>
  </r>
  <r>
    <x v="14"/>
    <x v="55"/>
    <x v="4"/>
    <m/>
    <n v="91.498999999999995"/>
    <n v="96.022000000000006"/>
    <n v="93.760499999999993"/>
    <n v="452.3"/>
  </r>
  <r>
    <x v="14"/>
    <x v="55"/>
    <x v="4"/>
    <m/>
    <n v="91.498999999999995"/>
    <n v="96.022000000000006"/>
    <n v="93.760499999999993"/>
    <n v="452.3"/>
  </r>
  <r>
    <x v="14"/>
    <x v="55"/>
    <x v="4"/>
    <m/>
    <n v="91.498999999999995"/>
    <n v="96.022000000000006"/>
    <n v="93.760499999999993"/>
    <n v="452.3"/>
  </r>
  <r>
    <x v="14"/>
    <x v="55"/>
    <x v="4"/>
    <m/>
    <n v="91.498999999999995"/>
    <n v="96.022000000000006"/>
    <n v="93.760499999999993"/>
    <n v="452.3"/>
  </r>
  <r>
    <x v="14"/>
    <x v="55"/>
    <x v="4"/>
    <m/>
    <n v="91.498999999999995"/>
    <n v="96.022000000000006"/>
    <n v="93.760499999999993"/>
    <n v="452.3"/>
  </r>
  <r>
    <x v="14"/>
    <x v="55"/>
    <x v="4"/>
    <m/>
    <n v="91.498999999999995"/>
    <n v="96.022000000000006"/>
    <n v="93.760499999999993"/>
    <n v="452.3"/>
  </r>
  <r>
    <x v="14"/>
    <x v="55"/>
    <x v="0"/>
    <m/>
    <n v="1.9189400000000001"/>
    <n v="1.9608000000000001"/>
    <n v="1.93987"/>
    <n v="418.6"/>
  </r>
  <r>
    <x v="14"/>
    <x v="55"/>
    <x v="0"/>
    <m/>
    <n v="1.9189400000000001"/>
    <n v="1.9608000000000001"/>
    <n v="1.93987"/>
    <n v="418.6"/>
  </r>
  <r>
    <x v="14"/>
    <x v="55"/>
    <x v="0"/>
    <m/>
    <n v="1.9189400000000001"/>
    <n v="1.9608000000000001"/>
    <n v="1.93987"/>
    <n v="418.6"/>
  </r>
  <r>
    <x v="14"/>
    <x v="55"/>
    <x v="0"/>
    <m/>
    <n v="1.9189400000000001"/>
    <n v="1.9608000000000001"/>
    <n v="1.93987"/>
    <n v="418.6"/>
  </r>
  <r>
    <x v="14"/>
    <x v="55"/>
    <x v="0"/>
    <m/>
    <n v="1.9189400000000001"/>
    <n v="1.9608000000000001"/>
    <n v="1.93987"/>
    <n v="418.6"/>
  </r>
  <r>
    <x v="14"/>
    <x v="55"/>
    <x v="0"/>
    <m/>
    <n v="1.9189400000000001"/>
    <n v="1.9608000000000001"/>
    <n v="1.93987"/>
    <n v="418.6"/>
  </r>
  <r>
    <x v="14"/>
    <x v="55"/>
    <x v="0"/>
    <m/>
    <n v="1.9189400000000001"/>
    <n v="1.9608000000000001"/>
    <n v="1.93987"/>
    <n v="418.6"/>
  </r>
  <r>
    <x v="14"/>
    <x v="55"/>
    <x v="0"/>
    <m/>
    <n v="1.9189400000000001"/>
    <n v="1.9608000000000001"/>
    <n v="1.93987"/>
    <n v="418.6"/>
  </r>
  <r>
    <x v="14"/>
    <x v="55"/>
    <x v="0"/>
    <m/>
    <n v="1.9189400000000001"/>
    <n v="1.9608000000000001"/>
    <n v="1.93987"/>
    <n v="418.6"/>
  </r>
  <r>
    <x v="14"/>
    <x v="55"/>
    <x v="0"/>
    <m/>
    <n v="1.9189400000000001"/>
    <n v="1.9608000000000001"/>
    <n v="1.93987"/>
    <n v="418.6"/>
  </r>
  <r>
    <x v="14"/>
    <x v="55"/>
    <x v="0"/>
    <m/>
    <n v="1.9189400000000001"/>
    <n v="1.9608000000000001"/>
    <n v="1.93987"/>
    <n v="418.6"/>
  </r>
  <r>
    <x v="14"/>
    <x v="55"/>
    <x v="0"/>
    <m/>
    <n v="1.9189400000000001"/>
    <n v="1.9608000000000001"/>
    <n v="1.93987"/>
    <n v="418.6"/>
  </r>
  <r>
    <x v="14"/>
    <x v="55"/>
    <x v="0"/>
    <m/>
    <n v="1.9189400000000001"/>
    <n v="1.9608000000000001"/>
    <n v="1.93987"/>
    <n v="418.6"/>
  </r>
  <r>
    <x v="14"/>
    <x v="55"/>
    <x v="0"/>
    <m/>
    <n v="1.9189400000000001"/>
    <n v="1.9608000000000001"/>
    <n v="1.93987"/>
    <n v="418.6"/>
  </r>
  <r>
    <x v="14"/>
    <x v="55"/>
    <x v="0"/>
    <m/>
    <n v="1.9189400000000001"/>
    <n v="1.9608000000000001"/>
    <n v="1.93987"/>
    <n v="418.6"/>
  </r>
  <r>
    <x v="14"/>
    <x v="55"/>
    <x v="0"/>
    <m/>
    <n v="1.9189400000000001"/>
    <n v="1.9608000000000001"/>
    <n v="1.93987"/>
    <n v="418.6"/>
  </r>
  <r>
    <x v="14"/>
    <x v="55"/>
    <x v="0"/>
    <m/>
    <n v="1.9189400000000001"/>
    <n v="1.9608000000000001"/>
    <n v="1.93987"/>
    <n v="418.6"/>
  </r>
  <r>
    <x v="14"/>
    <x v="55"/>
    <x v="0"/>
    <m/>
    <n v="1.9189400000000001"/>
    <n v="1.9608000000000001"/>
    <n v="1.93987"/>
    <n v="418.6"/>
  </r>
  <r>
    <x v="14"/>
    <x v="55"/>
    <x v="10"/>
    <m/>
    <n v="0.87195999999999996"/>
    <n v="0.89266000000000001"/>
    <n v="0.88231000000000004"/>
    <n v="207"/>
  </r>
  <r>
    <x v="14"/>
    <x v="55"/>
    <x v="10"/>
    <m/>
    <n v="0.87195999999999996"/>
    <n v="0.89266000000000001"/>
    <n v="0.88231000000000004"/>
    <n v="207"/>
  </r>
  <r>
    <x v="14"/>
    <x v="55"/>
    <x v="10"/>
    <m/>
    <n v="0.87195999999999996"/>
    <n v="0.89266000000000001"/>
    <n v="0.88231000000000004"/>
    <n v="207"/>
  </r>
  <r>
    <x v="14"/>
    <x v="55"/>
    <x v="10"/>
    <m/>
    <n v="0.87195999999999996"/>
    <n v="0.89266000000000001"/>
    <n v="0.88231000000000004"/>
    <n v="207"/>
  </r>
  <r>
    <x v="14"/>
    <x v="55"/>
    <x v="10"/>
    <m/>
    <n v="0.87195999999999996"/>
    <n v="0.89266000000000001"/>
    <n v="0.88231000000000004"/>
    <n v="207"/>
  </r>
  <r>
    <x v="14"/>
    <x v="55"/>
    <x v="10"/>
    <m/>
    <n v="0.87195999999999996"/>
    <n v="0.89266000000000001"/>
    <n v="0.88231000000000004"/>
    <n v="207"/>
  </r>
  <r>
    <x v="14"/>
    <x v="55"/>
    <x v="10"/>
    <m/>
    <n v="0.87195999999999996"/>
    <n v="0.89266000000000001"/>
    <n v="0.88231000000000004"/>
    <n v="207"/>
  </r>
  <r>
    <x v="14"/>
    <x v="55"/>
    <x v="10"/>
    <m/>
    <n v="0.87195999999999996"/>
    <n v="0.89266000000000001"/>
    <n v="0.88231000000000004"/>
    <n v="207"/>
  </r>
  <r>
    <x v="14"/>
    <x v="55"/>
    <x v="10"/>
    <m/>
    <n v="0.87195999999999996"/>
    <n v="0.89266000000000001"/>
    <n v="0.88231000000000004"/>
    <n v="207"/>
  </r>
  <r>
    <x v="14"/>
    <x v="55"/>
    <x v="10"/>
    <m/>
    <n v="0.87195999999999996"/>
    <n v="0.89266000000000001"/>
    <n v="0.88231000000000004"/>
    <n v="207"/>
  </r>
  <r>
    <x v="14"/>
    <x v="55"/>
    <x v="10"/>
    <m/>
    <n v="0.87195999999999996"/>
    <n v="0.89266000000000001"/>
    <n v="0.88231000000000004"/>
    <n v="207"/>
  </r>
  <r>
    <x v="14"/>
    <x v="55"/>
    <x v="10"/>
    <m/>
    <n v="0.87195999999999996"/>
    <n v="0.89266000000000001"/>
    <n v="0.88231000000000004"/>
    <n v="207"/>
  </r>
  <r>
    <x v="14"/>
    <x v="55"/>
    <x v="10"/>
    <m/>
    <n v="0.87195999999999996"/>
    <n v="0.89266000000000001"/>
    <n v="0.88231000000000004"/>
    <n v="207"/>
  </r>
  <r>
    <x v="14"/>
    <x v="55"/>
    <x v="10"/>
    <m/>
    <n v="0.87195999999999996"/>
    <n v="0.89266000000000001"/>
    <n v="0.88231000000000004"/>
    <n v="207"/>
  </r>
  <r>
    <x v="14"/>
    <x v="56"/>
    <x v="4"/>
    <m/>
    <n v="91.498999999999995"/>
    <n v="96.022000000000006"/>
    <n v="93.760499999999993"/>
    <n v="452.3"/>
  </r>
  <r>
    <x v="14"/>
    <x v="56"/>
    <x v="4"/>
    <m/>
    <n v="91.498999999999995"/>
    <n v="96.022000000000006"/>
    <n v="93.760499999999993"/>
    <n v="452.3"/>
  </r>
  <r>
    <x v="14"/>
    <x v="56"/>
    <x v="4"/>
    <m/>
    <n v="91.498999999999995"/>
    <n v="96.022000000000006"/>
    <n v="93.760499999999993"/>
    <n v="452.3"/>
  </r>
  <r>
    <x v="14"/>
    <x v="56"/>
    <x v="4"/>
    <m/>
    <n v="91.498999999999995"/>
    <n v="96.022000000000006"/>
    <n v="93.760499999999993"/>
    <n v="452.3"/>
  </r>
  <r>
    <x v="14"/>
    <x v="56"/>
    <x v="4"/>
    <m/>
    <n v="91.498999999999995"/>
    <n v="96.022000000000006"/>
    <n v="93.760499999999993"/>
    <n v="452.3"/>
  </r>
  <r>
    <x v="14"/>
    <x v="56"/>
    <x v="4"/>
    <m/>
    <n v="91.498999999999995"/>
    <n v="96.022000000000006"/>
    <n v="93.760499999999993"/>
    <n v="452.3"/>
  </r>
  <r>
    <x v="14"/>
    <x v="56"/>
    <x v="4"/>
    <m/>
    <n v="91.498999999999995"/>
    <n v="96.022000000000006"/>
    <n v="93.760499999999993"/>
    <n v="452.3"/>
  </r>
  <r>
    <x v="14"/>
    <x v="56"/>
    <x v="4"/>
    <m/>
    <n v="91.498999999999995"/>
    <n v="96.022000000000006"/>
    <n v="93.760499999999993"/>
    <n v="452.3"/>
  </r>
  <r>
    <x v="14"/>
    <x v="56"/>
    <x v="4"/>
    <m/>
    <n v="91.498999999999995"/>
    <n v="96.022000000000006"/>
    <n v="93.760499999999993"/>
    <n v="452.3"/>
  </r>
  <r>
    <x v="14"/>
    <x v="56"/>
    <x v="4"/>
    <m/>
    <n v="91.498999999999995"/>
    <n v="96.022000000000006"/>
    <n v="93.760499999999993"/>
    <n v="452.3"/>
  </r>
  <r>
    <x v="14"/>
    <x v="56"/>
    <x v="4"/>
    <m/>
    <n v="91.498999999999995"/>
    <n v="96.022000000000006"/>
    <n v="93.760499999999993"/>
    <n v="452.3"/>
  </r>
  <r>
    <x v="14"/>
    <x v="56"/>
    <x v="4"/>
    <m/>
    <n v="91.498999999999995"/>
    <n v="96.022000000000006"/>
    <n v="93.760499999999993"/>
    <n v="452.3"/>
  </r>
  <r>
    <x v="14"/>
    <x v="56"/>
    <x v="4"/>
    <m/>
    <n v="91.498999999999995"/>
    <n v="96.022000000000006"/>
    <n v="93.760499999999993"/>
    <n v="452.3"/>
  </r>
  <r>
    <x v="14"/>
    <x v="56"/>
    <x v="4"/>
    <m/>
    <n v="91.498999999999995"/>
    <n v="96.022000000000006"/>
    <n v="93.760499999999993"/>
    <n v="452.3"/>
  </r>
  <r>
    <x v="14"/>
    <x v="56"/>
    <x v="4"/>
    <m/>
    <n v="91.498999999999995"/>
    <n v="96.022000000000006"/>
    <n v="93.760499999999993"/>
    <n v="452.3"/>
  </r>
  <r>
    <x v="14"/>
    <x v="56"/>
    <x v="4"/>
    <m/>
    <n v="91.498999999999995"/>
    <n v="96.022000000000006"/>
    <n v="93.760499999999993"/>
    <n v="452.3"/>
  </r>
  <r>
    <x v="14"/>
    <x v="56"/>
    <x v="4"/>
    <m/>
    <n v="91.498999999999995"/>
    <n v="96.022000000000006"/>
    <n v="93.760499999999993"/>
    <n v="452.3"/>
  </r>
  <r>
    <x v="14"/>
    <x v="56"/>
    <x v="4"/>
    <m/>
    <n v="91.498999999999995"/>
    <n v="96.022000000000006"/>
    <n v="93.760499999999993"/>
    <n v="452.3"/>
  </r>
  <r>
    <x v="14"/>
    <x v="56"/>
    <x v="4"/>
    <m/>
    <n v="91.498999999999995"/>
    <n v="96.022000000000006"/>
    <n v="93.760499999999993"/>
    <n v="452.3"/>
  </r>
  <r>
    <x v="14"/>
    <x v="56"/>
    <x v="4"/>
    <m/>
    <n v="91.498999999999995"/>
    <n v="96.022000000000006"/>
    <n v="93.760499999999993"/>
    <n v="452.3"/>
  </r>
  <r>
    <x v="14"/>
    <x v="56"/>
    <x v="4"/>
    <m/>
    <n v="91.498999999999995"/>
    <n v="96.022000000000006"/>
    <n v="93.760499999999993"/>
    <n v="452.3"/>
  </r>
  <r>
    <x v="14"/>
    <x v="56"/>
    <x v="4"/>
    <m/>
    <n v="91.498999999999995"/>
    <n v="96.022000000000006"/>
    <n v="93.760499999999993"/>
    <n v="452.3"/>
  </r>
  <r>
    <x v="14"/>
    <x v="56"/>
    <x v="4"/>
    <m/>
    <n v="91.498999999999995"/>
    <n v="96.022000000000006"/>
    <n v="93.760499999999993"/>
    <n v="452.3"/>
  </r>
  <r>
    <x v="14"/>
    <x v="56"/>
    <x v="4"/>
    <m/>
    <n v="91.498999999999995"/>
    <n v="96.022000000000006"/>
    <n v="93.760499999999993"/>
    <n v="452.3"/>
  </r>
  <r>
    <x v="14"/>
    <x v="56"/>
    <x v="4"/>
    <m/>
    <n v="91.498999999999995"/>
    <n v="96.022000000000006"/>
    <n v="93.760499999999993"/>
    <n v="452.3"/>
  </r>
  <r>
    <x v="14"/>
    <x v="56"/>
    <x v="0"/>
    <m/>
    <n v="1.9189400000000001"/>
    <n v="1.9608000000000001"/>
    <n v="1.93987"/>
    <n v="418.6"/>
  </r>
  <r>
    <x v="14"/>
    <x v="56"/>
    <x v="0"/>
    <m/>
    <n v="1.9189400000000001"/>
    <n v="1.9608000000000001"/>
    <n v="1.93987"/>
    <n v="418.6"/>
  </r>
  <r>
    <x v="14"/>
    <x v="56"/>
    <x v="0"/>
    <m/>
    <n v="1.9189400000000001"/>
    <n v="1.9608000000000001"/>
    <n v="1.93987"/>
    <n v="418.6"/>
  </r>
  <r>
    <x v="14"/>
    <x v="56"/>
    <x v="0"/>
    <m/>
    <n v="1.9189400000000001"/>
    <n v="1.9608000000000001"/>
    <n v="1.93987"/>
    <n v="418.6"/>
  </r>
  <r>
    <x v="14"/>
    <x v="56"/>
    <x v="0"/>
    <m/>
    <n v="1.9189400000000001"/>
    <n v="1.9608000000000001"/>
    <n v="1.93987"/>
    <n v="418.6"/>
  </r>
  <r>
    <x v="14"/>
    <x v="56"/>
    <x v="0"/>
    <m/>
    <n v="1.9189400000000001"/>
    <n v="1.9608000000000001"/>
    <n v="1.93987"/>
    <n v="418.6"/>
  </r>
  <r>
    <x v="14"/>
    <x v="56"/>
    <x v="0"/>
    <m/>
    <n v="1.9189400000000001"/>
    <n v="1.9608000000000001"/>
    <n v="1.93987"/>
    <n v="418.6"/>
  </r>
  <r>
    <x v="14"/>
    <x v="56"/>
    <x v="0"/>
    <m/>
    <n v="1.9189400000000001"/>
    <n v="1.9608000000000001"/>
    <n v="1.93987"/>
    <n v="418.6"/>
  </r>
  <r>
    <x v="14"/>
    <x v="56"/>
    <x v="0"/>
    <m/>
    <n v="1.9189400000000001"/>
    <n v="1.9608000000000001"/>
    <n v="1.93987"/>
    <n v="418.6"/>
  </r>
  <r>
    <x v="14"/>
    <x v="56"/>
    <x v="0"/>
    <m/>
    <n v="1.9189400000000001"/>
    <n v="1.9608000000000001"/>
    <n v="1.93987"/>
    <n v="418.6"/>
  </r>
  <r>
    <x v="14"/>
    <x v="56"/>
    <x v="0"/>
    <m/>
    <n v="1.9189400000000001"/>
    <n v="1.9608000000000001"/>
    <n v="1.93987"/>
    <n v="418.6"/>
  </r>
  <r>
    <x v="14"/>
    <x v="56"/>
    <x v="0"/>
    <m/>
    <n v="1.9189400000000001"/>
    <n v="1.9608000000000001"/>
    <n v="1.93987"/>
    <n v="418.6"/>
  </r>
  <r>
    <x v="14"/>
    <x v="56"/>
    <x v="0"/>
    <m/>
    <n v="1.9189400000000001"/>
    <n v="1.9608000000000001"/>
    <n v="1.93987"/>
    <n v="418.6"/>
  </r>
  <r>
    <x v="14"/>
    <x v="56"/>
    <x v="0"/>
    <m/>
    <n v="1.9189400000000001"/>
    <n v="1.9608000000000001"/>
    <n v="1.93987"/>
    <n v="418.6"/>
  </r>
  <r>
    <x v="14"/>
    <x v="56"/>
    <x v="0"/>
    <m/>
    <n v="1.9189400000000001"/>
    <n v="1.9608000000000001"/>
    <n v="1.93987"/>
    <n v="418.6"/>
  </r>
  <r>
    <x v="14"/>
    <x v="56"/>
    <x v="10"/>
    <m/>
    <n v="0.87195999999999996"/>
    <n v="0.89295000000000002"/>
    <n v="0.88245499999999999"/>
    <n v="209.9"/>
  </r>
  <r>
    <x v="14"/>
    <x v="56"/>
    <x v="10"/>
    <m/>
    <n v="0.87195999999999996"/>
    <n v="0.89295000000000002"/>
    <n v="0.88245499999999999"/>
    <n v="209.9"/>
  </r>
  <r>
    <x v="14"/>
    <x v="56"/>
    <x v="10"/>
    <m/>
    <n v="0.87195999999999996"/>
    <n v="0.89295000000000002"/>
    <n v="0.88245499999999999"/>
    <n v="209.9"/>
  </r>
  <r>
    <x v="14"/>
    <x v="56"/>
    <x v="10"/>
    <m/>
    <n v="0.87195999999999996"/>
    <n v="0.89295000000000002"/>
    <n v="0.88245499999999999"/>
    <n v="209.9"/>
  </r>
  <r>
    <x v="14"/>
    <x v="56"/>
    <x v="10"/>
    <m/>
    <n v="0.87195999999999996"/>
    <n v="0.89295000000000002"/>
    <n v="0.88245499999999999"/>
    <n v="209.9"/>
  </r>
  <r>
    <x v="14"/>
    <x v="56"/>
    <x v="10"/>
    <m/>
    <n v="0.87195999999999996"/>
    <n v="0.89295000000000002"/>
    <n v="0.88245499999999999"/>
    <n v="209.9"/>
  </r>
  <r>
    <x v="14"/>
    <x v="56"/>
    <x v="10"/>
    <m/>
    <n v="0.87195999999999996"/>
    <n v="0.89295000000000002"/>
    <n v="0.88245499999999999"/>
    <n v="209.9"/>
  </r>
  <r>
    <x v="14"/>
    <x v="56"/>
    <x v="10"/>
    <m/>
    <n v="0.87195999999999996"/>
    <n v="0.89295000000000002"/>
    <n v="0.88245499999999999"/>
    <n v="209.9"/>
  </r>
  <r>
    <x v="14"/>
    <x v="56"/>
    <x v="10"/>
    <m/>
    <n v="0.87195999999999996"/>
    <n v="0.89295000000000002"/>
    <n v="0.88245499999999999"/>
    <n v="209.9"/>
  </r>
  <r>
    <x v="14"/>
    <x v="56"/>
    <x v="10"/>
    <m/>
    <n v="0.87195999999999996"/>
    <n v="0.89295000000000002"/>
    <n v="0.88245499999999999"/>
    <n v="209.9"/>
  </r>
  <r>
    <x v="14"/>
    <x v="56"/>
    <x v="10"/>
    <m/>
    <n v="0.87195999999999996"/>
    <n v="0.89295000000000002"/>
    <n v="0.88245499999999999"/>
    <n v="209.9"/>
  </r>
  <r>
    <x v="14"/>
    <x v="57"/>
    <x v="4"/>
    <m/>
    <n v="91.498999999999995"/>
    <n v="96.022000000000006"/>
    <n v="93.760499999999993"/>
    <n v="452.3"/>
  </r>
  <r>
    <x v="14"/>
    <x v="57"/>
    <x v="4"/>
    <m/>
    <n v="91.498999999999995"/>
    <n v="96.022000000000006"/>
    <n v="93.760499999999993"/>
    <n v="452.3"/>
  </r>
  <r>
    <x v="14"/>
    <x v="57"/>
    <x v="4"/>
    <m/>
    <n v="91.498999999999995"/>
    <n v="96.022000000000006"/>
    <n v="93.760499999999993"/>
    <n v="452.3"/>
  </r>
  <r>
    <x v="14"/>
    <x v="57"/>
    <x v="4"/>
    <m/>
    <n v="91.498999999999995"/>
    <n v="96.022000000000006"/>
    <n v="93.760499999999993"/>
    <n v="452.3"/>
  </r>
  <r>
    <x v="14"/>
    <x v="57"/>
    <x v="4"/>
    <m/>
    <n v="91.498999999999995"/>
    <n v="96.022000000000006"/>
    <n v="93.760499999999993"/>
    <n v="452.3"/>
  </r>
  <r>
    <x v="14"/>
    <x v="57"/>
    <x v="4"/>
    <m/>
    <n v="91.498999999999995"/>
    <n v="96.022000000000006"/>
    <n v="93.760499999999993"/>
    <n v="452.3"/>
  </r>
  <r>
    <x v="14"/>
    <x v="57"/>
    <x v="4"/>
    <m/>
    <n v="91.498999999999995"/>
    <n v="96.022000000000006"/>
    <n v="93.760499999999993"/>
    <n v="452.3"/>
  </r>
  <r>
    <x v="14"/>
    <x v="57"/>
    <x v="4"/>
    <m/>
    <n v="91.498999999999995"/>
    <n v="96.022000000000006"/>
    <n v="93.760499999999993"/>
    <n v="452.3"/>
  </r>
  <r>
    <x v="14"/>
    <x v="57"/>
    <x v="4"/>
    <m/>
    <n v="91.498999999999995"/>
    <n v="96.022000000000006"/>
    <n v="93.760499999999993"/>
    <n v="452.3"/>
  </r>
  <r>
    <x v="14"/>
    <x v="57"/>
    <x v="4"/>
    <m/>
    <n v="91.498999999999995"/>
    <n v="96.022000000000006"/>
    <n v="93.760499999999993"/>
    <n v="452.3"/>
  </r>
  <r>
    <x v="14"/>
    <x v="57"/>
    <x v="4"/>
    <m/>
    <n v="91.498999999999995"/>
    <n v="96.022000000000006"/>
    <n v="93.760499999999993"/>
    <n v="452.3"/>
  </r>
  <r>
    <x v="14"/>
    <x v="57"/>
    <x v="4"/>
    <m/>
    <n v="91.498999999999995"/>
    <n v="96.022000000000006"/>
    <n v="93.760499999999993"/>
    <n v="452.3"/>
  </r>
  <r>
    <x v="14"/>
    <x v="57"/>
    <x v="4"/>
    <m/>
    <n v="91.498999999999995"/>
    <n v="96.022000000000006"/>
    <n v="93.760499999999993"/>
    <n v="452.3"/>
  </r>
  <r>
    <x v="14"/>
    <x v="57"/>
    <x v="4"/>
    <m/>
    <n v="91.498999999999995"/>
    <n v="96.022000000000006"/>
    <n v="93.760499999999993"/>
    <n v="452.3"/>
  </r>
  <r>
    <x v="14"/>
    <x v="57"/>
    <x v="4"/>
    <m/>
    <n v="91.498999999999995"/>
    <n v="96.022000000000006"/>
    <n v="93.760499999999993"/>
    <n v="452.3"/>
  </r>
  <r>
    <x v="14"/>
    <x v="57"/>
    <x v="4"/>
    <m/>
    <n v="91.498999999999995"/>
    <n v="96.022000000000006"/>
    <n v="93.760499999999993"/>
    <n v="452.3"/>
  </r>
  <r>
    <x v="14"/>
    <x v="57"/>
    <x v="4"/>
    <m/>
    <n v="91.498999999999995"/>
    <n v="96.022000000000006"/>
    <n v="93.760499999999993"/>
    <n v="452.3"/>
  </r>
  <r>
    <x v="14"/>
    <x v="57"/>
    <x v="4"/>
    <m/>
    <n v="91.498999999999995"/>
    <n v="96.022000000000006"/>
    <n v="93.760499999999993"/>
    <n v="452.3"/>
  </r>
  <r>
    <x v="14"/>
    <x v="57"/>
    <x v="4"/>
    <m/>
    <n v="91.498999999999995"/>
    <n v="96.022000000000006"/>
    <n v="93.760499999999993"/>
    <n v="452.3"/>
  </r>
  <r>
    <x v="14"/>
    <x v="57"/>
    <x v="4"/>
    <m/>
    <n v="91.498999999999995"/>
    <n v="96.022000000000006"/>
    <n v="93.760499999999993"/>
    <n v="452.3"/>
  </r>
  <r>
    <x v="14"/>
    <x v="57"/>
    <x v="4"/>
    <m/>
    <n v="91.498999999999995"/>
    <n v="96.022000000000006"/>
    <n v="93.760499999999993"/>
    <n v="452.3"/>
  </r>
  <r>
    <x v="14"/>
    <x v="57"/>
    <x v="4"/>
    <m/>
    <n v="91.498999999999995"/>
    <n v="96.022000000000006"/>
    <n v="93.760499999999993"/>
    <n v="452.3"/>
  </r>
  <r>
    <x v="14"/>
    <x v="57"/>
    <x v="4"/>
    <m/>
    <n v="91.498999999999995"/>
    <n v="96.022000000000006"/>
    <n v="93.760499999999993"/>
    <n v="452.3"/>
  </r>
  <r>
    <x v="14"/>
    <x v="57"/>
    <x v="4"/>
    <m/>
    <n v="91.498999999999995"/>
    <n v="96.022000000000006"/>
    <n v="93.760499999999993"/>
    <n v="452.3"/>
  </r>
  <r>
    <x v="14"/>
    <x v="57"/>
    <x v="4"/>
    <m/>
    <n v="91.498999999999995"/>
    <n v="96.022000000000006"/>
    <n v="93.760499999999993"/>
    <n v="452.3"/>
  </r>
  <r>
    <x v="14"/>
    <x v="57"/>
    <x v="0"/>
    <m/>
    <n v="1.9189400000000001"/>
    <n v="1.972"/>
    <n v="1.94547"/>
    <n v="530.6"/>
  </r>
  <r>
    <x v="14"/>
    <x v="57"/>
    <x v="0"/>
    <m/>
    <n v="1.9189400000000001"/>
    <n v="1.972"/>
    <n v="1.94547"/>
    <n v="530.6"/>
  </r>
  <r>
    <x v="14"/>
    <x v="57"/>
    <x v="0"/>
    <m/>
    <n v="1.9189400000000001"/>
    <n v="1.972"/>
    <n v="1.94547"/>
    <n v="530.6"/>
  </r>
  <r>
    <x v="14"/>
    <x v="57"/>
    <x v="0"/>
    <m/>
    <n v="1.9189400000000001"/>
    <n v="1.972"/>
    <n v="1.94547"/>
    <n v="530.6"/>
  </r>
  <r>
    <x v="14"/>
    <x v="57"/>
    <x v="0"/>
    <m/>
    <n v="1.9189400000000001"/>
    <n v="1.972"/>
    <n v="1.94547"/>
    <n v="530.6"/>
  </r>
  <r>
    <x v="14"/>
    <x v="57"/>
    <x v="0"/>
    <m/>
    <n v="1.9189400000000001"/>
    <n v="1.972"/>
    <n v="1.94547"/>
    <n v="530.6"/>
  </r>
  <r>
    <x v="14"/>
    <x v="57"/>
    <x v="0"/>
    <m/>
    <n v="1.9189400000000001"/>
    <n v="1.972"/>
    <n v="1.94547"/>
    <n v="530.6"/>
  </r>
  <r>
    <x v="14"/>
    <x v="57"/>
    <x v="0"/>
    <m/>
    <n v="1.9189400000000001"/>
    <n v="1.972"/>
    <n v="1.94547"/>
    <n v="530.6"/>
  </r>
  <r>
    <x v="14"/>
    <x v="57"/>
    <x v="0"/>
    <m/>
    <n v="1.9189400000000001"/>
    <n v="1.972"/>
    <n v="1.94547"/>
    <n v="530.6"/>
  </r>
  <r>
    <x v="14"/>
    <x v="57"/>
    <x v="0"/>
    <m/>
    <n v="1.9189400000000001"/>
    <n v="1.972"/>
    <n v="1.94547"/>
    <n v="530.6"/>
  </r>
  <r>
    <x v="14"/>
    <x v="57"/>
    <x v="0"/>
    <m/>
    <n v="1.9189400000000001"/>
    <n v="1.972"/>
    <n v="1.94547"/>
    <n v="530.6"/>
  </r>
  <r>
    <x v="14"/>
    <x v="57"/>
    <x v="0"/>
    <m/>
    <n v="1.9189400000000001"/>
    <n v="1.972"/>
    <n v="1.94547"/>
    <n v="530.6"/>
  </r>
  <r>
    <x v="14"/>
    <x v="57"/>
    <x v="0"/>
    <m/>
    <n v="1.9189400000000001"/>
    <n v="1.972"/>
    <n v="1.94547"/>
    <n v="530.6"/>
  </r>
  <r>
    <x v="14"/>
    <x v="57"/>
    <x v="0"/>
    <m/>
    <n v="1.9189400000000001"/>
    <n v="1.972"/>
    <n v="1.94547"/>
    <n v="530.6"/>
  </r>
  <r>
    <x v="14"/>
    <x v="57"/>
    <x v="10"/>
    <m/>
    <n v="0.87195999999999996"/>
    <n v="0.89609000000000005"/>
    <n v="0.88402499999999995"/>
    <n v="241.3"/>
  </r>
  <r>
    <x v="14"/>
    <x v="57"/>
    <x v="10"/>
    <m/>
    <n v="0.87195999999999996"/>
    <n v="0.89609000000000005"/>
    <n v="0.88402499999999995"/>
    <n v="241.3"/>
  </r>
  <r>
    <x v="14"/>
    <x v="57"/>
    <x v="10"/>
    <m/>
    <n v="0.87195999999999996"/>
    <n v="0.89609000000000005"/>
    <n v="0.88402499999999995"/>
    <n v="241.3"/>
  </r>
  <r>
    <x v="14"/>
    <x v="57"/>
    <x v="10"/>
    <m/>
    <n v="0.87195999999999996"/>
    <n v="0.89609000000000005"/>
    <n v="0.88402499999999995"/>
    <n v="241.3"/>
  </r>
  <r>
    <x v="14"/>
    <x v="57"/>
    <x v="10"/>
    <m/>
    <n v="0.87195999999999996"/>
    <n v="0.89609000000000005"/>
    <n v="0.88402499999999995"/>
    <n v="241.3"/>
  </r>
  <r>
    <x v="14"/>
    <x v="57"/>
    <x v="10"/>
    <m/>
    <n v="0.87195999999999996"/>
    <n v="0.89609000000000005"/>
    <n v="0.88402499999999995"/>
    <n v="241.3"/>
  </r>
  <r>
    <x v="14"/>
    <x v="57"/>
    <x v="10"/>
    <m/>
    <n v="0.87195999999999996"/>
    <n v="0.89609000000000005"/>
    <n v="0.88402499999999995"/>
    <n v="241.3"/>
  </r>
  <r>
    <x v="14"/>
    <x v="57"/>
    <x v="10"/>
    <m/>
    <n v="0.87195999999999996"/>
    <n v="0.89609000000000005"/>
    <n v="0.88402499999999995"/>
    <n v="241.3"/>
  </r>
  <r>
    <x v="14"/>
    <x v="57"/>
    <x v="10"/>
    <m/>
    <n v="0.87195999999999996"/>
    <n v="0.89609000000000005"/>
    <n v="0.88402499999999995"/>
    <n v="241.3"/>
  </r>
  <r>
    <x v="14"/>
    <x v="57"/>
    <x v="10"/>
    <m/>
    <n v="0.87195999999999996"/>
    <n v="0.89609000000000005"/>
    <n v="0.88402499999999995"/>
    <n v="241.3"/>
  </r>
  <r>
    <x v="14"/>
    <x v="57"/>
    <x v="10"/>
    <m/>
    <n v="0.87195999999999996"/>
    <n v="0.89609000000000005"/>
    <n v="0.88402499999999995"/>
    <n v="241.3"/>
  </r>
  <r>
    <x v="14"/>
    <x v="57"/>
    <x v="10"/>
    <m/>
    <n v="0.87195999999999996"/>
    <n v="0.89609000000000005"/>
    <n v="0.88402499999999995"/>
    <n v="241.3"/>
  </r>
  <r>
    <x v="14"/>
    <x v="57"/>
    <x v="10"/>
    <m/>
    <n v="0.87195999999999996"/>
    <n v="0.89609000000000005"/>
    <n v="0.88402499999999995"/>
    <n v="241.3"/>
  </r>
  <r>
    <x v="14"/>
    <x v="57"/>
    <x v="10"/>
    <m/>
    <n v="0.87195999999999996"/>
    <n v="0.89609000000000005"/>
    <n v="0.88402499999999995"/>
    <n v="241.3"/>
  </r>
  <r>
    <x v="14"/>
    <x v="57"/>
    <x v="10"/>
    <m/>
    <n v="0.87195999999999996"/>
    <n v="0.89609000000000005"/>
    <n v="0.88402499999999995"/>
    <n v="241.3"/>
  </r>
  <r>
    <x v="14"/>
    <x v="58"/>
    <x v="4"/>
    <m/>
    <n v="91.498999999999995"/>
    <n v="96.022000000000006"/>
    <n v="93.760499999999993"/>
    <n v="452.3"/>
  </r>
  <r>
    <x v="14"/>
    <x v="58"/>
    <x v="4"/>
    <m/>
    <n v="91.498999999999995"/>
    <n v="96.022000000000006"/>
    <n v="93.760499999999993"/>
    <n v="452.3"/>
  </r>
  <r>
    <x v="14"/>
    <x v="58"/>
    <x v="4"/>
    <m/>
    <n v="91.498999999999995"/>
    <n v="96.022000000000006"/>
    <n v="93.760499999999993"/>
    <n v="452.3"/>
  </r>
  <r>
    <x v="14"/>
    <x v="58"/>
    <x v="4"/>
    <m/>
    <n v="91.498999999999995"/>
    <n v="96.022000000000006"/>
    <n v="93.760499999999993"/>
    <n v="452.3"/>
  </r>
  <r>
    <x v="14"/>
    <x v="58"/>
    <x v="4"/>
    <m/>
    <n v="91.498999999999995"/>
    <n v="96.022000000000006"/>
    <n v="93.760499999999993"/>
    <n v="452.3"/>
  </r>
  <r>
    <x v="14"/>
    <x v="58"/>
    <x v="4"/>
    <m/>
    <n v="91.498999999999995"/>
    <n v="96.022000000000006"/>
    <n v="93.760499999999993"/>
    <n v="452.3"/>
  </r>
  <r>
    <x v="14"/>
    <x v="58"/>
    <x v="4"/>
    <m/>
    <n v="91.498999999999995"/>
    <n v="96.022000000000006"/>
    <n v="93.760499999999993"/>
    <n v="452.3"/>
  </r>
  <r>
    <x v="14"/>
    <x v="58"/>
    <x v="4"/>
    <m/>
    <n v="91.498999999999995"/>
    <n v="96.022000000000006"/>
    <n v="93.760499999999993"/>
    <n v="452.3"/>
  </r>
  <r>
    <x v="14"/>
    <x v="58"/>
    <x v="4"/>
    <m/>
    <n v="91.498999999999995"/>
    <n v="96.022000000000006"/>
    <n v="93.760499999999993"/>
    <n v="452.3"/>
  </r>
  <r>
    <x v="14"/>
    <x v="58"/>
    <x v="4"/>
    <m/>
    <n v="91.498999999999995"/>
    <n v="96.022000000000006"/>
    <n v="93.760499999999993"/>
    <n v="452.3"/>
  </r>
  <r>
    <x v="14"/>
    <x v="58"/>
    <x v="4"/>
    <m/>
    <n v="91.498999999999995"/>
    <n v="96.022000000000006"/>
    <n v="93.760499999999993"/>
    <n v="452.3"/>
  </r>
  <r>
    <x v="14"/>
    <x v="58"/>
    <x v="4"/>
    <m/>
    <n v="91.498999999999995"/>
    <n v="96.022000000000006"/>
    <n v="93.760499999999993"/>
    <n v="452.3"/>
  </r>
  <r>
    <x v="14"/>
    <x v="58"/>
    <x v="4"/>
    <m/>
    <n v="91.498999999999995"/>
    <n v="96.022000000000006"/>
    <n v="93.760499999999993"/>
    <n v="452.3"/>
  </r>
  <r>
    <x v="14"/>
    <x v="58"/>
    <x v="4"/>
    <m/>
    <n v="91.498999999999995"/>
    <n v="96.022000000000006"/>
    <n v="93.760499999999993"/>
    <n v="452.3"/>
  </r>
  <r>
    <x v="14"/>
    <x v="58"/>
    <x v="4"/>
    <m/>
    <n v="91.498999999999995"/>
    <n v="96.022000000000006"/>
    <n v="93.760499999999993"/>
    <n v="452.3"/>
  </r>
  <r>
    <x v="14"/>
    <x v="58"/>
    <x v="4"/>
    <m/>
    <n v="91.498999999999995"/>
    <n v="96.022000000000006"/>
    <n v="93.760499999999993"/>
    <n v="452.3"/>
  </r>
  <r>
    <x v="14"/>
    <x v="58"/>
    <x v="4"/>
    <m/>
    <n v="91.498999999999995"/>
    <n v="96.022000000000006"/>
    <n v="93.760499999999993"/>
    <n v="452.3"/>
  </r>
  <r>
    <x v="14"/>
    <x v="58"/>
    <x v="4"/>
    <m/>
    <n v="91.498999999999995"/>
    <n v="96.022000000000006"/>
    <n v="93.760499999999993"/>
    <n v="452.3"/>
  </r>
  <r>
    <x v="14"/>
    <x v="58"/>
    <x v="4"/>
    <m/>
    <n v="91.498999999999995"/>
    <n v="96.022000000000006"/>
    <n v="93.760499999999993"/>
    <n v="452.3"/>
  </r>
  <r>
    <x v="14"/>
    <x v="58"/>
    <x v="4"/>
    <m/>
    <n v="91.498999999999995"/>
    <n v="96.022000000000006"/>
    <n v="93.760499999999993"/>
    <n v="452.3"/>
  </r>
  <r>
    <x v="14"/>
    <x v="58"/>
    <x v="4"/>
    <m/>
    <n v="91.498999999999995"/>
    <n v="96.022000000000006"/>
    <n v="93.760499999999993"/>
    <n v="452.3"/>
  </r>
  <r>
    <x v="14"/>
    <x v="58"/>
    <x v="4"/>
    <m/>
    <n v="91.498999999999995"/>
    <n v="96.022000000000006"/>
    <n v="93.760499999999993"/>
    <n v="452.3"/>
  </r>
  <r>
    <x v="14"/>
    <x v="58"/>
    <x v="4"/>
    <m/>
    <n v="91.498999999999995"/>
    <n v="96.022000000000006"/>
    <n v="93.760499999999993"/>
    <n v="452.3"/>
  </r>
  <r>
    <x v="14"/>
    <x v="58"/>
    <x v="4"/>
    <m/>
    <n v="91.498999999999995"/>
    <n v="96.022000000000006"/>
    <n v="93.760499999999993"/>
    <n v="452.3"/>
  </r>
  <r>
    <x v="14"/>
    <x v="58"/>
    <x v="4"/>
    <m/>
    <n v="91.498999999999995"/>
    <n v="96.022000000000006"/>
    <n v="93.760499999999993"/>
    <n v="452.3"/>
  </r>
  <r>
    <x v="14"/>
    <x v="58"/>
    <x v="4"/>
    <m/>
    <n v="91.498999999999995"/>
    <n v="96.022000000000006"/>
    <n v="93.760499999999993"/>
    <n v="452.3"/>
  </r>
  <r>
    <x v="14"/>
    <x v="58"/>
    <x v="0"/>
    <m/>
    <n v="1.9189400000000001"/>
    <n v="1.9726999999999999"/>
    <n v="1.9458200000000001"/>
    <n v="537.6"/>
  </r>
  <r>
    <x v="14"/>
    <x v="58"/>
    <x v="0"/>
    <m/>
    <n v="1.9189400000000001"/>
    <n v="1.9726999999999999"/>
    <n v="1.9458200000000001"/>
    <n v="537.6"/>
  </r>
  <r>
    <x v="14"/>
    <x v="58"/>
    <x v="0"/>
    <m/>
    <n v="1.9189400000000001"/>
    <n v="1.9726999999999999"/>
    <n v="1.9458200000000001"/>
    <n v="537.6"/>
  </r>
  <r>
    <x v="14"/>
    <x v="58"/>
    <x v="0"/>
    <m/>
    <n v="1.9189400000000001"/>
    <n v="1.9726999999999999"/>
    <n v="1.9458200000000001"/>
    <n v="537.6"/>
  </r>
  <r>
    <x v="14"/>
    <x v="58"/>
    <x v="0"/>
    <m/>
    <n v="1.9189400000000001"/>
    <n v="1.9726999999999999"/>
    <n v="1.9458200000000001"/>
    <n v="537.6"/>
  </r>
  <r>
    <x v="14"/>
    <x v="58"/>
    <x v="0"/>
    <m/>
    <n v="1.9189400000000001"/>
    <n v="1.9726999999999999"/>
    <n v="1.9458200000000001"/>
    <n v="537.6"/>
  </r>
  <r>
    <x v="14"/>
    <x v="58"/>
    <x v="0"/>
    <m/>
    <n v="1.9189400000000001"/>
    <n v="1.9726999999999999"/>
    <n v="1.9458200000000001"/>
    <n v="537.6"/>
  </r>
  <r>
    <x v="14"/>
    <x v="58"/>
    <x v="0"/>
    <m/>
    <n v="1.9189400000000001"/>
    <n v="1.9726999999999999"/>
    <n v="1.9458200000000001"/>
    <n v="537.6"/>
  </r>
  <r>
    <x v="14"/>
    <x v="58"/>
    <x v="0"/>
    <m/>
    <n v="1.9189400000000001"/>
    <n v="1.9726999999999999"/>
    <n v="1.9458200000000001"/>
    <n v="537.6"/>
  </r>
  <r>
    <x v="14"/>
    <x v="58"/>
    <x v="0"/>
    <m/>
    <n v="1.9189400000000001"/>
    <n v="1.9726999999999999"/>
    <n v="1.9458200000000001"/>
    <n v="537.6"/>
  </r>
  <r>
    <x v="14"/>
    <x v="58"/>
    <x v="0"/>
    <m/>
    <n v="1.9189400000000001"/>
    <n v="1.9726999999999999"/>
    <n v="1.9458200000000001"/>
    <n v="537.6"/>
  </r>
  <r>
    <x v="14"/>
    <x v="58"/>
    <x v="0"/>
    <m/>
    <n v="1.9189400000000001"/>
    <n v="1.9726999999999999"/>
    <n v="1.9458200000000001"/>
    <n v="537.6"/>
  </r>
  <r>
    <x v="14"/>
    <x v="58"/>
    <x v="0"/>
    <m/>
    <n v="1.9189400000000001"/>
    <n v="1.9726999999999999"/>
    <n v="1.9458200000000001"/>
    <n v="537.6"/>
  </r>
  <r>
    <x v="14"/>
    <x v="58"/>
    <x v="0"/>
    <m/>
    <n v="1.9189400000000001"/>
    <n v="1.9726999999999999"/>
    <n v="1.9458200000000001"/>
    <n v="537.6"/>
  </r>
  <r>
    <x v="14"/>
    <x v="58"/>
    <x v="0"/>
    <m/>
    <n v="1.9189400000000001"/>
    <n v="1.9726999999999999"/>
    <n v="1.9458200000000001"/>
    <n v="537.6"/>
  </r>
  <r>
    <x v="14"/>
    <x v="58"/>
    <x v="10"/>
    <m/>
    <n v="0.87195999999999996"/>
    <n v="0.89609000000000005"/>
    <n v="0.88402499999999995"/>
    <n v="241.3"/>
  </r>
  <r>
    <x v="14"/>
    <x v="58"/>
    <x v="10"/>
    <m/>
    <n v="0.87195999999999996"/>
    <n v="0.89609000000000005"/>
    <n v="0.88402499999999995"/>
    <n v="241.3"/>
  </r>
  <r>
    <x v="14"/>
    <x v="58"/>
    <x v="10"/>
    <m/>
    <n v="0.87195999999999996"/>
    <n v="0.89609000000000005"/>
    <n v="0.88402499999999995"/>
    <n v="241.3"/>
  </r>
  <r>
    <x v="14"/>
    <x v="58"/>
    <x v="10"/>
    <m/>
    <n v="0.87195999999999996"/>
    <n v="0.89609000000000005"/>
    <n v="0.88402499999999995"/>
    <n v="241.3"/>
  </r>
  <r>
    <x v="14"/>
    <x v="58"/>
    <x v="10"/>
    <m/>
    <n v="0.87195999999999996"/>
    <n v="0.89609000000000005"/>
    <n v="0.88402499999999995"/>
    <n v="241.3"/>
  </r>
  <r>
    <x v="14"/>
    <x v="58"/>
    <x v="10"/>
    <m/>
    <n v="0.87195999999999996"/>
    <n v="0.89609000000000005"/>
    <n v="0.88402499999999995"/>
    <n v="241.3"/>
  </r>
  <r>
    <x v="14"/>
    <x v="58"/>
    <x v="10"/>
    <m/>
    <n v="0.87195999999999996"/>
    <n v="0.89609000000000005"/>
    <n v="0.88402499999999995"/>
    <n v="241.3"/>
  </r>
  <r>
    <x v="14"/>
    <x v="58"/>
    <x v="10"/>
    <m/>
    <n v="0.87195999999999996"/>
    <n v="0.89609000000000005"/>
    <n v="0.88402499999999995"/>
    <n v="241.3"/>
  </r>
  <r>
    <x v="14"/>
    <x v="58"/>
    <x v="10"/>
    <m/>
    <n v="0.87195999999999996"/>
    <n v="0.89609000000000005"/>
    <n v="0.88402499999999995"/>
    <n v="241.3"/>
  </r>
  <r>
    <x v="14"/>
    <x v="58"/>
    <x v="10"/>
    <m/>
    <n v="0.87195999999999996"/>
    <n v="0.89609000000000005"/>
    <n v="0.88402499999999995"/>
    <n v="241.3"/>
  </r>
  <r>
    <x v="14"/>
    <x v="58"/>
    <x v="10"/>
    <m/>
    <n v="0.87195999999999996"/>
    <n v="0.89609000000000005"/>
    <n v="0.88402499999999995"/>
    <n v="241.3"/>
  </r>
  <r>
    <x v="14"/>
    <x v="58"/>
    <x v="10"/>
    <m/>
    <n v="0.87195999999999996"/>
    <n v="0.89609000000000005"/>
    <n v="0.88402499999999995"/>
    <n v="241.3"/>
  </r>
  <r>
    <x v="14"/>
    <x v="58"/>
    <x v="10"/>
    <m/>
    <n v="0.87195999999999996"/>
    <n v="0.89609000000000005"/>
    <n v="0.88402499999999995"/>
    <n v="241.3"/>
  </r>
  <r>
    <x v="14"/>
    <x v="58"/>
    <x v="10"/>
    <m/>
    <n v="0.87195999999999996"/>
    <n v="0.89609000000000005"/>
    <n v="0.88402499999999995"/>
    <n v="241.3"/>
  </r>
  <r>
    <x v="14"/>
    <x v="58"/>
    <x v="10"/>
    <m/>
    <n v="0.87195999999999996"/>
    <n v="0.89609000000000005"/>
    <n v="0.88402499999999995"/>
    <n v="241.3"/>
  </r>
  <r>
    <x v="14"/>
    <x v="58"/>
    <x v="10"/>
    <m/>
    <n v="0.87195999999999996"/>
    <n v="0.89609000000000005"/>
    <n v="0.88402499999999995"/>
    <n v="241.3"/>
  </r>
  <r>
    <x v="14"/>
    <x v="59"/>
    <x v="4"/>
    <m/>
    <n v="91.4"/>
    <n v="96.4"/>
    <n v="93.9"/>
    <n v="500"/>
  </r>
  <r>
    <x v="14"/>
    <x v="59"/>
    <x v="4"/>
    <m/>
    <n v="91.4"/>
    <n v="96.4"/>
    <n v="93.9"/>
    <n v="500"/>
  </r>
  <r>
    <x v="14"/>
    <x v="59"/>
    <x v="4"/>
    <m/>
    <n v="91.4"/>
    <n v="96.4"/>
    <n v="93.9"/>
    <n v="500"/>
  </r>
  <r>
    <x v="14"/>
    <x v="59"/>
    <x v="4"/>
    <m/>
    <n v="91.4"/>
    <n v="96.4"/>
    <n v="93.9"/>
    <n v="500"/>
  </r>
  <r>
    <x v="14"/>
    <x v="59"/>
    <x v="4"/>
    <m/>
    <n v="91.4"/>
    <n v="96.4"/>
    <n v="93.9"/>
    <n v="500"/>
  </r>
  <r>
    <x v="14"/>
    <x v="59"/>
    <x v="4"/>
    <m/>
    <n v="91.4"/>
    <n v="96.4"/>
    <n v="93.9"/>
    <n v="500"/>
  </r>
  <r>
    <x v="14"/>
    <x v="59"/>
    <x v="4"/>
    <m/>
    <n v="91.4"/>
    <n v="96.4"/>
    <n v="93.9"/>
    <n v="500"/>
  </r>
  <r>
    <x v="14"/>
    <x v="59"/>
    <x v="4"/>
    <m/>
    <n v="91.4"/>
    <n v="96.4"/>
    <n v="93.9"/>
    <n v="500"/>
  </r>
  <r>
    <x v="14"/>
    <x v="59"/>
    <x v="4"/>
    <m/>
    <n v="91.4"/>
    <n v="96.4"/>
    <n v="93.9"/>
    <n v="500"/>
  </r>
  <r>
    <x v="14"/>
    <x v="59"/>
    <x v="4"/>
    <m/>
    <n v="91.4"/>
    <n v="96.4"/>
    <n v="93.9"/>
    <n v="500"/>
  </r>
  <r>
    <x v="14"/>
    <x v="59"/>
    <x v="4"/>
    <m/>
    <n v="91.4"/>
    <n v="96.4"/>
    <n v="93.9"/>
    <n v="500"/>
  </r>
  <r>
    <x v="14"/>
    <x v="59"/>
    <x v="4"/>
    <m/>
    <n v="91.4"/>
    <n v="96.4"/>
    <n v="93.9"/>
    <n v="500"/>
  </r>
  <r>
    <x v="14"/>
    <x v="59"/>
    <x v="4"/>
    <m/>
    <n v="91.4"/>
    <n v="96.4"/>
    <n v="93.9"/>
    <n v="500"/>
  </r>
  <r>
    <x v="14"/>
    <x v="59"/>
    <x v="4"/>
    <m/>
    <n v="91.4"/>
    <n v="96.4"/>
    <n v="93.9"/>
    <n v="500"/>
  </r>
  <r>
    <x v="14"/>
    <x v="59"/>
    <x v="4"/>
    <m/>
    <n v="91.4"/>
    <n v="96.4"/>
    <n v="93.9"/>
    <n v="500"/>
  </r>
  <r>
    <x v="14"/>
    <x v="59"/>
    <x v="4"/>
    <m/>
    <n v="91.4"/>
    <n v="96.4"/>
    <n v="93.9"/>
    <n v="500"/>
  </r>
  <r>
    <x v="14"/>
    <x v="59"/>
    <x v="4"/>
    <m/>
    <n v="91.4"/>
    <n v="96.4"/>
    <n v="93.9"/>
    <n v="500"/>
  </r>
  <r>
    <x v="14"/>
    <x v="59"/>
    <x v="4"/>
    <m/>
    <n v="91.4"/>
    <n v="96.4"/>
    <n v="93.9"/>
    <n v="500"/>
  </r>
  <r>
    <x v="14"/>
    <x v="59"/>
    <x v="4"/>
    <m/>
    <n v="91.4"/>
    <n v="96.4"/>
    <n v="93.9"/>
    <n v="500"/>
  </r>
  <r>
    <x v="14"/>
    <x v="59"/>
    <x v="4"/>
    <m/>
    <n v="91.4"/>
    <n v="96.4"/>
    <n v="93.9"/>
    <n v="500"/>
  </r>
  <r>
    <x v="14"/>
    <x v="59"/>
    <x v="4"/>
    <m/>
    <n v="91.4"/>
    <n v="96.4"/>
    <n v="93.9"/>
    <n v="500"/>
  </r>
  <r>
    <x v="14"/>
    <x v="59"/>
    <x v="4"/>
    <m/>
    <n v="91.4"/>
    <n v="96.4"/>
    <n v="93.9"/>
    <n v="500"/>
  </r>
  <r>
    <x v="14"/>
    <x v="59"/>
    <x v="4"/>
    <m/>
    <n v="91.4"/>
    <n v="96.4"/>
    <n v="93.9"/>
    <n v="500"/>
  </r>
  <r>
    <x v="14"/>
    <x v="59"/>
    <x v="4"/>
    <m/>
    <n v="91.4"/>
    <n v="96.4"/>
    <n v="93.9"/>
    <n v="500"/>
  </r>
  <r>
    <x v="14"/>
    <x v="59"/>
    <x v="4"/>
    <m/>
    <n v="91.4"/>
    <n v="96.4"/>
    <n v="93.9"/>
    <n v="500"/>
  </r>
  <r>
    <x v="14"/>
    <x v="59"/>
    <x v="4"/>
    <m/>
    <n v="91.4"/>
    <n v="96.4"/>
    <n v="93.9"/>
    <n v="500"/>
  </r>
  <r>
    <x v="14"/>
    <x v="59"/>
    <x v="4"/>
    <m/>
    <n v="91.4"/>
    <n v="96.4"/>
    <n v="93.9"/>
    <n v="500"/>
  </r>
  <r>
    <x v="14"/>
    <x v="59"/>
    <x v="0"/>
    <m/>
    <n v="1.91"/>
    <n v="1.99403"/>
    <n v="1.9520150000000001"/>
    <n v="840.3"/>
  </r>
  <r>
    <x v="14"/>
    <x v="59"/>
    <x v="0"/>
    <m/>
    <n v="1.91"/>
    <n v="1.99403"/>
    <n v="1.9520150000000001"/>
    <n v="840.3"/>
  </r>
  <r>
    <x v="14"/>
    <x v="59"/>
    <x v="0"/>
    <m/>
    <n v="1.91"/>
    <n v="1.99403"/>
    <n v="1.9520150000000001"/>
    <n v="840.3"/>
  </r>
  <r>
    <x v="14"/>
    <x v="59"/>
    <x v="0"/>
    <m/>
    <n v="1.91"/>
    <n v="1.99403"/>
    <n v="1.9520150000000001"/>
    <n v="840.3"/>
  </r>
  <r>
    <x v="14"/>
    <x v="59"/>
    <x v="0"/>
    <m/>
    <n v="1.91"/>
    <n v="1.99403"/>
    <n v="1.9520150000000001"/>
    <n v="840.3"/>
  </r>
  <r>
    <x v="14"/>
    <x v="59"/>
    <x v="0"/>
    <m/>
    <n v="1.91"/>
    <n v="1.99403"/>
    <n v="1.9520150000000001"/>
    <n v="840.3"/>
  </r>
  <r>
    <x v="14"/>
    <x v="59"/>
    <x v="0"/>
    <m/>
    <n v="1.91"/>
    <n v="1.99403"/>
    <n v="1.9520150000000001"/>
    <n v="840.3"/>
  </r>
  <r>
    <x v="14"/>
    <x v="59"/>
    <x v="0"/>
    <m/>
    <n v="1.91"/>
    <n v="1.99403"/>
    <n v="1.9520150000000001"/>
    <n v="840.3"/>
  </r>
  <r>
    <x v="14"/>
    <x v="59"/>
    <x v="0"/>
    <m/>
    <n v="1.91"/>
    <n v="1.99403"/>
    <n v="1.9520150000000001"/>
    <n v="840.3"/>
  </r>
  <r>
    <x v="14"/>
    <x v="59"/>
    <x v="0"/>
    <m/>
    <n v="1.91"/>
    <n v="1.99403"/>
    <n v="1.9520150000000001"/>
    <n v="840.3"/>
  </r>
  <r>
    <x v="14"/>
    <x v="59"/>
    <x v="0"/>
    <m/>
    <n v="1.91"/>
    <n v="1.99403"/>
    <n v="1.9520150000000001"/>
    <n v="840.3"/>
  </r>
  <r>
    <x v="14"/>
    <x v="59"/>
    <x v="0"/>
    <m/>
    <n v="1.91"/>
    <n v="1.99403"/>
    <n v="1.9520150000000001"/>
    <n v="840.3"/>
  </r>
  <r>
    <x v="14"/>
    <x v="59"/>
    <x v="0"/>
    <m/>
    <n v="1.91"/>
    <n v="1.99403"/>
    <n v="1.9520150000000001"/>
    <n v="840.3"/>
  </r>
  <r>
    <x v="14"/>
    <x v="59"/>
    <x v="0"/>
    <m/>
    <n v="1.91"/>
    <n v="1.99403"/>
    <n v="1.9520150000000001"/>
    <n v="840.3"/>
  </r>
  <r>
    <x v="14"/>
    <x v="59"/>
    <x v="0"/>
    <m/>
    <n v="1.91"/>
    <n v="1.99403"/>
    <n v="1.9520150000000001"/>
    <n v="840.3"/>
  </r>
  <r>
    <x v="14"/>
    <x v="59"/>
    <x v="0"/>
    <m/>
    <n v="1.91"/>
    <n v="1.99403"/>
    <n v="1.9520150000000001"/>
    <n v="840.3"/>
  </r>
  <r>
    <x v="14"/>
    <x v="59"/>
    <x v="0"/>
    <m/>
    <n v="1.91"/>
    <n v="1.99403"/>
    <n v="1.9520150000000001"/>
    <n v="840.3"/>
  </r>
  <r>
    <x v="14"/>
    <x v="59"/>
    <x v="0"/>
    <m/>
    <n v="1.91"/>
    <n v="1.99403"/>
    <n v="1.9520150000000001"/>
    <n v="840.3"/>
  </r>
  <r>
    <x v="14"/>
    <x v="59"/>
    <x v="0"/>
    <m/>
    <n v="1.91"/>
    <n v="1.99403"/>
    <n v="1.9520150000000001"/>
    <n v="840.3"/>
  </r>
  <r>
    <x v="14"/>
    <x v="59"/>
    <x v="10"/>
    <m/>
    <n v="0.871"/>
    <n v="0.90302000000000004"/>
    <n v="0.88700999999999997"/>
    <n v="320.2"/>
  </r>
  <r>
    <x v="14"/>
    <x v="59"/>
    <x v="10"/>
    <m/>
    <n v="0.871"/>
    <n v="0.90302000000000004"/>
    <n v="0.88700999999999997"/>
    <n v="320.2"/>
  </r>
  <r>
    <x v="14"/>
    <x v="59"/>
    <x v="10"/>
    <m/>
    <n v="0.871"/>
    <n v="0.90302000000000004"/>
    <n v="0.88700999999999997"/>
    <n v="320.2"/>
  </r>
  <r>
    <x v="14"/>
    <x v="59"/>
    <x v="10"/>
    <m/>
    <n v="0.871"/>
    <n v="0.90302000000000004"/>
    <n v="0.88700999999999997"/>
    <n v="320.2"/>
  </r>
  <r>
    <x v="14"/>
    <x v="59"/>
    <x v="10"/>
    <m/>
    <n v="0.871"/>
    <n v="0.90302000000000004"/>
    <n v="0.88700999999999997"/>
    <n v="320.2"/>
  </r>
  <r>
    <x v="14"/>
    <x v="59"/>
    <x v="10"/>
    <m/>
    <n v="0.871"/>
    <n v="0.90302000000000004"/>
    <n v="0.88700999999999997"/>
    <n v="320.2"/>
  </r>
  <r>
    <x v="14"/>
    <x v="59"/>
    <x v="10"/>
    <m/>
    <n v="0.871"/>
    <n v="0.90302000000000004"/>
    <n v="0.88700999999999997"/>
    <n v="320.2"/>
  </r>
  <r>
    <x v="14"/>
    <x v="59"/>
    <x v="10"/>
    <m/>
    <n v="0.871"/>
    <n v="0.90302000000000004"/>
    <n v="0.88700999999999997"/>
    <n v="320.2"/>
  </r>
  <r>
    <x v="14"/>
    <x v="59"/>
    <x v="10"/>
    <m/>
    <n v="0.871"/>
    <n v="0.90302000000000004"/>
    <n v="0.88700999999999997"/>
    <n v="320.2"/>
  </r>
  <r>
    <x v="14"/>
    <x v="59"/>
    <x v="10"/>
    <m/>
    <n v="0.871"/>
    <n v="0.90302000000000004"/>
    <n v="0.88700999999999997"/>
    <n v="320.2"/>
  </r>
  <r>
    <x v="14"/>
    <x v="59"/>
    <x v="10"/>
    <m/>
    <n v="0.871"/>
    <n v="0.90302000000000004"/>
    <n v="0.88700999999999997"/>
    <n v="320.2"/>
  </r>
  <r>
    <x v="14"/>
    <x v="59"/>
    <x v="10"/>
    <m/>
    <n v="0.871"/>
    <n v="0.90302000000000004"/>
    <n v="0.88700999999999997"/>
    <n v="320.2"/>
  </r>
  <r>
    <x v="14"/>
    <x v="59"/>
    <x v="10"/>
    <m/>
    <n v="0.871"/>
    <n v="0.90302000000000004"/>
    <n v="0.88700999999999997"/>
    <n v="320.2"/>
  </r>
  <r>
    <x v="14"/>
    <x v="59"/>
    <x v="10"/>
    <m/>
    <n v="0.871"/>
    <n v="0.90302000000000004"/>
    <n v="0.88700999999999997"/>
    <n v="320.2"/>
  </r>
  <r>
    <x v="14"/>
    <x v="59"/>
    <x v="10"/>
    <m/>
    <n v="0.871"/>
    <n v="0.90302000000000004"/>
    <n v="0.88700999999999997"/>
    <n v="320.2"/>
  </r>
  <r>
    <x v="14"/>
    <x v="59"/>
    <x v="10"/>
    <m/>
    <n v="0.871"/>
    <n v="0.90302000000000004"/>
    <n v="0.88700999999999997"/>
    <n v="320.2"/>
  </r>
  <r>
    <x v="14"/>
    <x v="59"/>
    <x v="10"/>
    <m/>
    <n v="0.871"/>
    <n v="0.90302000000000004"/>
    <n v="0.88700999999999997"/>
    <n v="320.2"/>
  </r>
  <r>
    <x v="14"/>
    <x v="59"/>
    <x v="10"/>
    <m/>
    <n v="0.871"/>
    <n v="0.90302000000000004"/>
    <n v="0.88700999999999997"/>
    <n v="320.2"/>
  </r>
  <r>
    <x v="14"/>
    <x v="25"/>
    <x v="10"/>
    <m/>
    <n v="0.871"/>
    <n v="0.90302000000000004"/>
    <n v="0.88700999999999997"/>
    <n v="320.2"/>
  </r>
  <r>
    <x v="14"/>
    <x v="25"/>
    <x v="10"/>
    <m/>
    <n v="0.871"/>
    <n v="0.90302000000000004"/>
    <n v="0.88700999999999997"/>
    <n v="320.2"/>
  </r>
  <r>
    <x v="14"/>
    <x v="25"/>
    <x v="10"/>
    <m/>
    <n v="0.871"/>
    <n v="0.90302000000000004"/>
    <n v="0.88700999999999997"/>
    <n v="320.2"/>
  </r>
  <r>
    <x v="14"/>
    <x v="25"/>
    <x v="4"/>
    <m/>
    <n v="91.4"/>
    <n v="96.4"/>
    <n v="93.9"/>
    <n v="500"/>
  </r>
  <r>
    <x v="14"/>
    <x v="25"/>
    <x v="4"/>
    <m/>
    <n v="91.4"/>
    <n v="96.4"/>
    <n v="93.9"/>
    <n v="500"/>
  </r>
  <r>
    <x v="14"/>
    <x v="25"/>
    <x v="4"/>
    <m/>
    <n v="91.4"/>
    <n v="96.4"/>
    <n v="93.9"/>
    <n v="500"/>
  </r>
  <r>
    <x v="14"/>
    <x v="25"/>
    <x v="4"/>
    <m/>
    <n v="91.4"/>
    <n v="96.4"/>
    <n v="93.9"/>
    <n v="500"/>
  </r>
  <r>
    <x v="14"/>
    <x v="25"/>
    <x v="4"/>
    <m/>
    <n v="91.4"/>
    <n v="96.4"/>
    <n v="93.9"/>
    <n v="500"/>
  </r>
  <r>
    <x v="14"/>
    <x v="25"/>
    <x v="4"/>
    <m/>
    <n v="91.4"/>
    <n v="96.4"/>
    <n v="93.9"/>
    <n v="500"/>
  </r>
  <r>
    <x v="14"/>
    <x v="25"/>
    <x v="4"/>
    <m/>
    <n v="91.4"/>
    <n v="96.4"/>
    <n v="93.9"/>
    <n v="500"/>
  </r>
  <r>
    <x v="14"/>
    <x v="25"/>
    <x v="4"/>
    <m/>
    <n v="91.4"/>
    <n v="96.4"/>
    <n v="93.9"/>
    <n v="500"/>
  </r>
  <r>
    <x v="14"/>
    <x v="25"/>
    <x v="4"/>
    <m/>
    <n v="91.4"/>
    <n v="96.4"/>
    <n v="93.9"/>
    <n v="500"/>
  </r>
  <r>
    <x v="14"/>
    <x v="25"/>
    <x v="4"/>
    <m/>
    <n v="91.4"/>
    <n v="96.4"/>
    <n v="93.9"/>
    <n v="500"/>
  </r>
  <r>
    <x v="14"/>
    <x v="25"/>
    <x v="4"/>
    <m/>
    <n v="91.4"/>
    <n v="96.4"/>
    <n v="93.9"/>
    <n v="500"/>
  </r>
  <r>
    <x v="14"/>
    <x v="25"/>
    <x v="4"/>
    <m/>
    <n v="91.4"/>
    <n v="96.4"/>
    <n v="93.9"/>
    <n v="500"/>
  </r>
  <r>
    <x v="14"/>
    <x v="25"/>
    <x v="4"/>
    <m/>
    <n v="91.4"/>
    <n v="96.4"/>
    <n v="93.9"/>
    <n v="500"/>
  </r>
  <r>
    <x v="14"/>
    <x v="25"/>
    <x v="4"/>
    <m/>
    <n v="91.4"/>
    <n v="96.4"/>
    <n v="93.9"/>
    <n v="500"/>
  </r>
  <r>
    <x v="14"/>
    <x v="25"/>
    <x v="4"/>
    <m/>
    <n v="91.4"/>
    <n v="96.4"/>
    <n v="93.9"/>
    <n v="500"/>
  </r>
  <r>
    <x v="14"/>
    <x v="25"/>
    <x v="4"/>
    <m/>
    <n v="91.4"/>
    <n v="96.4"/>
    <n v="93.9"/>
    <n v="500"/>
  </r>
  <r>
    <x v="14"/>
    <x v="25"/>
    <x v="4"/>
    <m/>
    <n v="91.4"/>
    <n v="96.4"/>
    <n v="93.9"/>
    <n v="500"/>
  </r>
  <r>
    <x v="14"/>
    <x v="25"/>
    <x v="4"/>
    <m/>
    <n v="91.4"/>
    <n v="96.4"/>
    <n v="93.9"/>
    <n v="500"/>
  </r>
  <r>
    <x v="14"/>
    <x v="25"/>
    <x v="4"/>
    <m/>
    <n v="91.4"/>
    <n v="96.4"/>
    <n v="93.9"/>
    <n v="500"/>
  </r>
  <r>
    <x v="14"/>
    <x v="25"/>
    <x v="4"/>
    <m/>
    <n v="91.4"/>
    <n v="96.4"/>
    <n v="93.9"/>
    <n v="500"/>
  </r>
  <r>
    <x v="14"/>
    <x v="25"/>
    <x v="4"/>
    <m/>
    <n v="91.4"/>
    <n v="96.4"/>
    <n v="93.9"/>
    <n v="500"/>
  </r>
  <r>
    <x v="14"/>
    <x v="25"/>
    <x v="4"/>
    <m/>
    <n v="91.4"/>
    <n v="96.4"/>
    <n v="93.9"/>
    <n v="500"/>
  </r>
  <r>
    <x v="14"/>
    <x v="25"/>
    <x v="4"/>
    <m/>
    <n v="91.4"/>
    <n v="96.4"/>
    <n v="93.9"/>
    <n v="500"/>
  </r>
  <r>
    <x v="14"/>
    <x v="25"/>
    <x v="4"/>
    <m/>
    <n v="91.4"/>
    <n v="96.4"/>
    <n v="93.9"/>
    <n v="500"/>
  </r>
  <r>
    <x v="14"/>
    <x v="25"/>
    <x v="4"/>
    <m/>
    <n v="91.4"/>
    <n v="96.4"/>
    <n v="93.9"/>
    <n v="500"/>
  </r>
  <r>
    <x v="14"/>
    <x v="25"/>
    <x v="4"/>
    <m/>
    <n v="91.4"/>
    <n v="96.4"/>
    <n v="93.9"/>
    <n v="500"/>
  </r>
  <r>
    <x v="14"/>
    <x v="25"/>
    <x v="4"/>
    <m/>
    <n v="91.4"/>
    <n v="96.4"/>
    <n v="93.9"/>
    <n v="500"/>
  </r>
  <r>
    <x v="14"/>
    <x v="25"/>
    <x v="0"/>
    <m/>
    <n v="1.91"/>
    <n v="1.99403"/>
    <n v="1.9520150000000001"/>
    <n v="840.3"/>
  </r>
  <r>
    <x v="14"/>
    <x v="25"/>
    <x v="0"/>
    <m/>
    <n v="1.91"/>
    <n v="1.99403"/>
    <n v="1.9520150000000001"/>
    <n v="840.3"/>
  </r>
  <r>
    <x v="14"/>
    <x v="25"/>
    <x v="0"/>
    <m/>
    <n v="1.91"/>
    <n v="1.99403"/>
    <n v="1.9520150000000001"/>
    <n v="840.3"/>
  </r>
  <r>
    <x v="14"/>
    <x v="25"/>
    <x v="0"/>
    <m/>
    <n v="1.91"/>
    <n v="1.99403"/>
    <n v="1.9520150000000001"/>
    <n v="840.3"/>
  </r>
  <r>
    <x v="14"/>
    <x v="25"/>
    <x v="0"/>
    <m/>
    <n v="1.91"/>
    <n v="1.99403"/>
    <n v="1.9520150000000001"/>
    <n v="840.3"/>
  </r>
  <r>
    <x v="14"/>
    <x v="25"/>
    <x v="0"/>
    <m/>
    <n v="1.91"/>
    <n v="1.99403"/>
    <n v="1.9520150000000001"/>
    <n v="840.3"/>
  </r>
  <r>
    <x v="14"/>
    <x v="25"/>
    <x v="0"/>
    <m/>
    <n v="1.91"/>
    <n v="1.99403"/>
    <n v="1.9520150000000001"/>
    <n v="840.3"/>
  </r>
  <r>
    <x v="14"/>
    <x v="25"/>
    <x v="0"/>
    <m/>
    <n v="1.91"/>
    <n v="1.99403"/>
    <n v="1.9520150000000001"/>
    <n v="840.3"/>
  </r>
  <r>
    <x v="14"/>
    <x v="25"/>
    <x v="0"/>
    <m/>
    <n v="1.91"/>
    <n v="1.99403"/>
    <n v="1.9520150000000001"/>
    <n v="840.3"/>
  </r>
  <r>
    <x v="14"/>
    <x v="25"/>
    <x v="0"/>
    <m/>
    <n v="1.91"/>
    <n v="1.99403"/>
    <n v="1.9520150000000001"/>
    <n v="840.3"/>
  </r>
  <r>
    <x v="14"/>
    <x v="25"/>
    <x v="0"/>
    <m/>
    <n v="1.91"/>
    <n v="1.99403"/>
    <n v="1.9520150000000001"/>
    <n v="840.3"/>
  </r>
  <r>
    <x v="14"/>
    <x v="25"/>
    <x v="0"/>
    <m/>
    <n v="1.91"/>
    <n v="1.99403"/>
    <n v="1.9520150000000001"/>
    <n v="840.3"/>
  </r>
  <r>
    <x v="14"/>
    <x v="25"/>
    <x v="0"/>
    <m/>
    <n v="1.91"/>
    <n v="1.99403"/>
    <n v="1.9520150000000001"/>
    <n v="840.3"/>
  </r>
  <r>
    <x v="14"/>
    <x v="25"/>
    <x v="0"/>
    <m/>
    <n v="1.91"/>
    <n v="1.99403"/>
    <n v="1.9520150000000001"/>
    <n v="840.3"/>
  </r>
  <r>
    <x v="14"/>
    <x v="25"/>
    <x v="0"/>
    <m/>
    <n v="1.91"/>
    <n v="1.99403"/>
    <n v="1.9520150000000001"/>
    <n v="840.3"/>
  </r>
  <r>
    <x v="14"/>
    <x v="25"/>
    <x v="0"/>
    <m/>
    <n v="1.91"/>
    <n v="1.99403"/>
    <n v="1.9520150000000001"/>
    <n v="840.3"/>
  </r>
  <r>
    <x v="14"/>
    <x v="25"/>
    <x v="0"/>
    <m/>
    <n v="1.91"/>
    <n v="1.99403"/>
    <n v="1.9520150000000001"/>
    <n v="840.3"/>
  </r>
  <r>
    <x v="14"/>
    <x v="25"/>
    <x v="0"/>
    <m/>
    <n v="1.91"/>
    <n v="1.99403"/>
    <n v="1.9520150000000001"/>
    <n v="840.3"/>
  </r>
  <r>
    <x v="14"/>
    <x v="25"/>
    <x v="0"/>
    <m/>
    <n v="1.91"/>
    <n v="1.99403"/>
    <n v="1.9520150000000001"/>
    <n v="840.3"/>
  </r>
  <r>
    <x v="14"/>
    <x v="25"/>
    <x v="0"/>
    <m/>
    <n v="1.91"/>
    <n v="1.99403"/>
    <n v="1.9520150000000001"/>
    <n v="840.3"/>
  </r>
  <r>
    <x v="14"/>
    <x v="25"/>
    <x v="0"/>
    <m/>
    <n v="1.91"/>
    <n v="1.99403"/>
    <n v="1.9520150000000001"/>
    <n v="840.3"/>
  </r>
  <r>
    <x v="14"/>
    <x v="25"/>
    <x v="0"/>
    <m/>
    <n v="1.91"/>
    <n v="1.99403"/>
    <n v="1.9520150000000001"/>
    <n v="840.3"/>
  </r>
  <r>
    <x v="14"/>
    <x v="25"/>
    <x v="10"/>
    <m/>
    <n v="0.871"/>
    <n v="0.90302000000000004"/>
    <n v="0.88700999999999997"/>
    <n v="320.2"/>
  </r>
  <r>
    <x v="14"/>
    <x v="25"/>
    <x v="10"/>
    <m/>
    <n v="0.871"/>
    <n v="0.90302000000000004"/>
    <n v="0.88700999999999997"/>
    <n v="320.2"/>
  </r>
  <r>
    <x v="14"/>
    <x v="25"/>
    <x v="10"/>
    <m/>
    <n v="0.871"/>
    <n v="0.90302000000000004"/>
    <n v="0.88700999999999997"/>
    <n v="320.2"/>
  </r>
  <r>
    <x v="14"/>
    <x v="25"/>
    <x v="10"/>
    <m/>
    <n v="0.871"/>
    <n v="0.90302000000000004"/>
    <n v="0.88700999999999997"/>
    <n v="320.2"/>
  </r>
  <r>
    <x v="14"/>
    <x v="25"/>
    <x v="10"/>
    <m/>
    <n v="0.871"/>
    <n v="0.90302000000000004"/>
    <n v="0.88700999999999997"/>
    <n v="320.2"/>
  </r>
  <r>
    <x v="14"/>
    <x v="25"/>
    <x v="10"/>
    <m/>
    <n v="0.871"/>
    <n v="0.90302000000000004"/>
    <n v="0.88700999999999997"/>
    <n v="320.2"/>
  </r>
  <r>
    <x v="14"/>
    <x v="25"/>
    <x v="10"/>
    <m/>
    <n v="0.871"/>
    <n v="0.90302000000000004"/>
    <n v="0.88700999999999997"/>
    <n v="320.2"/>
  </r>
  <r>
    <x v="14"/>
    <x v="25"/>
    <x v="10"/>
    <m/>
    <n v="0.871"/>
    <n v="0.90302000000000004"/>
    <n v="0.88700999999999997"/>
    <n v="320.2"/>
  </r>
  <r>
    <x v="14"/>
    <x v="25"/>
    <x v="10"/>
    <m/>
    <n v="0.871"/>
    <n v="0.90302000000000004"/>
    <n v="0.88700999999999997"/>
    <n v="320.2"/>
  </r>
  <r>
    <x v="14"/>
    <x v="25"/>
    <x v="10"/>
    <m/>
    <n v="0.871"/>
    <n v="0.90302000000000004"/>
    <n v="0.88700999999999997"/>
    <n v="320.2"/>
  </r>
  <r>
    <x v="14"/>
    <x v="25"/>
    <x v="10"/>
    <m/>
    <n v="0.871"/>
    <n v="0.90302000000000004"/>
    <n v="0.88700999999999997"/>
    <n v="320.2"/>
  </r>
  <r>
    <x v="14"/>
    <x v="25"/>
    <x v="10"/>
    <m/>
    <n v="0.871"/>
    <n v="0.90302000000000004"/>
    <n v="0.88700999999999997"/>
    <n v="320.2"/>
  </r>
  <r>
    <x v="14"/>
    <x v="25"/>
    <x v="10"/>
    <m/>
    <n v="0.871"/>
    <n v="0.90302000000000004"/>
    <n v="0.88700999999999997"/>
    <n v="320.2"/>
  </r>
  <r>
    <x v="14"/>
    <x v="25"/>
    <x v="10"/>
    <m/>
    <n v="0.871"/>
    <n v="0.90302000000000004"/>
    <n v="0.88700999999999997"/>
    <n v="320.2"/>
  </r>
  <r>
    <x v="14"/>
    <x v="25"/>
    <x v="10"/>
    <m/>
    <n v="0.871"/>
    <n v="0.90302000000000004"/>
    <n v="0.88700999999999997"/>
    <n v="320.2"/>
  </r>
  <r>
    <x v="14"/>
    <x v="60"/>
    <x v="10"/>
    <n v="0.89490999999999998"/>
    <n v="0.871"/>
    <n v="0.90302000000000004"/>
    <n v="0.88700999999999997"/>
    <n v="320.2"/>
  </r>
  <r>
    <x v="14"/>
    <x v="60"/>
    <x v="10"/>
    <n v="0.89490999999999998"/>
    <n v="0.871"/>
    <n v="0.90302000000000004"/>
    <n v="0.88700999999999997"/>
    <n v="320.2"/>
  </r>
  <r>
    <x v="14"/>
    <x v="60"/>
    <x v="10"/>
    <n v="0.89490999999999998"/>
    <n v="0.871"/>
    <n v="0.90302000000000004"/>
    <n v="0.88700999999999997"/>
    <n v="320.2"/>
  </r>
  <r>
    <x v="14"/>
    <x v="60"/>
    <x v="4"/>
    <n v="95.798000000000002"/>
    <n v="91.4"/>
    <n v="96.4"/>
    <n v="93.9"/>
    <n v="500"/>
  </r>
  <r>
    <x v="14"/>
    <x v="60"/>
    <x v="4"/>
    <n v="95.798000000000002"/>
    <n v="91.4"/>
    <n v="96.4"/>
    <n v="93.9"/>
    <n v="500"/>
  </r>
  <r>
    <x v="14"/>
    <x v="60"/>
    <x v="4"/>
    <n v="95.798000000000002"/>
    <n v="91.4"/>
    <n v="96.4"/>
    <n v="93.9"/>
    <n v="500"/>
  </r>
  <r>
    <x v="14"/>
    <x v="60"/>
    <x v="4"/>
    <n v="95.798000000000002"/>
    <n v="91.4"/>
    <n v="96.4"/>
    <n v="93.9"/>
    <n v="500"/>
  </r>
  <r>
    <x v="14"/>
    <x v="60"/>
    <x v="4"/>
    <n v="95.798000000000002"/>
    <n v="91.4"/>
    <n v="96.4"/>
    <n v="93.9"/>
    <n v="500"/>
  </r>
  <r>
    <x v="14"/>
    <x v="60"/>
    <x v="4"/>
    <n v="95.798000000000002"/>
    <n v="91.4"/>
    <n v="96.4"/>
    <n v="93.9"/>
    <n v="500"/>
  </r>
  <r>
    <x v="14"/>
    <x v="60"/>
    <x v="4"/>
    <n v="95.798000000000002"/>
    <n v="91.4"/>
    <n v="96.4"/>
    <n v="93.9"/>
    <n v="500"/>
  </r>
  <r>
    <x v="14"/>
    <x v="60"/>
    <x v="4"/>
    <n v="95.798000000000002"/>
    <n v="91.4"/>
    <n v="96.4"/>
    <n v="93.9"/>
    <n v="500"/>
  </r>
  <r>
    <x v="14"/>
    <x v="60"/>
    <x v="4"/>
    <n v="95.798000000000002"/>
    <n v="91.4"/>
    <n v="96.4"/>
    <n v="93.9"/>
    <n v="500"/>
  </r>
  <r>
    <x v="14"/>
    <x v="60"/>
    <x v="4"/>
    <n v="95.798000000000002"/>
    <n v="91.4"/>
    <n v="96.4"/>
    <n v="93.9"/>
    <n v="500"/>
  </r>
  <r>
    <x v="14"/>
    <x v="60"/>
    <x v="4"/>
    <n v="95.798000000000002"/>
    <n v="91.4"/>
    <n v="96.4"/>
    <n v="93.9"/>
    <n v="500"/>
  </r>
  <r>
    <x v="14"/>
    <x v="60"/>
    <x v="4"/>
    <n v="95.798000000000002"/>
    <n v="91.4"/>
    <n v="96.4"/>
    <n v="93.9"/>
    <n v="500"/>
  </r>
  <r>
    <x v="14"/>
    <x v="60"/>
    <x v="4"/>
    <n v="95.798000000000002"/>
    <n v="91.4"/>
    <n v="96.4"/>
    <n v="93.9"/>
    <n v="500"/>
  </r>
  <r>
    <x v="14"/>
    <x v="60"/>
    <x v="4"/>
    <n v="95.798000000000002"/>
    <n v="91.4"/>
    <n v="96.4"/>
    <n v="93.9"/>
    <n v="500"/>
  </r>
  <r>
    <x v="14"/>
    <x v="60"/>
    <x v="4"/>
    <n v="95.798000000000002"/>
    <n v="91.4"/>
    <n v="96.4"/>
    <n v="93.9"/>
    <n v="500"/>
  </r>
  <r>
    <x v="14"/>
    <x v="60"/>
    <x v="4"/>
    <n v="95.798000000000002"/>
    <n v="91.4"/>
    <n v="96.4"/>
    <n v="93.9"/>
    <n v="500"/>
  </r>
  <r>
    <x v="14"/>
    <x v="60"/>
    <x v="4"/>
    <n v="95.798000000000002"/>
    <n v="91.4"/>
    <n v="96.4"/>
    <n v="93.9"/>
    <n v="500"/>
  </r>
  <r>
    <x v="14"/>
    <x v="60"/>
    <x v="4"/>
    <n v="95.798000000000002"/>
    <n v="91.4"/>
    <n v="96.4"/>
    <n v="93.9"/>
    <n v="500"/>
  </r>
  <r>
    <x v="14"/>
    <x v="60"/>
    <x v="4"/>
    <n v="95.798000000000002"/>
    <n v="91.4"/>
    <n v="96.4"/>
    <n v="93.9"/>
    <n v="500"/>
  </r>
  <r>
    <x v="14"/>
    <x v="60"/>
    <x v="4"/>
    <n v="95.798000000000002"/>
    <n v="91.4"/>
    <n v="96.4"/>
    <n v="93.9"/>
    <n v="500"/>
  </r>
  <r>
    <x v="14"/>
    <x v="60"/>
    <x v="4"/>
    <n v="95.798000000000002"/>
    <n v="91.4"/>
    <n v="96.4"/>
    <n v="93.9"/>
    <n v="500"/>
  </r>
  <r>
    <x v="14"/>
    <x v="60"/>
    <x v="4"/>
    <n v="95.798000000000002"/>
    <n v="91.4"/>
    <n v="96.4"/>
    <n v="93.9"/>
    <n v="500"/>
  </r>
  <r>
    <x v="14"/>
    <x v="60"/>
    <x v="4"/>
    <n v="95.798000000000002"/>
    <n v="91.4"/>
    <n v="96.4"/>
    <n v="93.9"/>
    <n v="500"/>
  </r>
  <r>
    <x v="14"/>
    <x v="60"/>
    <x v="4"/>
    <n v="95.798000000000002"/>
    <n v="91.4"/>
    <n v="96.4"/>
    <n v="93.9"/>
    <n v="500"/>
  </r>
  <r>
    <x v="14"/>
    <x v="60"/>
    <x v="4"/>
    <n v="95.798000000000002"/>
    <n v="91.4"/>
    <n v="96.4"/>
    <n v="93.9"/>
    <n v="500"/>
  </r>
  <r>
    <x v="14"/>
    <x v="60"/>
    <x v="4"/>
    <n v="95.798000000000002"/>
    <n v="91.4"/>
    <n v="96.4"/>
    <n v="93.9"/>
    <n v="500"/>
  </r>
  <r>
    <x v="14"/>
    <x v="60"/>
    <x v="4"/>
    <n v="95.798000000000002"/>
    <n v="91.4"/>
    <n v="96.4"/>
    <n v="93.9"/>
    <n v="500"/>
  </r>
  <r>
    <x v="14"/>
    <x v="60"/>
    <x v="0"/>
    <n v="1.9552499999999999"/>
    <n v="1.91"/>
    <n v="1.99403"/>
    <n v="1.9520150000000001"/>
    <n v="840.3"/>
  </r>
  <r>
    <x v="14"/>
    <x v="60"/>
    <x v="0"/>
    <n v="1.9552499999999999"/>
    <n v="1.91"/>
    <n v="1.99403"/>
    <n v="1.9520150000000001"/>
    <n v="840.3"/>
  </r>
  <r>
    <x v="14"/>
    <x v="60"/>
    <x v="0"/>
    <n v="1.9552499999999999"/>
    <n v="1.91"/>
    <n v="1.99403"/>
    <n v="1.9520150000000001"/>
    <n v="840.3"/>
  </r>
  <r>
    <x v="14"/>
    <x v="60"/>
    <x v="0"/>
    <n v="1.9552499999999999"/>
    <n v="1.91"/>
    <n v="1.99403"/>
    <n v="1.9520150000000001"/>
    <n v="840.3"/>
  </r>
  <r>
    <x v="14"/>
    <x v="60"/>
    <x v="0"/>
    <n v="1.9552499999999999"/>
    <n v="1.91"/>
    <n v="1.99403"/>
    <n v="1.9520150000000001"/>
    <n v="840.3"/>
  </r>
  <r>
    <x v="14"/>
    <x v="60"/>
    <x v="0"/>
    <n v="1.9552499999999999"/>
    <n v="1.91"/>
    <n v="1.99403"/>
    <n v="1.9520150000000001"/>
    <n v="840.3"/>
  </r>
  <r>
    <x v="14"/>
    <x v="60"/>
    <x v="0"/>
    <n v="1.9552499999999999"/>
    <n v="1.91"/>
    <n v="1.99403"/>
    <n v="1.9520150000000001"/>
    <n v="840.3"/>
  </r>
  <r>
    <x v="14"/>
    <x v="60"/>
    <x v="0"/>
    <n v="1.9552499999999999"/>
    <n v="1.91"/>
    <n v="1.99403"/>
    <n v="1.9520150000000001"/>
    <n v="840.3"/>
  </r>
  <r>
    <x v="14"/>
    <x v="60"/>
    <x v="0"/>
    <n v="1.9552499999999999"/>
    <n v="1.91"/>
    <n v="1.99403"/>
    <n v="1.9520150000000001"/>
    <n v="840.3"/>
  </r>
  <r>
    <x v="14"/>
    <x v="60"/>
    <x v="0"/>
    <n v="1.9552499999999999"/>
    <n v="1.91"/>
    <n v="1.99403"/>
    <n v="1.9520150000000001"/>
    <n v="840.3"/>
  </r>
  <r>
    <x v="14"/>
    <x v="60"/>
    <x v="0"/>
    <n v="1.9552499999999999"/>
    <n v="1.91"/>
    <n v="1.99403"/>
    <n v="1.9520150000000001"/>
    <n v="840.3"/>
  </r>
  <r>
    <x v="14"/>
    <x v="60"/>
    <x v="0"/>
    <n v="1.9552499999999999"/>
    <n v="1.91"/>
    <n v="1.99403"/>
    <n v="1.9520150000000001"/>
    <n v="840.3"/>
  </r>
  <r>
    <x v="14"/>
    <x v="60"/>
    <x v="0"/>
    <n v="1.9552499999999999"/>
    <n v="1.91"/>
    <n v="1.99403"/>
    <n v="1.9520150000000001"/>
    <n v="840.3"/>
  </r>
  <r>
    <x v="14"/>
    <x v="60"/>
    <x v="0"/>
    <n v="1.9552499999999999"/>
    <n v="1.91"/>
    <n v="1.99403"/>
    <n v="1.9520150000000001"/>
    <n v="840.3"/>
  </r>
  <r>
    <x v="14"/>
    <x v="60"/>
    <x v="0"/>
    <n v="1.9552499999999999"/>
    <n v="1.91"/>
    <n v="1.99403"/>
    <n v="1.9520150000000001"/>
    <n v="840.3"/>
  </r>
  <r>
    <x v="14"/>
    <x v="60"/>
    <x v="0"/>
    <n v="1.9552499999999999"/>
    <n v="1.91"/>
    <n v="1.99403"/>
    <n v="1.9520150000000001"/>
    <n v="840.3"/>
  </r>
  <r>
    <x v="14"/>
    <x v="60"/>
    <x v="0"/>
    <n v="1.9552499999999999"/>
    <n v="1.91"/>
    <n v="1.99403"/>
    <n v="1.9520150000000001"/>
    <n v="840.3"/>
  </r>
  <r>
    <x v="14"/>
    <x v="60"/>
    <x v="0"/>
    <n v="1.9552499999999999"/>
    <n v="1.91"/>
    <n v="1.99403"/>
    <n v="1.9520150000000001"/>
    <n v="840.3"/>
  </r>
  <r>
    <x v="14"/>
    <x v="60"/>
    <x v="0"/>
    <n v="1.9552499999999999"/>
    <n v="1.91"/>
    <n v="1.99403"/>
    <n v="1.9520150000000001"/>
    <n v="840.3"/>
  </r>
  <r>
    <x v="14"/>
    <x v="60"/>
    <x v="0"/>
    <n v="1.9552499999999999"/>
    <n v="1.91"/>
    <n v="1.99403"/>
    <n v="1.9520150000000001"/>
    <n v="840.3"/>
  </r>
  <r>
    <x v="14"/>
    <x v="60"/>
    <x v="0"/>
    <n v="1.9552499999999999"/>
    <n v="1.91"/>
    <n v="1.99403"/>
    <n v="1.9520150000000001"/>
    <n v="840.3"/>
  </r>
  <r>
    <x v="14"/>
    <x v="60"/>
    <x v="0"/>
    <n v="1.9552499999999999"/>
    <n v="1.91"/>
    <n v="1.99403"/>
    <n v="1.9520150000000001"/>
    <n v="840.3"/>
  </r>
  <r>
    <x v="14"/>
    <x v="60"/>
    <x v="10"/>
    <n v="0.89490999999999998"/>
    <n v="0.871"/>
    <n v="0.90302000000000004"/>
    <n v="0.88700999999999997"/>
    <n v="320.2"/>
  </r>
  <r>
    <x v="14"/>
    <x v="60"/>
    <x v="10"/>
    <n v="0.89490999999999998"/>
    <n v="0.871"/>
    <n v="0.90302000000000004"/>
    <n v="0.88700999999999997"/>
    <n v="320.2"/>
  </r>
  <r>
    <x v="14"/>
    <x v="60"/>
    <x v="10"/>
    <n v="0.89490999999999998"/>
    <n v="0.871"/>
    <n v="0.90302000000000004"/>
    <n v="0.88700999999999997"/>
    <n v="320.2"/>
  </r>
  <r>
    <x v="14"/>
    <x v="60"/>
    <x v="10"/>
    <n v="0.89490999999999998"/>
    <n v="0.871"/>
    <n v="0.90302000000000004"/>
    <n v="0.88700999999999997"/>
    <n v="320.2"/>
  </r>
  <r>
    <x v="14"/>
    <x v="60"/>
    <x v="10"/>
    <n v="0.89490999999999998"/>
    <n v="0.871"/>
    <n v="0.90302000000000004"/>
    <n v="0.88700999999999997"/>
    <n v="320.2"/>
  </r>
  <r>
    <x v="14"/>
    <x v="60"/>
    <x v="10"/>
    <n v="0.89490999999999998"/>
    <n v="0.871"/>
    <n v="0.90302000000000004"/>
    <n v="0.88700999999999997"/>
    <n v="320.2"/>
  </r>
  <r>
    <x v="14"/>
    <x v="60"/>
    <x v="10"/>
    <n v="0.89490999999999998"/>
    <n v="0.871"/>
    <n v="0.90302000000000004"/>
    <n v="0.88700999999999997"/>
    <n v="320.2"/>
  </r>
  <r>
    <x v="14"/>
    <x v="60"/>
    <x v="10"/>
    <n v="0.89490999999999998"/>
    <n v="0.871"/>
    <n v="0.90302000000000004"/>
    <n v="0.88700999999999997"/>
    <n v="320.2"/>
  </r>
  <r>
    <x v="14"/>
    <x v="60"/>
    <x v="10"/>
    <n v="0.89490999999999998"/>
    <n v="0.871"/>
    <n v="0.90302000000000004"/>
    <n v="0.88700999999999997"/>
    <n v="320.2"/>
  </r>
  <r>
    <x v="14"/>
    <x v="60"/>
    <x v="10"/>
    <n v="0.89490999999999998"/>
    <n v="0.871"/>
    <n v="0.90302000000000004"/>
    <n v="0.88700999999999997"/>
    <n v="320.2"/>
  </r>
  <r>
    <x v="14"/>
    <x v="60"/>
    <x v="10"/>
    <n v="0.89490999999999998"/>
    <n v="0.871"/>
    <n v="0.90302000000000004"/>
    <n v="0.88700999999999997"/>
    <n v="320.2"/>
  </r>
  <r>
    <x v="14"/>
    <x v="60"/>
    <x v="10"/>
    <n v="0.89490999999999998"/>
    <n v="0.871"/>
    <n v="0.90302000000000004"/>
    <n v="0.88700999999999997"/>
    <n v="320.2"/>
  </r>
  <r>
    <x v="14"/>
    <x v="60"/>
    <x v="10"/>
    <n v="0.89490999999999998"/>
    <n v="0.871"/>
    <n v="0.90302000000000004"/>
    <n v="0.88700999999999997"/>
    <n v="320.2"/>
  </r>
  <r>
    <x v="14"/>
    <x v="60"/>
    <x v="10"/>
    <n v="0.89490999999999998"/>
    <n v="0.871"/>
    <n v="0.90302000000000004"/>
    <n v="0.88700999999999997"/>
    <n v="320.2"/>
  </r>
  <r>
    <x v="14"/>
    <x v="60"/>
    <x v="10"/>
    <n v="0.89490999999999998"/>
    <n v="0.871"/>
    <n v="0.90302000000000004"/>
    <n v="0.88700999999999997"/>
    <n v="320.2"/>
  </r>
  <r>
    <x v="14"/>
    <x v="26"/>
    <x v="10"/>
    <n v="0.89034999999999997"/>
    <n v="0.871"/>
    <n v="0.90302000000000004"/>
    <n v="0.88700999999999997"/>
    <n v="320.2"/>
  </r>
  <r>
    <x v="14"/>
    <x v="26"/>
    <x v="10"/>
    <n v="0.89034999999999997"/>
    <n v="0.871"/>
    <n v="0.90302000000000004"/>
    <n v="0.88700999999999997"/>
    <n v="320.2"/>
  </r>
  <r>
    <x v="14"/>
    <x v="26"/>
    <x v="10"/>
    <n v="0.89034999999999997"/>
    <n v="0.871"/>
    <n v="0.90302000000000004"/>
    <n v="0.88700999999999997"/>
    <n v="320.2"/>
  </r>
  <r>
    <x v="14"/>
    <x v="26"/>
    <x v="4"/>
    <n v="95.546000000000006"/>
    <n v="91.4"/>
    <n v="96.4"/>
    <n v="93.9"/>
    <n v="500"/>
  </r>
  <r>
    <x v="14"/>
    <x v="26"/>
    <x v="4"/>
    <n v="95.546000000000006"/>
    <n v="91.4"/>
    <n v="96.4"/>
    <n v="93.9"/>
    <n v="500"/>
  </r>
  <r>
    <x v="14"/>
    <x v="26"/>
    <x v="4"/>
    <n v="95.546000000000006"/>
    <n v="91.4"/>
    <n v="96.4"/>
    <n v="93.9"/>
    <n v="500"/>
  </r>
  <r>
    <x v="14"/>
    <x v="26"/>
    <x v="4"/>
    <n v="95.546000000000006"/>
    <n v="91.4"/>
    <n v="96.4"/>
    <n v="93.9"/>
    <n v="500"/>
  </r>
  <r>
    <x v="14"/>
    <x v="26"/>
    <x v="4"/>
    <n v="95.546000000000006"/>
    <n v="91.4"/>
    <n v="96.4"/>
    <n v="93.9"/>
    <n v="500"/>
  </r>
  <r>
    <x v="14"/>
    <x v="26"/>
    <x v="4"/>
    <n v="95.546000000000006"/>
    <n v="91.4"/>
    <n v="96.4"/>
    <n v="93.9"/>
    <n v="500"/>
  </r>
  <r>
    <x v="14"/>
    <x v="26"/>
    <x v="4"/>
    <n v="95.546000000000006"/>
    <n v="91.4"/>
    <n v="96.4"/>
    <n v="93.9"/>
    <n v="500"/>
  </r>
  <r>
    <x v="14"/>
    <x v="26"/>
    <x v="4"/>
    <n v="95.546000000000006"/>
    <n v="91.4"/>
    <n v="96.4"/>
    <n v="93.9"/>
    <n v="500"/>
  </r>
  <r>
    <x v="14"/>
    <x v="26"/>
    <x v="4"/>
    <n v="95.546000000000006"/>
    <n v="91.4"/>
    <n v="96.4"/>
    <n v="93.9"/>
    <n v="500"/>
  </r>
  <r>
    <x v="14"/>
    <x v="26"/>
    <x v="4"/>
    <n v="95.546000000000006"/>
    <n v="91.4"/>
    <n v="96.4"/>
    <n v="93.9"/>
    <n v="500"/>
  </r>
  <r>
    <x v="14"/>
    <x v="26"/>
    <x v="4"/>
    <n v="95.546000000000006"/>
    <n v="91.4"/>
    <n v="96.4"/>
    <n v="93.9"/>
    <n v="500"/>
  </r>
  <r>
    <x v="14"/>
    <x v="26"/>
    <x v="4"/>
    <n v="95.546000000000006"/>
    <n v="91.4"/>
    <n v="96.4"/>
    <n v="93.9"/>
    <n v="500"/>
  </r>
  <r>
    <x v="14"/>
    <x v="26"/>
    <x v="4"/>
    <n v="95.546000000000006"/>
    <n v="91.4"/>
    <n v="96.4"/>
    <n v="93.9"/>
    <n v="500"/>
  </r>
  <r>
    <x v="14"/>
    <x v="26"/>
    <x v="4"/>
    <n v="95.546000000000006"/>
    <n v="91.4"/>
    <n v="96.4"/>
    <n v="93.9"/>
    <n v="500"/>
  </r>
  <r>
    <x v="14"/>
    <x v="26"/>
    <x v="4"/>
    <n v="95.546000000000006"/>
    <n v="91.4"/>
    <n v="96.4"/>
    <n v="93.9"/>
    <n v="500"/>
  </r>
  <r>
    <x v="14"/>
    <x v="26"/>
    <x v="4"/>
    <n v="95.546000000000006"/>
    <n v="91.4"/>
    <n v="96.4"/>
    <n v="93.9"/>
    <n v="500"/>
  </r>
  <r>
    <x v="14"/>
    <x v="26"/>
    <x v="4"/>
    <n v="95.546000000000006"/>
    <n v="91.4"/>
    <n v="96.4"/>
    <n v="93.9"/>
    <n v="500"/>
  </r>
  <r>
    <x v="14"/>
    <x v="26"/>
    <x v="4"/>
    <n v="95.546000000000006"/>
    <n v="91.4"/>
    <n v="96.4"/>
    <n v="93.9"/>
    <n v="500"/>
  </r>
  <r>
    <x v="14"/>
    <x v="26"/>
    <x v="4"/>
    <n v="95.546000000000006"/>
    <n v="91.4"/>
    <n v="96.4"/>
    <n v="93.9"/>
    <n v="500"/>
  </r>
  <r>
    <x v="14"/>
    <x v="26"/>
    <x v="4"/>
    <n v="95.546000000000006"/>
    <n v="91.4"/>
    <n v="96.4"/>
    <n v="93.9"/>
    <n v="500"/>
  </r>
  <r>
    <x v="14"/>
    <x v="26"/>
    <x v="4"/>
    <n v="95.546000000000006"/>
    <n v="91.4"/>
    <n v="96.4"/>
    <n v="93.9"/>
    <n v="500"/>
  </r>
  <r>
    <x v="14"/>
    <x v="26"/>
    <x v="4"/>
    <n v="95.546000000000006"/>
    <n v="91.4"/>
    <n v="96.4"/>
    <n v="93.9"/>
    <n v="500"/>
  </r>
  <r>
    <x v="14"/>
    <x v="26"/>
    <x v="4"/>
    <n v="95.546000000000006"/>
    <n v="91.4"/>
    <n v="96.4"/>
    <n v="93.9"/>
    <n v="500"/>
  </r>
  <r>
    <x v="14"/>
    <x v="26"/>
    <x v="4"/>
    <n v="95.546000000000006"/>
    <n v="91.4"/>
    <n v="96.4"/>
    <n v="93.9"/>
    <n v="500"/>
  </r>
  <r>
    <x v="14"/>
    <x v="26"/>
    <x v="4"/>
    <n v="95.546000000000006"/>
    <n v="91.4"/>
    <n v="96.4"/>
    <n v="93.9"/>
    <n v="500"/>
  </r>
  <r>
    <x v="14"/>
    <x v="26"/>
    <x v="4"/>
    <n v="95.546000000000006"/>
    <n v="91.4"/>
    <n v="96.4"/>
    <n v="93.9"/>
    <n v="500"/>
  </r>
  <r>
    <x v="14"/>
    <x v="26"/>
    <x v="4"/>
    <n v="95.546000000000006"/>
    <n v="91.4"/>
    <n v="96.4"/>
    <n v="93.9"/>
    <n v="500"/>
  </r>
  <r>
    <x v="14"/>
    <x v="26"/>
    <x v="0"/>
    <n v="1.93953"/>
    <n v="1.91"/>
    <n v="1.99403"/>
    <n v="1.9520150000000001"/>
    <n v="840.3"/>
  </r>
  <r>
    <x v="14"/>
    <x v="26"/>
    <x v="0"/>
    <n v="1.93953"/>
    <n v="1.91"/>
    <n v="1.99403"/>
    <n v="1.9520150000000001"/>
    <n v="840.3"/>
  </r>
  <r>
    <x v="14"/>
    <x v="26"/>
    <x v="0"/>
    <n v="1.93953"/>
    <n v="1.91"/>
    <n v="1.99403"/>
    <n v="1.9520150000000001"/>
    <n v="840.3"/>
  </r>
  <r>
    <x v="14"/>
    <x v="26"/>
    <x v="0"/>
    <n v="1.93953"/>
    <n v="1.91"/>
    <n v="1.99403"/>
    <n v="1.9520150000000001"/>
    <n v="840.3"/>
  </r>
  <r>
    <x v="14"/>
    <x v="26"/>
    <x v="0"/>
    <n v="1.93953"/>
    <n v="1.91"/>
    <n v="1.99403"/>
    <n v="1.9520150000000001"/>
    <n v="840.3"/>
  </r>
  <r>
    <x v="14"/>
    <x v="26"/>
    <x v="0"/>
    <n v="1.93953"/>
    <n v="1.91"/>
    <n v="1.99403"/>
    <n v="1.9520150000000001"/>
    <n v="840.3"/>
  </r>
  <r>
    <x v="14"/>
    <x v="26"/>
    <x v="0"/>
    <n v="1.93953"/>
    <n v="1.91"/>
    <n v="1.99403"/>
    <n v="1.9520150000000001"/>
    <n v="840.3"/>
  </r>
  <r>
    <x v="14"/>
    <x v="26"/>
    <x v="0"/>
    <n v="1.93953"/>
    <n v="1.91"/>
    <n v="1.99403"/>
    <n v="1.9520150000000001"/>
    <n v="840.3"/>
  </r>
  <r>
    <x v="14"/>
    <x v="26"/>
    <x v="0"/>
    <n v="1.93953"/>
    <n v="1.91"/>
    <n v="1.99403"/>
    <n v="1.9520150000000001"/>
    <n v="840.3"/>
  </r>
  <r>
    <x v="14"/>
    <x v="26"/>
    <x v="0"/>
    <n v="1.93953"/>
    <n v="1.91"/>
    <n v="1.99403"/>
    <n v="1.9520150000000001"/>
    <n v="840.3"/>
  </r>
  <r>
    <x v="14"/>
    <x v="26"/>
    <x v="0"/>
    <n v="1.93953"/>
    <n v="1.91"/>
    <n v="1.99403"/>
    <n v="1.9520150000000001"/>
    <n v="840.3"/>
  </r>
  <r>
    <x v="14"/>
    <x v="26"/>
    <x v="0"/>
    <n v="1.93953"/>
    <n v="1.91"/>
    <n v="1.99403"/>
    <n v="1.9520150000000001"/>
    <n v="840.3"/>
  </r>
  <r>
    <x v="14"/>
    <x v="26"/>
    <x v="0"/>
    <n v="1.93953"/>
    <n v="1.91"/>
    <n v="1.99403"/>
    <n v="1.9520150000000001"/>
    <n v="840.3"/>
  </r>
  <r>
    <x v="14"/>
    <x v="26"/>
    <x v="0"/>
    <n v="1.93953"/>
    <n v="1.91"/>
    <n v="1.99403"/>
    <n v="1.9520150000000001"/>
    <n v="840.3"/>
  </r>
  <r>
    <x v="14"/>
    <x v="26"/>
    <x v="0"/>
    <n v="1.93953"/>
    <n v="1.91"/>
    <n v="1.99403"/>
    <n v="1.9520150000000001"/>
    <n v="840.3"/>
  </r>
  <r>
    <x v="14"/>
    <x v="26"/>
    <x v="0"/>
    <n v="1.93953"/>
    <n v="1.91"/>
    <n v="1.99403"/>
    <n v="1.9520150000000001"/>
    <n v="840.3"/>
  </r>
  <r>
    <x v="14"/>
    <x v="26"/>
    <x v="0"/>
    <n v="1.93953"/>
    <n v="1.91"/>
    <n v="1.99403"/>
    <n v="1.9520150000000001"/>
    <n v="840.3"/>
  </r>
  <r>
    <x v="14"/>
    <x v="26"/>
    <x v="0"/>
    <n v="1.93953"/>
    <n v="1.91"/>
    <n v="1.99403"/>
    <n v="1.9520150000000001"/>
    <n v="840.3"/>
  </r>
  <r>
    <x v="14"/>
    <x v="26"/>
    <x v="0"/>
    <n v="1.93953"/>
    <n v="1.91"/>
    <n v="1.99403"/>
    <n v="1.9520150000000001"/>
    <n v="840.3"/>
  </r>
  <r>
    <x v="14"/>
    <x v="26"/>
    <x v="0"/>
    <n v="1.93953"/>
    <n v="1.91"/>
    <n v="1.99403"/>
    <n v="1.9520150000000001"/>
    <n v="840.3"/>
  </r>
  <r>
    <x v="14"/>
    <x v="26"/>
    <x v="0"/>
    <n v="1.93953"/>
    <n v="1.91"/>
    <n v="1.99403"/>
    <n v="1.9520150000000001"/>
    <n v="840.3"/>
  </r>
  <r>
    <x v="14"/>
    <x v="26"/>
    <x v="0"/>
    <n v="1.93953"/>
    <n v="1.91"/>
    <n v="1.99403"/>
    <n v="1.9520150000000001"/>
    <n v="840.3"/>
  </r>
  <r>
    <x v="14"/>
    <x v="26"/>
    <x v="10"/>
    <n v="0.89034999999999997"/>
    <n v="0.871"/>
    <n v="0.90302000000000004"/>
    <n v="0.88700999999999997"/>
    <n v="320.2"/>
  </r>
  <r>
    <x v="14"/>
    <x v="26"/>
    <x v="10"/>
    <n v="0.89034999999999997"/>
    <n v="0.871"/>
    <n v="0.90302000000000004"/>
    <n v="0.88700999999999997"/>
    <n v="320.2"/>
  </r>
  <r>
    <x v="14"/>
    <x v="26"/>
    <x v="10"/>
    <n v="0.89034999999999997"/>
    <n v="0.871"/>
    <n v="0.90302000000000004"/>
    <n v="0.88700999999999997"/>
    <n v="320.2"/>
  </r>
  <r>
    <x v="14"/>
    <x v="26"/>
    <x v="10"/>
    <n v="0.89034999999999997"/>
    <n v="0.871"/>
    <n v="0.90302000000000004"/>
    <n v="0.88700999999999997"/>
    <n v="320.2"/>
  </r>
  <r>
    <x v="14"/>
    <x v="26"/>
    <x v="10"/>
    <n v="0.89034999999999997"/>
    <n v="0.871"/>
    <n v="0.90302000000000004"/>
    <n v="0.88700999999999997"/>
    <n v="320.2"/>
  </r>
  <r>
    <x v="14"/>
    <x v="26"/>
    <x v="10"/>
    <n v="0.89034999999999997"/>
    <n v="0.871"/>
    <n v="0.90302000000000004"/>
    <n v="0.88700999999999997"/>
    <n v="320.2"/>
  </r>
  <r>
    <x v="14"/>
    <x v="26"/>
    <x v="10"/>
    <n v="0.89034999999999997"/>
    <n v="0.871"/>
    <n v="0.90302000000000004"/>
    <n v="0.88700999999999997"/>
    <n v="320.2"/>
  </r>
  <r>
    <x v="14"/>
    <x v="26"/>
    <x v="10"/>
    <n v="0.89034999999999997"/>
    <n v="0.871"/>
    <n v="0.90302000000000004"/>
    <n v="0.88700999999999997"/>
    <n v="320.2"/>
  </r>
  <r>
    <x v="14"/>
    <x v="26"/>
    <x v="10"/>
    <n v="0.89034999999999997"/>
    <n v="0.871"/>
    <n v="0.90302000000000004"/>
    <n v="0.88700999999999997"/>
    <n v="320.2"/>
  </r>
  <r>
    <x v="14"/>
    <x v="26"/>
    <x v="10"/>
    <n v="0.89034999999999997"/>
    <n v="0.871"/>
    <n v="0.90302000000000004"/>
    <n v="0.88700999999999997"/>
    <n v="320.2"/>
  </r>
  <r>
    <x v="14"/>
    <x v="26"/>
    <x v="10"/>
    <n v="0.89034999999999997"/>
    <n v="0.871"/>
    <n v="0.90302000000000004"/>
    <n v="0.88700999999999997"/>
    <n v="320.2"/>
  </r>
  <r>
    <x v="14"/>
    <x v="26"/>
    <x v="10"/>
    <n v="0.89034999999999997"/>
    <n v="0.871"/>
    <n v="0.90302000000000004"/>
    <n v="0.88700999999999997"/>
    <n v="320.2"/>
  </r>
  <r>
    <x v="14"/>
    <x v="26"/>
    <x v="10"/>
    <n v="0.89034999999999997"/>
    <n v="0.871"/>
    <n v="0.90302000000000004"/>
    <n v="0.88700999999999997"/>
    <n v="320.2"/>
  </r>
  <r>
    <x v="14"/>
    <x v="26"/>
    <x v="10"/>
    <n v="0.89034999999999997"/>
    <n v="0.871"/>
    <n v="0.90302000000000004"/>
    <n v="0.88700999999999997"/>
    <n v="320.2"/>
  </r>
  <r>
    <x v="14"/>
    <x v="26"/>
    <x v="10"/>
    <n v="0.89034999999999997"/>
    <n v="0.871"/>
    <n v="0.90302000000000004"/>
    <n v="0.88700999999999997"/>
    <n v="320.2"/>
  </r>
  <r>
    <x v="14"/>
    <x v="0"/>
    <x v="10"/>
    <n v="0.89363999999999999"/>
    <n v="0.871"/>
    <n v="0.90302000000000004"/>
    <n v="0.88700999999999997"/>
    <n v="320.2"/>
  </r>
  <r>
    <x v="14"/>
    <x v="0"/>
    <x v="10"/>
    <n v="0.89363999999999999"/>
    <n v="0.871"/>
    <n v="0.90302000000000004"/>
    <n v="0.88700999999999997"/>
    <n v="320.2"/>
  </r>
  <r>
    <x v="14"/>
    <x v="0"/>
    <x v="10"/>
    <n v="0.89363999999999999"/>
    <n v="0.871"/>
    <n v="0.90302000000000004"/>
    <n v="0.88700999999999997"/>
    <n v="320.2"/>
  </r>
  <r>
    <x v="14"/>
    <x v="0"/>
    <x v="10"/>
    <n v="0.89363999999999999"/>
    <n v="0.871"/>
    <n v="0.90302000000000004"/>
    <n v="0.88700999999999997"/>
    <n v="320.2"/>
  </r>
  <r>
    <x v="14"/>
    <x v="0"/>
    <x v="4"/>
    <n v="95.561000000000007"/>
    <n v="91.4"/>
    <n v="96.4"/>
    <n v="93.9"/>
    <n v="500"/>
  </r>
  <r>
    <x v="14"/>
    <x v="0"/>
    <x v="4"/>
    <n v="95.561000000000007"/>
    <n v="91.4"/>
    <n v="96.4"/>
    <n v="93.9"/>
    <n v="500"/>
  </r>
  <r>
    <x v="14"/>
    <x v="0"/>
    <x v="4"/>
    <n v="95.561000000000007"/>
    <n v="91.4"/>
    <n v="96.4"/>
    <n v="93.9"/>
    <n v="500"/>
  </r>
  <r>
    <x v="14"/>
    <x v="0"/>
    <x v="4"/>
    <n v="95.561000000000007"/>
    <n v="91.4"/>
    <n v="96.4"/>
    <n v="93.9"/>
    <n v="500"/>
  </r>
  <r>
    <x v="14"/>
    <x v="0"/>
    <x v="4"/>
    <n v="95.561000000000007"/>
    <n v="91.4"/>
    <n v="96.4"/>
    <n v="93.9"/>
    <n v="500"/>
  </r>
  <r>
    <x v="14"/>
    <x v="0"/>
    <x v="4"/>
    <n v="95.561000000000007"/>
    <n v="91.4"/>
    <n v="96.4"/>
    <n v="93.9"/>
    <n v="500"/>
  </r>
  <r>
    <x v="14"/>
    <x v="0"/>
    <x v="4"/>
    <n v="95.561000000000007"/>
    <n v="91.4"/>
    <n v="96.4"/>
    <n v="93.9"/>
    <n v="500"/>
  </r>
  <r>
    <x v="14"/>
    <x v="0"/>
    <x v="4"/>
    <n v="95.561000000000007"/>
    <n v="91.4"/>
    <n v="96.4"/>
    <n v="93.9"/>
    <n v="500"/>
  </r>
  <r>
    <x v="14"/>
    <x v="0"/>
    <x v="4"/>
    <n v="95.561000000000007"/>
    <n v="91.4"/>
    <n v="96.4"/>
    <n v="93.9"/>
    <n v="500"/>
  </r>
  <r>
    <x v="14"/>
    <x v="0"/>
    <x v="4"/>
    <n v="95.561000000000007"/>
    <n v="91.4"/>
    <n v="96.4"/>
    <n v="93.9"/>
    <n v="500"/>
  </r>
  <r>
    <x v="14"/>
    <x v="0"/>
    <x v="4"/>
    <n v="95.561000000000007"/>
    <n v="91.4"/>
    <n v="96.4"/>
    <n v="93.9"/>
    <n v="500"/>
  </r>
  <r>
    <x v="14"/>
    <x v="0"/>
    <x v="4"/>
    <n v="95.561000000000007"/>
    <n v="91.4"/>
    <n v="96.4"/>
    <n v="93.9"/>
    <n v="500"/>
  </r>
  <r>
    <x v="14"/>
    <x v="0"/>
    <x v="4"/>
    <n v="95.561000000000007"/>
    <n v="91.4"/>
    <n v="96.4"/>
    <n v="93.9"/>
    <n v="500"/>
  </r>
  <r>
    <x v="14"/>
    <x v="0"/>
    <x v="4"/>
    <n v="95.561000000000007"/>
    <n v="91.4"/>
    <n v="96.4"/>
    <n v="93.9"/>
    <n v="500"/>
  </r>
  <r>
    <x v="14"/>
    <x v="0"/>
    <x v="4"/>
    <n v="95.561000000000007"/>
    <n v="91.4"/>
    <n v="96.4"/>
    <n v="93.9"/>
    <n v="500"/>
  </r>
  <r>
    <x v="14"/>
    <x v="0"/>
    <x v="4"/>
    <n v="95.561000000000007"/>
    <n v="91.4"/>
    <n v="96.4"/>
    <n v="93.9"/>
    <n v="500"/>
  </r>
  <r>
    <x v="14"/>
    <x v="0"/>
    <x v="4"/>
    <n v="95.561000000000007"/>
    <n v="91.4"/>
    <n v="96.4"/>
    <n v="93.9"/>
    <n v="500"/>
  </r>
  <r>
    <x v="14"/>
    <x v="0"/>
    <x v="4"/>
    <n v="95.561000000000007"/>
    <n v="91.4"/>
    <n v="96.4"/>
    <n v="93.9"/>
    <n v="500"/>
  </r>
  <r>
    <x v="14"/>
    <x v="0"/>
    <x v="4"/>
    <n v="95.561000000000007"/>
    <n v="91.4"/>
    <n v="96.4"/>
    <n v="93.9"/>
    <n v="500"/>
  </r>
  <r>
    <x v="14"/>
    <x v="0"/>
    <x v="4"/>
    <n v="95.561000000000007"/>
    <n v="91.4"/>
    <n v="96.4"/>
    <n v="93.9"/>
    <n v="500"/>
  </r>
  <r>
    <x v="14"/>
    <x v="0"/>
    <x v="4"/>
    <n v="95.561000000000007"/>
    <n v="91.4"/>
    <n v="96.4"/>
    <n v="93.9"/>
    <n v="500"/>
  </r>
  <r>
    <x v="14"/>
    <x v="0"/>
    <x v="4"/>
    <n v="95.561000000000007"/>
    <n v="91.4"/>
    <n v="96.4"/>
    <n v="93.9"/>
    <n v="500"/>
  </r>
  <r>
    <x v="14"/>
    <x v="0"/>
    <x v="4"/>
    <n v="95.561000000000007"/>
    <n v="91.4"/>
    <n v="96.4"/>
    <n v="93.9"/>
    <n v="500"/>
  </r>
  <r>
    <x v="14"/>
    <x v="0"/>
    <x v="4"/>
    <n v="95.561000000000007"/>
    <n v="91.4"/>
    <n v="96.4"/>
    <n v="93.9"/>
    <n v="500"/>
  </r>
  <r>
    <x v="14"/>
    <x v="0"/>
    <x v="4"/>
    <n v="95.561000000000007"/>
    <n v="91.4"/>
    <n v="96.4"/>
    <n v="93.9"/>
    <n v="500"/>
  </r>
  <r>
    <x v="14"/>
    <x v="0"/>
    <x v="4"/>
    <n v="95.561000000000007"/>
    <n v="91.4"/>
    <n v="96.4"/>
    <n v="93.9"/>
    <n v="500"/>
  </r>
  <r>
    <x v="14"/>
    <x v="0"/>
    <x v="4"/>
    <n v="95.561000000000007"/>
    <n v="91.4"/>
    <n v="96.4"/>
    <n v="93.9"/>
    <n v="500"/>
  </r>
  <r>
    <x v="14"/>
    <x v="0"/>
    <x v="0"/>
    <n v="1.96218"/>
    <n v="1.91"/>
    <n v="1.99403"/>
    <n v="1.9520150000000001"/>
    <n v="840.3"/>
  </r>
  <r>
    <x v="14"/>
    <x v="0"/>
    <x v="0"/>
    <n v="1.96218"/>
    <n v="1.91"/>
    <n v="1.99403"/>
    <n v="1.9520150000000001"/>
    <n v="840.3"/>
  </r>
  <r>
    <x v="14"/>
    <x v="0"/>
    <x v="0"/>
    <n v="1.96218"/>
    <n v="1.91"/>
    <n v="1.99403"/>
    <n v="1.9520150000000001"/>
    <n v="840.3"/>
  </r>
  <r>
    <x v="14"/>
    <x v="0"/>
    <x v="0"/>
    <n v="1.96218"/>
    <n v="1.91"/>
    <n v="1.99403"/>
    <n v="1.9520150000000001"/>
    <n v="840.3"/>
  </r>
  <r>
    <x v="14"/>
    <x v="0"/>
    <x v="0"/>
    <n v="1.96218"/>
    <n v="1.91"/>
    <n v="1.99403"/>
    <n v="1.9520150000000001"/>
    <n v="840.3"/>
  </r>
  <r>
    <x v="14"/>
    <x v="0"/>
    <x v="0"/>
    <n v="1.96218"/>
    <n v="1.91"/>
    <n v="1.99403"/>
    <n v="1.9520150000000001"/>
    <n v="840.3"/>
  </r>
  <r>
    <x v="14"/>
    <x v="0"/>
    <x v="0"/>
    <n v="1.96218"/>
    <n v="1.91"/>
    <n v="1.99403"/>
    <n v="1.9520150000000001"/>
    <n v="840.3"/>
  </r>
  <r>
    <x v="14"/>
    <x v="0"/>
    <x v="0"/>
    <n v="1.96218"/>
    <n v="1.91"/>
    <n v="1.99403"/>
    <n v="1.9520150000000001"/>
    <n v="840.3"/>
  </r>
  <r>
    <x v="14"/>
    <x v="0"/>
    <x v="0"/>
    <n v="1.96218"/>
    <n v="1.91"/>
    <n v="1.99403"/>
    <n v="1.9520150000000001"/>
    <n v="840.3"/>
  </r>
  <r>
    <x v="14"/>
    <x v="0"/>
    <x v="0"/>
    <n v="1.96218"/>
    <n v="1.91"/>
    <n v="1.99403"/>
    <n v="1.9520150000000001"/>
    <n v="840.3"/>
  </r>
  <r>
    <x v="14"/>
    <x v="0"/>
    <x v="0"/>
    <n v="1.96218"/>
    <n v="1.91"/>
    <n v="1.99403"/>
    <n v="1.9520150000000001"/>
    <n v="840.3"/>
  </r>
  <r>
    <x v="14"/>
    <x v="0"/>
    <x v="0"/>
    <n v="1.96218"/>
    <n v="1.91"/>
    <n v="1.99403"/>
    <n v="1.9520150000000001"/>
    <n v="840.3"/>
  </r>
  <r>
    <x v="14"/>
    <x v="0"/>
    <x v="0"/>
    <n v="1.96218"/>
    <n v="1.91"/>
    <n v="1.99403"/>
    <n v="1.9520150000000001"/>
    <n v="840.3"/>
  </r>
  <r>
    <x v="14"/>
    <x v="0"/>
    <x v="0"/>
    <n v="1.96218"/>
    <n v="1.91"/>
    <n v="1.99403"/>
    <n v="1.9520150000000001"/>
    <n v="840.3"/>
  </r>
  <r>
    <x v="14"/>
    <x v="0"/>
    <x v="0"/>
    <n v="1.96218"/>
    <n v="1.91"/>
    <n v="1.99403"/>
    <n v="1.9520150000000001"/>
    <n v="840.3"/>
  </r>
  <r>
    <x v="14"/>
    <x v="0"/>
    <x v="0"/>
    <n v="1.96218"/>
    <n v="1.91"/>
    <n v="1.99403"/>
    <n v="1.9520150000000001"/>
    <n v="840.3"/>
  </r>
  <r>
    <x v="14"/>
    <x v="0"/>
    <x v="0"/>
    <n v="1.96218"/>
    <n v="1.91"/>
    <n v="1.99403"/>
    <n v="1.9520150000000001"/>
    <n v="840.3"/>
  </r>
  <r>
    <x v="14"/>
    <x v="0"/>
    <x v="0"/>
    <n v="1.96218"/>
    <n v="1.91"/>
    <n v="1.99403"/>
    <n v="1.9520150000000001"/>
    <n v="840.3"/>
  </r>
  <r>
    <x v="14"/>
    <x v="0"/>
    <x v="0"/>
    <n v="1.96218"/>
    <n v="1.91"/>
    <n v="1.99403"/>
    <n v="1.9520150000000001"/>
    <n v="840.3"/>
  </r>
  <r>
    <x v="14"/>
    <x v="0"/>
    <x v="0"/>
    <n v="1.96218"/>
    <n v="1.91"/>
    <n v="1.99403"/>
    <n v="1.9520150000000001"/>
    <n v="840.3"/>
  </r>
  <r>
    <x v="14"/>
    <x v="0"/>
    <x v="0"/>
    <n v="1.96218"/>
    <n v="1.91"/>
    <n v="1.99403"/>
    <n v="1.9520150000000001"/>
    <n v="840.3"/>
  </r>
  <r>
    <x v="14"/>
    <x v="0"/>
    <x v="0"/>
    <n v="1.96218"/>
    <n v="1.91"/>
    <n v="1.99403"/>
    <n v="1.9520150000000001"/>
    <n v="840.3"/>
  </r>
  <r>
    <x v="14"/>
    <x v="0"/>
    <x v="0"/>
    <n v="1.96218"/>
    <n v="1.91"/>
    <n v="1.99403"/>
    <n v="1.9520150000000001"/>
    <n v="840.3"/>
  </r>
  <r>
    <x v="14"/>
    <x v="0"/>
    <x v="10"/>
    <n v="0.89363999999999999"/>
    <n v="0.871"/>
    <n v="0.90302000000000004"/>
    <n v="0.88700999999999997"/>
    <n v="320.2"/>
  </r>
  <r>
    <x v="14"/>
    <x v="0"/>
    <x v="10"/>
    <n v="0.89363999999999999"/>
    <n v="0.871"/>
    <n v="0.90302000000000004"/>
    <n v="0.88700999999999997"/>
    <n v="320.2"/>
  </r>
  <r>
    <x v="14"/>
    <x v="0"/>
    <x v="10"/>
    <n v="0.89363999999999999"/>
    <n v="0.871"/>
    <n v="0.90302000000000004"/>
    <n v="0.88700999999999997"/>
    <n v="320.2"/>
  </r>
  <r>
    <x v="14"/>
    <x v="0"/>
    <x v="10"/>
    <n v="0.89363999999999999"/>
    <n v="0.871"/>
    <n v="0.90302000000000004"/>
    <n v="0.88700999999999997"/>
    <n v="320.2"/>
  </r>
  <r>
    <x v="14"/>
    <x v="0"/>
    <x v="10"/>
    <n v="0.89363999999999999"/>
    <n v="0.871"/>
    <n v="0.90302000000000004"/>
    <n v="0.88700999999999997"/>
    <n v="320.2"/>
  </r>
  <r>
    <x v="14"/>
    <x v="0"/>
    <x v="10"/>
    <n v="0.89363999999999999"/>
    <n v="0.871"/>
    <n v="0.90302000000000004"/>
    <n v="0.88700999999999997"/>
    <n v="320.2"/>
  </r>
  <r>
    <x v="14"/>
    <x v="0"/>
    <x v="10"/>
    <n v="0.89363999999999999"/>
    <n v="0.871"/>
    <n v="0.90302000000000004"/>
    <n v="0.88700999999999997"/>
    <n v="320.2"/>
  </r>
  <r>
    <x v="14"/>
    <x v="0"/>
    <x v="10"/>
    <n v="0.89363999999999999"/>
    <n v="0.871"/>
    <n v="0.90302000000000004"/>
    <n v="0.88700999999999997"/>
    <n v="320.2"/>
  </r>
  <r>
    <x v="14"/>
    <x v="0"/>
    <x v="10"/>
    <n v="0.89363999999999999"/>
    <n v="0.871"/>
    <n v="0.90302000000000004"/>
    <n v="0.88700999999999997"/>
    <n v="320.2"/>
  </r>
  <r>
    <x v="14"/>
    <x v="0"/>
    <x v="10"/>
    <n v="0.89363999999999999"/>
    <n v="0.871"/>
    <n v="0.90302000000000004"/>
    <n v="0.88700999999999997"/>
    <n v="320.2"/>
  </r>
  <r>
    <x v="14"/>
    <x v="0"/>
    <x v="10"/>
    <n v="0.89363999999999999"/>
    <n v="0.871"/>
    <n v="0.90302000000000004"/>
    <n v="0.88700999999999997"/>
    <n v="320.2"/>
  </r>
  <r>
    <x v="14"/>
    <x v="0"/>
    <x v="10"/>
    <n v="0.89363999999999999"/>
    <n v="0.871"/>
    <n v="0.90302000000000004"/>
    <n v="0.88700999999999997"/>
    <n v="320.2"/>
  </r>
  <r>
    <x v="14"/>
    <x v="0"/>
    <x v="10"/>
    <n v="0.89363999999999999"/>
    <n v="0.871"/>
    <n v="0.90302000000000004"/>
    <n v="0.88700999999999997"/>
    <n v="320.2"/>
  </r>
  <r>
    <x v="14"/>
    <x v="0"/>
    <x v="10"/>
    <n v="0.89363999999999999"/>
    <n v="0.871"/>
    <n v="0.90302000000000004"/>
    <n v="0.88700999999999997"/>
    <n v="320.2"/>
  </r>
  <r>
    <x v="14"/>
    <x v="1"/>
    <x v="10"/>
    <n v="0.89192000000000005"/>
    <n v="0.871"/>
    <n v="0.90302000000000004"/>
    <n v="0.88700999999999997"/>
    <n v="320.2"/>
  </r>
  <r>
    <x v="14"/>
    <x v="1"/>
    <x v="10"/>
    <n v="0.89192000000000005"/>
    <n v="0.871"/>
    <n v="0.90302000000000004"/>
    <n v="0.88700999999999997"/>
    <n v="320.2"/>
  </r>
  <r>
    <x v="14"/>
    <x v="1"/>
    <x v="10"/>
    <n v="0.89192000000000005"/>
    <n v="0.871"/>
    <n v="0.90302000000000004"/>
    <n v="0.88700999999999997"/>
    <n v="320.2"/>
  </r>
  <r>
    <x v="14"/>
    <x v="1"/>
    <x v="10"/>
    <n v="0.89192000000000005"/>
    <n v="0.871"/>
    <n v="0.90302000000000004"/>
    <n v="0.88700999999999997"/>
    <n v="320.2"/>
  </r>
  <r>
    <x v="14"/>
    <x v="1"/>
    <x v="4"/>
    <n v="95.137"/>
    <n v="91.4"/>
    <n v="96.4"/>
    <n v="93.9"/>
    <n v="500"/>
  </r>
  <r>
    <x v="14"/>
    <x v="1"/>
    <x v="4"/>
    <n v="95.137"/>
    <n v="91.4"/>
    <n v="96.4"/>
    <n v="93.9"/>
    <n v="500"/>
  </r>
  <r>
    <x v="14"/>
    <x v="1"/>
    <x v="4"/>
    <n v="95.137"/>
    <n v="91.4"/>
    <n v="96.4"/>
    <n v="93.9"/>
    <n v="500"/>
  </r>
  <r>
    <x v="14"/>
    <x v="1"/>
    <x v="4"/>
    <n v="95.137"/>
    <n v="91.4"/>
    <n v="96.4"/>
    <n v="93.9"/>
    <n v="500"/>
  </r>
  <r>
    <x v="14"/>
    <x v="1"/>
    <x v="4"/>
    <n v="95.137"/>
    <n v="91.4"/>
    <n v="96.4"/>
    <n v="93.9"/>
    <n v="500"/>
  </r>
  <r>
    <x v="14"/>
    <x v="1"/>
    <x v="4"/>
    <n v="95.137"/>
    <n v="91.4"/>
    <n v="96.4"/>
    <n v="93.9"/>
    <n v="500"/>
  </r>
  <r>
    <x v="14"/>
    <x v="1"/>
    <x v="4"/>
    <n v="95.137"/>
    <n v="91.4"/>
    <n v="96.4"/>
    <n v="93.9"/>
    <n v="500"/>
  </r>
  <r>
    <x v="14"/>
    <x v="1"/>
    <x v="4"/>
    <n v="95.137"/>
    <n v="91.4"/>
    <n v="96.4"/>
    <n v="93.9"/>
    <n v="500"/>
  </r>
  <r>
    <x v="14"/>
    <x v="1"/>
    <x v="4"/>
    <n v="95.137"/>
    <n v="91.4"/>
    <n v="96.4"/>
    <n v="93.9"/>
    <n v="500"/>
  </r>
  <r>
    <x v="14"/>
    <x v="1"/>
    <x v="4"/>
    <n v="95.137"/>
    <n v="91.4"/>
    <n v="96.4"/>
    <n v="93.9"/>
    <n v="500"/>
  </r>
  <r>
    <x v="14"/>
    <x v="1"/>
    <x v="4"/>
    <n v="95.137"/>
    <n v="91.4"/>
    <n v="96.4"/>
    <n v="93.9"/>
    <n v="500"/>
  </r>
  <r>
    <x v="14"/>
    <x v="1"/>
    <x v="4"/>
    <n v="95.137"/>
    <n v="91.4"/>
    <n v="96.4"/>
    <n v="93.9"/>
    <n v="500"/>
  </r>
  <r>
    <x v="14"/>
    <x v="1"/>
    <x v="4"/>
    <n v="95.137"/>
    <n v="91.4"/>
    <n v="96.4"/>
    <n v="93.9"/>
    <n v="500"/>
  </r>
  <r>
    <x v="14"/>
    <x v="1"/>
    <x v="4"/>
    <n v="95.137"/>
    <n v="91.4"/>
    <n v="96.4"/>
    <n v="93.9"/>
    <n v="500"/>
  </r>
  <r>
    <x v="14"/>
    <x v="1"/>
    <x v="4"/>
    <n v="95.137"/>
    <n v="91.4"/>
    <n v="96.4"/>
    <n v="93.9"/>
    <n v="500"/>
  </r>
  <r>
    <x v="14"/>
    <x v="1"/>
    <x v="4"/>
    <n v="95.137"/>
    <n v="91.4"/>
    <n v="96.4"/>
    <n v="93.9"/>
    <n v="500"/>
  </r>
  <r>
    <x v="14"/>
    <x v="1"/>
    <x v="4"/>
    <n v="95.137"/>
    <n v="91.4"/>
    <n v="96.4"/>
    <n v="93.9"/>
    <n v="500"/>
  </r>
  <r>
    <x v="14"/>
    <x v="1"/>
    <x v="4"/>
    <n v="95.137"/>
    <n v="91.4"/>
    <n v="96.4"/>
    <n v="93.9"/>
    <n v="500"/>
  </r>
  <r>
    <x v="14"/>
    <x v="1"/>
    <x v="4"/>
    <n v="95.137"/>
    <n v="91.4"/>
    <n v="96.4"/>
    <n v="93.9"/>
    <n v="500"/>
  </r>
  <r>
    <x v="14"/>
    <x v="1"/>
    <x v="4"/>
    <n v="95.137"/>
    <n v="91.4"/>
    <n v="96.4"/>
    <n v="93.9"/>
    <n v="500"/>
  </r>
  <r>
    <x v="14"/>
    <x v="1"/>
    <x v="4"/>
    <n v="95.137"/>
    <n v="91.4"/>
    <n v="96.4"/>
    <n v="93.9"/>
    <n v="500"/>
  </r>
  <r>
    <x v="14"/>
    <x v="1"/>
    <x v="4"/>
    <n v="95.137"/>
    <n v="91.4"/>
    <n v="96.4"/>
    <n v="93.9"/>
    <n v="500"/>
  </r>
  <r>
    <x v="14"/>
    <x v="1"/>
    <x v="4"/>
    <n v="95.137"/>
    <n v="91.4"/>
    <n v="96.4"/>
    <n v="93.9"/>
    <n v="500"/>
  </r>
  <r>
    <x v="14"/>
    <x v="1"/>
    <x v="4"/>
    <n v="95.137"/>
    <n v="91.4"/>
    <n v="96.4"/>
    <n v="93.9"/>
    <n v="500"/>
  </r>
  <r>
    <x v="14"/>
    <x v="1"/>
    <x v="4"/>
    <n v="95.137"/>
    <n v="91.4"/>
    <n v="96.4"/>
    <n v="93.9"/>
    <n v="500"/>
  </r>
  <r>
    <x v="14"/>
    <x v="1"/>
    <x v="4"/>
    <n v="95.137"/>
    <n v="91.4"/>
    <n v="96.4"/>
    <n v="93.9"/>
    <n v="500"/>
  </r>
  <r>
    <x v="14"/>
    <x v="1"/>
    <x v="4"/>
    <n v="95.137"/>
    <n v="91.4"/>
    <n v="96.4"/>
    <n v="93.9"/>
    <n v="500"/>
  </r>
  <r>
    <x v="14"/>
    <x v="1"/>
    <x v="0"/>
    <n v="1.94255"/>
    <n v="1.91"/>
    <n v="1.99403"/>
    <n v="1.9520150000000001"/>
    <n v="840.3"/>
  </r>
  <r>
    <x v="14"/>
    <x v="1"/>
    <x v="0"/>
    <n v="1.94255"/>
    <n v="1.91"/>
    <n v="1.99403"/>
    <n v="1.9520150000000001"/>
    <n v="840.3"/>
  </r>
  <r>
    <x v="14"/>
    <x v="1"/>
    <x v="0"/>
    <n v="1.94255"/>
    <n v="1.91"/>
    <n v="1.99403"/>
    <n v="1.9520150000000001"/>
    <n v="840.3"/>
  </r>
  <r>
    <x v="14"/>
    <x v="1"/>
    <x v="0"/>
    <n v="1.94255"/>
    <n v="1.91"/>
    <n v="1.99403"/>
    <n v="1.9520150000000001"/>
    <n v="840.3"/>
  </r>
  <r>
    <x v="14"/>
    <x v="1"/>
    <x v="0"/>
    <n v="1.94255"/>
    <n v="1.91"/>
    <n v="1.99403"/>
    <n v="1.9520150000000001"/>
    <n v="840.3"/>
  </r>
  <r>
    <x v="14"/>
    <x v="1"/>
    <x v="0"/>
    <n v="1.94255"/>
    <n v="1.91"/>
    <n v="1.99403"/>
    <n v="1.9520150000000001"/>
    <n v="840.3"/>
  </r>
  <r>
    <x v="14"/>
    <x v="1"/>
    <x v="0"/>
    <n v="1.94255"/>
    <n v="1.91"/>
    <n v="1.99403"/>
    <n v="1.9520150000000001"/>
    <n v="840.3"/>
  </r>
  <r>
    <x v="14"/>
    <x v="1"/>
    <x v="0"/>
    <n v="1.94255"/>
    <n v="1.91"/>
    <n v="1.99403"/>
    <n v="1.9520150000000001"/>
    <n v="840.3"/>
  </r>
  <r>
    <x v="14"/>
    <x v="1"/>
    <x v="0"/>
    <n v="1.94255"/>
    <n v="1.91"/>
    <n v="1.99403"/>
    <n v="1.9520150000000001"/>
    <n v="840.3"/>
  </r>
  <r>
    <x v="14"/>
    <x v="1"/>
    <x v="0"/>
    <n v="1.94255"/>
    <n v="1.91"/>
    <n v="1.99403"/>
    <n v="1.9520150000000001"/>
    <n v="840.3"/>
  </r>
  <r>
    <x v="14"/>
    <x v="1"/>
    <x v="0"/>
    <n v="1.94255"/>
    <n v="1.91"/>
    <n v="1.99403"/>
    <n v="1.9520150000000001"/>
    <n v="840.3"/>
  </r>
  <r>
    <x v="14"/>
    <x v="1"/>
    <x v="0"/>
    <n v="1.94255"/>
    <n v="1.91"/>
    <n v="1.99403"/>
    <n v="1.9520150000000001"/>
    <n v="840.3"/>
  </r>
  <r>
    <x v="14"/>
    <x v="1"/>
    <x v="0"/>
    <n v="1.94255"/>
    <n v="1.91"/>
    <n v="1.99403"/>
    <n v="1.9520150000000001"/>
    <n v="840.3"/>
  </r>
  <r>
    <x v="14"/>
    <x v="1"/>
    <x v="0"/>
    <n v="1.94255"/>
    <n v="1.91"/>
    <n v="1.99403"/>
    <n v="1.9520150000000001"/>
    <n v="840.3"/>
  </r>
  <r>
    <x v="14"/>
    <x v="1"/>
    <x v="0"/>
    <n v="1.94255"/>
    <n v="1.91"/>
    <n v="1.99403"/>
    <n v="1.9520150000000001"/>
    <n v="840.3"/>
  </r>
  <r>
    <x v="14"/>
    <x v="1"/>
    <x v="0"/>
    <n v="1.94255"/>
    <n v="1.91"/>
    <n v="1.99403"/>
    <n v="1.9520150000000001"/>
    <n v="840.3"/>
  </r>
  <r>
    <x v="14"/>
    <x v="1"/>
    <x v="0"/>
    <n v="1.94255"/>
    <n v="1.91"/>
    <n v="1.99403"/>
    <n v="1.9520150000000001"/>
    <n v="840.3"/>
  </r>
  <r>
    <x v="14"/>
    <x v="1"/>
    <x v="0"/>
    <n v="1.94255"/>
    <n v="1.91"/>
    <n v="1.99403"/>
    <n v="1.9520150000000001"/>
    <n v="840.3"/>
  </r>
  <r>
    <x v="14"/>
    <x v="1"/>
    <x v="0"/>
    <n v="1.94255"/>
    <n v="1.91"/>
    <n v="1.99403"/>
    <n v="1.9520150000000001"/>
    <n v="840.3"/>
  </r>
  <r>
    <x v="14"/>
    <x v="1"/>
    <x v="0"/>
    <n v="1.94255"/>
    <n v="1.91"/>
    <n v="1.99403"/>
    <n v="1.9520150000000001"/>
    <n v="840.3"/>
  </r>
  <r>
    <x v="14"/>
    <x v="1"/>
    <x v="0"/>
    <n v="1.94255"/>
    <n v="1.91"/>
    <n v="1.99403"/>
    <n v="1.9520150000000001"/>
    <n v="840.3"/>
  </r>
  <r>
    <x v="14"/>
    <x v="1"/>
    <x v="0"/>
    <n v="1.94255"/>
    <n v="1.91"/>
    <n v="1.99403"/>
    <n v="1.9520150000000001"/>
    <n v="840.3"/>
  </r>
  <r>
    <x v="14"/>
    <x v="1"/>
    <x v="10"/>
    <n v="0.89192000000000005"/>
    <n v="0.871"/>
    <n v="0.90302000000000004"/>
    <n v="0.88700999999999997"/>
    <n v="320.2"/>
  </r>
  <r>
    <x v="14"/>
    <x v="1"/>
    <x v="10"/>
    <n v="0.89192000000000005"/>
    <n v="0.871"/>
    <n v="0.90302000000000004"/>
    <n v="0.88700999999999997"/>
    <n v="320.2"/>
  </r>
  <r>
    <x v="14"/>
    <x v="1"/>
    <x v="10"/>
    <n v="0.89192000000000005"/>
    <n v="0.871"/>
    <n v="0.90302000000000004"/>
    <n v="0.88700999999999997"/>
    <n v="320.2"/>
  </r>
  <r>
    <x v="14"/>
    <x v="1"/>
    <x v="10"/>
    <n v="0.89192000000000005"/>
    <n v="0.871"/>
    <n v="0.90302000000000004"/>
    <n v="0.88700999999999997"/>
    <n v="320.2"/>
  </r>
  <r>
    <x v="14"/>
    <x v="1"/>
    <x v="10"/>
    <n v="0.89192000000000005"/>
    <n v="0.871"/>
    <n v="0.90302000000000004"/>
    <n v="0.88700999999999997"/>
    <n v="320.2"/>
  </r>
  <r>
    <x v="14"/>
    <x v="1"/>
    <x v="10"/>
    <n v="0.89192000000000005"/>
    <n v="0.871"/>
    <n v="0.90302000000000004"/>
    <n v="0.88700999999999997"/>
    <n v="320.2"/>
  </r>
  <r>
    <x v="14"/>
    <x v="1"/>
    <x v="10"/>
    <n v="0.89192000000000005"/>
    <n v="0.871"/>
    <n v="0.90302000000000004"/>
    <n v="0.88700999999999997"/>
    <n v="320.2"/>
  </r>
  <r>
    <x v="14"/>
    <x v="1"/>
    <x v="10"/>
    <n v="0.89192000000000005"/>
    <n v="0.871"/>
    <n v="0.90302000000000004"/>
    <n v="0.88700999999999997"/>
    <n v="320.2"/>
  </r>
  <r>
    <x v="14"/>
    <x v="1"/>
    <x v="10"/>
    <n v="0.89192000000000005"/>
    <n v="0.871"/>
    <n v="0.90302000000000004"/>
    <n v="0.88700999999999997"/>
    <n v="320.2"/>
  </r>
  <r>
    <x v="14"/>
    <x v="1"/>
    <x v="10"/>
    <n v="0.89192000000000005"/>
    <n v="0.871"/>
    <n v="0.90302000000000004"/>
    <n v="0.88700999999999997"/>
    <n v="320.2"/>
  </r>
  <r>
    <x v="14"/>
    <x v="1"/>
    <x v="10"/>
    <n v="0.89192000000000005"/>
    <n v="0.871"/>
    <n v="0.90302000000000004"/>
    <n v="0.88700999999999997"/>
    <n v="320.2"/>
  </r>
  <r>
    <x v="14"/>
    <x v="1"/>
    <x v="10"/>
    <n v="0.89192000000000005"/>
    <n v="0.871"/>
    <n v="0.90302000000000004"/>
    <n v="0.88700999999999997"/>
    <n v="320.2"/>
  </r>
  <r>
    <x v="14"/>
    <x v="1"/>
    <x v="10"/>
    <n v="0.89192000000000005"/>
    <n v="0.871"/>
    <n v="0.90302000000000004"/>
    <n v="0.88700999999999997"/>
    <n v="320.2"/>
  </r>
  <r>
    <x v="14"/>
    <x v="1"/>
    <x v="10"/>
    <n v="0.89192000000000005"/>
    <n v="0.871"/>
    <n v="0.90302000000000004"/>
    <n v="0.88700999999999997"/>
    <n v="320.2"/>
  </r>
  <r>
    <x v="14"/>
    <x v="1"/>
    <x v="10"/>
    <n v="0.89192000000000005"/>
    <n v="0.871"/>
    <n v="0.90302000000000004"/>
    <n v="0.88700999999999997"/>
    <n v="320.2"/>
  </r>
  <r>
    <x v="14"/>
    <x v="2"/>
    <x v="10"/>
    <n v="0.89814000000000005"/>
    <n v="0.871"/>
    <n v="0.90302000000000004"/>
    <n v="0.88700999999999997"/>
    <n v="320.2"/>
  </r>
  <r>
    <x v="14"/>
    <x v="2"/>
    <x v="10"/>
    <n v="0.89814000000000005"/>
    <n v="0.871"/>
    <n v="0.90302000000000004"/>
    <n v="0.88700999999999997"/>
    <n v="320.2"/>
  </r>
  <r>
    <x v="14"/>
    <x v="2"/>
    <x v="10"/>
    <n v="0.89814000000000005"/>
    <n v="0.871"/>
    <n v="0.90302000000000004"/>
    <n v="0.88700999999999997"/>
    <n v="320.2"/>
  </r>
  <r>
    <x v="14"/>
    <x v="2"/>
    <x v="10"/>
    <n v="0.89814000000000005"/>
    <n v="0.871"/>
    <n v="0.90302000000000004"/>
    <n v="0.88700999999999997"/>
    <n v="320.2"/>
  </r>
  <r>
    <x v="14"/>
    <x v="2"/>
    <x v="4"/>
    <n v="95.113"/>
    <n v="91.4"/>
    <n v="96.4"/>
    <n v="93.9"/>
    <n v="500"/>
  </r>
  <r>
    <x v="14"/>
    <x v="2"/>
    <x v="4"/>
    <n v="95.113"/>
    <n v="91.4"/>
    <n v="96.4"/>
    <n v="93.9"/>
    <n v="500"/>
  </r>
  <r>
    <x v="14"/>
    <x v="2"/>
    <x v="4"/>
    <n v="95.113"/>
    <n v="91.4"/>
    <n v="96.4"/>
    <n v="93.9"/>
    <n v="500"/>
  </r>
  <r>
    <x v="14"/>
    <x v="2"/>
    <x v="4"/>
    <n v="95.113"/>
    <n v="91.4"/>
    <n v="96.4"/>
    <n v="93.9"/>
    <n v="500"/>
  </r>
  <r>
    <x v="14"/>
    <x v="2"/>
    <x v="4"/>
    <n v="95.113"/>
    <n v="91.4"/>
    <n v="96.4"/>
    <n v="93.9"/>
    <n v="500"/>
  </r>
  <r>
    <x v="14"/>
    <x v="2"/>
    <x v="4"/>
    <n v="95.113"/>
    <n v="91.4"/>
    <n v="96.4"/>
    <n v="93.9"/>
    <n v="500"/>
  </r>
  <r>
    <x v="14"/>
    <x v="2"/>
    <x v="4"/>
    <n v="95.113"/>
    <n v="91.4"/>
    <n v="96.4"/>
    <n v="93.9"/>
    <n v="500"/>
  </r>
  <r>
    <x v="14"/>
    <x v="2"/>
    <x v="4"/>
    <n v="95.113"/>
    <n v="91.4"/>
    <n v="96.4"/>
    <n v="93.9"/>
    <n v="500"/>
  </r>
  <r>
    <x v="14"/>
    <x v="2"/>
    <x v="4"/>
    <n v="95.113"/>
    <n v="91.4"/>
    <n v="96.4"/>
    <n v="93.9"/>
    <n v="500"/>
  </r>
  <r>
    <x v="14"/>
    <x v="2"/>
    <x v="4"/>
    <n v="95.113"/>
    <n v="91.4"/>
    <n v="96.4"/>
    <n v="93.9"/>
    <n v="500"/>
  </r>
  <r>
    <x v="14"/>
    <x v="2"/>
    <x v="4"/>
    <n v="95.113"/>
    <n v="91.4"/>
    <n v="96.4"/>
    <n v="93.9"/>
    <n v="500"/>
  </r>
  <r>
    <x v="14"/>
    <x v="2"/>
    <x v="4"/>
    <n v="95.113"/>
    <n v="91.4"/>
    <n v="96.4"/>
    <n v="93.9"/>
    <n v="500"/>
  </r>
  <r>
    <x v="14"/>
    <x v="2"/>
    <x v="4"/>
    <n v="95.113"/>
    <n v="91.4"/>
    <n v="96.4"/>
    <n v="93.9"/>
    <n v="500"/>
  </r>
  <r>
    <x v="14"/>
    <x v="2"/>
    <x v="4"/>
    <n v="95.113"/>
    <n v="91.4"/>
    <n v="96.4"/>
    <n v="93.9"/>
    <n v="500"/>
  </r>
  <r>
    <x v="14"/>
    <x v="2"/>
    <x v="4"/>
    <n v="95.113"/>
    <n v="91.4"/>
    <n v="96.4"/>
    <n v="93.9"/>
    <n v="500"/>
  </r>
  <r>
    <x v="14"/>
    <x v="2"/>
    <x v="4"/>
    <n v="95.113"/>
    <n v="91.4"/>
    <n v="96.4"/>
    <n v="93.9"/>
    <n v="500"/>
  </r>
  <r>
    <x v="14"/>
    <x v="2"/>
    <x v="4"/>
    <n v="95.113"/>
    <n v="91.4"/>
    <n v="96.4"/>
    <n v="93.9"/>
    <n v="500"/>
  </r>
  <r>
    <x v="14"/>
    <x v="2"/>
    <x v="4"/>
    <n v="95.113"/>
    <n v="91.4"/>
    <n v="96.4"/>
    <n v="93.9"/>
    <n v="500"/>
  </r>
  <r>
    <x v="14"/>
    <x v="2"/>
    <x v="4"/>
    <n v="95.113"/>
    <n v="91.4"/>
    <n v="96.4"/>
    <n v="93.9"/>
    <n v="500"/>
  </r>
  <r>
    <x v="14"/>
    <x v="2"/>
    <x v="4"/>
    <n v="95.113"/>
    <n v="91.4"/>
    <n v="96.4"/>
    <n v="93.9"/>
    <n v="500"/>
  </r>
  <r>
    <x v="14"/>
    <x v="2"/>
    <x v="4"/>
    <n v="95.113"/>
    <n v="91.4"/>
    <n v="96.4"/>
    <n v="93.9"/>
    <n v="500"/>
  </r>
  <r>
    <x v="14"/>
    <x v="2"/>
    <x v="4"/>
    <n v="95.113"/>
    <n v="91.4"/>
    <n v="96.4"/>
    <n v="93.9"/>
    <n v="500"/>
  </r>
  <r>
    <x v="14"/>
    <x v="2"/>
    <x v="4"/>
    <n v="95.113"/>
    <n v="91.4"/>
    <n v="96.4"/>
    <n v="93.9"/>
    <n v="500"/>
  </r>
  <r>
    <x v="14"/>
    <x v="2"/>
    <x v="4"/>
    <n v="95.113"/>
    <n v="91.4"/>
    <n v="96.4"/>
    <n v="93.9"/>
    <n v="500"/>
  </r>
  <r>
    <x v="14"/>
    <x v="2"/>
    <x v="4"/>
    <n v="95.113"/>
    <n v="91.4"/>
    <n v="96.4"/>
    <n v="93.9"/>
    <n v="500"/>
  </r>
  <r>
    <x v="14"/>
    <x v="2"/>
    <x v="4"/>
    <n v="95.113"/>
    <n v="91.4"/>
    <n v="96.4"/>
    <n v="93.9"/>
    <n v="500"/>
  </r>
  <r>
    <x v="14"/>
    <x v="2"/>
    <x v="4"/>
    <n v="95.113"/>
    <n v="91.4"/>
    <n v="96.4"/>
    <n v="93.9"/>
    <n v="500"/>
  </r>
  <r>
    <x v="14"/>
    <x v="2"/>
    <x v="0"/>
    <n v="1.96496"/>
    <n v="1.91"/>
    <n v="1.99403"/>
    <n v="1.9520150000000001"/>
    <n v="840.3"/>
  </r>
  <r>
    <x v="14"/>
    <x v="2"/>
    <x v="0"/>
    <n v="1.96496"/>
    <n v="1.91"/>
    <n v="1.99403"/>
    <n v="1.9520150000000001"/>
    <n v="840.3"/>
  </r>
  <r>
    <x v="14"/>
    <x v="2"/>
    <x v="0"/>
    <n v="1.96496"/>
    <n v="1.91"/>
    <n v="1.99403"/>
    <n v="1.9520150000000001"/>
    <n v="840.3"/>
  </r>
  <r>
    <x v="14"/>
    <x v="2"/>
    <x v="0"/>
    <n v="1.96496"/>
    <n v="1.91"/>
    <n v="1.99403"/>
    <n v="1.9520150000000001"/>
    <n v="840.3"/>
  </r>
  <r>
    <x v="14"/>
    <x v="2"/>
    <x v="0"/>
    <n v="1.96496"/>
    <n v="1.91"/>
    <n v="1.99403"/>
    <n v="1.9520150000000001"/>
    <n v="840.3"/>
  </r>
  <r>
    <x v="14"/>
    <x v="2"/>
    <x v="0"/>
    <n v="1.96496"/>
    <n v="1.91"/>
    <n v="1.99403"/>
    <n v="1.9520150000000001"/>
    <n v="840.3"/>
  </r>
  <r>
    <x v="14"/>
    <x v="2"/>
    <x v="0"/>
    <n v="1.96496"/>
    <n v="1.91"/>
    <n v="1.99403"/>
    <n v="1.9520150000000001"/>
    <n v="840.3"/>
  </r>
  <r>
    <x v="14"/>
    <x v="2"/>
    <x v="0"/>
    <n v="1.96496"/>
    <n v="1.91"/>
    <n v="1.99403"/>
    <n v="1.9520150000000001"/>
    <n v="840.3"/>
  </r>
  <r>
    <x v="14"/>
    <x v="2"/>
    <x v="0"/>
    <n v="1.96496"/>
    <n v="1.91"/>
    <n v="1.99403"/>
    <n v="1.9520150000000001"/>
    <n v="840.3"/>
  </r>
  <r>
    <x v="14"/>
    <x v="2"/>
    <x v="0"/>
    <n v="1.96496"/>
    <n v="1.91"/>
    <n v="1.99403"/>
    <n v="1.9520150000000001"/>
    <n v="840.3"/>
  </r>
  <r>
    <x v="14"/>
    <x v="2"/>
    <x v="0"/>
    <n v="1.96496"/>
    <n v="1.91"/>
    <n v="1.99403"/>
    <n v="1.9520150000000001"/>
    <n v="840.3"/>
  </r>
  <r>
    <x v="14"/>
    <x v="2"/>
    <x v="0"/>
    <n v="1.96496"/>
    <n v="1.91"/>
    <n v="1.99403"/>
    <n v="1.9520150000000001"/>
    <n v="840.3"/>
  </r>
  <r>
    <x v="14"/>
    <x v="2"/>
    <x v="0"/>
    <n v="1.96496"/>
    <n v="1.91"/>
    <n v="1.99403"/>
    <n v="1.9520150000000001"/>
    <n v="840.3"/>
  </r>
  <r>
    <x v="14"/>
    <x v="2"/>
    <x v="0"/>
    <n v="1.96496"/>
    <n v="1.91"/>
    <n v="1.99403"/>
    <n v="1.9520150000000001"/>
    <n v="840.3"/>
  </r>
  <r>
    <x v="14"/>
    <x v="2"/>
    <x v="0"/>
    <n v="1.96496"/>
    <n v="1.91"/>
    <n v="1.99403"/>
    <n v="1.9520150000000001"/>
    <n v="840.3"/>
  </r>
  <r>
    <x v="14"/>
    <x v="2"/>
    <x v="0"/>
    <n v="1.96496"/>
    <n v="1.91"/>
    <n v="1.99403"/>
    <n v="1.9520150000000001"/>
    <n v="840.3"/>
  </r>
  <r>
    <x v="14"/>
    <x v="2"/>
    <x v="0"/>
    <n v="1.96496"/>
    <n v="1.91"/>
    <n v="1.99403"/>
    <n v="1.9520150000000001"/>
    <n v="840.3"/>
  </r>
  <r>
    <x v="14"/>
    <x v="2"/>
    <x v="0"/>
    <n v="1.96496"/>
    <n v="1.91"/>
    <n v="1.99403"/>
    <n v="1.9520150000000001"/>
    <n v="840.3"/>
  </r>
  <r>
    <x v="14"/>
    <x v="2"/>
    <x v="0"/>
    <n v="1.96496"/>
    <n v="1.91"/>
    <n v="1.99403"/>
    <n v="1.9520150000000001"/>
    <n v="840.3"/>
  </r>
  <r>
    <x v="14"/>
    <x v="2"/>
    <x v="0"/>
    <n v="1.96496"/>
    <n v="1.91"/>
    <n v="1.99403"/>
    <n v="1.9520150000000001"/>
    <n v="840.3"/>
  </r>
  <r>
    <x v="14"/>
    <x v="2"/>
    <x v="0"/>
    <n v="1.96496"/>
    <n v="1.91"/>
    <n v="1.99403"/>
    <n v="1.9520150000000001"/>
    <n v="840.3"/>
  </r>
  <r>
    <x v="14"/>
    <x v="2"/>
    <x v="0"/>
    <n v="1.96496"/>
    <n v="1.91"/>
    <n v="1.99403"/>
    <n v="1.9520150000000001"/>
    <n v="840.3"/>
  </r>
  <r>
    <x v="14"/>
    <x v="2"/>
    <x v="10"/>
    <n v="0.89814000000000005"/>
    <n v="0.871"/>
    <n v="0.90302000000000004"/>
    <n v="0.88700999999999997"/>
    <n v="320.2"/>
  </r>
  <r>
    <x v="14"/>
    <x v="2"/>
    <x v="10"/>
    <n v="0.89814000000000005"/>
    <n v="0.871"/>
    <n v="0.90302000000000004"/>
    <n v="0.88700999999999997"/>
    <n v="320.2"/>
  </r>
  <r>
    <x v="14"/>
    <x v="2"/>
    <x v="10"/>
    <n v="0.89814000000000005"/>
    <n v="0.871"/>
    <n v="0.90302000000000004"/>
    <n v="0.88700999999999997"/>
    <n v="320.2"/>
  </r>
  <r>
    <x v="14"/>
    <x v="2"/>
    <x v="10"/>
    <n v="0.89814000000000005"/>
    <n v="0.871"/>
    <n v="0.90302000000000004"/>
    <n v="0.88700999999999997"/>
    <n v="320.2"/>
  </r>
  <r>
    <x v="14"/>
    <x v="2"/>
    <x v="10"/>
    <n v="0.89814000000000005"/>
    <n v="0.871"/>
    <n v="0.90302000000000004"/>
    <n v="0.88700999999999997"/>
    <n v="320.2"/>
  </r>
  <r>
    <x v="14"/>
    <x v="2"/>
    <x v="10"/>
    <n v="0.89814000000000005"/>
    <n v="0.871"/>
    <n v="0.90302000000000004"/>
    <n v="0.88700999999999997"/>
    <n v="320.2"/>
  </r>
  <r>
    <x v="14"/>
    <x v="2"/>
    <x v="10"/>
    <n v="0.89814000000000005"/>
    <n v="0.871"/>
    <n v="0.90302000000000004"/>
    <n v="0.88700999999999997"/>
    <n v="320.2"/>
  </r>
  <r>
    <x v="14"/>
    <x v="2"/>
    <x v="10"/>
    <n v="0.89814000000000005"/>
    <n v="0.871"/>
    <n v="0.90302000000000004"/>
    <n v="0.88700999999999997"/>
    <n v="320.2"/>
  </r>
  <r>
    <x v="14"/>
    <x v="2"/>
    <x v="10"/>
    <n v="0.89814000000000005"/>
    <n v="0.871"/>
    <n v="0.90302000000000004"/>
    <n v="0.88700999999999997"/>
    <n v="320.2"/>
  </r>
  <r>
    <x v="14"/>
    <x v="2"/>
    <x v="10"/>
    <n v="0.89814000000000005"/>
    <n v="0.871"/>
    <n v="0.90302000000000004"/>
    <n v="0.88700999999999997"/>
    <n v="320.2"/>
  </r>
  <r>
    <x v="14"/>
    <x v="2"/>
    <x v="10"/>
    <n v="0.89814000000000005"/>
    <n v="0.871"/>
    <n v="0.90302000000000004"/>
    <n v="0.88700999999999997"/>
    <n v="320.2"/>
  </r>
  <r>
    <x v="14"/>
    <x v="2"/>
    <x v="10"/>
    <n v="0.89814000000000005"/>
    <n v="0.871"/>
    <n v="0.90302000000000004"/>
    <n v="0.88700999999999997"/>
    <n v="320.2"/>
  </r>
  <r>
    <x v="14"/>
    <x v="2"/>
    <x v="10"/>
    <n v="0.89814000000000005"/>
    <n v="0.871"/>
    <n v="0.90302000000000004"/>
    <n v="0.88700999999999997"/>
    <n v="320.2"/>
  </r>
  <r>
    <x v="14"/>
    <x v="2"/>
    <x v="10"/>
    <n v="0.89814000000000005"/>
    <n v="0.871"/>
    <n v="0.90302000000000004"/>
    <n v="0.88700999999999997"/>
    <n v="320.2"/>
  </r>
  <r>
    <x v="14"/>
    <x v="2"/>
    <x v="10"/>
    <n v="0.89814000000000005"/>
    <n v="0.871"/>
    <n v="0.90302000000000004"/>
    <n v="0.88700999999999997"/>
    <n v="320.2"/>
  </r>
  <r>
    <x v="14"/>
    <x v="3"/>
    <x v="10"/>
    <n v="0.90461000000000003"/>
    <n v="0.871"/>
    <n v="0.90500000000000003"/>
    <n v="0.88800000000000001"/>
    <n v="340"/>
  </r>
  <r>
    <x v="14"/>
    <x v="3"/>
    <x v="10"/>
    <n v="0.90461000000000003"/>
    <n v="0.871"/>
    <n v="0.90500000000000003"/>
    <n v="0.88800000000000001"/>
    <n v="340"/>
  </r>
  <r>
    <x v="14"/>
    <x v="3"/>
    <x v="10"/>
    <n v="0.90461000000000003"/>
    <n v="0.871"/>
    <n v="0.90500000000000003"/>
    <n v="0.88800000000000001"/>
    <n v="340"/>
  </r>
  <r>
    <x v="14"/>
    <x v="3"/>
    <x v="10"/>
    <n v="0.90461000000000003"/>
    <n v="0.871"/>
    <n v="0.90500000000000003"/>
    <n v="0.88800000000000001"/>
    <n v="340"/>
  </r>
  <r>
    <x v="14"/>
    <x v="3"/>
    <x v="10"/>
    <n v="0.90461000000000003"/>
    <n v="0.871"/>
    <n v="0.90500000000000003"/>
    <n v="0.88800000000000001"/>
    <n v="340"/>
  </r>
  <r>
    <x v="14"/>
    <x v="3"/>
    <x v="10"/>
    <n v="0.90461000000000003"/>
    <n v="0.871"/>
    <n v="0.90500000000000003"/>
    <n v="0.88800000000000001"/>
    <n v="340"/>
  </r>
  <r>
    <x v="14"/>
    <x v="3"/>
    <x v="4"/>
    <n v="95.638999999999996"/>
    <n v="91.4"/>
    <n v="96.4"/>
    <n v="93.9"/>
    <n v="500"/>
  </r>
  <r>
    <x v="14"/>
    <x v="3"/>
    <x v="4"/>
    <n v="95.638999999999996"/>
    <n v="91.4"/>
    <n v="96.4"/>
    <n v="93.9"/>
    <n v="500"/>
  </r>
  <r>
    <x v="14"/>
    <x v="3"/>
    <x v="4"/>
    <n v="95.638999999999996"/>
    <n v="91.4"/>
    <n v="96.4"/>
    <n v="93.9"/>
    <n v="500"/>
  </r>
  <r>
    <x v="14"/>
    <x v="3"/>
    <x v="4"/>
    <n v="95.638999999999996"/>
    <n v="91.4"/>
    <n v="96.4"/>
    <n v="93.9"/>
    <n v="500"/>
  </r>
  <r>
    <x v="14"/>
    <x v="3"/>
    <x v="4"/>
    <n v="95.638999999999996"/>
    <n v="91.4"/>
    <n v="96.4"/>
    <n v="93.9"/>
    <n v="500"/>
  </r>
  <r>
    <x v="14"/>
    <x v="3"/>
    <x v="4"/>
    <n v="95.638999999999996"/>
    <n v="91.4"/>
    <n v="96.4"/>
    <n v="93.9"/>
    <n v="500"/>
  </r>
  <r>
    <x v="14"/>
    <x v="3"/>
    <x v="4"/>
    <n v="95.638999999999996"/>
    <n v="91.4"/>
    <n v="96.4"/>
    <n v="93.9"/>
    <n v="500"/>
  </r>
  <r>
    <x v="14"/>
    <x v="3"/>
    <x v="4"/>
    <n v="95.638999999999996"/>
    <n v="91.4"/>
    <n v="96.4"/>
    <n v="93.9"/>
    <n v="500"/>
  </r>
  <r>
    <x v="14"/>
    <x v="3"/>
    <x v="4"/>
    <n v="95.638999999999996"/>
    <n v="91.4"/>
    <n v="96.4"/>
    <n v="93.9"/>
    <n v="500"/>
  </r>
  <r>
    <x v="14"/>
    <x v="3"/>
    <x v="4"/>
    <n v="95.638999999999996"/>
    <n v="91.4"/>
    <n v="96.4"/>
    <n v="93.9"/>
    <n v="500"/>
  </r>
  <r>
    <x v="14"/>
    <x v="3"/>
    <x v="4"/>
    <n v="95.638999999999996"/>
    <n v="91.4"/>
    <n v="96.4"/>
    <n v="93.9"/>
    <n v="500"/>
  </r>
  <r>
    <x v="14"/>
    <x v="3"/>
    <x v="4"/>
    <n v="95.638999999999996"/>
    <n v="91.4"/>
    <n v="96.4"/>
    <n v="93.9"/>
    <n v="500"/>
  </r>
  <r>
    <x v="14"/>
    <x v="3"/>
    <x v="4"/>
    <n v="95.638999999999996"/>
    <n v="91.4"/>
    <n v="96.4"/>
    <n v="93.9"/>
    <n v="500"/>
  </r>
  <r>
    <x v="14"/>
    <x v="3"/>
    <x v="4"/>
    <n v="95.638999999999996"/>
    <n v="91.4"/>
    <n v="96.4"/>
    <n v="93.9"/>
    <n v="500"/>
  </r>
  <r>
    <x v="14"/>
    <x v="3"/>
    <x v="4"/>
    <n v="95.638999999999996"/>
    <n v="91.4"/>
    <n v="96.4"/>
    <n v="93.9"/>
    <n v="500"/>
  </r>
  <r>
    <x v="14"/>
    <x v="3"/>
    <x v="4"/>
    <n v="95.638999999999996"/>
    <n v="91.4"/>
    <n v="96.4"/>
    <n v="93.9"/>
    <n v="500"/>
  </r>
  <r>
    <x v="14"/>
    <x v="3"/>
    <x v="4"/>
    <n v="95.638999999999996"/>
    <n v="91.4"/>
    <n v="96.4"/>
    <n v="93.9"/>
    <n v="500"/>
  </r>
  <r>
    <x v="14"/>
    <x v="3"/>
    <x v="4"/>
    <n v="95.638999999999996"/>
    <n v="91.4"/>
    <n v="96.4"/>
    <n v="93.9"/>
    <n v="500"/>
  </r>
  <r>
    <x v="14"/>
    <x v="3"/>
    <x v="4"/>
    <n v="95.638999999999996"/>
    <n v="91.4"/>
    <n v="96.4"/>
    <n v="93.9"/>
    <n v="500"/>
  </r>
  <r>
    <x v="14"/>
    <x v="3"/>
    <x v="4"/>
    <n v="95.638999999999996"/>
    <n v="91.4"/>
    <n v="96.4"/>
    <n v="93.9"/>
    <n v="500"/>
  </r>
  <r>
    <x v="14"/>
    <x v="3"/>
    <x v="4"/>
    <n v="95.638999999999996"/>
    <n v="91.4"/>
    <n v="96.4"/>
    <n v="93.9"/>
    <n v="500"/>
  </r>
  <r>
    <x v="14"/>
    <x v="3"/>
    <x v="4"/>
    <n v="95.638999999999996"/>
    <n v="91.4"/>
    <n v="96.4"/>
    <n v="93.9"/>
    <n v="500"/>
  </r>
  <r>
    <x v="14"/>
    <x v="3"/>
    <x v="4"/>
    <n v="95.638999999999996"/>
    <n v="91.4"/>
    <n v="96.4"/>
    <n v="93.9"/>
    <n v="500"/>
  </r>
  <r>
    <x v="14"/>
    <x v="3"/>
    <x v="4"/>
    <n v="95.638999999999996"/>
    <n v="91.4"/>
    <n v="96.4"/>
    <n v="93.9"/>
    <n v="500"/>
  </r>
  <r>
    <x v="14"/>
    <x v="3"/>
    <x v="4"/>
    <n v="95.638999999999996"/>
    <n v="91.4"/>
    <n v="96.4"/>
    <n v="93.9"/>
    <n v="500"/>
  </r>
  <r>
    <x v="14"/>
    <x v="3"/>
    <x v="4"/>
    <n v="95.638999999999996"/>
    <n v="91.4"/>
    <n v="96.4"/>
    <n v="93.9"/>
    <n v="500"/>
  </r>
  <r>
    <x v="14"/>
    <x v="3"/>
    <x v="4"/>
    <n v="95.638999999999996"/>
    <n v="91.4"/>
    <n v="96.4"/>
    <n v="93.9"/>
    <n v="500"/>
  </r>
  <r>
    <x v="14"/>
    <x v="3"/>
    <x v="0"/>
    <n v="1.9835499999999999"/>
    <n v="1.91"/>
    <n v="1.99403"/>
    <n v="1.9520150000000001"/>
    <n v="840.3"/>
  </r>
  <r>
    <x v="14"/>
    <x v="3"/>
    <x v="0"/>
    <n v="1.9835499999999999"/>
    <n v="1.91"/>
    <n v="1.99403"/>
    <n v="1.9520150000000001"/>
    <n v="840.3"/>
  </r>
  <r>
    <x v="14"/>
    <x v="3"/>
    <x v="0"/>
    <n v="1.9835499999999999"/>
    <n v="1.91"/>
    <n v="1.99403"/>
    <n v="1.9520150000000001"/>
    <n v="840.3"/>
  </r>
  <r>
    <x v="14"/>
    <x v="3"/>
    <x v="0"/>
    <n v="1.9835499999999999"/>
    <n v="1.91"/>
    <n v="1.99403"/>
    <n v="1.9520150000000001"/>
    <n v="840.3"/>
  </r>
  <r>
    <x v="14"/>
    <x v="3"/>
    <x v="0"/>
    <n v="1.9835499999999999"/>
    <n v="1.91"/>
    <n v="1.99403"/>
    <n v="1.9520150000000001"/>
    <n v="840.3"/>
  </r>
  <r>
    <x v="14"/>
    <x v="3"/>
    <x v="0"/>
    <n v="1.9835499999999999"/>
    <n v="1.91"/>
    <n v="1.99403"/>
    <n v="1.9520150000000001"/>
    <n v="840.3"/>
  </r>
  <r>
    <x v="14"/>
    <x v="3"/>
    <x v="0"/>
    <n v="1.9835499999999999"/>
    <n v="1.91"/>
    <n v="1.99403"/>
    <n v="1.9520150000000001"/>
    <n v="840.3"/>
  </r>
  <r>
    <x v="14"/>
    <x v="3"/>
    <x v="0"/>
    <n v="1.9835499999999999"/>
    <n v="1.91"/>
    <n v="1.99403"/>
    <n v="1.9520150000000001"/>
    <n v="840.3"/>
  </r>
  <r>
    <x v="14"/>
    <x v="3"/>
    <x v="0"/>
    <n v="1.9835499999999999"/>
    <n v="1.91"/>
    <n v="1.99403"/>
    <n v="1.9520150000000001"/>
    <n v="840.3"/>
  </r>
  <r>
    <x v="14"/>
    <x v="3"/>
    <x v="0"/>
    <n v="1.9835499999999999"/>
    <n v="1.91"/>
    <n v="1.99403"/>
    <n v="1.9520150000000001"/>
    <n v="840.3"/>
  </r>
  <r>
    <x v="14"/>
    <x v="3"/>
    <x v="0"/>
    <n v="1.9835499999999999"/>
    <n v="1.91"/>
    <n v="1.99403"/>
    <n v="1.9520150000000001"/>
    <n v="840.3"/>
  </r>
  <r>
    <x v="14"/>
    <x v="3"/>
    <x v="0"/>
    <n v="1.9835499999999999"/>
    <n v="1.91"/>
    <n v="1.99403"/>
    <n v="1.9520150000000001"/>
    <n v="840.3"/>
  </r>
  <r>
    <x v="14"/>
    <x v="3"/>
    <x v="0"/>
    <n v="1.9835499999999999"/>
    <n v="1.91"/>
    <n v="1.99403"/>
    <n v="1.9520150000000001"/>
    <n v="840.3"/>
  </r>
  <r>
    <x v="14"/>
    <x v="3"/>
    <x v="0"/>
    <n v="1.9835499999999999"/>
    <n v="1.91"/>
    <n v="1.99403"/>
    <n v="1.9520150000000001"/>
    <n v="840.3"/>
  </r>
  <r>
    <x v="14"/>
    <x v="3"/>
    <x v="0"/>
    <n v="1.9835499999999999"/>
    <n v="1.91"/>
    <n v="1.99403"/>
    <n v="1.9520150000000001"/>
    <n v="840.3"/>
  </r>
  <r>
    <x v="14"/>
    <x v="3"/>
    <x v="0"/>
    <n v="1.9835499999999999"/>
    <n v="1.91"/>
    <n v="1.99403"/>
    <n v="1.9520150000000001"/>
    <n v="840.3"/>
  </r>
  <r>
    <x v="14"/>
    <x v="3"/>
    <x v="0"/>
    <n v="1.9835499999999999"/>
    <n v="1.91"/>
    <n v="1.99403"/>
    <n v="1.9520150000000001"/>
    <n v="840.3"/>
  </r>
  <r>
    <x v="14"/>
    <x v="3"/>
    <x v="0"/>
    <n v="1.9835499999999999"/>
    <n v="1.91"/>
    <n v="1.99403"/>
    <n v="1.9520150000000001"/>
    <n v="840.3"/>
  </r>
  <r>
    <x v="14"/>
    <x v="3"/>
    <x v="0"/>
    <n v="1.9835499999999999"/>
    <n v="1.91"/>
    <n v="1.99403"/>
    <n v="1.9520150000000001"/>
    <n v="840.3"/>
  </r>
  <r>
    <x v="14"/>
    <x v="3"/>
    <x v="0"/>
    <n v="1.9835499999999999"/>
    <n v="1.91"/>
    <n v="1.99403"/>
    <n v="1.9520150000000001"/>
    <n v="840.3"/>
  </r>
  <r>
    <x v="14"/>
    <x v="3"/>
    <x v="0"/>
    <n v="1.9835499999999999"/>
    <n v="1.91"/>
    <n v="1.99403"/>
    <n v="1.9520150000000001"/>
    <n v="840.3"/>
  </r>
  <r>
    <x v="14"/>
    <x v="3"/>
    <x v="0"/>
    <n v="1.9835499999999999"/>
    <n v="1.91"/>
    <n v="1.99403"/>
    <n v="1.9520150000000001"/>
    <n v="840.3"/>
  </r>
  <r>
    <x v="14"/>
    <x v="3"/>
    <x v="0"/>
    <n v="1.9835499999999999"/>
    <n v="1.91"/>
    <n v="1.99403"/>
    <n v="1.9520150000000001"/>
    <n v="840.3"/>
  </r>
  <r>
    <x v="14"/>
    <x v="3"/>
    <x v="10"/>
    <n v="0.90461000000000003"/>
    <n v="0.871"/>
    <n v="0.90500000000000003"/>
    <n v="0.88800000000000001"/>
    <n v="340"/>
  </r>
  <r>
    <x v="14"/>
    <x v="3"/>
    <x v="10"/>
    <n v="0.90461000000000003"/>
    <n v="0.871"/>
    <n v="0.90500000000000003"/>
    <n v="0.88800000000000001"/>
    <n v="340"/>
  </r>
  <r>
    <x v="14"/>
    <x v="3"/>
    <x v="10"/>
    <n v="0.90461000000000003"/>
    <n v="0.871"/>
    <n v="0.90500000000000003"/>
    <n v="0.88800000000000001"/>
    <n v="340"/>
  </r>
  <r>
    <x v="14"/>
    <x v="3"/>
    <x v="10"/>
    <n v="0.90461000000000003"/>
    <n v="0.871"/>
    <n v="0.90500000000000003"/>
    <n v="0.88800000000000001"/>
    <n v="340"/>
  </r>
  <r>
    <x v="14"/>
    <x v="3"/>
    <x v="10"/>
    <n v="0.90461000000000003"/>
    <n v="0.871"/>
    <n v="0.90500000000000003"/>
    <n v="0.88800000000000001"/>
    <n v="340"/>
  </r>
  <r>
    <x v="14"/>
    <x v="3"/>
    <x v="10"/>
    <n v="0.90461000000000003"/>
    <n v="0.871"/>
    <n v="0.90500000000000003"/>
    <n v="0.88800000000000001"/>
    <n v="340"/>
  </r>
  <r>
    <x v="14"/>
    <x v="3"/>
    <x v="10"/>
    <n v="0.90461000000000003"/>
    <n v="0.871"/>
    <n v="0.90500000000000003"/>
    <n v="0.88800000000000001"/>
    <n v="340"/>
  </r>
  <r>
    <x v="14"/>
    <x v="3"/>
    <x v="10"/>
    <n v="0.90461000000000003"/>
    <n v="0.871"/>
    <n v="0.90500000000000003"/>
    <n v="0.88800000000000001"/>
    <n v="340"/>
  </r>
  <r>
    <x v="14"/>
    <x v="3"/>
    <x v="10"/>
    <n v="0.90461000000000003"/>
    <n v="0.871"/>
    <n v="0.90500000000000003"/>
    <n v="0.88800000000000001"/>
    <n v="340"/>
  </r>
  <r>
    <x v="14"/>
    <x v="3"/>
    <x v="10"/>
    <n v="0.90461000000000003"/>
    <n v="0.871"/>
    <n v="0.90500000000000003"/>
    <n v="0.88800000000000001"/>
    <n v="340"/>
  </r>
  <r>
    <x v="14"/>
    <x v="3"/>
    <x v="10"/>
    <n v="0.90461000000000003"/>
    <n v="0.871"/>
    <n v="0.90500000000000003"/>
    <n v="0.88800000000000001"/>
    <n v="340"/>
  </r>
  <r>
    <x v="14"/>
    <x v="3"/>
    <x v="10"/>
    <n v="0.90461000000000003"/>
    <n v="0.871"/>
    <n v="0.90500000000000003"/>
    <n v="0.88800000000000001"/>
    <n v="340"/>
  </r>
  <r>
    <x v="14"/>
    <x v="3"/>
    <x v="10"/>
    <n v="0.90461000000000003"/>
    <n v="0.871"/>
    <n v="0.90500000000000003"/>
    <n v="0.88800000000000001"/>
    <n v="340"/>
  </r>
  <r>
    <x v="14"/>
    <x v="3"/>
    <x v="10"/>
    <n v="0.90461000000000003"/>
    <n v="0.871"/>
    <n v="0.90500000000000003"/>
    <n v="0.88800000000000001"/>
    <n v="340"/>
  </r>
  <r>
    <x v="14"/>
    <x v="4"/>
    <x v="10"/>
    <n v="0.90578000000000003"/>
    <n v="0.871"/>
    <n v="0.90917999999999999"/>
    <n v="0.89009000000000005"/>
    <n v="381.8"/>
  </r>
  <r>
    <x v="14"/>
    <x v="4"/>
    <x v="10"/>
    <n v="0.90578000000000003"/>
    <n v="0.871"/>
    <n v="0.90917999999999999"/>
    <n v="0.89009000000000005"/>
    <n v="381.8"/>
  </r>
  <r>
    <x v="14"/>
    <x v="4"/>
    <x v="10"/>
    <n v="0.90578000000000003"/>
    <n v="0.871"/>
    <n v="0.90917999999999999"/>
    <n v="0.89009000000000005"/>
    <n v="381.8"/>
  </r>
  <r>
    <x v="14"/>
    <x v="4"/>
    <x v="10"/>
    <n v="0.90578000000000003"/>
    <n v="0.871"/>
    <n v="0.90917999999999999"/>
    <n v="0.89009000000000005"/>
    <n v="381.8"/>
  </r>
  <r>
    <x v="14"/>
    <x v="4"/>
    <x v="10"/>
    <n v="0.90578000000000003"/>
    <n v="0.871"/>
    <n v="0.90917999999999999"/>
    <n v="0.89009000000000005"/>
    <n v="381.8"/>
  </r>
  <r>
    <x v="14"/>
    <x v="4"/>
    <x v="10"/>
    <n v="0.90578000000000003"/>
    <n v="0.871"/>
    <n v="0.90917999999999999"/>
    <n v="0.89009000000000005"/>
    <n v="381.8"/>
  </r>
  <r>
    <x v="14"/>
    <x v="4"/>
    <x v="10"/>
    <n v="0.90578000000000003"/>
    <n v="0.871"/>
    <n v="0.90917999999999999"/>
    <n v="0.89009000000000005"/>
    <n v="381.8"/>
  </r>
  <r>
    <x v="14"/>
    <x v="4"/>
    <x v="10"/>
    <n v="0.90578000000000003"/>
    <n v="0.871"/>
    <n v="0.90917999999999999"/>
    <n v="0.89009000000000005"/>
    <n v="381.8"/>
  </r>
  <r>
    <x v="14"/>
    <x v="4"/>
    <x v="10"/>
    <n v="0.90578000000000003"/>
    <n v="0.871"/>
    <n v="0.90917999999999999"/>
    <n v="0.89009000000000005"/>
    <n v="381.8"/>
  </r>
  <r>
    <x v="14"/>
    <x v="4"/>
    <x v="4"/>
    <n v="95.513999999999996"/>
    <n v="91.4"/>
    <n v="96.4"/>
    <n v="93.9"/>
    <n v="500"/>
  </r>
  <r>
    <x v="14"/>
    <x v="4"/>
    <x v="4"/>
    <n v="95.513999999999996"/>
    <n v="91.4"/>
    <n v="96.4"/>
    <n v="93.9"/>
    <n v="500"/>
  </r>
  <r>
    <x v="14"/>
    <x v="4"/>
    <x v="4"/>
    <n v="95.513999999999996"/>
    <n v="91.4"/>
    <n v="96.4"/>
    <n v="93.9"/>
    <n v="500"/>
  </r>
  <r>
    <x v="14"/>
    <x v="4"/>
    <x v="4"/>
    <n v="95.513999999999996"/>
    <n v="91.4"/>
    <n v="96.4"/>
    <n v="93.9"/>
    <n v="500"/>
  </r>
  <r>
    <x v="14"/>
    <x v="4"/>
    <x v="4"/>
    <n v="95.513999999999996"/>
    <n v="91.4"/>
    <n v="96.4"/>
    <n v="93.9"/>
    <n v="500"/>
  </r>
  <r>
    <x v="14"/>
    <x v="4"/>
    <x v="4"/>
    <n v="95.513999999999996"/>
    <n v="91.4"/>
    <n v="96.4"/>
    <n v="93.9"/>
    <n v="500"/>
  </r>
  <r>
    <x v="14"/>
    <x v="4"/>
    <x v="4"/>
    <n v="95.513999999999996"/>
    <n v="91.4"/>
    <n v="96.4"/>
    <n v="93.9"/>
    <n v="500"/>
  </r>
  <r>
    <x v="14"/>
    <x v="4"/>
    <x v="4"/>
    <n v="95.513999999999996"/>
    <n v="91.4"/>
    <n v="96.4"/>
    <n v="93.9"/>
    <n v="500"/>
  </r>
  <r>
    <x v="14"/>
    <x v="4"/>
    <x v="4"/>
    <n v="95.513999999999996"/>
    <n v="91.4"/>
    <n v="96.4"/>
    <n v="93.9"/>
    <n v="500"/>
  </r>
  <r>
    <x v="14"/>
    <x v="4"/>
    <x v="4"/>
    <n v="95.513999999999996"/>
    <n v="91.4"/>
    <n v="96.4"/>
    <n v="93.9"/>
    <n v="500"/>
  </r>
  <r>
    <x v="14"/>
    <x v="4"/>
    <x v="4"/>
    <n v="95.513999999999996"/>
    <n v="91.4"/>
    <n v="96.4"/>
    <n v="93.9"/>
    <n v="500"/>
  </r>
  <r>
    <x v="14"/>
    <x v="4"/>
    <x v="4"/>
    <n v="95.513999999999996"/>
    <n v="91.4"/>
    <n v="96.4"/>
    <n v="93.9"/>
    <n v="500"/>
  </r>
  <r>
    <x v="14"/>
    <x v="4"/>
    <x v="4"/>
    <n v="95.513999999999996"/>
    <n v="91.4"/>
    <n v="96.4"/>
    <n v="93.9"/>
    <n v="500"/>
  </r>
  <r>
    <x v="14"/>
    <x v="4"/>
    <x v="4"/>
    <n v="95.513999999999996"/>
    <n v="91.4"/>
    <n v="96.4"/>
    <n v="93.9"/>
    <n v="500"/>
  </r>
  <r>
    <x v="14"/>
    <x v="4"/>
    <x v="4"/>
    <n v="95.513999999999996"/>
    <n v="91.4"/>
    <n v="96.4"/>
    <n v="93.9"/>
    <n v="500"/>
  </r>
  <r>
    <x v="14"/>
    <x v="4"/>
    <x v="4"/>
    <n v="95.513999999999996"/>
    <n v="91.4"/>
    <n v="96.4"/>
    <n v="93.9"/>
    <n v="500"/>
  </r>
  <r>
    <x v="14"/>
    <x v="4"/>
    <x v="4"/>
    <n v="95.513999999999996"/>
    <n v="91.4"/>
    <n v="96.4"/>
    <n v="93.9"/>
    <n v="500"/>
  </r>
  <r>
    <x v="14"/>
    <x v="4"/>
    <x v="4"/>
    <n v="95.513999999999996"/>
    <n v="91.4"/>
    <n v="96.4"/>
    <n v="93.9"/>
    <n v="500"/>
  </r>
  <r>
    <x v="14"/>
    <x v="4"/>
    <x v="4"/>
    <n v="95.513999999999996"/>
    <n v="91.4"/>
    <n v="96.4"/>
    <n v="93.9"/>
    <n v="500"/>
  </r>
  <r>
    <x v="14"/>
    <x v="4"/>
    <x v="4"/>
    <n v="95.513999999999996"/>
    <n v="91.4"/>
    <n v="96.4"/>
    <n v="93.9"/>
    <n v="500"/>
  </r>
  <r>
    <x v="14"/>
    <x v="4"/>
    <x v="4"/>
    <n v="95.513999999999996"/>
    <n v="91.4"/>
    <n v="96.4"/>
    <n v="93.9"/>
    <n v="500"/>
  </r>
  <r>
    <x v="14"/>
    <x v="4"/>
    <x v="4"/>
    <n v="95.513999999999996"/>
    <n v="91.4"/>
    <n v="96.4"/>
    <n v="93.9"/>
    <n v="500"/>
  </r>
  <r>
    <x v="14"/>
    <x v="4"/>
    <x v="4"/>
    <n v="95.513999999999996"/>
    <n v="91.4"/>
    <n v="96.4"/>
    <n v="93.9"/>
    <n v="500"/>
  </r>
  <r>
    <x v="14"/>
    <x v="4"/>
    <x v="4"/>
    <n v="95.513999999999996"/>
    <n v="91.4"/>
    <n v="96.4"/>
    <n v="93.9"/>
    <n v="500"/>
  </r>
  <r>
    <x v="14"/>
    <x v="4"/>
    <x v="4"/>
    <n v="95.513999999999996"/>
    <n v="91.4"/>
    <n v="96.4"/>
    <n v="93.9"/>
    <n v="500"/>
  </r>
  <r>
    <x v="14"/>
    <x v="4"/>
    <x v="4"/>
    <n v="95.513999999999996"/>
    <n v="91.4"/>
    <n v="96.4"/>
    <n v="93.9"/>
    <n v="500"/>
  </r>
  <r>
    <x v="14"/>
    <x v="4"/>
    <x v="4"/>
    <n v="95.513999999999996"/>
    <n v="91.4"/>
    <n v="96.4"/>
    <n v="93.9"/>
    <n v="500"/>
  </r>
  <r>
    <x v="14"/>
    <x v="4"/>
    <x v="0"/>
    <n v="1.97536"/>
    <n v="1.91"/>
    <n v="1.99403"/>
    <n v="1.9520150000000001"/>
    <n v="840.3"/>
  </r>
  <r>
    <x v="14"/>
    <x v="4"/>
    <x v="0"/>
    <n v="1.97536"/>
    <n v="1.91"/>
    <n v="1.99403"/>
    <n v="1.9520150000000001"/>
    <n v="840.3"/>
  </r>
  <r>
    <x v="14"/>
    <x v="4"/>
    <x v="0"/>
    <n v="1.97536"/>
    <n v="1.91"/>
    <n v="1.99403"/>
    <n v="1.9520150000000001"/>
    <n v="840.3"/>
  </r>
  <r>
    <x v="14"/>
    <x v="4"/>
    <x v="0"/>
    <n v="1.97536"/>
    <n v="1.91"/>
    <n v="1.99403"/>
    <n v="1.9520150000000001"/>
    <n v="840.3"/>
  </r>
  <r>
    <x v="14"/>
    <x v="4"/>
    <x v="0"/>
    <n v="1.97536"/>
    <n v="1.91"/>
    <n v="1.99403"/>
    <n v="1.9520150000000001"/>
    <n v="840.3"/>
  </r>
  <r>
    <x v="14"/>
    <x v="4"/>
    <x v="0"/>
    <n v="1.97536"/>
    <n v="1.91"/>
    <n v="1.99403"/>
    <n v="1.9520150000000001"/>
    <n v="840.3"/>
  </r>
  <r>
    <x v="14"/>
    <x v="4"/>
    <x v="0"/>
    <n v="1.97536"/>
    <n v="1.91"/>
    <n v="1.99403"/>
    <n v="1.9520150000000001"/>
    <n v="840.3"/>
  </r>
  <r>
    <x v="14"/>
    <x v="4"/>
    <x v="0"/>
    <n v="1.97536"/>
    <n v="1.91"/>
    <n v="1.99403"/>
    <n v="1.9520150000000001"/>
    <n v="840.3"/>
  </r>
  <r>
    <x v="14"/>
    <x v="4"/>
    <x v="0"/>
    <n v="1.97536"/>
    <n v="1.91"/>
    <n v="1.99403"/>
    <n v="1.9520150000000001"/>
    <n v="840.3"/>
  </r>
  <r>
    <x v="14"/>
    <x v="4"/>
    <x v="0"/>
    <n v="1.97536"/>
    <n v="1.91"/>
    <n v="1.99403"/>
    <n v="1.9520150000000001"/>
    <n v="840.3"/>
  </r>
  <r>
    <x v="14"/>
    <x v="4"/>
    <x v="0"/>
    <n v="1.97536"/>
    <n v="1.91"/>
    <n v="1.99403"/>
    <n v="1.9520150000000001"/>
    <n v="840.3"/>
  </r>
  <r>
    <x v="14"/>
    <x v="4"/>
    <x v="0"/>
    <n v="1.97536"/>
    <n v="1.91"/>
    <n v="1.99403"/>
    <n v="1.9520150000000001"/>
    <n v="840.3"/>
  </r>
  <r>
    <x v="14"/>
    <x v="4"/>
    <x v="0"/>
    <n v="1.97536"/>
    <n v="1.91"/>
    <n v="1.99403"/>
    <n v="1.9520150000000001"/>
    <n v="840.3"/>
  </r>
  <r>
    <x v="14"/>
    <x v="4"/>
    <x v="0"/>
    <n v="1.97536"/>
    <n v="1.91"/>
    <n v="1.99403"/>
    <n v="1.9520150000000001"/>
    <n v="840.3"/>
  </r>
  <r>
    <x v="14"/>
    <x v="4"/>
    <x v="0"/>
    <n v="1.97536"/>
    <n v="1.91"/>
    <n v="1.99403"/>
    <n v="1.9520150000000001"/>
    <n v="840.3"/>
  </r>
  <r>
    <x v="14"/>
    <x v="4"/>
    <x v="0"/>
    <n v="1.97536"/>
    <n v="1.91"/>
    <n v="1.99403"/>
    <n v="1.9520150000000001"/>
    <n v="840.3"/>
  </r>
  <r>
    <x v="14"/>
    <x v="4"/>
    <x v="0"/>
    <n v="1.97536"/>
    <n v="1.91"/>
    <n v="1.99403"/>
    <n v="1.9520150000000001"/>
    <n v="840.3"/>
  </r>
  <r>
    <x v="14"/>
    <x v="4"/>
    <x v="0"/>
    <n v="1.97536"/>
    <n v="1.91"/>
    <n v="1.99403"/>
    <n v="1.9520150000000001"/>
    <n v="840.3"/>
  </r>
  <r>
    <x v="14"/>
    <x v="4"/>
    <x v="0"/>
    <n v="1.97536"/>
    <n v="1.91"/>
    <n v="1.99403"/>
    <n v="1.9520150000000001"/>
    <n v="840.3"/>
  </r>
  <r>
    <x v="14"/>
    <x v="4"/>
    <x v="0"/>
    <n v="1.97536"/>
    <n v="1.91"/>
    <n v="1.99403"/>
    <n v="1.9520150000000001"/>
    <n v="840.3"/>
  </r>
  <r>
    <x v="14"/>
    <x v="4"/>
    <x v="0"/>
    <n v="1.97536"/>
    <n v="1.91"/>
    <n v="1.99403"/>
    <n v="1.9520150000000001"/>
    <n v="840.3"/>
  </r>
  <r>
    <x v="14"/>
    <x v="4"/>
    <x v="0"/>
    <n v="1.97536"/>
    <n v="1.91"/>
    <n v="1.99403"/>
    <n v="1.9520150000000001"/>
    <n v="840.3"/>
  </r>
  <r>
    <x v="14"/>
    <x v="4"/>
    <x v="0"/>
    <n v="1.97536"/>
    <n v="1.91"/>
    <n v="1.99403"/>
    <n v="1.9520150000000001"/>
    <n v="840.3"/>
  </r>
  <r>
    <x v="14"/>
    <x v="4"/>
    <x v="0"/>
    <n v="1.97536"/>
    <n v="1.91"/>
    <n v="1.99403"/>
    <n v="1.9520150000000001"/>
    <n v="840.3"/>
  </r>
  <r>
    <x v="14"/>
    <x v="4"/>
    <x v="10"/>
    <n v="0.90578000000000003"/>
    <n v="0.871"/>
    <n v="0.90917999999999999"/>
    <n v="0.89009000000000005"/>
    <n v="381.8"/>
  </r>
  <r>
    <x v="14"/>
    <x v="4"/>
    <x v="10"/>
    <n v="0.90578000000000003"/>
    <n v="0.871"/>
    <n v="0.90917999999999999"/>
    <n v="0.89009000000000005"/>
    <n v="381.8"/>
  </r>
  <r>
    <x v="14"/>
    <x v="4"/>
    <x v="10"/>
    <n v="0.90578000000000003"/>
    <n v="0.871"/>
    <n v="0.90917999999999999"/>
    <n v="0.89009000000000005"/>
    <n v="381.8"/>
  </r>
  <r>
    <x v="14"/>
    <x v="4"/>
    <x v="10"/>
    <n v="0.90578000000000003"/>
    <n v="0.871"/>
    <n v="0.90917999999999999"/>
    <n v="0.89009000000000005"/>
    <n v="381.8"/>
  </r>
  <r>
    <x v="14"/>
    <x v="4"/>
    <x v="10"/>
    <n v="0.90578000000000003"/>
    <n v="0.871"/>
    <n v="0.90917999999999999"/>
    <n v="0.89009000000000005"/>
    <n v="381.8"/>
  </r>
  <r>
    <x v="14"/>
    <x v="4"/>
    <x v="10"/>
    <n v="0.90578000000000003"/>
    <n v="0.871"/>
    <n v="0.90917999999999999"/>
    <n v="0.89009000000000005"/>
    <n v="381.8"/>
  </r>
  <r>
    <x v="14"/>
    <x v="4"/>
    <x v="10"/>
    <n v="0.90578000000000003"/>
    <n v="0.871"/>
    <n v="0.90917999999999999"/>
    <n v="0.89009000000000005"/>
    <n v="381.8"/>
  </r>
  <r>
    <x v="14"/>
    <x v="4"/>
    <x v="10"/>
    <n v="0.90578000000000003"/>
    <n v="0.871"/>
    <n v="0.90917999999999999"/>
    <n v="0.89009000000000005"/>
    <n v="381.8"/>
  </r>
  <r>
    <x v="14"/>
    <x v="4"/>
    <x v="10"/>
    <n v="0.90578000000000003"/>
    <n v="0.871"/>
    <n v="0.90917999999999999"/>
    <n v="0.89009000000000005"/>
    <n v="381.8"/>
  </r>
  <r>
    <x v="14"/>
    <x v="4"/>
    <x v="10"/>
    <n v="0.90578000000000003"/>
    <n v="0.871"/>
    <n v="0.90917999999999999"/>
    <n v="0.89009000000000005"/>
    <n v="381.8"/>
  </r>
  <r>
    <x v="14"/>
    <x v="4"/>
    <x v="10"/>
    <n v="0.90578000000000003"/>
    <n v="0.871"/>
    <n v="0.90917999999999999"/>
    <n v="0.89009000000000005"/>
    <n v="381.8"/>
  </r>
  <r>
    <x v="14"/>
    <x v="4"/>
    <x v="10"/>
    <n v="0.90578000000000003"/>
    <n v="0.871"/>
    <n v="0.90917999999999999"/>
    <n v="0.89009000000000005"/>
    <n v="381.8"/>
  </r>
  <r>
    <x v="14"/>
    <x v="4"/>
    <x v="10"/>
    <n v="0.90578000000000003"/>
    <n v="0.871"/>
    <n v="0.90917999999999999"/>
    <n v="0.89009000000000005"/>
    <n v="381.8"/>
  </r>
  <r>
    <x v="14"/>
    <x v="5"/>
    <x v="10"/>
    <n v="0.90483999999999998"/>
    <n v="0.871"/>
    <n v="0.91100999999999999"/>
    <n v="0.89100500000000005"/>
    <n v="400.1"/>
  </r>
  <r>
    <x v="14"/>
    <x v="5"/>
    <x v="10"/>
    <n v="0.90483999999999998"/>
    <n v="0.871"/>
    <n v="0.91100999999999999"/>
    <n v="0.89100500000000005"/>
    <n v="400.1"/>
  </r>
  <r>
    <x v="14"/>
    <x v="5"/>
    <x v="10"/>
    <n v="0.90483999999999998"/>
    <n v="0.871"/>
    <n v="0.91100999999999999"/>
    <n v="0.89100500000000005"/>
    <n v="400.1"/>
  </r>
  <r>
    <x v="14"/>
    <x v="5"/>
    <x v="10"/>
    <n v="0.90483999999999998"/>
    <n v="0.871"/>
    <n v="0.91100999999999999"/>
    <n v="0.89100500000000005"/>
    <n v="400.1"/>
  </r>
  <r>
    <x v="14"/>
    <x v="5"/>
    <x v="10"/>
    <n v="0.90483999999999998"/>
    <n v="0.871"/>
    <n v="0.91100999999999999"/>
    <n v="0.89100500000000005"/>
    <n v="400.1"/>
  </r>
  <r>
    <x v="14"/>
    <x v="5"/>
    <x v="10"/>
    <n v="0.90483999999999998"/>
    <n v="0.871"/>
    <n v="0.91100999999999999"/>
    <n v="0.89100500000000005"/>
    <n v="400.1"/>
  </r>
  <r>
    <x v="14"/>
    <x v="5"/>
    <x v="10"/>
    <n v="0.90483999999999998"/>
    <n v="0.871"/>
    <n v="0.91100999999999999"/>
    <n v="0.89100500000000005"/>
    <n v="400.1"/>
  </r>
  <r>
    <x v="14"/>
    <x v="5"/>
    <x v="10"/>
    <n v="0.90483999999999998"/>
    <n v="0.871"/>
    <n v="0.91100999999999999"/>
    <n v="0.89100500000000005"/>
    <n v="400.1"/>
  </r>
  <r>
    <x v="14"/>
    <x v="5"/>
    <x v="10"/>
    <n v="0.90483999999999998"/>
    <n v="0.871"/>
    <n v="0.91100999999999999"/>
    <n v="0.89100500000000005"/>
    <n v="400.1"/>
  </r>
  <r>
    <x v="14"/>
    <x v="5"/>
    <x v="10"/>
    <n v="0.90483999999999998"/>
    <n v="0.871"/>
    <n v="0.91100999999999999"/>
    <n v="0.89100500000000005"/>
    <n v="400.1"/>
  </r>
  <r>
    <x v="14"/>
    <x v="5"/>
    <x v="10"/>
    <n v="0.90483999999999998"/>
    <n v="0.871"/>
    <n v="0.91100999999999999"/>
    <n v="0.89100500000000005"/>
    <n v="400.1"/>
  </r>
  <r>
    <x v="14"/>
    <x v="5"/>
    <x v="4"/>
    <n v="94.616"/>
    <n v="91.4"/>
    <n v="96.4"/>
    <n v="93.9"/>
    <n v="500"/>
  </r>
  <r>
    <x v="14"/>
    <x v="5"/>
    <x v="4"/>
    <n v="94.616"/>
    <n v="91.4"/>
    <n v="96.4"/>
    <n v="93.9"/>
    <n v="500"/>
  </r>
  <r>
    <x v="14"/>
    <x v="5"/>
    <x v="4"/>
    <n v="94.616"/>
    <n v="91.4"/>
    <n v="96.4"/>
    <n v="93.9"/>
    <n v="500"/>
  </r>
  <r>
    <x v="14"/>
    <x v="5"/>
    <x v="4"/>
    <n v="94.616"/>
    <n v="91.4"/>
    <n v="96.4"/>
    <n v="93.9"/>
    <n v="500"/>
  </r>
  <r>
    <x v="14"/>
    <x v="5"/>
    <x v="4"/>
    <n v="94.616"/>
    <n v="91.4"/>
    <n v="96.4"/>
    <n v="93.9"/>
    <n v="500"/>
  </r>
  <r>
    <x v="14"/>
    <x v="5"/>
    <x v="4"/>
    <n v="94.616"/>
    <n v="91.4"/>
    <n v="96.4"/>
    <n v="93.9"/>
    <n v="500"/>
  </r>
  <r>
    <x v="14"/>
    <x v="5"/>
    <x v="4"/>
    <n v="94.616"/>
    <n v="91.4"/>
    <n v="96.4"/>
    <n v="93.9"/>
    <n v="500"/>
  </r>
  <r>
    <x v="14"/>
    <x v="5"/>
    <x v="4"/>
    <n v="94.616"/>
    <n v="91.4"/>
    <n v="96.4"/>
    <n v="93.9"/>
    <n v="500"/>
  </r>
  <r>
    <x v="14"/>
    <x v="5"/>
    <x v="4"/>
    <n v="94.616"/>
    <n v="91.4"/>
    <n v="96.4"/>
    <n v="93.9"/>
    <n v="500"/>
  </r>
  <r>
    <x v="14"/>
    <x v="5"/>
    <x v="4"/>
    <n v="94.616"/>
    <n v="91.4"/>
    <n v="96.4"/>
    <n v="93.9"/>
    <n v="500"/>
  </r>
  <r>
    <x v="14"/>
    <x v="5"/>
    <x v="4"/>
    <n v="94.616"/>
    <n v="91.4"/>
    <n v="96.4"/>
    <n v="93.9"/>
    <n v="500"/>
  </r>
  <r>
    <x v="14"/>
    <x v="5"/>
    <x v="4"/>
    <n v="94.616"/>
    <n v="91.4"/>
    <n v="96.4"/>
    <n v="93.9"/>
    <n v="500"/>
  </r>
  <r>
    <x v="14"/>
    <x v="5"/>
    <x v="4"/>
    <n v="94.616"/>
    <n v="91.4"/>
    <n v="96.4"/>
    <n v="93.9"/>
    <n v="500"/>
  </r>
  <r>
    <x v="14"/>
    <x v="5"/>
    <x v="4"/>
    <n v="94.616"/>
    <n v="91.4"/>
    <n v="96.4"/>
    <n v="93.9"/>
    <n v="500"/>
  </r>
  <r>
    <x v="14"/>
    <x v="5"/>
    <x v="4"/>
    <n v="94.616"/>
    <n v="91.4"/>
    <n v="96.4"/>
    <n v="93.9"/>
    <n v="500"/>
  </r>
  <r>
    <x v="14"/>
    <x v="5"/>
    <x v="4"/>
    <n v="94.616"/>
    <n v="91.4"/>
    <n v="96.4"/>
    <n v="93.9"/>
    <n v="500"/>
  </r>
  <r>
    <x v="14"/>
    <x v="5"/>
    <x v="4"/>
    <n v="94.616"/>
    <n v="91.4"/>
    <n v="96.4"/>
    <n v="93.9"/>
    <n v="500"/>
  </r>
  <r>
    <x v="14"/>
    <x v="5"/>
    <x v="4"/>
    <n v="94.616"/>
    <n v="91.4"/>
    <n v="96.4"/>
    <n v="93.9"/>
    <n v="500"/>
  </r>
  <r>
    <x v="14"/>
    <x v="5"/>
    <x v="4"/>
    <n v="94.616"/>
    <n v="91.4"/>
    <n v="96.4"/>
    <n v="93.9"/>
    <n v="500"/>
  </r>
  <r>
    <x v="14"/>
    <x v="5"/>
    <x v="4"/>
    <n v="94.616"/>
    <n v="91.4"/>
    <n v="96.4"/>
    <n v="93.9"/>
    <n v="500"/>
  </r>
  <r>
    <x v="14"/>
    <x v="5"/>
    <x v="4"/>
    <n v="94.616"/>
    <n v="91.4"/>
    <n v="96.4"/>
    <n v="93.9"/>
    <n v="500"/>
  </r>
  <r>
    <x v="14"/>
    <x v="5"/>
    <x v="4"/>
    <n v="94.616"/>
    <n v="91.4"/>
    <n v="96.4"/>
    <n v="93.9"/>
    <n v="500"/>
  </r>
  <r>
    <x v="14"/>
    <x v="5"/>
    <x v="4"/>
    <n v="94.616"/>
    <n v="91.4"/>
    <n v="96.4"/>
    <n v="93.9"/>
    <n v="500"/>
  </r>
  <r>
    <x v="14"/>
    <x v="5"/>
    <x v="4"/>
    <n v="94.616"/>
    <n v="91.4"/>
    <n v="96.4"/>
    <n v="93.9"/>
    <n v="500"/>
  </r>
  <r>
    <x v="14"/>
    <x v="5"/>
    <x v="4"/>
    <n v="94.616"/>
    <n v="91.4"/>
    <n v="96.4"/>
    <n v="93.9"/>
    <n v="500"/>
  </r>
  <r>
    <x v="14"/>
    <x v="5"/>
    <x v="4"/>
    <n v="94.616"/>
    <n v="91.4"/>
    <n v="96.4"/>
    <n v="93.9"/>
    <n v="500"/>
  </r>
  <r>
    <x v="14"/>
    <x v="5"/>
    <x v="4"/>
    <n v="94.616"/>
    <n v="91.4"/>
    <n v="96.4"/>
    <n v="93.9"/>
    <n v="500"/>
  </r>
  <r>
    <x v="14"/>
    <x v="5"/>
    <x v="0"/>
    <n v="1.98126"/>
    <n v="1.91"/>
    <n v="2.0020199999999999"/>
    <n v="1.95601"/>
    <n v="920.2"/>
  </r>
  <r>
    <x v="14"/>
    <x v="5"/>
    <x v="0"/>
    <n v="1.98126"/>
    <n v="1.91"/>
    <n v="2.0020199999999999"/>
    <n v="1.95601"/>
    <n v="920.2"/>
  </r>
  <r>
    <x v="14"/>
    <x v="5"/>
    <x v="0"/>
    <n v="1.98126"/>
    <n v="1.91"/>
    <n v="2.0020199999999999"/>
    <n v="1.95601"/>
    <n v="920.2"/>
  </r>
  <r>
    <x v="14"/>
    <x v="5"/>
    <x v="0"/>
    <n v="1.98126"/>
    <n v="1.91"/>
    <n v="2.0020199999999999"/>
    <n v="1.95601"/>
    <n v="920.2"/>
  </r>
  <r>
    <x v="14"/>
    <x v="5"/>
    <x v="0"/>
    <n v="1.98126"/>
    <n v="1.91"/>
    <n v="2.0020199999999999"/>
    <n v="1.95601"/>
    <n v="920.2"/>
  </r>
  <r>
    <x v="14"/>
    <x v="5"/>
    <x v="0"/>
    <n v="1.98126"/>
    <n v="1.91"/>
    <n v="2.0020199999999999"/>
    <n v="1.95601"/>
    <n v="920.2"/>
  </r>
  <r>
    <x v="14"/>
    <x v="5"/>
    <x v="0"/>
    <n v="1.98126"/>
    <n v="1.91"/>
    <n v="2.0020199999999999"/>
    <n v="1.95601"/>
    <n v="920.2"/>
  </r>
  <r>
    <x v="14"/>
    <x v="5"/>
    <x v="0"/>
    <n v="1.98126"/>
    <n v="1.91"/>
    <n v="2.0020199999999999"/>
    <n v="1.95601"/>
    <n v="920.2"/>
  </r>
  <r>
    <x v="14"/>
    <x v="5"/>
    <x v="0"/>
    <n v="1.98126"/>
    <n v="1.91"/>
    <n v="2.0020199999999999"/>
    <n v="1.95601"/>
    <n v="920.2"/>
  </r>
  <r>
    <x v="14"/>
    <x v="5"/>
    <x v="0"/>
    <n v="1.98126"/>
    <n v="1.91"/>
    <n v="2.0020199999999999"/>
    <n v="1.95601"/>
    <n v="920.2"/>
  </r>
  <r>
    <x v="14"/>
    <x v="5"/>
    <x v="0"/>
    <n v="1.98126"/>
    <n v="1.91"/>
    <n v="2.0020199999999999"/>
    <n v="1.95601"/>
    <n v="920.2"/>
  </r>
  <r>
    <x v="14"/>
    <x v="5"/>
    <x v="0"/>
    <n v="1.98126"/>
    <n v="1.91"/>
    <n v="2.0020199999999999"/>
    <n v="1.95601"/>
    <n v="920.2"/>
  </r>
  <r>
    <x v="14"/>
    <x v="5"/>
    <x v="0"/>
    <n v="1.98126"/>
    <n v="1.91"/>
    <n v="2.0020199999999999"/>
    <n v="1.95601"/>
    <n v="920.2"/>
  </r>
  <r>
    <x v="14"/>
    <x v="5"/>
    <x v="0"/>
    <n v="1.98126"/>
    <n v="1.91"/>
    <n v="2.0020199999999999"/>
    <n v="1.95601"/>
    <n v="920.2"/>
  </r>
  <r>
    <x v="14"/>
    <x v="5"/>
    <x v="0"/>
    <n v="1.98126"/>
    <n v="1.91"/>
    <n v="2.0020199999999999"/>
    <n v="1.95601"/>
    <n v="920.2"/>
  </r>
  <r>
    <x v="14"/>
    <x v="5"/>
    <x v="0"/>
    <n v="1.98126"/>
    <n v="1.91"/>
    <n v="2.0020199999999999"/>
    <n v="1.95601"/>
    <n v="920.2"/>
  </r>
  <r>
    <x v="14"/>
    <x v="5"/>
    <x v="0"/>
    <n v="1.98126"/>
    <n v="1.91"/>
    <n v="2.0020199999999999"/>
    <n v="1.95601"/>
    <n v="920.2"/>
  </r>
  <r>
    <x v="14"/>
    <x v="5"/>
    <x v="0"/>
    <n v="1.98126"/>
    <n v="1.91"/>
    <n v="2.0020199999999999"/>
    <n v="1.95601"/>
    <n v="920.2"/>
  </r>
  <r>
    <x v="14"/>
    <x v="5"/>
    <x v="0"/>
    <n v="1.98126"/>
    <n v="1.91"/>
    <n v="2.0020199999999999"/>
    <n v="1.95601"/>
    <n v="920.2"/>
  </r>
  <r>
    <x v="14"/>
    <x v="5"/>
    <x v="0"/>
    <n v="1.98126"/>
    <n v="1.91"/>
    <n v="2.0020199999999999"/>
    <n v="1.95601"/>
    <n v="920.2"/>
  </r>
  <r>
    <x v="14"/>
    <x v="5"/>
    <x v="0"/>
    <n v="1.98126"/>
    <n v="1.91"/>
    <n v="2.0020199999999999"/>
    <n v="1.95601"/>
    <n v="920.2"/>
  </r>
  <r>
    <x v="14"/>
    <x v="5"/>
    <x v="0"/>
    <n v="1.98126"/>
    <n v="1.91"/>
    <n v="2.0020199999999999"/>
    <n v="1.95601"/>
    <n v="920.2"/>
  </r>
  <r>
    <x v="14"/>
    <x v="5"/>
    <x v="0"/>
    <n v="1.98126"/>
    <n v="1.91"/>
    <n v="2.0020199999999999"/>
    <n v="1.95601"/>
    <n v="920.2"/>
  </r>
  <r>
    <x v="14"/>
    <x v="5"/>
    <x v="0"/>
    <n v="1.98126"/>
    <n v="1.91"/>
    <n v="2.0020199999999999"/>
    <n v="1.95601"/>
    <n v="920.2"/>
  </r>
  <r>
    <x v="14"/>
    <x v="5"/>
    <x v="0"/>
    <n v="1.98126"/>
    <n v="1.91"/>
    <n v="2.0020199999999999"/>
    <n v="1.95601"/>
    <n v="920.2"/>
  </r>
  <r>
    <x v="14"/>
    <x v="5"/>
    <x v="10"/>
    <n v="0.90483999999999998"/>
    <n v="0.871"/>
    <n v="0.91100999999999999"/>
    <n v="0.89100500000000005"/>
    <n v="400.1"/>
  </r>
  <r>
    <x v="14"/>
    <x v="5"/>
    <x v="10"/>
    <n v="0.90483999999999998"/>
    <n v="0.871"/>
    <n v="0.91100999999999999"/>
    <n v="0.89100500000000005"/>
    <n v="400.1"/>
  </r>
  <r>
    <x v="14"/>
    <x v="5"/>
    <x v="10"/>
    <n v="0.90483999999999998"/>
    <n v="0.871"/>
    <n v="0.91100999999999999"/>
    <n v="0.89100500000000005"/>
    <n v="400.1"/>
  </r>
  <r>
    <x v="14"/>
    <x v="5"/>
    <x v="10"/>
    <n v="0.90483999999999998"/>
    <n v="0.871"/>
    <n v="0.91100999999999999"/>
    <n v="0.89100500000000005"/>
    <n v="400.1"/>
  </r>
  <r>
    <x v="14"/>
    <x v="5"/>
    <x v="10"/>
    <n v="0.90483999999999998"/>
    <n v="0.871"/>
    <n v="0.91100999999999999"/>
    <n v="0.89100500000000005"/>
    <n v="400.1"/>
  </r>
  <r>
    <x v="14"/>
    <x v="5"/>
    <x v="10"/>
    <n v="0.90483999999999998"/>
    <n v="0.871"/>
    <n v="0.91100999999999999"/>
    <n v="0.89100500000000005"/>
    <n v="400.1"/>
  </r>
  <r>
    <x v="14"/>
    <x v="5"/>
    <x v="10"/>
    <n v="0.90483999999999998"/>
    <n v="0.871"/>
    <n v="0.91100999999999999"/>
    <n v="0.89100500000000005"/>
    <n v="400.1"/>
  </r>
  <r>
    <x v="14"/>
    <x v="5"/>
    <x v="10"/>
    <n v="0.90483999999999998"/>
    <n v="0.871"/>
    <n v="0.91100999999999999"/>
    <n v="0.89100500000000005"/>
    <n v="400.1"/>
  </r>
  <r>
    <x v="14"/>
    <x v="5"/>
    <x v="10"/>
    <n v="0.90483999999999998"/>
    <n v="0.871"/>
    <n v="0.91100999999999999"/>
    <n v="0.89100500000000005"/>
    <n v="400.1"/>
  </r>
  <r>
    <x v="14"/>
    <x v="5"/>
    <x v="10"/>
    <n v="0.90483999999999998"/>
    <n v="0.871"/>
    <n v="0.91100999999999999"/>
    <n v="0.89100500000000005"/>
    <n v="400.1"/>
  </r>
  <r>
    <x v="14"/>
    <x v="5"/>
    <x v="10"/>
    <n v="0.90483999999999998"/>
    <n v="0.871"/>
    <n v="0.91100999999999999"/>
    <n v="0.89100500000000005"/>
    <n v="400.1"/>
  </r>
  <r>
    <x v="14"/>
    <x v="5"/>
    <x v="10"/>
    <n v="0.90483999999999998"/>
    <n v="0.871"/>
    <n v="0.91100999999999999"/>
    <n v="0.89100500000000005"/>
    <n v="400.1"/>
  </r>
  <r>
    <x v="14"/>
    <x v="6"/>
    <x v="4"/>
    <n v="95.34"/>
    <n v="91.4"/>
    <n v="96.4"/>
    <n v="93.9"/>
    <n v="500"/>
  </r>
  <r>
    <x v="14"/>
    <x v="6"/>
    <x v="4"/>
    <n v="95.34"/>
    <n v="91.4"/>
    <n v="96.4"/>
    <n v="93.9"/>
    <n v="500"/>
  </r>
  <r>
    <x v="14"/>
    <x v="6"/>
    <x v="4"/>
    <n v="95.34"/>
    <n v="91.4"/>
    <n v="96.4"/>
    <n v="93.9"/>
    <n v="500"/>
  </r>
  <r>
    <x v="14"/>
    <x v="6"/>
    <x v="4"/>
    <n v="95.34"/>
    <n v="91.4"/>
    <n v="96.4"/>
    <n v="93.9"/>
    <n v="500"/>
  </r>
  <r>
    <x v="14"/>
    <x v="6"/>
    <x v="4"/>
    <n v="95.34"/>
    <n v="91.4"/>
    <n v="96.4"/>
    <n v="93.9"/>
    <n v="500"/>
  </r>
  <r>
    <x v="14"/>
    <x v="6"/>
    <x v="4"/>
    <n v="95.34"/>
    <n v="91.4"/>
    <n v="96.4"/>
    <n v="93.9"/>
    <n v="500"/>
  </r>
  <r>
    <x v="14"/>
    <x v="6"/>
    <x v="4"/>
    <n v="95.34"/>
    <n v="91.4"/>
    <n v="96.4"/>
    <n v="93.9"/>
    <n v="500"/>
  </r>
  <r>
    <x v="14"/>
    <x v="6"/>
    <x v="4"/>
    <n v="95.34"/>
    <n v="91.4"/>
    <n v="96.4"/>
    <n v="93.9"/>
    <n v="500"/>
  </r>
  <r>
    <x v="14"/>
    <x v="6"/>
    <x v="4"/>
    <n v="95.34"/>
    <n v="91.4"/>
    <n v="96.4"/>
    <n v="93.9"/>
    <n v="500"/>
  </r>
  <r>
    <x v="14"/>
    <x v="6"/>
    <x v="4"/>
    <n v="95.34"/>
    <n v="91.4"/>
    <n v="96.4"/>
    <n v="93.9"/>
    <n v="500"/>
  </r>
  <r>
    <x v="14"/>
    <x v="6"/>
    <x v="4"/>
    <n v="95.34"/>
    <n v="91.4"/>
    <n v="96.4"/>
    <n v="93.9"/>
    <n v="500"/>
  </r>
  <r>
    <x v="14"/>
    <x v="6"/>
    <x v="4"/>
    <n v="95.34"/>
    <n v="91.4"/>
    <n v="96.4"/>
    <n v="93.9"/>
    <n v="500"/>
  </r>
  <r>
    <x v="14"/>
    <x v="6"/>
    <x v="4"/>
    <n v="95.34"/>
    <n v="91.4"/>
    <n v="96.4"/>
    <n v="93.9"/>
    <n v="500"/>
  </r>
  <r>
    <x v="14"/>
    <x v="6"/>
    <x v="4"/>
    <n v="95.34"/>
    <n v="91.4"/>
    <n v="96.4"/>
    <n v="93.9"/>
    <n v="500"/>
  </r>
  <r>
    <x v="14"/>
    <x v="6"/>
    <x v="4"/>
    <n v="95.34"/>
    <n v="91.4"/>
    <n v="96.4"/>
    <n v="93.9"/>
    <n v="500"/>
  </r>
  <r>
    <x v="14"/>
    <x v="6"/>
    <x v="4"/>
    <n v="95.34"/>
    <n v="91.4"/>
    <n v="96.4"/>
    <n v="93.9"/>
    <n v="500"/>
  </r>
  <r>
    <x v="14"/>
    <x v="6"/>
    <x v="4"/>
    <n v="95.34"/>
    <n v="91.4"/>
    <n v="96.4"/>
    <n v="93.9"/>
    <n v="500"/>
  </r>
  <r>
    <x v="14"/>
    <x v="6"/>
    <x v="4"/>
    <n v="95.34"/>
    <n v="91.4"/>
    <n v="96.4"/>
    <n v="93.9"/>
    <n v="500"/>
  </r>
  <r>
    <x v="14"/>
    <x v="6"/>
    <x v="4"/>
    <n v="95.34"/>
    <n v="91.4"/>
    <n v="96.4"/>
    <n v="93.9"/>
    <n v="500"/>
  </r>
  <r>
    <x v="14"/>
    <x v="6"/>
    <x v="4"/>
    <n v="95.34"/>
    <n v="91.4"/>
    <n v="96.4"/>
    <n v="93.9"/>
    <n v="500"/>
  </r>
  <r>
    <x v="14"/>
    <x v="6"/>
    <x v="4"/>
    <n v="95.34"/>
    <n v="91.4"/>
    <n v="96.4"/>
    <n v="93.9"/>
    <n v="500"/>
  </r>
  <r>
    <x v="14"/>
    <x v="6"/>
    <x v="4"/>
    <n v="95.34"/>
    <n v="91.4"/>
    <n v="96.4"/>
    <n v="93.9"/>
    <n v="500"/>
  </r>
  <r>
    <x v="14"/>
    <x v="6"/>
    <x v="4"/>
    <n v="95.34"/>
    <n v="91.4"/>
    <n v="96.4"/>
    <n v="93.9"/>
    <n v="500"/>
  </r>
  <r>
    <x v="14"/>
    <x v="6"/>
    <x v="4"/>
    <n v="95.34"/>
    <n v="91.4"/>
    <n v="96.4"/>
    <n v="93.9"/>
    <n v="500"/>
  </r>
  <r>
    <x v="14"/>
    <x v="6"/>
    <x v="4"/>
    <n v="95.34"/>
    <n v="91.4"/>
    <n v="96.4"/>
    <n v="93.9"/>
    <n v="500"/>
  </r>
  <r>
    <x v="14"/>
    <x v="7"/>
    <x v="10"/>
    <n v="0.91329000000000005"/>
    <n v="0.871"/>
    <n v="0.91500000000000004"/>
    <n v="0.89300000000000002"/>
    <n v="440"/>
  </r>
  <r>
    <x v="14"/>
    <x v="7"/>
    <x v="10"/>
    <n v="0.91329000000000005"/>
    <n v="0.871"/>
    <n v="0.91500000000000004"/>
    <n v="0.89300000000000002"/>
    <n v="440"/>
  </r>
  <r>
    <x v="14"/>
    <x v="7"/>
    <x v="10"/>
    <n v="0.91329000000000005"/>
    <n v="0.871"/>
    <n v="0.91500000000000004"/>
    <n v="0.89300000000000002"/>
    <n v="440"/>
  </r>
  <r>
    <x v="14"/>
    <x v="7"/>
    <x v="10"/>
    <n v="0.91329000000000005"/>
    <n v="0.871"/>
    <n v="0.91500000000000004"/>
    <n v="0.89300000000000002"/>
    <n v="440"/>
  </r>
  <r>
    <x v="14"/>
    <x v="7"/>
    <x v="10"/>
    <n v="0.91329000000000005"/>
    <n v="0.871"/>
    <n v="0.91500000000000004"/>
    <n v="0.89300000000000002"/>
    <n v="440"/>
  </r>
  <r>
    <x v="14"/>
    <x v="7"/>
    <x v="10"/>
    <n v="0.91329000000000005"/>
    <n v="0.871"/>
    <n v="0.91500000000000004"/>
    <n v="0.89300000000000002"/>
    <n v="440"/>
  </r>
  <r>
    <x v="14"/>
    <x v="7"/>
    <x v="10"/>
    <n v="0.91329000000000005"/>
    <n v="0.871"/>
    <n v="0.91500000000000004"/>
    <n v="0.89300000000000002"/>
    <n v="440"/>
  </r>
  <r>
    <x v="14"/>
    <x v="7"/>
    <x v="10"/>
    <n v="0.91329000000000005"/>
    <n v="0.871"/>
    <n v="0.91500000000000004"/>
    <n v="0.89300000000000002"/>
    <n v="440"/>
  </r>
  <r>
    <x v="14"/>
    <x v="7"/>
    <x v="10"/>
    <n v="0.91329000000000005"/>
    <n v="0.871"/>
    <n v="0.91500000000000004"/>
    <n v="0.89300000000000002"/>
    <n v="440"/>
  </r>
  <r>
    <x v="14"/>
    <x v="7"/>
    <x v="10"/>
    <n v="0.91329000000000005"/>
    <n v="0.871"/>
    <n v="0.91500000000000004"/>
    <n v="0.89300000000000002"/>
    <n v="440"/>
  </r>
  <r>
    <x v="14"/>
    <x v="7"/>
    <x v="10"/>
    <n v="0.91329000000000005"/>
    <n v="0.871"/>
    <n v="0.91500000000000004"/>
    <n v="0.89300000000000002"/>
    <n v="440"/>
  </r>
  <r>
    <x v="14"/>
    <x v="7"/>
    <x v="10"/>
    <n v="0.91329000000000005"/>
    <n v="0.871"/>
    <n v="0.91500000000000004"/>
    <n v="0.89300000000000002"/>
    <n v="440"/>
  </r>
  <r>
    <x v="14"/>
    <x v="7"/>
    <x v="10"/>
    <n v="0.91329000000000005"/>
    <n v="0.871"/>
    <n v="0.91500000000000004"/>
    <n v="0.89300000000000002"/>
    <n v="440"/>
  </r>
  <r>
    <x v="14"/>
    <x v="7"/>
    <x v="10"/>
    <n v="0.91329000000000005"/>
    <n v="0.871"/>
    <n v="0.91500000000000004"/>
    <n v="0.89300000000000002"/>
    <n v="440"/>
  </r>
  <r>
    <x v="14"/>
    <x v="7"/>
    <x v="10"/>
    <n v="0.91329000000000005"/>
    <n v="0.871"/>
    <n v="0.91500000000000004"/>
    <n v="0.89300000000000002"/>
    <n v="440"/>
  </r>
  <r>
    <x v="14"/>
    <x v="7"/>
    <x v="10"/>
    <n v="0.91329000000000005"/>
    <n v="0.871"/>
    <n v="0.91500000000000004"/>
    <n v="0.89300000000000002"/>
    <n v="440"/>
  </r>
  <r>
    <x v="14"/>
    <x v="7"/>
    <x v="4"/>
    <n v="96.813999999999993"/>
    <n v="91.4"/>
    <n v="96.802000000000007"/>
    <n v="94.100999999999999"/>
    <n v="540.20000000000005"/>
  </r>
  <r>
    <x v="14"/>
    <x v="7"/>
    <x v="4"/>
    <n v="96.813999999999993"/>
    <n v="91.4"/>
    <n v="96.802000000000007"/>
    <n v="94.100999999999999"/>
    <n v="540.20000000000005"/>
  </r>
  <r>
    <x v="14"/>
    <x v="7"/>
    <x v="4"/>
    <n v="96.813999999999993"/>
    <n v="91.4"/>
    <n v="96.802000000000007"/>
    <n v="94.100999999999999"/>
    <n v="540.20000000000005"/>
  </r>
  <r>
    <x v="14"/>
    <x v="7"/>
    <x v="4"/>
    <n v="96.813999999999993"/>
    <n v="91.4"/>
    <n v="96.802000000000007"/>
    <n v="94.100999999999999"/>
    <n v="540.20000000000005"/>
  </r>
  <r>
    <x v="14"/>
    <x v="7"/>
    <x v="4"/>
    <n v="96.813999999999993"/>
    <n v="91.4"/>
    <n v="96.802000000000007"/>
    <n v="94.100999999999999"/>
    <n v="540.20000000000005"/>
  </r>
  <r>
    <x v="14"/>
    <x v="7"/>
    <x v="4"/>
    <n v="96.813999999999993"/>
    <n v="91.4"/>
    <n v="96.802000000000007"/>
    <n v="94.100999999999999"/>
    <n v="540.20000000000005"/>
  </r>
  <r>
    <x v="14"/>
    <x v="7"/>
    <x v="4"/>
    <n v="96.813999999999993"/>
    <n v="91.4"/>
    <n v="96.802000000000007"/>
    <n v="94.100999999999999"/>
    <n v="540.20000000000005"/>
  </r>
  <r>
    <x v="14"/>
    <x v="7"/>
    <x v="4"/>
    <n v="96.813999999999993"/>
    <n v="91.4"/>
    <n v="96.802000000000007"/>
    <n v="94.100999999999999"/>
    <n v="540.20000000000005"/>
  </r>
  <r>
    <x v="14"/>
    <x v="7"/>
    <x v="4"/>
    <n v="96.813999999999993"/>
    <n v="91.4"/>
    <n v="96.802000000000007"/>
    <n v="94.100999999999999"/>
    <n v="540.20000000000005"/>
  </r>
  <r>
    <x v="14"/>
    <x v="7"/>
    <x v="4"/>
    <n v="96.813999999999993"/>
    <n v="91.4"/>
    <n v="96.802000000000007"/>
    <n v="94.100999999999999"/>
    <n v="540.20000000000005"/>
  </r>
  <r>
    <x v="14"/>
    <x v="7"/>
    <x v="4"/>
    <n v="96.813999999999993"/>
    <n v="91.4"/>
    <n v="96.802000000000007"/>
    <n v="94.100999999999999"/>
    <n v="540.20000000000005"/>
  </r>
  <r>
    <x v="14"/>
    <x v="7"/>
    <x v="4"/>
    <n v="96.813999999999993"/>
    <n v="91.4"/>
    <n v="96.802000000000007"/>
    <n v="94.100999999999999"/>
    <n v="540.20000000000005"/>
  </r>
  <r>
    <x v="14"/>
    <x v="7"/>
    <x v="4"/>
    <n v="96.813999999999993"/>
    <n v="91.4"/>
    <n v="96.802000000000007"/>
    <n v="94.100999999999999"/>
    <n v="540.20000000000005"/>
  </r>
  <r>
    <x v="14"/>
    <x v="7"/>
    <x v="4"/>
    <n v="96.813999999999993"/>
    <n v="91.4"/>
    <n v="96.802000000000007"/>
    <n v="94.100999999999999"/>
    <n v="540.20000000000005"/>
  </r>
  <r>
    <x v="14"/>
    <x v="7"/>
    <x v="4"/>
    <n v="96.813999999999993"/>
    <n v="91.4"/>
    <n v="96.802000000000007"/>
    <n v="94.100999999999999"/>
    <n v="540.20000000000005"/>
  </r>
  <r>
    <x v="14"/>
    <x v="7"/>
    <x v="4"/>
    <n v="96.813999999999993"/>
    <n v="91.4"/>
    <n v="96.802000000000007"/>
    <n v="94.100999999999999"/>
    <n v="540.20000000000005"/>
  </r>
  <r>
    <x v="14"/>
    <x v="7"/>
    <x v="4"/>
    <n v="96.813999999999993"/>
    <n v="91.4"/>
    <n v="96.802000000000007"/>
    <n v="94.100999999999999"/>
    <n v="540.20000000000005"/>
  </r>
  <r>
    <x v="14"/>
    <x v="7"/>
    <x v="4"/>
    <n v="96.813999999999993"/>
    <n v="91.4"/>
    <n v="96.802000000000007"/>
    <n v="94.100999999999999"/>
    <n v="540.20000000000005"/>
  </r>
  <r>
    <x v="14"/>
    <x v="7"/>
    <x v="4"/>
    <n v="96.813999999999993"/>
    <n v="91.4"/>
    <n v="96.802000000000007"/>
    <n v="94.100999999999999"/>
    <n v="540.20000000000005"/>
  </r>
  <r>
    <x v="14"/>
    <x v="7"/>
    <x v="4"/>
    <n v="96.813999999999993"/>
    <n v="91.4"/>
    <n v="96.802000000000007"/>
    <n v="94.100999999999999"/>
    <n v="540.20000000000005"/>
  </r>
  <r>
    <x v="14"/>
    <x v="7"/>
    <x v="4"/>
    <n v="96.813999999999993"/>
    <n v="91.4"/>
    <n v="96.802000000000007"/>
    <n v="94.100999999999999"/>
    <n v="540.20000000000005"/>
  </r>
  <r>
    <x v="14"/>
    <x v="7"/>
    <x v="4"/>
    <n v="96.813999999999993"/>
    <n v="91.4"/>
    <n v="96.802000000000007"/>
    <n v="94.100999999999999"/>
    <n v="540.20000000000005"/>
  </r>
  <r>
    <x v="14"/>
    <x v="7"/>
    <x v="4"/>
    <n v="96.813999999999993"/>
    <n v="91.4"/>
    <n v="96.802000000000007"/>
    <n v="94.100999999999999"/>
    <n v="540.20000000000005"/>
  </r>
  <r>
    <x v="14"/>
    <x v="7"/>
    <x v="4"/>
    <n v="96.813999999999993"/>
    <n v="91.4"/>
    <n v="96.802000000000007"/>
    <n v="94.100999999999999"/>
    <n v="540.20000000000005"/>
  </r>
  <r>
    <x v="14"/>
    <x v="7"/>
    <x v="4"/>
    <n v="96.813999999999993"/>
    <n v="91.4"/>
    <n v="96.802000000000007"/>
    <n v="94.100999999999999"/>
    <n v="540.20000000000005"/>
  </r>
  <r>
    <x v="14"/>
    <x v="7"/>
    <x v="4"/>
    <n v="96.813999999999993"/>
    <n v="91.4"/>
    <n v="96.802000000000007"/>
    <n v="94.100999999999999"/>
    <n v="540.20000000000005"/>
  </r>
  <r>
    <x v="14"/>
    <x v="7"/>
    <x v="4"/>
    <n v="96.813999999999993"/>
    <n v="91.4"/>
    <n v="96.802000000000007"/>
    <n v="94.100999999999999"/>
    <n v="540.20000000000005"/>
  </r>
  <r>
    <x v="14"/>
    <x v="7"/>
    <x v="4"/>
    <n v="96.813999999999993"/>
    <n v="91.4"/>
    <n v="96.802000000000007"/>
    <n v="94.100999999999999"/>
    <n v="540.20000000000005"/>
  </r>
  <r>
    <x v="14"/>
    <x v="7"/>
    <x v="4"/>
    <n v="96.813999999999993"/>
    <n v="91.4"/>
    <n v="96.802000000000007"/>
    <n v="94.100999999999999"/>
    <n v="540.20000000000005"/>
  </r>
  <r>
    <x v="14"/>
    <x v="7"/>
    <x v="0"/>
    <n v="1.97037"/>
    <n v="1.91"/>
    <n v="2.0020199999999999"/>
    <n v="1.95601"/>
    <n v="920.2"/>
  </r>
  <r>
    <x v="14"/>
    <x v="7"/>
    <x v="0"/>
    <n v="1.97037"/>
    <n v="1.91"/>
    <n v="2.0020199999999999"/>
    <n v="1.95601"/>
    <n v="920.2"/>
  </r>
  <r>
    <x v="14"/>
    <x v="7"/>
    <x v="0"/>
    <n v="1.97037"/>
    <n v="1.91"/>
    <n v="2.0020199999999999"/>
    <n v="1.95601"/>
    <n v="920.2"/>
  </r>
  <r>
    <x v="14"/>
    <x v="7"/>
    <x v="0"/>
    <n v="1.97037"/>
    <n v="1.91"/>
    <n v="2.0020199999999999"/>
    <n v="1.95601"/>
    <n v="920.2"/>
  </r>
  <r>
    <x v="14"/>
    <x v="7"/>
    <x v="0"/>
    <n v="1.97037"/>
    <n v="1.91"/>
    <n v="2.0020199999999999"/>
    <n v="1.95601"/>
    <n v="920.2"/>
  </r>
  <r>
    <x v="14"/>
    <x v="7"/>
    <x v="0"/>
    <n v="1.97037"/>
    <n v="1.91"/>
    <n v="2.0020199999999999"/>
    <n v="1.95601"/>
    <n v="920.2"/>
  </r>
  <r>
    <x v="14"/>
    <x v="7"/>
    <x v="0"/>
    <n v="1.97037"/>
    <n v="1.91"/>
    <n v="2.0020199999999999"/>
    <n v="1.95601"/>
    <n v="920.2"/>
  </r>
  <r>
    <x v="14"/>
    <x v="7"/>
    <x v="0"/>
    <n v="1.97037"/>
    <n v="1.91"/>
    <n v="2.0020199999999999"/>
    <n v="1.95601"/>
    <n v="920.2"/>
  </r>
  <r>
    <x v="14"/>
    <x v="7"/>
    <x v="0"/>
    <n v="1.97037"/>
    <n v="1.91"/>
    <n v="2.0020199999999999"/>
    <n v="1.95601"/>
    <n v="920.2"/>
  </r>
  <r>
    <x v="14"/>
    <x v="7"/>
    <x v="0"/>
    <n v="1.97037"/>
    <n v="1.91"/>
    <n v="2.0020199999999999"/>
    <n v="1.95601"/>
    <n v="920.2"/>
  </r>
  <r>
    <x v="14"/>
    <x v="7"/>
    <x v="0"/>
    <n v="1.97037"/>
    <n v="1.91"/>
    <n v="2.0020199999999999"/>
    <n v="1.95601"/>
    <n v="920.2"/>
  </r>
  <r>
    <x v="14"/>
    <x v="7"/>
    <x v="0"/>
    <n v="1.97037"/>
    <n v="1.91"/>
    <n v="2.0020199999999999"/>
    <n v="1.95601"/>
    <n v="920.2"/>
  </r>
  <r>
    <x v="14"/>
    <x v="7"/>
    <x v="0"/>
    <n v="1.97037"/>
    <n v="1.91"/>
    <n v="2.0020199999999999"/>
    <n v="1.95601"/>
    <n v="920.2"/>
  </r>
  <r>
    <x v="14"/>
    <x v="7"/>
    <x v="0"/>
    <n v="1.97037"/>
    <n v="1.91"/>
    <n v="2.0020199999999999"/>
    <n v="1.95601"/>
    <n v="920.2"/>
  </r>
  <r>
    <x v="14"/>
    <x v="7"/>
    <x v="0"/>
    <n v="1.97037"/>
    <n v="1.91"/>
    <n v="2.0020199999999999"/>
    <n v="1.95601"/>
    <n v="920.2"/>
  </r>
  <r>
    <x v="14"/>
    <x v="7"/>
    <x v="0"/>
    <n v="1.97037"/>
    <n v="1.91"/>
    <n v="2.0020199999999999"/>
    <n v="1.95601"/>
    <n v="920.2"/>
  </r>
  <r>
    <x v="14"/>
    <x v="7"/>
    <x v="0"/>
    <n v="1.97037"/>
    <n v="1.91"/>
    <n v="2.0020199999999999"/>
    <n v="1.95601"/>
    <n v="920.2"/>
  </r>
  <r>
    <x v="14"/>
    <x v="7"/>
    <x v="0"/>
    <n v="1.97037"/>
    <n v="1.91"/>
    <n v="2.0020199999999999"/>
    <n v="1.95601"/>
    <n v="920.2"/>
  </r>
  <r>
    <x v="14"/>
    <x v="7"/>
    <x v="0"/>
    <n v="1.97037"/>
    <n v="1.91"/>
    <n v="2.0020199999999999"/>
    <n v="1.95601"/>
    <n v="920.2"/>
  </r>
  <r>
    <x v="14"/>
    <x v="7"/>
    <x v="0"/>
    <n v="1.97037"/>
    <n v="1.91"/>
    <n v="2.0020199999999999"/>
    <n v="1.95601"/>
    <n v="920.2"/>
  </r>
  <r>
    <x v="14"/>
    <x v="7"/>
    <x v="0"/>
    <n v="1.97037"/>
    <n v="1.91"/>
    <n v="2.0020199999999999"/>
    <n v="1.95601"/>
    <n v="920.2"/>
  </r>
  <r>
    <x v="14"/>
    <x v="7"/>
    <x v="0"/>
    <n v="1.97037"/>
    <n v="1.91"/>
    <n v="2.0020199999999999"/>
    <n v="1.95601"/>
    <n v="920.2"/>
  </r>
  <r>
    <x v="14"/>
    <x v="7"/>
    <x v="0"/>
    <n v="1.97037"/>
    <n v="1.91"/>
    <n v="2.0020199999999999"/>
    <n v="1.95601"/>
    <n v="920.2"/>
  </r>
  <r>
    <x v="14"/>
    <x v="7"/>
    <x v="0"/>
    <n v="1.97037"/>
    <n v="1.91"/>
    <n v="2.0020199999999999"/>
    <n v="1.95601"/>
    <n v="920.2"/>
  </r>
  <r>
    <x v="14"/>
    <x v="7"/>
    <x v="0"/>
    <n v="1.97037"/>
    <n v="1.91"/>
    <n v="2.0020199999999999"/>
    <n v="1.95601"/>
    <n v="920.2"/>
  </r>
  <r>
    <x v="14"/>
    <x v="7"/>
    <x v="0"/>
    <n v="1.97037"/>
    <n v="1.91"/>
    <n v="2.0020199999999999"/>
    <n v="1.95601"/>
    <n v="920.2"/>
  </r>
  <r>
    <x v="14"/>
    <x v="7"/>
    <x v="10"/>
    <n v="0.91329000000000005"/>
    <n v="0.871"/>
    <n v="0.91500000000000004"/>
    <n v="0.89300000000000002"/>
    <n v="440"/>
  </r>
  <r>
    <x v="14"/>
    <x v="7"/>
    <x v="10"/>
    <n v="0.91329000000000005"/>
    <n v="0.871"/>
    <n v="0.91500000000000004"/>
    <n v="0.89300000000000002"/>
    <n v="440"/>
  </r>
  <r>
    <x v="14"/>
    <x v="7"/>
    <x v="10"/>
    <n v="0.91329000000000005"/>
    <n v="0.871"/>
    <n v="0.91500000000000004"/>
    <n v="0.89300000000000002"/>
    <n v="440"/>
  </r>
  <r>
    <x v="14"/>
    <x v="7"/>
    <x v="10"/>
    <n v="0.91329000000000005"/>
    <n v="0.871"/>
    <n v="0.91500000000000004"/>
    <n v="0.89300000000000002"/>
    <n v="440"/>
  </r>
  <r>
    <x v="14"/>
    <x v="7"/>
    <x v="10"/>
    <n v="0.91329000000000005"/>
    <n v="0.871"/>
    <n v="0.91500000000000004"/>
    <n v="0.89300000000000002"/>
    <n v="440"/>
  </r>
  <r>
    <x v="14"/>
    <x v="7"/>
    <x v="10"/>
    <n v="0.91329000000000005"/>
    <n v="0.871"/>
    <n v="0.91500000000000004"/>
    <n v="0.89300000000000002"/>
    <n v="440"/>
  </r>
  <r>
    <x v="14"/>
    <x v="7"/>
    <x v="10"/>
    <n v="0.91329000000000005"/>
    <n v="0.871"/>
    <n v="0.91500000000000004"/>
    <n v="0.89300000000000002"/>
    <n v="440"/>
  </r>
  <r>
    <x v="14"/>
    <x v="7"/>
    <x v="10"/>
    <n v="0.91329000000000005"/>
    <n v="0.871"/>
    <n v="0.91500000000000004"/>
    <n v="0.89300000000000002"/>
    <n v="440"/>
  </r>
  <r>
    <x v="14"/>
    <x v="7"/>
    <x v="10"/>
    <n v="0.91329000000000005"/>
    <n v="0.871"/>
    <n v="0.91500000000000004"/>
    <n v="0.89300000000000002"/>
    <n v="440"/>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4"/>
    <n v="97.147000000000006"/>
    <n v="91.4"/>
    <n v="97.295000000000002"/>
    <n v="94.347499999999997"/>
    <n v="589.5"/>
  </r>
  <r>
    <x v="14"/>
    <x v="8"/>
    <x v="0"/>
    <n v="1.98454"/>
    <n v="1.91"/>
    <n v="2.0020199999999999"/>
    <n v="1.95601"/>
    <n v="920.2"/>
  </r>
  <r>
    <x v="14"/>
    <x v="8"/>
    <x v="0"/>
    <n v="1.98454"/>
    <n v="1.91"/>
    <n v="2.0020199999999999"/>
    <n v="1.95601"/>
    <n v="920.2"/>
  </r>
  <r>
    <x v="14"/>
    <x v="8"/>
    <x v="0"/>
    <n v="1.98454"/>
    <n v="1.91"/>
    <n v="2.0020199999999999"/>
    <n v="1.95601"/>
    <n v="920.2"/>
  </r>
  <r>
    <x v="14"/>
    <x v="8"/>
    <x v="0"/>
    <n v="1.98454"/>
    <n v="1.91"/>
    <n v="2.0020199999999999"/>
    <n v="1.95601"/>
    <n v="920.2"/>
  </r>
  <r>
    <x v="14"/>
    <x v="8"/>
    <x v="0"/>
    <n v="1.98454"/>
    <n v="1.91"/>
    <n v="2.0020199999999999"/>
    <n v="1.95601"/>
    <n v="920.2"/>
  </r>
  <r>
    <x v="14"/>
    <x v="8"/>
    <x v="0"/>
    <n v="1.98454"/>
    <n v="1.91"/>
    <n v="2.0020199999999999"/>
    <n v="1.95601"/>
    <n v="920.2"/>
  </r>
  <r>
    <x v="14"/>
    <x v="8"/>
    <x v="0"/>
    <n v="1.98454"/>
    <n v="1.91"/>
    <n v="2.0020199999999999"/>
    <n v="1.95601"/>
    <n v="920.2"/>
  </r>
  <r>
    <x v="14"/>
    <x v="8"/>
    <x v="0"/>
    <n v="1.98454"/>
    <n v="1.91"/>
    <n v="2.0020199999999999"/>
    <n v="1.95601"/>
    <n v="920.2"/>
  </r>
  <r>
    <x v="14"/>
    <x v="8"/>
    <x v="0"/>
    <n v="1.98454"/>
    <n v="1.91"/>
    <n v="2.0020199999999999"/>
    <n v="1.95601"/>
    <n v="920.2"/>
  </r>
  <r>
    <x v="14"/>
    <x v="8"/>
    <x v="0"/>
    <n v="1.98454"/>
    <n v="1.91"/>
    <n v="2.0020199999999999"/>
    <n v="1.95601"/>
    <n v="920.2"/>
  </r>
  <r>
    <x v="14"/>
    <x v="8"/>
    <x v="0"/>
    <n v="1.98454"/>
    <n v="1.91"/>
    <n v="2.0020199999999999"/>
    <n v="1.95601"/>
    <n v="920.2"/>
  </r>
  <r>
    <x v="14"/>
    <x v="8"/>
    <x v="0"/>
    <n v="1.98454"/>
    <n v="1.91"/>
    <n v="2.0020199999999999"/>
    <n v="1.95601"/>
    <n v="920.2"/>
  </r>
  <r>
    <x v="14"/>
    <x v="8"/>
    <x v="0"/>
    <n v="1.98454"/>
    <n v="1.91"/>
    <n v="2.0020199999999999"/>
    <n v="1.95601"/>
    <n v="920.2"/>
  </r>
  <r>
    <x v="14"/>
    <x v="8"/>
    <x v="0"/>
    <n v="1.98454"/>
    <n v="1.91"/>
    <n v="2.0020199999999999"/>
    <n v="1.95601"/>
    <n v="920.2"/>
  </r>
  <r>
    <x v="14"/>
    <x v="8"/>
    <x v="0"/>
    <n v="1.98454"/>
    <n v="1.91"/>
    <n v="2.0020199999999999"/>
    <n v="1.95601"/>
    <n v="920.2"/>
  </r>
  <r>
    <x v="14"/>
    <x v="8"/>
    <x v="0"/>
    <n v="1.98454"/>
    <n v="1.91"/>
    <n v="2.0020199999999999"/>
    <n v="1.95601"/>
    <n v="920.2"/>
  </r>
  <r>
    <x v="14"/>
    <x v="8"/>
    <x v="0"/>
    <n v="1.98454"/>
    <n v="1.91"/>
    <n v="2.0020199999999999"/>
    <n v="1.95601"/>
    <n v="920.2"/>
  </r>
  <r>
    <x v="14"/>
    <x v="8"/>
    <x v="0"/>
    <n v="1.98454"/>
    <n v="1.91"/>
    <n v="2.0020199999999999"/>
    <n v="1.95601"/>
    <n v="920.2"/>
  </r>
  <r>
    <x v="14"/>
    <x v="8"/>
    <x v="0"/>
    <n v="1.98454"/>
    <n v="1.91"/>
    <n v="2.0020199999999999"/>
    <n v="1.95601"/>
    <n v="920.2"/>
  </r>
  <r>
    <x v="14"/>
    <x v="8"/>
    <x v="0"/>
    <n v="1.98454"/>
    <n v="1.91"/>
    <n v="2.0020199999999999"/>
    <n v="1.95601"/>
    <n v="920.2"/>
  </r>
  <r>
    <x v="14"/>
    <x v="8"/>
    <x v="0"/>
    <n v="1.98454"/>
    <n v="1.91"/>
    <n v="2.0020199999999999"/>
    <n v="1.95601"/>
    <n v="920.2"/>
  </r>
  <r>
    <x v="14"/>
    <x v="8"/>
    <x v="0"/>
    <n v="1.98454"/>
    <n v="1.91"/>
    <n v="2.0020199999999999"/>
    <n v="1.95601"/>
    <n v="920.2"/>
  </r>
  <r>
    <x v="14"/>
    <x v="8"/>
    <x v="0"/>
    <n v="1.98454"/>
    <n v="1.91"/>
    <n v="2.0020199999999999"/>
    <n v="1.95601"/>
    <n v="920.2"/>
  </r>
  <r>
    <x v="14"/>
    <x v="8"/>
    <x v="0"/>
    <n v="1.98454"/>
    <n v="1.91"/>
    <n v="2.0020199999999999"/>
    <n v="1.95601"/>
    <n v="920.2"/>
  </r>
  <r>
    <x v="14"/>
    <x v="8"/>
    <x v="0"/>
    <n v="1.98454"/>
    <n v="1.91"/>
    <n v="2.0020199999999999"/>
    <n v="1.95601"/>
    <n v="920.2"/>
  </r>
  <r>
    <x v="14"/>
    <x v="8"/>
    <x v="10"/>
    <n v="0.91803000000000001"/>
    <n v="0.871"/>
    <n v="0.91774"/>
    <n v="0.89437"/>
    <n v="467.4"/>
  </r>
  <r>
    <x v="14"/>
    <x v="8"/>
    <x v="10"/>
    <n v="0.91803000000000001"/>
    <n v="0.871"/>
    <n v="0.91774"/>
    <n v="0.89437"/>
    <n v="467.4"/>
  </r>
  <r>
    <x v="14"/>
    <x v="8"/>
    <x v="10"/>
    <n v="0.91803000000000001"/>
    <n v="0.871"/>
    <n v="0.91774"/>
    <n v="0.89437"/>
    <n v="467.4"/>
  </r>
  <r>
    <x v="14"/>
    <x v="8"/>
    <x v="10"/>
    <n v="0.91803000000000001"/>
    <n v="0.871"/>
    <n v="0.91774"/>
    <n v="0.89437"/>
    <n v="467.4"/>
  </r>
  <r>
    <x v="14"/>
    <x v="8"/>
    <x v="10"/>
    <n v="0.91803000000000001"/>
    <n v="0.871"/>
    <n v="0.91774"/>
    <n v="0.89437"/>
    <n v="467.4"/>
  </r>
  <r>
    <x v="14"/>
    <x v="8"/>
    <x v="10"/>
    <n v="0.91803000000000001"/>
    <n v="0.871"/>
    <n v="0.91774"/>
    <n v="0.89437"/>
    <n v="467.4"/>
  </r>
  <r>
    <x v="14"/>
    <x v="8"/>
    <x v="10"/>
    <n v="0.91803000000000001"/>
    <n v="0.871"/>
    <n v="0.91774"/>
    <n v="0.89437"/>
    <n v="467.4"/>
  </r>
  <r>
    <x v="14"/>
    <x v="8"/>
    <x v="10"/>
    <n v="0.91803000000000001"/>
    <n v="0.871"/>
    <n v="0.91774"/>
    <n v="0.89437"/>
    <n v="467.4"/>
  </r>
  <r>
    <x v="14"/>
    <x v="8"/>
    <x v="10"/>
    <n v="0.91803000000000001"/>
    <n v="0.871"/>
    <n v="0.91774"/>
    <n v="0.89437"/>
    <n v="467.4"/>
  </r>
  <r>
    <x v="14"/>
    <x v="8"/>
    <x v="10"/>
    <n v="0.91803000000000001"/>
    <n v="0.871"/>
    <n v="0.91774"/>
    <n v="0.89437"/>
    <n v="467.4"/>
  </r>
  <r>
    <x v="14"/>
    <x v="8"/>
    <x v="10"/>
    <n v="0.91803000000000001"/>
    <n v="0.871"/>
    <n v="0.91774"/>
    <n v="0.89437"/>
    <n v="467.4"/>
  </r>
  <r>
    <x v="14"/>
    <x v="8"/>
    <x v="10"/>
    <n v="0.91803000000000001"/>
    <n v="0.871"/>
    <n v="0.91774"/>
    <n v="0.89437"/>
    <n v="467.4"/>
  </r>
  <r>
    <x v="14"/>
    <x v="8"/>
    <x v="10"/>
    <n v="0.91803000000000001"/>
    <n v="0.871"/>
    <n v="0.91774"/>
    <n v="0.89437"/>
    <n v="467.4"/>
  </r>
  <r>
    <x v="14"/>
    <x v="8"/>
    <x v="10"/>
    <n v="0.91803000000000001"/>
    <n v="0.871"/>
    <n v="0.91774"/>
    <n v="0.89437"/>
    <n v="467.4"/>
  </r>
  <r>
    <x v="14"/>
    <x v="8"/>
    <x v="10"/>
    <n v="0.91803000000000001"/>
    <n v="0.871"/>
    <n v="0.91774"/>
    <n v="0.89437"/>
    <n v="467.4"/>
  </r>
  <r>
    <x v="14"/>
    <x v="8"/>
    <x v="10"/>
    <n v="0.91803000000000001"/>
    <n v="0.871"/>
    <n v="0.91774"/>
    <n v="0.89437"/>
    <n v="467.4"/>
  </r>
  <r>
    <x v="14"/>
    <x v="8"/>
    <x v="10"/>
    <n v="0.91803000000000001"/>
    <n v="0.871"/>
    <n v="0.91774"/>
    <n v="0.89437"/>
    <n v="467.4"/>
  </r>
  <r>
    <x v="14"/>
    <x v="8"/>
    <x v="10"/>
    <n v="0.91803000000000001"/>
    <n v="0.871"/>
    <n v="0.91774"/>
    <n v="0.89437"/>
    <n v="467.4"/>
  </r>
  <r>
    <x v="14"/>
    <x v="8"/>
    <x v="10"/>
    <n v="0.91803000000000001"/>
    <n v="0.871"/>
    <n v="0.91774"/>
    <n v="0.89437"/>
    <n v="467.4"/>
  </r>
  <r>
    <x v="14"/>
    <x v="8"/>
    <x v="10"/>
    <n v="0.91803000000000001"/>
    <n v="0.871"/>
    <n v="0.91774"/>
    <n v="0.89437"/>
    <n v="467.4"/>
  </r>
  <r>
    <x v="14"/>
    <x v="8"/>
    <x v="10"/>
    <n v="0.91803000000000001"/>
    <n v="0.871"/>
    <n v="0.91774"/>
    <n v="0.89437"/>
    <n v="467.4"/>
  </r>
  <r>
    <x v="14"/>
    <x v="8"/>
    <x v="10"/>
    <n v="0.91803000000000001"/>
    <n v="0.871"/>
    <n v="0.91774"/>
    <n v="0.89437"/>
    <n v="467.4"/>
  </r>
  <r>
    <x v="14"/>
    <x v="8"/>
    <x v="10"/>
    <n v="0.91803000000000001"/>
    <n v="0.871"/>
    <n v="0.91774"/>
    <n v="0.89437"/>
    <n v="467.4"/>
  </r>
  <r>
    <x v="14"/>
    <x v="8"/>
    <x v="10"/>
    <n v="0.91803000000000001"/>
    <n v="0.871"/>
    <n v="0.91774"/>
    <n v="0.89437"/>
    <n v="467.4"/>
  </r>
  <r>
    <x v="14"/>
    <x v="8"/>
    <x v="10"/>
    <n v="0.91803000000000001"/>
    <n v="0.871"/>
    <n v="0.91774"/>
    <n v="0.89437"/>
    <n v="467.4"/>
  </r>
  <r>
    <x v="14"/>
    <x v="8"/>
    <x v="10"/>
    <n v="0.91803000000000001"/>
    <n v="0.871"/>
    <n v="0.91774"/>
    <n v="0.89437"/>
    <n v="467.4"/>
  </r>
  <r>
    <x v="14"/>
    <x v="8"/>
    <x v="10"/>
    <n v="0.91803000000000001"/>
    <n v="0.871"/>
    <n v="0.91774"/>
    <n v="0.89437"/>
    <n v="467.4"/>
  </r>
  <r>
    <x v="14"/>
    <x v="9"/>
    <x v="0"/>
    <n v="1.9586699999999999"/>
    <n v="1.91"/>
    <n v="2.0020199999999999"/>
    <n v="1.95601"/>
    <n v="920.2"/>
  </r>
  <r>
    <x v="14"/>
    <x v="9"/>
    <x v="0"/>
    <n v="1.9586699999999999"/>
    <n v="1.91"/>
    <n v="2.0020199999999999"/>
    <n v="1.95601"/>
    <n v="920.2"/>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10"/>
    <n v="0.93069000000000002"/>
    <n v="0.871"/>
    <n v="0.93300000000000005"/>
    <n v="0.90200000000000002"/>
    <n v="620"/>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4"/>
    <n v="98.495000000000005"/>
    <n v="91.4"/>
    <n v="98.600999999999999"/>
    <n v="95.000500000000002"/>
    <n v="720.1"/>
  </r>
  <r>
    <x v="14"/>
    <x v="9"/>
    <x v="0"/>
    <n v="1.9586699999999999"/>
    <n v="1.91"/>
    <n v="2.0020199999999999"/>
    <n v="1.95601"/>
    <n v="920.2"/>
  </r>
  <r>
    <x v="14"/>
    <x v="9"/>
    <x v="0"/>
    <n v="1.9586699999999999"/>
    <n v="1.91"/>
    <n v="2.0020199999999999"/>
    <n v="1.95601"/>
    <n v="920.2"/>
  </r>
  <r>
    <x v="14"/>
    <x v="9"/>
    <x v="0"/>
    <n v="1.9586699999999999"/>
    <n v="1.91"/>
    <n v="2.0020199999999999"/>
    <n v="1.95601"/>
    <n v="920.2"/>
  </r>
  <r>
    <x v="14"/>
    <x v="9"/>
    <x v="0"/>
    <n v="1.9586699999999999"/>
    <n v="1.91"/>
    <n v="2.0020199999999999"/>
    <n v="1.95601"/>
    <n v="920.2"/>
  </r>
  <r>
    <x v="14"/>
    <x v="9"/>
    <x v="0"/>
    <n v="1.9586699999999999"/>
    <n v="1.91"/>
    <n v="2.0020199999999999"/>
    <n v="1.95601"/>
    <n v="920.2"/>
  </r>
  <r>
    <x v="14"/>
    <x v="9"/>
    <x v="0"/>
    <n v="1.9586699999999999"/>
    <n v="1.91"/>
    <n v="2.0020199999999999"/>
    <n v="1.95601"/>
    <n v="920.2"/>
  </r>
  <r>
    <x v="14"/>
    <x v="9"/>
    <x v="0"/>
    <n v="1.9586699999999999"/>
    <n v="1.91"/>
    <n v="2.0020199999999999"/>
    <n v="1.95601"/>
    <n v="920.2"/>
  </r>
  <r>
    <x v="14"/>
    <x v="9"/>
    <x v="0"/>
    <n v="1.9586699999999999"/>
    <n v="1.91"/>
    <n v="2.0020199999999999"/>
    <n v="1.95601"/>
    <n v="920.2"/>
  </r>
  <r>
    <x v="14"/>
    <x v="9"/>
    <x v="0"/>
    <n v="1.9586699999999999"/>
    <n v="1.91"/>
    <n v="2.0020199999999999"/>
    <n v="1.95601"/>
    <n v="920.2"/>
  </r>
  <r>
    <x v="14"/>
    <x v="9"/>
    <x v="0"/>
    <n v="1.9586699999999999"/>
    <n v="1.91"/>
    <n v="2.0020199999999999"/>
    <n v="1.95601"/>
    <n v="920.2"/>
  </r>
  <r>
    <x v="14"/>
    <x v="9"/>
    <x v="0"/>
    <n v="1.9586699999999999"/>
    <n v="1.91"/>
    <n v="2.0020199999999999"/>
    <n v="1.95601"/>
    <n v="920.2"/>
  </r>
  <r>
    <x v="14"/>
    <x v="9"/>
    <x v="0"/>
    <n v="1.9586699999999999"/>
    <n v="1.91"/>
    <n v="2.0020199999999999"/>
    <n v="1.95601"/>
    <n v="920.2"/>
  </r>
  <r>
    <x v="14"/>
    <x v="9"/>
    <x v="0"/>
    <n v="1.9586699999999999"/>
    <n v="1.91"/>
    <n v="2.0020199999999999"/>
    <n v="1.95601"/>
    <n v="920.2"/>
  </r>
  <r>
    <x v="14"/>
    <x v="9"/>
    <x v="0"/>
    <n v="1.9586699999999999"/>
    <n v="1.91"/>
    <n v="2.0020199999999999"/>
    <n v="1.95601"/>
    <n v="920.2"/>
  </r>
  <r>
    <x v="14"/>
    <x v="9"/>
    <x v="0"/>
    <n v="1.9586699999999999"/>
    <n v="1.91"/>
    <n v="2.0020199999999999"/>
    <n v="1.95601"/>
    <n v="920.2"/>
  </r>
  <r>
    <x v="14"/>
    <x v="9"/>
    <x v="0"/>
    <n v="1.9586699999999999"/>
    <n v="1.91"/>
    <n v="2.0020199999999999"/>
    <n v="1.95601"/>
    <n v="920.2"/>
  </r>
  <r>
    <x v="14"/>
    <x v="9"/>
    <x v="0"/>
    <n v="1.9586699999999999"/>
    <n v="1.91"/>
    <n v="2.0020199999999999"/>
    <n v="1.95601"/>
    <n v="920.2"/>
  </r>
  <r>
    <x v="14"/>
    <x v="9"/>
    <x v="0"/>
    <n v="1.9586699999999999"/>
    <n v="1.91"/>
    <n v="2.0020199999999999"/>
    <n v="1.95601"/>
    <n v="920.2"/>
  </r>
  <r>
    <x v="14"/>
    <x v="9"/>
    <x v="0"/>
    <n v="1.9586699999999999"/>
    <n v="1.91"/>
    <n v="2.0020199999999999"/>
    <n v="1.95601"/>
    <n v="920.2"/>
  </r>
  <r>
    <x v="14"/>
    <x v="9"/>
    <x v="0"/>
    <n v="1.9586699999999999"/>
    <n v="1.91"/>
    <n v="2.0020199999999999"/>
    <n v="1.95601"/>
    <n v="920.2"/>
  </r>
  <r>
    <x v="14"/>
    <x v="9"/>
    <x v="0"/>
    <n v="1.9586699999999999"/>
    <n v="1.91"/>
    <n v="2.0020199999999999"/>
    <n v="1.95601"/>
    <n v="920.2"/>
  </r>
  <r>
    <x v="14"/>
    <x v="9"/>
    <x v="0"/>
    <n v="1.9586699999999999"/>
    <n v="1.91"/>
    <n v="2.0020199999999999"/>
    <n v="1.95601"/>
    <n v="920.2"/>
  </r>
  <r>
    <x v="14"/>
    <x v="9"/>
    <x v="0"/>
    <n v="1.9586699999999999"/>
    <n v="1.91"/>
    <n v="2.0020199999999999"/>
    <n v="1.95601"/>
    <n v="920.2"/>
  </r>
  <r>
    <x v="14"/>
    <x v="9"/>
    <x v="0"/>
    <n v="1.9586699999999999"/>
    <n v="1.91"/>
    <n v="2.0020199999999999"/>
    <n v="1.95601"/>
    <n v="920.2"/>
  </r>
  <r>
    <x v="14"/>
    <x v="9"/>
    <x v="0"/>
    <n v="1.9586699999999999"/>
    <n v="1.91"/>
    <n v="2.0020199999999999"/>
    <n v="1.95601"/>
    <n v="920.2"/>
  </r>
  <r>
    <x v="14"/>
    <x v="9"/>
    <x v="0"/>
    <n v="1.9586699999999999"/>
    <n v="1.91"/>
    <n v="2.0020199999999999"/>
    <n v="1.95601"/>
    <n v="920.2"/>
  </r>
  <r>
    <x v="14"/>
    <x v="10"/>
    <x v="0"/>
    <n v="1.9958499999999999"/>
    <n v="1.91"/>
    <n v="2.0020199999999999"/>
    <n v="1.95601"/>
    <n v="920.2"/>
  </r>
  <r>
    <x v="14"/>
    <x v="10"/>
    <x v="0"/>
    <n v="1.9958499999999999"/>
    <n v="1.91"/>
    <n v="2.0020199999999999"/>
    <n v="1.95601"/>
    <n v="920.2"/>
  </r>
  <r>
    <x v="14"/>
    <x v="10"/>
    <x v="0"/>
    <n v="1.9958499999999999"/>
    <n v="1.91"/>
    <n v="2.0020199999999999"/>
    <n v="1.95601"/>
    <n v="920.2"/>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10"/>
    <n v="0.93269999999999997"/>
    <n v="0.871"/>
    <n v="0.93908000000000003"/>
    <n v="0.90503999999999996"/>
    <n v="680.8"/>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4"/>
    <n v="96.956999999999994"/>
    <n v="91.4"/>
    <n v="98.600999999999999"/>
    <n v="95.000500000000002"/>
    <n v="720.1"/>
  </r>
  <r>
    <x v="14"/>
    <x v="10"/>
    <x v="0"/>
    <n v="1.9958499999999999"/>
    <n v="1.91"/>
    <n v="2.0020199999999999"/>
    <n v="1.95601"/>
    <n v="920.2"/>
  </r>
  <r>
    <x v="14"/>
    <x v="10"/>
    <x v="0"/>
    <n v="1.9958499999999999"/>
    <n v="1.91"/>
    <n v="2.0020199999999999"/>
    <n v="1.95601"/>
    <n v="920.2"/>
  </r>
  <r>
    <x v="14"/>
    <x v="10"/>
    <x v="0"/>
    <n v="1.9958499999999999"/>
    <n v="1.91"/>
    <n v="2.0020199999999999"/>
    <n v="1.95601"/>
    <n v="920.2"/>
  </r>
  <r>
    <x v="14"/>
    <x v="10"/>
    <x v="0"/>
    <n v="1.9958499999999999"/>
    <n v="1.91"/>
    <n v="2.0020199999999999"/>
    <n v="1.95601"/>
    <n v="920.2"/>
  </r>
  <r>
    <x v="14"/>
    <x v="10"/>
    <x v="0"/>
    <n v="1.9958499999999999"/>
    <n v="1.91"/>
    <n v="2.0020199999999999"/>
    <n v="1.95601"/>
    <n v="920.2"/>
  </r>
  <r>
    <x v="14"/>
    <x v="10"/>
    <x v="0"/>
    <n v="1.9958499999999999"/>
    <n v="1.91"/>
    <n v="2.0020199999999999"/>
    <n v="1.95601"/>
    <n v="920.2"/>
  </r>
  <r>
    <x v="14"/>
    <x v="10"/>
    <x v="0"/>
    <n v="1.9958499999999999"/>
    <n v="1.91"/>
    <n v="2.0020199999999999"/>
    <n v="1.95601"/>
    <n v="920.2"/>
  </r>
  <r>
    <x v="14"/>
    <x v="10"/>
    <x v="0"/>
    <n v="1.9958499999999999"/>
    <n v="1.91"/>
    <n v="2.0020199999999999"/>
    <n v="1.95601"/>
    <n v="920.2"/>
  </r>
  <r>
    <x v="14"/>
    <x v="10"/>
    <x v="0"/>
    <n v="1.9958499999999999"/>
    <n v="1.91"/>
    <n v="2.0020199999999999"/>
    <n v="1.95601"/>
    <n v="920.2"/>
  </r>
  <r>
    <x v="14"/>
    <x v="10"/>
    <x v="0"/>
    <n v="1.9958499999999999"/>
    <n v="1.91"/>
    <n v="2.0020199999999999"/>
    <n v="1.95601"/>
    <n v="920.2"/>
  </r>
  <r>
    <x v="14"/>
    <x v="10"/>
    <x v="0"/>
    <n v="1.9958499999999999"/>
    <n v="1.91"/>
    <n v="2.0020199999999999"/>
    <n v="1.95601"/>
    <n v="920.2"/>
  </r>
  <r>
    <x v="14"/>
    <x v="10"/>
    <x v="0"/>
    <n v="1.9958499999999999"/>
    <n v="1.91"/>
    <n v="2.0020199999999999"/>
    <n v="1.95601"/>
    <n v="920.2"/>
  </r>
  <r>
    <x v="14"/>
    <x v="10"/>
    <x v="0"/>
    <n v="1.9958499999999999"/>
    <n v="1.91"/>
    <n v="2.0020199999999999"/>
    <n v="1.95601"/>
    <n v="920.2"/>
  </r>
  <r>
    <x v="14"/>
    <x v="10"/>
    <x v="0"/>
    <n v="1.9958499999999999"/>
    <n v="1.91"/>
    <n v="2.0020199999999999"/>
    <n v="1.95601"/>
    <n v="920.2"/>
  </r>
  <r>
    <x v="14"/>
    <x v="10"/>
    <x v="0"/>
    <n v="1.9958499999999999"/>
    <n v="1.91"/>
    <n v="2.0020199999999999"/>
    <n v="1.95601"/>
    <n v="920.2"/>
  </r>
  <r>
    <x v="14"/>
    <x v="10"/>
    <x v="0"/>
    <n v="1.9958499999999999"/>
    <n v="1.91"/>
    <n v="2.0020199999999999"/>
    <n v="1.95601"/>
    <n v="920.2"/>
  </r>
  <r>
    <x v="14"/>
    <x v="10"/>
    <x v="0"/>
    <n v="1.9958499999999999"/>
    <n v="1.91"/>
    <n v="2.0020199999999999"/>
    <n v="1.95601"/>
    <n v="920.2"/>
  </r>
  <r>
    <x v="14"/>
    <x v="10"/>
    <x v="0"/>
    <n v="1.9958499999999999"/>
    <n v="1.91"/>
    <n v="2.0020199999999999"/>
    <n v="1.95601"/>
    <n v="920.2"/>
  </r>
  <r>
    <x v="14"/>
    <x v="10"/>
    <x v="0"/>
    <n v="1.9958499999999999"/>
    <n v="1.91"/>
    <n v="2.0020199999999999"/>
    <n v="1.95601"/>
    <n v="920.2"/>
  </r>
  <r>
    <x v="14"/>
    <x v="10"/>
    <x v="0"/>
    <n v="1.9958499999999999"/>
    <n v="1.91"/>
    <n v="2.0020199999999999"/>
    <n v="1.95601"/>
    <n v="920.2"/>
  </r>
  <r>
    <x v="14"/>
    <x v="10"/>
    <x v="0"/>
    <n v="1.9958499999999999"/>
    <n v="1.91"/>
    <n v="2.0020199999999999"/>
    <n v="1.95601"/>
    <n v="920.2"/>
  </r>
  <r>
    <x v="14"/>
    <x v="10"/>
    <x v="0"/>
    <n v="1.9958499999999999"/>
    <n v="1.91"/>
    <n v="2.0020199999999999"/>
    <n v="1.95601"/>
    <n v="920.2"/>
  </r>
  <r>
    <x v="14"/>
    <x v="10"/>
    <x v="0"/>
    <n v="1.9958499999999999"/>
    <n v="1.91"/>
    <n v="2.0020199999999999"/>
    <n v="1.95601"/>
    <n v="920.2"/>
  </r>
  <r>
    <x v="14"/>
    <x v="10"/>
    <x v="0"/>
    <n v="1.9958499999999999"/>
    <n v="1.91"/>
    <n v="2.0020199999999999"/>
    <n v="1.95601"/>
    <n v="920.2"/>
  </r>
  <r>
    <x v="14"/>
    <x v="10"/>
    <x v="0"/>
    <n v="1.9958499999999999"/>
    <n v="1.91"/>
    <n v="2.0020199999999999"/>
    <n v="1.95601"/>
    <n v="920.2"/>
  </r>
  <r>
    <x v="14"/>
    <x v="10"/>
    <x v="0"/>
    <n v="1.9958499999999999"/>
    <n v="1.91"/>
    <n v="2.0020199999999999"/>
    <n v="1.95601"/>
    <n v="920.2"/>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10"/>
    <n v="0.94052000000000002"/>
    <n v="0.871"/>
    <n v="0.94308999999999998"/>
    <n v="0.90704499999999999"/>
    <n v="720.9"/>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4"/>
    <n v="97.302000000000007"/>
    <n v="91.4"/>
    <n v="98.600999999999999"/>
    <n v="95.000500000000002"/>
    <n v="72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1"/>
    <x v="0"/>
    <n v="2.00278"/>
    <n v="1.91"/>
    <n v="2.0179900000000002"/>
    <n v="1.9639949999999999"/>
    <n v="1079.9000000000001"/>
  </r>
  <r>
    <x v="14"/>
    <x v="12"/>
    <x v="0"/>
    <n v="2.06318"/>
    <n v="1.91"/>
    <n v="2.0219999999999998"/>
    <n v="1.966"/>
    <n v="1120"/>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10"/>
    <n v="0.95113000000000003"/>
    <n v="0.871"/>
    <n v="0.94308999999999998"/>
    <n v="0.90704499999999999"/>
    <n v="720.9"/>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4"/>
    <n v="95.766999999999996"/>
    <n v="91.4"/>
    <n v="98.600999999999999"/>
    <n v="95.000500000000002"/>
    <n v="720.1"/>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2"/>
    <x v="0"/>
    <n v="2.06318"/>
    <n v="1.91"/>
    <n v="2.0219999999999998"/>
    <n v="1.966"/>
    <n v="1120"/>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10"/>
    <n v="0.96713000000000005"/>
    <n v="0.871"/>
    <n v="0.94308999999999998"/>
    <n v="0.90704499999999999"/>
    <n v="720.9"/>
  </r>
  <r>
    <x v="14"/>
    <x v="13"/>
    <x v="4"/>
    <n v="95.186999999999998"/>
    <n v="91.4"/>
    <n v="98.600999999999999"/>
    <n v="95.000500000000002"/>
    <n v="720.1"/>
  </r>
  <r>
    <x v="14"/>
    <x v="13"/>
    <x v="4"/>
    <n v="95.186999999999998"/>
    <n v="91.4"/>
    <n v="98.600999999999999"/>
    <n v="95.000500000000002"/>
    <n v="720.1"/>
  </r>
  <r>
    <x v="14"/>
    <x v="13"/>
    <x v="4"/>
    <n v="95.186999999999998"/>
    <n v="91.4"/>
    <n v="98.600999999999999"/>
    <n v="95.000500000000002"/>
    <n v="720.1"/>
  </r>
  <r>
    <x v="14"/>
    <x v="13"/>
    <x v="4"/>
    <n v="95.186999999999998"/>
    <n v="91.4"/>
    <n v="98.600999999999999"/>
    <n v="95.000500000000002"/>
    <n v="720.1"/>
  </r>
  <r>
    <x v="14"/>
    <x v="13"/>
    <x v="4"/>
    <n v="95.186999999999998"/>
    <n v="91.4"/>
    <n v="98.600999999999999"/>
    <n v="95.000500000000002"/>
    <n v="720.1"/>
  </r>
  <r>
    <x v="14"/>
    <x v="13"/>
    <x v="4"/>
    <n v="95.186999999999998"/>
    <n v="91.4"/>
    <n v="98.600999999999999"/>
    <n v="95.000500000000002"/>
    <n v="720.1"/>
  </r>
  <r>
    <x v="14"/>
    <x v="13"/>
    <x v="4"/>
    <n v="95.186999999999998"/>
    <n v="91.4"/>
    <n v="98.600999999999999"/>
    <n v="95.000500000000002"/>
    <n v="720.1"/>
  </r>
  <r>
    <x v="14"/>
    <x v="13"/>
    <x v="4"/>
    <n v="95.186999999999998"/>
    <n v="91.4"/>
    <n v="98.600999999999999"/>
    <n v="95.000500000000002"/>
    <n v="720.1"/>
  </r>
  <r>
    <x v="14"/>
    <x v="13"/>
    <x v="4"/>
    <n v="95.186999999999998"/>
    <n v="91.4"/>
    <n v="98.600999999999999"/>
    <n v="95.000500000000002"/>
    <n v="720.1"/>
  </r>
  <r>
    <x v="14"/>
    <x v="13"/>
    <x v="4"/>
    <n v="95.186999999999998"/>
    <n v="91.4"/>
    <n v="98.600999999999999"/>
    <n v="95.000500000000002"/>
    <n v="720.1"/>
  </r>
  <r>
    <x v="14"/>
    <x v="13"/>
    <x v="4"/>
    <n v="95.186999999999998"/>
    <n v="91.4"/>
    <n v="98.600999999999999"/>
    <n v="95.000500000000002"/>
    <n v="720.1"/>
  </r>
  <r>
    <x v="14"/>
    <x v="13"/>
    <x v="4"/>
    <n v="95.186999999999998"/>
    <n v="91.4"/>
    <n v="98.600999999999999"/>
    <n v="95.000500000000002"/>
    <n v="720.1"/>
  </r>
  <r>
    <x v="14"/>
    <x v="13"/>
    <x v="4"/>
    <n v="95.186999999999998"/>
    <n v="91.4"/>
    <n v="98.600999999999999"/>
    <n v="95.000500000000002"/>
    <n v="720.1"/>
  </r>
  <r>
    <x v="14"/>
    <x v="13"/>
    <x v="4"/>
    <n v="95.186999999999998"/>
    <n v="91.4"/>
    <n v="98.600999999999999"/>
    <n v="95.000500000000002"/>
    <n v="720.1"/>
  </r>
  <r>
    <x v="14"/>
    <x v="13"/>
    <x v="4"/>
    <n v="95.186999999999998"/>
    <n v="91.4"/>
    <n v="98.600999999999999"/>
    <n v="95.000500000000002"/>
    <n v="720.1"/>
  </r>
  <r>
    <x v="14"/>
    <x v="13"/>
    <x v="4"/>
    <n v="95.186999999999998"/>
    <n v="91.4"/>
    <n v="98.600999999999999"/>
    <n v="95.000500000000002"/>
    <n v="720.1"/>
  </r>
  <r>
    <x v="14"/>
    <x v="13"/>
    <x v="4"/>
    <n v="95.186999999999998"/>
    <n v="91.4"/>
    <n v="98.600999999999999"/>
    <n v="95.000500000000002"/>
    <n v="720.1"/>
  </r>
  <r>
    <x v="14"/>
    <x v="13"/>
    <x v="4"/>
    <n v="95.186999999999998"/>
    <n v="91.4"/>
    <n v="98.600999999999999"/>
    <n v="95.000500000000002"/>
    <n v="720.1"/>
  </r>
  <r>
    <x v="14"/>
    <x v="13"/>
    <x v="4"/>
    <n v="95.186999999999998"/>
    <n v="91.4"/>
    <n v="98.600999999999999"/>
    <n v="95.000500000000002"/>
    <n v="720.1"/>
  </r>
  <r>
    <x v="14"/>
    <x v="13"/>
    <x v="4"/>
    <n v="95.186999999999998"/>
    <n v="91.4"/>
    <n v="98.600999999999999"/>
    <n v="95.000500000000002"/>
    <n v="720.1"/>
  </r>
  <r>
    <x v="14"/>
    <x v="13"/>
    <x v="4"/>
    <n v="95.186999999999998"/>
    <n v="91.4"/>
    <n v="98.600999999999999"/>
    <n v="95.000500000000002"/>
    <n v="720.1"/>
  </r>
  <r>
    <x v="14"/>
    <x v="13"/>
    <x v="4"/>
    <n v="95.186999999999998"/>
    <n v="91.4"/>
    <n v="98.600999999999999"/>
    <n v="95.000500000000002"/>
    <n v="720.1"/>
  </r>
  <r>
    <x v="14"/>
    <x v="13"/>
    <x v="4"/>
    <n v="95.186999999999998"/>
    <n v="91.4"/>
    <n v="98.600999999999999"/>
    <n v="95.000500000000002"/>
    <n v="720.1"/>
  </r>
  <r>
    <x v="14"/>
    <x v="13"/>
    <x v="4"/>
    <n v="95.186999999999998"/>
    <n v="91.4"/>
    <n v="98.600999999999999"/>
    <n v="95.000500000000002"/>
    <n v="720.1"/>
  </r>
  <r>
    <x v="14"/>
    <x v="13"/>
    <x v="4"/>
    <n v="95.186999999999998"/>
    <n v="91.4"/>
    <n v="98.600999999999999"/>
    <n v="95.000500000000002"/>
    <n v="720.1"/>
  </r>
  <r>
    <x v="14"/>
    <x v="13"/>
    <x v="4"/>
    <n v="95.186999999999998"/>
    <n v="91.4"/>
    <n v="98.600999999999999"/>
    <n v="95.000500000000002"/>
    <n v="720.1"/>
  </r>
  <r>
    <x v="14"/>
    <x v="13"/>
    <x v="4"/>
    <n v="95.186999999999998"/>
    <n v="91.4"/>
    <n v="98.600999999999999"/>
    <n v="95.000500000000002"/>
    <n v="720.1"/>
  </r>
  <r>
    <x v="14"/>
    <x v="13"/>
    <x v="4"/>
    <n v="95.186999999999998"/>
    <n v="91.4"/>
    <n v="98.600999999999999"/>
    <n v="95.000500000000002"/>
    <n v="720.1"/>
  </r>
  <r>
    <x v="14"/>
    <x v="13"/>
    <x v="4"/>
    <n v="95.186999999999998"/>
    <n v="91.4"/>
    <n v="98.600999999999999"/>
    <n v="95.000500000000002"/>
    <n v="720.1"/>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0"/>
    <n v="2.0533700000000001"/>
    <n v="1.91"/>
    <n v="2.0219999999999998"/>
    <n v="1.966"/>
    <n v="1120"/>
  </r>
  <r>
    <x v="14"/>
    <x v="13"/>
    <x v="10"/>
    <n v="0.96713000000000005"/>
    <n v="0.871"/>
    <n v="0.94308999999999998"/>
    <n v="0.90704499999999999"/>
    <n v="720.9"/>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4"/>
    <n v="93.456000000000003"/>
    <n v="91.4"/>
    <n v="98.600999999999999"/>
    <n v="95.000500000000002"/>
    <n v="720.1"/>
  </r>
  <r>
    <x v="14"/>
    <x v="14"/>
    <x v="4"/>
    <n v="93.456000000000003"/>
    <n v="91.4"/>
    <n v="98.600999999999999"/>
    <n v="95.000500000000002"/>
    <n v="720.1"/>
  </r>
  <r>
    <x v="14"/>
    <x v="14"/>
    <x v="4"/>
    <n v="93.456000000000003"/>
    <n v="91.4"/>
    <n v="98.600999999999999"/>
    <n v="95.000500000000002"/>
    <n v="720.1"/>
  </r>
  <r>
    <x v="14"/>
    <x v="14"/>
    <x v="4"/>
    <n v="93.456000000000003"/>
    <n v="91.4"/>
    <n v="98.600999999999999"/>
    <n v="95.000500000000002"/>
    <n v="720.1"/>
  </r>
  <r>
    <x v="14"/>
    <x v="14"/>
    <x v="4"/>
    <n v="93.456000000000003"/>
    <n v="91.4"/>
    <n v="98.600999999999999"/>
    <n v="95.000500000000002"/>
    <n v="720.1"/>
  </r>
  <r>
    <x v="14"/>
    <x v="14"/>
    <x v="4"/>
    <n v="93.456000000000003"/>
    <n v="91.4"/>
    <n v="98.600999999999999"/>
    <n v="95.000500000000002"/>
    <n v="720.1"/>
  </r>
  <r>
    <x v="14"/>
    <x v="14"/>
    <x v="4"/>
    <n v="93.456000000000003"/>
    <n v="91.4"/>
    <n v="98.600999999999999"/>
    <n v="95.000500000000002"/>
    <n v="720.1"/>
  </r>
  <r>
    <x v="14"/>
    <x v="14"/>
    <x v="4"/>
    <n v="93.456000000000003"/>
    <n v="91.4"/>
    <n v="98.600999999999999"/>
    <n v="95.000500000000002"/>
    <n v="720.1"/>
  </r>
  <r>
    <x v="14"/>
    <x v="14"/>
    <x v="4"/>
    <n v="93.456000000000003"/>
    <n v="91.4"/>
    <n v="98.600999999999999"/>
    <n v="95.000500000000002"/>
    <n v="720.1"/>
  </r>
  <r>
    <x v="14"/>
    <x v="14"/>
    <x v="4"/>
    <n v="93.456000000000003"/>
    <n v="91.4"/>
    <n v="98.600999999999999"/>
    <n v="95.000500000000002"/>
    <n v="720.1"/>
  </r>
  <r>
    <x v="14"/>
    <x v="14"/>
    <x v="4"/>
    <n v="93.456000000000003"/>
    <n v="91.4"/>
    <n v="98.600999999999999"/>
    <n v="95.000500000000002"/>
    <n v="720.1"/>
  </r>
  <r>
    <x v="14"/>
    <x v="14"/>
    <x v="4"/>
    <n v="93.456000000000003"/>
    <n v="91.4"/>
    <n v="98.600999999999999"/>
    <n v="95.000500000000002"/>
    <n v="720.1"/>
  </r>
  <r>
    <x v="14"/>
    <x v="14"/>
    <x v="4"/>
    <n v="93.456000000000003"/>
    <n v="91.4"/>
    <n v="98.600999999999999"/>
    <n v="95.000500000000002"/>
    <n v="720.1"/>
  </r>
  <r>
    <x v="14"/>
    <x v="14"/>
    <x v="4"/>
    <n v="93.456000000000003"/>
    <n v="91.4"/>
    <n v="98.600999999999999"/>
    <n v="95.000500000000002"/>
    <n v="720.1"/>
  </r>
  <r>
    <x v="14"/>
    <x v="14"/>
    <x v="4"/>
    <n v="93.456000000000003"/>
    <n v="91.4"/>
    <n v="98.600999999999999"/>
    <n v="95.000500000000002"/>
    <n v="720.1"/>
  </r>
  <r>
    <x v="14"/>
    <x v="14"/>
    <x v="4"/>
    <n v="93.456000000000003"/>
    <n v="91.4"/>
    <n v="98.600999999999999"/>
    <n v="95.000500000000002"/>
    <n v="720.1"/>
  </r>
  <r>
    <x v="14"/>
    <x v="14"/>
    <x v="4"/>
    <n v="93.456000000000003"/>
    <n v="91.4"/>
    <n v="98.600999999999999"/>
    <n v="95.000500000000002"/>
    <n v="720.1"/>
  </r>
  <r>
    <x v="14"/>
    <x v="14"/>
    <x v="4"/>
    <n v="93.456000000000003"/>
    <n v="91.4"/>
    <n v="98.600999999999999"/>
    <n v="95.000500000000002"/>
    <n v="720.1"/>
  </r>
  <r>
    <x v="14"/>
    <x v="14"/>
    <x v="4"/>
    <n v="93.456000000000003"/>
    <n v="91.4"/>
    <n v="98.600999999999999"/>
    <n v="95.000500000000002"/>
    <n v="720.1"/>
  </r>
  <r>
    <x v="14"/>
    <x v="14"/>
    <x v="4"/>
    <n v="93.456000000000003"/>
    <n v="91.4"/>
    <n v="98.600999999999999"/>
    <n v="95.000500000000002"/>
    <n v="720.1"/>
  </r>
  <r>
    <x v="14"/>
    <x v="14"/>
    <x v="4"/>
    <n v="93.456000000000003"/>
    <n v="91.4"/>
    <n v="98.600999999999999"/>
    <n v="95.000500000000002"/>
    <n v="720.1"/>
  </r>
  <r>
    <x v="14"/>
    <x v="14"/>
    <x v="4"/>
    <n v="93.456000000000003"/>
    <n v="91.4"/>
    <n v="98.600999999999999"/>
    <n v="95.000500000000002"/>
    <n v="720.1"/>
  </r>
  <r>
    <x v="14"/>
    <x v="14"/>
    <x v="4"/>
    <n v="93.456000000000003"/>
    <n v="91.4"/>
    <n v="98.600999999999999"/>
    <n v="95.000500000000002"/>
    <n v="720.1"/>
  </r>
  <r>
    <x v="14"/>
    <x v="14"/>
    <x v="0"/>
    <n v="2.0558900000000002"/>
    <n v="1.91"/>
    <n v="2.0339999999999998"/>
    <n v="1.972"/>
    <n v="1240"/>
  </r>
  <r>
    <x v="14"/>
    <x v="14"/>
    <x v="0"/>
    <n v="2.0558900000000002"/>
    <n v="1.91"/>
    <n v="2.0339999999999998"/>
    <n v="1.972"/>
    <n v="1240"/>
  </r>
  <r>
    <x v="14"/>
    <x v="14"/>
    <x v="0"/>
    <n v="2.0558900000000002"/>
    <n v="1.91"/>
    <n v="2.0339999999999998"/>
    <n v="1.972"/>
    <n v="1240"/>
  </r>
  <r>
    <x v="14"/>
    <x v="14"/>
    <x v="0"/>
    <n v="2.0558900000000002"/>
    <n v="1.91"/>
    <n v="2.0339999999999998"/>
    <n v="1.972"/>
    <n v="1240"/>
  </r>
  <r>
    <x v="14"/>
    <x v="14"/>
    <x v="0"/>
    <n v="2.0558900000000002"/>
    <n v="1.91"/>
    <n v="2.0339999999999998"/>
    <n v="1.972"/>
    <n v="1240"/>
  </r>
  <r>
    <x v="14"/>
    <x v="14"/>
    <x v="0"/>
    <n v="2.0558900000000002"/>
    <n v="1.91"/>
    <n v="2.0339999999999998"/>
    <n v="1.972"/>
    <n v="1240"/>
  </r>
  <r>
    <x v="14"/>
    <x v="14"/>
    <x v="0"/>
    <n v="2.0558900000000002"/>
    <n v="1.91"/>
    <n v="2.0339999999999998"/>
    <n v="1.972"/>
    <n v="1240"/>
  </r>
  <r>
    <x v="14"/>
    <x v="14"/>
    <x v="0"/>
    <n v="2.0558900000000002"/>
    <n v="1.91"/>
    <n v="2.0339999999999998"/>
    <n v="1.972"/>
    <n v="1240"/>
  </r>
  <r>
    <x v="14"/>
    <x v="14"/>
    <x v="0"/>
    <n v="2.0558900000000002"/>
    <n v="1.91"/>
    <n v="2.0339999999999998"/>
    <n v="1.972"/>
    <n v="1240"/>
  </r>
  <r>
    <x v="14"/>
    <x v="14"/>
    <x v="0"/>
    <n v="2.0558900000000002"/>
    <n v="1.91"/>
    <n v="2.0339999999999998"/>
    <n v="1.972"/>
    <n v="1240"/>
  </r>
  <r>
    <x v="14"/>
    <x v="14"/>
    <x v="0"/>
    <n v="2.0558900000000002"/>
    <n v="1.91"/>
    <n v="2.0339999999999998"/>
    <n v="1.972"/>
    <n v="1240"/>
  </r>
  <r>
    <x v="14"/>
    <x v="14"/>
    <x v="0"/>
    <n v="2.0558900000000002"/>
    <n v="1.91"/>
    <n v="2.0339999999999998"/>
    <n v="1.972"/>
    <n v="1240"/>
  </r>
  <r>
    <x v="14"/>
    <x v="14"/>
    <x v="0"/>
    <n v="2.0558900000000002"/>
    <n v="1.91"/>
    <n v="2.0339999999999998"/>
    <n v="1.972"/>
    <n v="1240"/>
  </r>
  <r>
    <x v="14"/>
    <x v="14"/>
    <x v="0"/>
    <n v="2.0558900000000002"/>
    <n v="1.91"/>
    <n v="2.0339999999999998"/>
    <n v="1.972"/>
    <n v="1240"/>
  </r>
  <r>
    <x v="14"/>
    <x v="14"/>
    <x v="0"/>
    <n v="2.0558900000000002"/>
    <n v="1.91"/>
    <n v="2.0339999999999998"/>
    <n v="1.972"/>
    <n v="1240"/>
  </r>
  <r>
    <x v="14"/>
    <x v="14"/>
    <x v="0"/>
    <n v="2.0558900000000002"/>
    <n v="1.91"/>
    <n v="2.0339999999999998"/>
    <n v="1.972"/>
    <n v="1240"/>
  </r>
  <r>
    <x v="14"/>
    <x v="14"/>
    <x v="0"/>
    <n v="2.0558900000000002"/>
    <n v="1.91"/>
    <n v="2.0339999999999998"/>
    <n v="1.972"/>
    <n v="1240"/>
  </r>
  <r>
    <x v="14"/>
    <x v="14"/>
    <x v="0"/>
    <n v="2.0558900000000002"/>
    <n v="1.91"/>
    <n v="2.0339999999999998"/>
    <n v="1.972"/>
    <n v="1240"/>
  </r>
  <r>
    <x v="14"/>
    <x v="14"/>
    <x v="0"/>
    <n v="2.0558900000000002"/>
    <n v="1.91"/>
    <n v="2.0339999999999998"/>
    <n v="1.972"/>
    <n v="1240"/>
  </r>
  <r>
    <x v="14"/>
    <x v="14"/>
    <x v="0"/>
    <n v="2.0558900000000002"/>
    <n v="1.91"/>
    <n v="2.0339999999999998"/>
    <n v="1.972"/>
    <n v="1240"/>
  </r>
  <r>
    <x v="14"/>
    <x v="14"/>
    <x v="0"/>
    <n v="2.0558900000000002"/>
    <n v="1.91"/>
    <n v="2.0339999999999998"/>
    <n v="1.972"/>
    <n v="1240"/>
  </r>
  <r>
    <x v="14"/>
    <x v="14"/>
    <x v="0"/>
    <n v="2.0558900000000002"/>
    <n v="1.91"/>
    <n v="2.0339999999999998"/>
    <n v="1.972"/>
    <n v="1240"/>
  </r>
  <r>
    <x v="14"/>
    <x v="14"/>
    <x v="0"/>
    <n v="2.0558900000000002"/>
    <n v="1.91"/>
    <n v="2.0339999999999998"/>
    <n v="1.972"/>
    <n v="1240"/>
  </r>
  <r>
    <x v="14"/>
    <x v="14"/>
    <x v="0"/>
    <n v="2.0558900000000002"/>
    <n v="1.91"/>
    <n v="2.0339999999999998"/>
    <n v="1.972"/>
    <n v="1240"/>
  </r>
  <r>
    <x v="14"/>
    <x v="14"/>
    <x v="0"/>
    <n v="2.0558900000000002"/>
    <n v="1.91"/>
    <n v="2.0339999999999998"/>
    <n v="1.972"/>
    <n v="1240"/>
  </r>
  <r>
    <x v="14"/>
    <x v="14"/>
    <x v="0"/>
    <n v="2.0558900000000002"/>
    <n v="1.91"/>
    <n v="2.0339999999999998"/>
    <n v="1.972"/>
    <n v="1240"/>
  </r>
  <r>
    <x v="14"/>
    <x v="14"/>
    <x v="0"/>
    <n v="2.0558900000000002"/>
    <n v="1.91"/>
    <n v="2.0339999999999998"/>
    <n v="1.972"/>
    <n v="1240"/>
  </r>
  <r>
    <x v="14"/>
    <x v="14"/>
    <x v="0"/>
    <n v="2.0558900000000002"/>
    <n v="1.91"/>
    <n v="2.0339999999999998"/>
    <n v="1.972"/>
    <n v="1240"/>
  </r>
  <r>
    <x v="14"/>
    <x v="14"/>
    <x v="0"/>
    <n v="2.0558900000000002"/>
    <n v="1.91"/>
    <n v="2.0339999999999998"/>
    <n v="1.972"/>
    <n v="1240"/>
  </r>
  <r>
    <x v="14"/>
    <x v="14"/>
    <x v="0"/>
    <n v="2.0558900000000002"/>
    <n v="1.91"/>
    <n v="2.0339999999999998"/>
    <n v="1.972"/>
    <n v="1240"/>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4"/>
    <x v="10"/>
    <n v="0.95687999999999995"/>
    <n v="0.871"/>
    <n v="0.94894000000000001"/>
    <n v="0.90996999999999995"/>
    <n v="779.4"/>
  </r>
  <r>
    <x v="14"/>
    <x v="15"/>
    <x v="0"/>
    <n v="2.0294599999999998"/>
    <n v="1.91"/>
    <n v="2.0459900000000002"/>
    <n v="1.9779949999999999"/>
    <n v="1359.9"/>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10"/>
    <n v="0.94555999999999996"/>
    <n v="0.871"/>
    <n v="0.95499999999999996"/>
    <n v="0.91300000000000003"/>
    <n v="840"/>
  </r>
  <r>
    <x v="14"/>
    <x v="15"/>
    <x v="4"/>
    <n v="93.438999999999993"/>
    <n v="91.4"/>
    <n v="98.600999999999999"/>
    <n v="95.000500000000002"/>
    <n v="720.1"/>
  </r>
  <r>
    <x v="14"/>
    <x v="15"/>
    <x v="4"/>
    <n v="93.438999999999993"/>
    <n v="91.4"/>
    <n v="98.600999999999999"/>
    <n v="95.000500000000002"/>
    <n v="720.1"/>
  </r>
  <r>
    <x v="14"/>
    <x v="15"/>
    <x v="4"/>
    <n v="93.438999999999993"/>
    <n v="91.4"/>
    <n v="98.600999999999999"/>
    <n v="95.000500000000002"/>
    <n v="720.1"/>
  </r>
  <r>
    <x v="14"/>
    <x v="15"/>
    <x v="4"/>
    <n v="93.438999999999993"/>
    <n v="91.4"/>
    <n v="98.600999999999999"/>
    <n v="95.000500000000002"/>
    <n v="720.1"/>
  </r>
  <r>
    <x v="14"/>
    <x v="15"/>
    <x v="4"/>
    <n v="93.438999999999993"/>
    <n v="91.4"/>
    <n v="98.600999999999999"/>
    <n v="95.000500000000002"/>
    <n v="720.1"/>
  </r>
  <r>
    <x v="14"/>
    <x v="15"/>
    <x v="4"/>
    <n v="93.438999999999993"/>
    <n v="91.4"/>
    <n v="98.600999999999999"/>
    <n v="95.000500000000002"/>
    <n v="720.1"/>
  </r>
  <r>
    <x v="14"/>
    <x v="15"/>
    <x v="4"/>
    <n v="93.438999999999993"/>
    <n v="91.4"/>
    <n v="98.600999999999999"/>
    <n v="95.000500000000002"/>
    <n v="720.1"/>
  </r>
  <r>
    <x v="14"/>
    <x v="15"/>
    <x v="4"/>
    <n v="93.438999999999993"/>
    <n v="91.4"/>
    <n v="98.600999999999999"/>
    <n v="95.000500000000002"/>
    <n v="720.1"/>
  </r>
  <r>
    <x v="14"/>
    <x v="15"/>
    <x v="4"/>
    <n v="93.438999999999993"/>
    <n v="91.4"/>
    <n v="98.600999999999999"/>
    <n v="95.000500000000002"/>
    <n v="720.1"/>
  </r>
  <r>
    <x v="14"/>
    <x v="15"/>
    <x v="4"/>
    <n v="93.438999999999993"/>
    <n v="91.4"/>
    <n v="98.600999999999999"/>
    <n v="95.000500000000002"/>
    <n v="720.1"/>
  </r>
  <r>
    <x v="14"/>
    <x v="15"/>
    <x v="4"/>
    <n v="93.438999999999993"/>
    <n v="91.4"/>
    <n v="98.600999999999999"/>
    <n v="95.000500000000002"/>
    <n v="720.1"/>
  </r>
  <r>
    <x v="14"/>
    <x v="15"/>
    <x v="4"/>
    <n v="93.438999999999993"/>
    <n v="91.4"/>
    <n v="98.600999999999999"/>
    <n v="95.000500000000002"/>
    <n v="720.1"/>
  </r>
  <r>
    <x v="14"/>
    <x v="15"/>
    <x v="4"/>
    <n v="93.438999999999993"/>
    <n v="91.4"/>
    <n v="98.600999999999999"/>
    <n v="95.000500000000002"/>
    <n v="720.1"/>
  </r>
  <r>
    <x v="14"/>
    <x v="15"/>
    <x v="4"/>
    <n v="93.438999999999993"/>
    <n v="91.4"/>
    <n v="98.600999999999999"/>
    <n v="95.000500000000002"/>
    <n v="720.1"/>
  </r>
  <r>
    <x v="14"/>
    <x v="15"/>
    <x v="4"/>
    <n v="93.438999999999993"/>
    <n v="91.4"/>
    <n v="98.600999999999999"/>
    <n v="95.000500000000002"/>
    <n v="720.1"/>
  </r>
  <r>
    <x v="14"/>
    <x v="15"/>
    <x v="4"/>
    <n v="93.438999999999993"/>
    <n v="91.4"/>
    <n v="98.600999999999999"/>
    <n v="95.000500000000002"/>
    <n v="720.1"/>
  </r>
  <r>
    <x v="14"/>
    <x v="15"/>
    <x v="4"/>
    <n v="93.438999999999993"/>
    <n v="91.4"/>
    <n v="98.600999999999999"/>
    <n v="95.000500000000002"/>
    <n v="720.1"/>
  </r>
  <r>
    <x v="14"/>
    <x v="15"/>
    <x v="4"/>
    <n v="93.438999999999993"/>
    <n v="91.4"/>
    <n v="98.600999999999999"/>
    <n v="95.000500000000002"/>
    <n v="720.1"/>
  </r>
  <r>
    <x v="14"/>
    <x v="15"/>
    <x v="4"/>
    <n v="93.438999999999993"/>
    <n v="91.4"/>
    <n v="98.600999999999999"/>
    <n v="95.000500000000002"/>
    <n v="720.1"/>
  </r>
  <r>
    <x v="14"/>
    <x v="15"/>
    <x v="4"/>
    <n v="93.438999999999993"/>
    <n v="91.4"/>
    <n v="98.600999999999999"/>
    <n v="95.000500000000002"/>
    <n v="720.1"/>
  </r>
  <r>
    <x v="14"/>
    <x v="15"/>
    <x v="4"/>
    <n v="93.438999999999993"/>
    <n v="91.4"/>
    <n v="98.600999999999999"/>
    <n v="95.000500000000002"/>
    <n v="720.1"/>
  </r>
  <r>
    <x v="14"/>
    <x v="15"/>
    <x v="4"/>
    <n v="93.438999999999993"/>
    <n v="91.4"/>
    <n v="98.600999999999999"/>
    <n v="95.000500000000002"/>
    <n v="720.1"/>
  </r>
  <r>
    <x v="14"/>
    <x v="15"/>
    <x v="4"/>
    <n v="93.438999999999993"/>
    <n v="91.4"/>
    <n v="98.600999999999999"/>
    <n v="95.000500000000002"/>
    <n v="720.1"/>
  </r>
  <r>
    <x v="14"/>
    <x v="15"/>
    <x v="4"/>
    <n v="93.438999999999993"/>
    <n v="91.4"/>
    <n v="98.600999999999999"/>
    <n v="95.000500000000002"/>
    <n v="720.1"/>
  </r>
  <r>
    <x v="14"/>
    <x v="15"/>
    <x v="4"/>
    <n v="93.438999999999993"/>
    <n v="91.4"/>
    <n v="98.600999999999999"/>
    <n v="95.000500000000002"/>
    <n v="720.1"/>
  </r>
  <r>
    <x v="14"/>
    <x v="15"/>
    <x v="4"/>
    <n v="93.438999999999993"/>
    <n v="91.4"/>
    <n v="98.600999999999999"/>
    <n v="95.000500000000002"/>
    <n v="720.1"/>
  </r>
  <r>
    <x v="14"/>
    <x v="15"/>
    <x v="4"/>
    <n v="93.438999999999993"/>
    <n v="91.4"/>
    <n v="98.600999999999999"/>
    <n v="95.000500000000002"/>
    <n v="720.1"/>
  </r>
  <r>
    <x v="14"/>
    <x v="15"/>
    <x v="4"/>
    <n v="93.438999999999993"/>
    <n v="91.4"/>
    <n v="98.600999999999999"/>
    <n v="95.000500000000002"/>
    <n v="720.1"/>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5"/>
    <x v="0"/>
    <n v="2.0294599999999998"/>
    <n v="1.91"/>
    <n v="2.0459900000000002"/>
    <n v="1.9779949999999999"/>
    <n v="1359.9"/>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6"/>
    <x v="4"/>
    <n v="95.02"/>
    <n v="91.4"/>
    <n v="98.600999999999999"/>
    <n v="95.000500000000002"/>
    <n v="720.1"/>
  </r>
  <r>
    <x v="14"/>
    <x v="16"/>
    <x v="4"/>
    <n v="95.02"/>
    <n v="91.4"/>
    <n v="98.600999999999999"/>
    <n v="95.000500000000002"/>
    <n v="720.1"/>
  </r>
  <r>
    <x v="14"/>
    <x v="16"/>
    <x v="4"/>
    <n v="95.02"/>
    <n v="91.4"/>
    <n v="98.600999999999999"/>
    <n v="95.000500000000002"/>
    <n v="720.1"/>
  </r>
  <r>
    <x v="14"/>
    <x v="16"/>
    <x v="4"/>
    <n v="95.02"/>
    <n v="91.4"/>
    <n v="98.600999999999999"/>
    <n v="95.000500000000002"/>
    <n v="720.1"/>
  </r>
  <r>
    <x v="14"/>
    <x v="16"/>
    <x v="4"/>
    <n v="95.02"/>
    <n v="91.4"/>
    <n v="98.600999999999999"/>
    <n v="95.000500000000002"/>
    <n v="720.1"/>
  </r>
  <r>
    <x v="14"/>
    <x v="16"/>
    <x v="4"/>
    <n v="95.02"/>
    <n v="91.4"/>
    <n v="98.600999999999999"/>
    <n v="95.000500000000002"/>
    <n v="720.1"/>
  </r>
  <r>
    <x v="14"/>
    <x v="16"/>
    <x v="4"/>
    <n v="95.02"/>
    <n v="91.4"/>
    <n v="98.600999999999999"/>
    <n v="95.000500000000002"/>
    <n v="720.1"/>
  </r>
  <r>
    <x v="14"/>
    <x v="16"/>
    <x v="4"/>
    <n v="95.02"/>
    <n v="91.4"/>
    <n v="98.600999999999999"/>
    <n v="95.000500000000002"/>
    <n v="720.1"/>
  </r>
  <r>
    <x v="14"/>
    <x v="16"/>
    <x v="4"/>
    <n v="95.02"/>
    <n v="91.4"/>
    <n v="98.600999999999999"/>
    <n v="95.000500000000002"/>
    <n v="720.1"/>
  </r>
  <r>
    <x v="14"/>
    <x v="16"/>
    <x v="4"/>
    <n v="95.02"/>
    <n v="91.4"/>
    <n v="98.600999999999999"/>
    <n v="95.000500000000002"/>
    <n v="720.1"/>
  </r>
  <r>
    <x v="14"/>
    <x v="16"/>
    <x v="4"/>
    <n v="95.02"/>
    <n v="91.4"/>
    <n v="98.600999999999999"/>
    <n v="95.000500000000002"/>
    <n v="720.1"/>
  </r>
  <r>
    <x v="14"/>
    <x v="16"/>
    <x v="4"/>
    <n v="95.02"/>
    <n v="91.4"/>
    <n v="98.600999999999999"/>
    <n v="95.000500000000002"/>
    <n v="720.1"/>
  </r>
  <r>
    <x v="14"/>
    <x v="16"/>
    <x v="4"/>
    <n v="95.02"/>
    <n v="91.4"/>
    <n v="98.600999999999999"/>
    <n v="95.000500000000002"/>
    <n v="720.1"/>
  </r>
  <r>
    <x v="14"/>
    <x v="16"/>
    <x v="4"/>
    <n v="95.02"/>
    <n v="91.4"/>
    <n v="98.600999999999999"/>
    <n v="95.000500000000002"/>
    <n v="720.1"/>
  </r>
  <r>
    <x v="14"/>
    <x v="16"/>
    <x v="4"/>
    <n v="95.02"/>
    <n v="91.4"/>
    <n v="98.600999999999999"/>
    <n v="95.000500000000002"/>
    <n v="720.1"/>
  </r>
  <r>
    <x v="14"/>
    <x v="16"/>
    <x v="4"/>
    <n v="95.02"/>
    <n v="91.4"/>
    <n v="98.600999999999999"/>
    <n v="95.000500000000002"/>
    <n v="720.1"/>
  </r>
  <r>
    <x v="14"/>
    <x v="16"/>
    <x v="4"/>
    <n v="95.02"/>
    <n v="91.4"/>
    <n v="98.600999999999999"/>
    <n v="95.000500000000002"/>
    <n v="720.1"/>
  </r>
  <r>
    <x v="14"/>
    <x v="16"/>
    <x v="4"/>
    <n v="95.02"/>
    <n v="91.4"/>
    <n v="98.600999999999999"/>
    <n v="95.000500000000002"/>
    <n v="720.1"/>
  </r>
  <r>
    <x v="14"/>
    <x v="16"/>
    <x v="4"/>
    <n v="95.02"/>
    <n v="91.4"/>
    <n v="98.600999999999999"/>
    <n v="95.000500000000002"/>
    <n v="720.1"/>
  </r>
  <r>
    <x v="14"/>
    <x v="16"/>
    <x v="4"/>
    <n v="95.02"/>
    <n v="91.4"/>
    <n v="98.600999999999999"/>
    <n v="95.000500000000002"/>
    <n v="720.1"/>
  </r>
  <r>
    <x v="14"/>
    <x v="16"/>
    <x v="4"/>
    <n v="95.02"/>
    <n v="91.4"/>
    <n v="98.600999999999999"/>
    <n v="95.000500000000002"/>
    <n v="720.1"/>
  </r>
  <r>
    <x v="14"/>
    <x v="16"/>
    <x v="4"/>
    <n v="95.02"/>
    <n v="91.4"/>
    <n v="98.600999999999999"/>
    <n v="95.000500000000002"/>
    <n v="720.1"/>
  </r>
  <r>
    <x v="14"/>
    <x v="16"/>
    <x v="4"/>
    <n v="95.02"/>
    <n v="91.4"/>
    <n v="98.600999999999999"/>
    <n v="95.000500000000002"/>
    <n v="720.1"/>
  </r>
  <r>
    <x v="14"/>
    <x v="16"/>
    <x v="4"/>
    <n v="95.02"/>
    <n v="91.4"/>
    <n v="98.600999999999999"/>
    <n v="95.000500000000002"/>
    <n v="720.1"/>
  </r>
  <r>
    <x v="14"/>
    <x v="16"/>
    <x v="4"/>
    <n v="95.02"/>
    <n v="91.4"/>
    <n v="98.600999999999999"/>
    <n v="95.000500000000002"/>
    <n v="720.1"/>
  </r>
  <r>
    <x v="14"/>
    <x v="16"/>
    <x v="4"/>
    <n v="95.02"/>
    <n v="91.4"/>
    <n v="98.600999999999999"/>
    <n v="95.000500000000002"/>
    <n v="720.1"/>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0"/>
    <n v="2.0467200000000001"/>
    <n v="1.91"/>
    <n v="2.0459900000000002"/>
    <n v="1.9779949999999999"/>
    <n v="1359.9"/>
  </r>
  <r>
    <x v="14"/>
    <x v="16"/>
    <x v="10"/>
    <n v="0.95147999999999999"/>
    <n v="0.871"/>
    <n v="0.95499999999999996"/>
    <n v="0.91300000000000003"/>
    <n v="840"/>
  </r>
  <r>
    <x v="14"/>
    <x v="16"/>
    <x v="10"/>
    <n v="0.95147999999999999"/>
    <n v="0.871"/>
    <n v="0.95499999999999996"/>
    <n v="0.91300000000000003"/>
    <n v="840"/>
  </r>
  <r>
    <x v="14"/>
    <x v="16"/>
    <x v="10"/>
    <n v="0.95147999999999999"/>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4"/>
    <n v="98.756"/>
    <n v="91.4"/>
    <n v="98.600999999999999"/>
    <n v="95.000500000000002"/>
    <n v="720.1"/>
  </r>
  <r>
    <x v="14"/>
    <x v="17"/>
    <x v="4"/>
    <n v="98.756"/>
    <n v="91.4"/>
    <n v="98.600999999999999"/>
    <n v="95.000500000000002"/>
    <n v="720.1"/>
  </r>
  <r>
    <x v="14"/>
    <x v="17"/>
    <x v="4"/>
    <n v="98.756"/>
    <n v="91.4"/>
    <n v="98.600999999999999"/>
    <n v="95.000500000000002"/>
    <n v="720.1"/>
  </r>
  <r>
    <x v="14"/>
    <x v="17"/>
    <x v="4"/>
    <n v="98.756"/>
    <n v="91.4"/>
    <n v="98.600999999999999"/>
    <n v="95.000500000000002"/>
    <n v="720.1"/>
  </r>
  <r>
    <x v="14"/>
    <x v="17"/>
    <x v="4"/>
    <n v="98.756"/>
    <n v="91.4"/>
    <n v="98.600999999999999"/>
    <n v="95.000500000000002"/>
    <n v="720.1"/>
  </r>
  <r>
    <x v="14"/>
    <x v="17"/>
    <x v="4"/>
    <n v="98.756"/>
    <n v="91.4"/>
    <n v="98.600999999999999"/>
    <n v="95.000500000000002"/>
    <n v="720.1"/>
  </r>
  <r>
    <x v="14"/>
    <x v="17"/>
    <x v="4"/>
    <n v="98.756"/>
    <n v="91.4"/>
    <n v="98.600999999999999"/>
    <n v="95.000500000000002"/>
    <n v="720.1"/>
  </r>
  <r>
    <x v="14"/>
    <x v="17"/>
    <x v="4"/>
    <n v="98.756"/>
    <n v="91.4"/>
    <n v="98.600999999999999"/>
    <n v="95.000500000000002"/>
    <n v="720.1"/>
  </r>
  <r>
    <x v="14"/>
    <x v="17"/>
    <x v="4"/>
    <n v="98.756"/>
    <n v="91.4"/>
    <n v="98.600999999999999"/>
    <n v="95.000500000000002"/>
    <n v="720.1"/>
  </r>
  <r>
    <x v="14"/>
    <x v="17"/>
    <x v="4"/>
    <n v="98.756"/>
    <n v="91.4"/>
    <n v="98.600999999999999"/>
    <n v="95.000500000000002"/>
    <n v="720.1"/>
  </r>
  <r>
    <x v="14"/>
    <x v="17"/>
    <x v="4"/>
    <n v="98.756"/>
    <n v="91.4"/>
    <n v="98.600999999999999"/>
    <n v="95.000500000000002"/>
    <n v="720.1"/>
  </r>
  <r>
    <x v="14"/>
    <x v="17"/>
    <x v="4"/>
    <n v="98.756"/>
    <n v="91.4"/>
    <n v="98.600999999999999"/>
    <n v="95.000500000000002"/>
    <n v="720.1"/>
  </r>
  <r>
    <x v="14"/>
    <x v="17"/>
    <x v="4"/>
    <n v="98.756"/>
    <n v="91.4"/>
    <n v="98.600999999999999"/>
    <n v="95.000500000000002"/>
    <n v="720.1"/>
  </r>
  <r>
    <x v="14"/>
    <x v="17"/>
    <x v="4"/>
    <n v="98.756"/>
    <n v="91.4"/>
    <n v="98.600999999999999"/>
    <n v="95.000500000000002"/>
    <n v="720.1"/>
  </r>
  <r>
    <x v="14"/>
    <x v="17"/>
    <x v="4"/>
    <n v="98.756"/>
    <n v="91.4"/>
    <n v="98.600999999999999"/>
    <n v="95.000500000000002"/>
    <n v="720.1"/>
  </r>
  <r>
    <x v="14"/>
    <x v="17"/>
    <x v="4"/>
    <n v="98.756"/>
    <n v="91.4"/>
    <n v="98.600999999999999"/>
    <n v="95.000500000000002"/>
    <n v="720.1"/>
  </r>
  <r>
    <x v="14"/>
    <x v="17"/>
    <x v="4"/>
    <n v="98.756"/>
    <n v="91.4"/>
    <n v="98.600999999999999"/>
    <n v="95.000500000000002"/>
    <n v="720.1"/>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0"/>
    <n v="2.0505"/>
    <n v="1.91"/>
    <n v="2.0459900000000002"/>
    <n v="1.9779949999999999"/>
    <n v="1359.9"/>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7"/>
    <x v="10"/>
    <n v="0.96225000000000005"/>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4"/>
    <n v="98.94"/>
    <n v="91.4"/>
    <n v="98.600999999999999"/>
    <n v="95.000500000000002"/>
    <n v="720.1"/>
  </r>
  <r>
    <x v="14"/>
    <x v="18"/>
    <x v="4"/>
    <n v="98.94"/>
    <n v="91.4"/>
    <n v="98.600999999999999"/>
    <n v="95.000500000000002"/>
    <n v="720.1"/>
  </r>
  <r>
    <x v="14"/>
    <x v="18"/>
    <x v="4"/>
    <n v="98.94"/>
    <n v="91.4"/>
    <n v="98.600999999999999"/>
    <n v="95.000500000000002"/>
    <n v="720.1"/>
  </r>
  <r>
    <x v="14"/>
    <x v="18"/>
    <x v="4"/>
    <n v="98.94"/>
    <n v="91.4"/>
    <n v="98.600999999999999"/>
    <n v="95.000500000000002"/>
    <n v="720.1"/>
  </r>
  <r>
    <x v="14"/>
    <x v="18"/>
    <x v="4"/>
    <n v="98.94"/>
    <n v="91.4"/>
    <n v="98.600999999999999"/>
    <n v="95.000500000000002"/>
    <n v="720.1"/>
  </r>
  <r>
    <x v="14"/>
    <x v="18"/>
    <x v="4"/>
    <n v="98.94"/>
    <n v="91.4"/>
    <n v="98.600999999999999"/>
    <n v="95.000500000000002"/>
    <n v="720.1"/>
  </r>
  <r>
    <x v="14"/>
    <x v="18"/>
    <x v="4"/>
    <n v="98.94"/>
    <n v="91.4"/>
    <n v="98.600999999999999"/>
    <n v="95.000500000000002"/>
    <n v="720.1"/>
  </r>
  <r>
    <x v="14"/>
    <x v="18"/>
    <x v="4"/>
    <n v="98.94"/>
    <n v="91.4"/>
    <n v="98.600999999999999"/>
    <n v="95.000500000000002"/>
    <n v="720.1"/>
  </r>
  <r>
    <x v="14"/>
    <x v="18"/>
    <x v="4"/>
    <n v="98.94"/>
    <n v="91.4"/>
    <n v="98.600999999999999"/>
    <n v="95.000500000000002"/>
    <n v="720.1"/>
  </r>
  <r>
    <x v="14"/>
    <x v="18"/>
    <x v="4"/>
    <n v="98.94"/>
    <n v="91.4"/>
    <n v="98.600999999999999"/>
    <n v="95.000500000000002"/>
    <n v="720.1"/>
  </r>
  <r>
    <x v="14"/>
    <x v="18"/>
    <x v="4"/>
    <n v="98.94"/>
    <n v="91.4"/>
    <n v="98.600999999999999"/>
    <n v="95.000500000000002"/>
    <n v="720.1"/>
  </r>
  <r>
    <x v="14"/>
    <x v="18"/>
    <x v="4"/>
    <n v="98.94"/>
    <n v="91.4"/>
    <n v="98.600999999999999"/>
    <n v="95.000500000000002"/>
    <n v="720.1"/>
  </r>
  <r>
    <x v="14"/>
    <x v="18"/>
    <x v="4"/>
    <n v="98.94"/>
    <n v="91.4"/>
    <n v="98.600999999999999"/>
    <n v="95.000500000000002"/>
    <n v="720.1"/>
  </r>
  <r>
    <x v="14"/>
    <x v="18"/>
    <x v="4"/>
    <n v="98.94"/>
    <n v="91.4"/>
    <n v="98.600999999999999"/>
    <n v="95.000500000000002"/>
    <n v="720.1"/>
  </r>
  <r>
    <x v="14"/>
    <x v="18"/>
    <x v="4"/>
    <n v="98.94"/>
    <n v="91.4"/>
    <n v="98.600999999999999"/>
    <n v="95.000500000000002"/>
    <n v="720.1"/>
  </r>
  <r>
    <x v="14"/>
    <x v="18"/>
    <x v="4"/>
    <n v="98.94"/>
    <n v="91.4"/>
    <n v="98.600999999999999"/>
    <n v="95.000500000000002"/>
    <n v="720.1"/>
  </r>
  <r>
    <x v="14"/>
    <x v="18"/>
    <x v="4"/>
    <n v="98.94"/>
    <n v="91.4"/>
    <n v="98.600999999999999"/>
    <n v="95.000500000000002"/>
    <n v="720.1"/>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0"/>
    <n v="2.04481"/>
    <n v="1.91"/>
    <n v="2.0459900000000002"/>
    <n v="1.9779949999999999"/>
    <n v="1359.9"/>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8"/>
    <x v="10"/>
    <n v="0.96567000000000003"/>
    <n v="0.871"/>
    <n v="0.95499999999999996"/>
    <n v="0.91300000000000003"/>
    <n v="840"/>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4"/>
    <n v="101.726"/>
    <n v="91.4"/>
    <n v="98.600999999999999"/>
    <n v="95.000500000000002"/>
    <n v="720.1"/>
  </r>
  <r>
    <x v="14"/>
    <x v="19"/>
    <x v="4"/>
    <n v="101.726"/>
    <n v="91.4"/>
    <n v="98.600999999999999"/>
    <n v="95.000500000000002"/>
    <n v="720.1"/>
  </r>
  <r>
    <x v="14"/>
    <x v="19"/>
    <x v="4"/>
    <n v="101.726"/>
    <n v="91.4"/>
    <n v="98.600999999999999"/>
    <n v="95.000500000000002"/>
    <n v="720.1"/>
  </r>
  <r>
    <x v="14"/>
    <x v="19"/>
    <x v="4"/>
    <n v="101.726"/>
    <n v="91.4"/>
    <n v="98.600999999999999"/>
    <n v="95.000500000000002"/>
    <n v="720.1"/>
  </r>
  <r>
    <x v="14"/>
    <x v="19"/>
    <x v="4"/>
    <n v="101.726"/>
    <n v="91.4"/>
    <n v="98.600999999999999"/>
    <n v="95.000500000000002"/>
    <n v="720.1"/>
  </r>
  <r>
    <x v="14"/>
    <x v="19"/>
    <x v="4"/>
    <n v="101.726"/>
    <n v="91.4"/>
    <n v="98.600999999999999"/>
    <n v="95.000500000000002"/>
    <n v="720.1"/>
  </r>
  <r>
    <x v="14"/>
    <x v="19"/>
    <x v="4"/>
    <n v="101.726"/>
    <n v="91.4"/>
    <n v="98.600999999999999"/>
    <n v="95.000500000000002"/>
    <n v="720.1"/>
  </r>
  <r>
    <x v="14"/>
    <x v="19"/>
    <x v="4"/>
    <n v="101.726"/>
    <n v="91.4"/>
    <n v="98.600999999999999"/>
    <n v="95.000500000000002"/>
    <n v="720.1"/>
  </r>
  <r>
    <x v="14"/>
    <x v="19"/>
    <x v="4"/>
    <n v="101.726"/>
    <n v="91.4"/>
    <n v="98.600999999999999"/>
    <n v="95.000500000000002"/>
    <n v="720.1"/>
  </r>
  <r>
    <x v="14"/>
    <x v="19"/>
    <x v="4"/>
    <n v="101.726"/>
    <n v="91.4"/>
    <n v="98.600999999999999"/>
    <n v="95.000500000000002"/>
    <n v="720.1"/>
  </r>
  <r>
    <x v="14"/>
    <x v="19"/>
    <x v="4"/>
    <n v="101.726"/>
    <n v="91.4"/>
    <n v="98.600999999999999"/>
    <n v="95.000500000000002"/>
    <n v="720.1"/>
  </r>
  <r>
    <x v="14"/>
    <x v="19"/>
    <x v="4"/>
    <n v="101.726"/>
    <n v="91.4"/>
    <n v="98.600999999999999"/>
    <n v="95.000500000000002"/>
    <n v="720.1"/>
  </r>
  <r>
    <x v="14"/>
    <x v="19"/>
    <x v="4"/>
    <n v="101.726"/>
    <n v="91.4"/>
    <n v="98.600999999999999"/>
    <n v="95.000500000000002"/>
    <n v="720.1"/>
  </r>
  <r>
    <x v="14"/>
    <x v="19"/>
    <x v="4"/>
    <n v="101.726"/>
    <n v="91.4"/>
    <n v="98.600999999999999"/>
    <n v="95.000500000000002"/>
    <n v="720.1"/>
  </r>
  <r>
    <x v="14"/>
    <x v="19"/>
    <x v="4"/>
    <n v="101.726"/>
    <n v="91.4"/>
    <n v="98.600999999999999"/>
    <n v="95.000500000000002"/>
    <n v="720.1"/>
  </r>
  <r>
    <x v="14"/>
    <x v="19"/>
    <x v="4"/>
    <n v="101.726"/>
    <n v="91.4"/>
    <n v="98.600999999999999"/>
    <n v="95.000500000000002"/>
    <n v="720.1"/>
  </r>
  <r>
    <x v="14"/>
    <x v="19"/>
    <x v="4"/>
    <n v="101.726"/>
    <n v="91.4"/>
    <n v="98.600999999999999"/>
    <n v="95.000500000000002"/>
    <n v="720.1"/>
  </r>
  <r>
    <x v="14"/>
    <x v="19"/>
    <x v="0"/>
    <n v="1.9801299999999999"/>
    <n v="1.91"/>
    <n v="2.0459900000000002"/>
    <n v="1.9779949999999999"/>
    <n v="1359.9"/>
  </r>
  <r>
    <x v="14"/>
    <x v="19"/>
    <x v="0"/>
    <n v="1.9801299999999999"/>
    <n v="1.91"/>
    <n v="2.0459900000000002"/>
    <n v="1.9779949999999999"/>
    <n v="1359.9"/>
  </r>
  <r>
    <x v="14"/>
    <x v="19"/>
    <x v="0"/>
    <n v="1.9801299999999999"/>
    <n v="1.91"/>
    <n v="2.0459900000000002"/>
    <n v="1.9779949999999999"/>
    <n v="1359.9"/>
  </r>
  <r>
    <x v="14"/>
    <x v="19"/>
    <x v="0"/>
    <n v="1.9801299999999999"/>
    <n v="1.91"/>
    <n v="2.0459900000000002"/>
    <n v="1.9779949999999999"/>
    <n v="1359.9"/>
  </r>
  <r>
    <x v="14"/>
    <x v="19"/>
    <x v="0"/>
    <n v="1.9801299999999999"/>
    <n v="1.91"/>
    <n v="2.0459900000000002"/>
    <n v="1.9779949999999999"/>
    <n v="1359.9"/>
  </r>
  <r>
    <x v="14"/>
    <x v="19"/>
    <x v="0"/>
    <n v="1.9801299999999999"/>
    <n v="1.91"/>
    <n v="2.0459900000000002"/>
    <n v="1.9779949999999999"/>
    <n v="1359.9"/>
  </r>
  <r>
    <x v="14"/>
    <x v="19"/>
    <x v="0"/>
    <n v="1.9801299999999999"/>
    <n v="1.91"/>
    <n v="2.0459900000000002"/>
    <n v="1.9779949999999999"/>
    <n v="1359.9"/>
  </r>
  <r>
    <x v="14"/>
    <x v="19"/>
    <x v="0"/>
    <n v="1.9801299999999999"/>
    <n v="1.91"/>
    <n v="2.0459900000000002"/>
    <n v="1.9779949999999999"/>
    <n v="1359.9"/>
  </r>
  <r>
    <x v="14"/>
    <x v="19"/>
    <x v="0"/>
    <n v="1.9801299999999999"/>
    <n v="1.91"/>
    <n v="2.0459900000000002"/>
    <n v="1.9779949999999999"/>
    <n v="1359.9"/>
  </r>
  <r>
    <x v="14"/>
    <x v="19"/>
    <x v="0"/>
    <n v="1.9801299999999999"/>
    <n v="1.91"/>
    <n v="2.0459900000000002"/>
    <n v="1.9779949999999999"/>
    <n v="1359.9"/>
  </r>
  <r>
    <x v="14"/>
    <x v="19"/>
    <x v="0"/>
    <n v="1.9801299999999999"/>
    <n v="1.91"/>
    <n v="2.0459900000000002"/>
    <n v="1.9779949999999999"/>
    <n v="1359.9"/>
  </r>
  <r>
    <x v="14"/>
    <x v="19"/>
    <x v="0"/>
    <n v="1.9801299999999999"/>
    <n v="1.91"/>
    <n v="2.0459900000000002"/>
    <n v="1.9779949999999999"/>
    <n v="1359.9"/>
  </r>
  <r>
    <x v="14"/>
    <x v="19"/>
    <x v="0"/>
    <n v="1.9801299999999999"/>
    <n v="1.91"/>
    <n v="2.0459900000000002"/>
    <n v="1.9779949999999999"/>
    <n v="1359.9"/>
  </r>
  <r>
    <x v="14"/>
    <x v="19"/>
    <x v="0"/>
    <n v="1.9801299999999999"/>
    <n v="1.91"/>
    <n v="2.0459900000000002"/>
    <n v="1.9779949999999999"/>
    <n v="1359.9"/>
  </r>
  <r>
    <x v="14"/>
    <x v="19"/>
    <x v="0"/>
    <n v="1.9801299999999999"/>
    <n v="1.91"/>
    <n v="2.0459900000000002"/>
    <n v="1.9779949999999999"/>
    <n v="1359.9"/>
  </r>
  <r>
    <x v="14"/>
    <x v="19"/>
    <x v="0"/>
    <n v="1.9801299999999999"/>
    <n v="1.91"/>
    <n v="2.0459900000000002"/>
    <n v="1.9779949999999999"/>
    <n v="1359.9"/>
  </r>
  <r>
    <x v="14"/>
    <x v="19"/>
    <x v="0"/>
    <n v="1.9801299999999999"/>
    <n v="1.91"/>
    <n v="2.0459900000000002"/>
    <n v="1.9779949999999999"/>
    <n v="1359.9"/>
  </r>
  <r>
    <x v="14"/>
    <x v="19"/>
    <x v="0"/>
    <n v="1.9801299999999999"/>
    <n v="1.91"/>
    <n v="2.0459900000000002"/>
    <n v="1.9779949999999999"/>
    <n v="1359.9"/>
  </r>
  <r>
    <x v="14"/>
    <x v="19"/>
    <x v="0"/>
    <n v="1.9801299999999999"/>
    <n v="1.91"/>
    <n v="2.0459900000000002"/>
    <n v="1.9779949999999999"/>
    <n v="1359.9"/>
  </r>
  <r>
    <x v="14"/>
    <x v="19"/>
    <x v="0"/>
    <n v="1.9801299999999999"/>
    <n v="1.91"/>
    <n v="2.0459900000000002"/>
    <n v="1.9779949999999999"/>
    <n v="1359.9"/>
  </r>
  <r>
    <x v="14"/>
    <x v="19"/>
    <x v="0"/>
    <n v="1.9801299999999999"/>
    <n v="1.91"/>
    <n v="2.0459900000000002"/>
    <n v="1.9779949999999999"/>
    <n v="1359.9"/>
  </r>
  <r>
    <x v="14"/>
    <x v="19"/>
    <x v="0"/>
    <n v="1.9801299999999999"/>
    <n v="1.91"/>
    <n v="2.0459900000000002"/>
    <n v="1.9779949999999999"/>
    <n v="1359.9"/>
  </r>
  <r>
    <x v="14"/>
    <x v="19"/>
    <x v="0"/>
    <n v="1.9801299999999999"/>
    <n v="1.91"/>
    <n v="2.0459900000000002"/>
    <n v="1.9779949999999999"/>
    <n v="1359.9"/>
  </r>
  <r>
    <x v="14"/>
    <x v="19"/>
    <x v="0"/>
    <n v="1.9801299999999999"/>
    <n v="1.91"/>
    <n v="2.0459900000000002"/>
    <n v="1.9779949999999999"/>
    <n v="1359.9"/>
  </r>
  <r>
    <x v="14"/>
    <x v="19"/>
    <x v="0"/>
    <n v="1.9801299999999999"/>
    <n v="1.91"/>
    <n v="2.0459900000000002"/>
    <n v="1.9779949999999999"/>
    <n v="1359.9"/>
  </r>
  <r>
    <x v="14"/>
    <x v="19"/>
    <x v="0"/>
    <n v="1.9801299999999999"/>
    <n v="1.91"/>
    <n v="2.0459900000000002"/>
    <n v="1.9779949999999999"/>
    <n v="1359.9"/>
  </r>
  <r>
    <x v="14"/>
    <x v="19"/>
    <x v="0"/>
    <n v="1.9801299999999999"/>
    <n v="1.91"/>
    <n v="2.0459900000000002"/>
    <n v="1.9779949999999999"/>
    <n v="1359.9"/>
  </r>
  <r>
    <x v="14"/>
    <x v="19"/>
    <x v="0"/>
    <n v="1.9801299999999999"/>
    <n v="1.91"/>
    <n v="2.0459900000000002"/>
    <n v="1.9779949999999999"/>
    <n v="1359.9"/>
  </r>
  <r>
    <x v="14"/>
    <x v="19"/>
    <x v="0"/>
    <n v="1.9801299999999999"/>
    <n v="1.91"/>
    <n v="2.0459900000000002"/>
    <n v="1.9779949999999999"/>
    <n v="1359.9"/>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19"/>
    <x v="10"/>
    <n v="0.95875999999999995"/>
    <n v="0.871"/>
    <n v="0.96084000000000003"/>
    <n v="0.91591999999999996"/>
    <n v="898.4"/>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4"/>
    <n v="102.083"/>
    <n v="91.4"/>
    <n v="98.600999999999999"/>
    <n v="95.000500000000002"/>
    <n v="720.1"/>
  </r>
  <r>
    <x v="14"/>
    <x v="20"/>
    <x v="4"/>
    <n v="102.083"/>
    <n v="91.4"/>
    <n v="98.600999999999999"/>
    <n v="95.000500000000002"/>
    <n v="720.1"/>
  </r>
  <r>
    <x v="14"/>
    <x v="20"/>
    <x v="4"/>
    <n v="102.083"/>
    <n v="91.4"/>
    <n v="98.600999999999999"/>
    <n v="95.000500000000002"/>
    <n v="720.1"/>
  </r>
  <r>
    <x v="14"/>
    <x v="20"/>
    <x v="4"/>
    <n v="102.083"/>
    <n v="91.4"/>
    <n v="98.600999999999999"/>
    <n v="95.000500000000002"/>
    <n v="720.1"/>
  </r>
  <r>
    <x v="14"/>
    <x v="20"/>
    <x v="4"/>
    <n v="102.083"/>
    <n v="91.4"/>
    <n v="98.600999999999999"/>
    <n v="95.000500000000002"/>
    <n v="720.1"/>
  </r>
  <r>
    <x v="14"/>
    <x v="20"/>
    <x v="4"/>
    <n v="102.083"/>
    <n v="91.4"/>
    <n v="98.600999999999999"/>
    <n v="95.000500000000002"/>
    <n v="720.1"/>
  </r>
  <r>
    <x v="14"/>
    <x v="20"/>
    <x v="4"/>
    <n v="102.083"/>
    <n v="91.4"/>
    <n v="98.600999999999999"/>
    <n v="95.000500000000002"/>
    <n v="720.1"/>
  </r>
  <r>
    <x v="14"/>
    <x v="20"/>
    <x v="4"/>
    <n v="102.083"/>
    <n v="91.4"/>
    <n v="98.600999999999999"/>
    <n v="95.000500000000002"/>
    <n v="720.1"/>
  </r>
  <r>
    <x v="14"/>
    <x v="20"/>
    <x v="4"/>
    <n v="102.083"/>
    <n v="91.4"/>
    <n v="98.600999999999999"/>
    <n v="95.000500000000002"/>
    <n v="720.1"/>
  </r>
  <r>
    <x v="14"/>
    <x v="20"/>
    <x v="4"/>
    <n v="102.083"/>
    <n v="91.4"/>
    <n v="98.600999999999999"/>
    <n v="95.000500000000002"/>
    <n v="720.1"/>
  </r>
  <r>
    <x v="14"/>
    <x v="20"/>
    <x v="4"/>
    <n v="102.083"/>
    <n v="91.4"/>
    <n v="98.600999999999999"/>
    <n v="95.000500000000002"/>
    <n v="720.1"/>
  </r>
  <r>
    <x v="14"/>
    <x v="20"/>
    <x v="4"/>
    <n v="102.083"/>
    <n v="91.4"/>
    <n v="98.600999999999999"/>
    <n v="95.000500000000002"/>
    <n v="720.1"/>
  </r>
  <r>
    <x v="14"/>
    <x v="20"/>
    <x v="4"/>
    <n v="102.083"/>
    <n v="91.4"/>
    <n v="98.600999999999999"/>
    <n v="95.000500000000002"/>
    <n v="720.1"/>
  </r>
  <r>
    <x v="14"/>
    <x v="20"/>
    <x v="4"/>
    <n v="102.083"/>
    <n v="91.4"/>
    <n v="98.600999999999999"/>
    <n v="95.000500000000002"/>
    <n v="720.1"/>
  </r>
  <r>
    <x v="14"/>
    <x v="20"/>
    <x v="4"/>
    <n v="102.083"/>
    <n v="91.4"/>
    <n v="98.600999999999999"/>
    <n v="95.000500000000002"/>
    <n v="720.1"/>
  </r>
  <r>
    <x v="14"/>
    <x v="20"/>
    <x v="4"/>
    <n v="102.083"/>
    <n v="91.4"/>
    <n v="98.600999999999999"/>
    <n v="95.000500000000002"/>
    <n v="720.1"/>
  </r>
  <r>
    <x v="14"/>
    <x v="20"/>
    <x v="4"/>
    <n v="102.083"/>
    <n v="91.4"/>
    <n v="98.600999999999999"/>
    <n v="95.000500000000002"/>
    <n v="720.1"/>
  </r>
  <r>
    <x v="14"/>
    <x v="20"/>
    <x v="0"/>
    <n v="1.9839800000000001"/>
    <n v="1.91"/>
    <n v="2.0459900000000002"/>
    <n v="1.9779949999999999"/>
    <n v="1359.9"/>
  </r>
  <r>
    <x v="14"/>
    <x v="20"/>
    <x v="0"/>
    <n v="1.9839800000000001"/>
    <n v="1.91"/>
    <n v="2.0459900000000002"/>
    <n v="1.9779949999999999"/>
    <n v="1359.9"/>
  </r>
  <r>
    <x v="14"/>
    <x v="20"/>
    <x v="0"/>
    <n v="1.9839800000000001"/>
    <n v="1.91"/>
    <n v="2.0459900000000002"/>
    <n v="1.9779949999999999"/>
    <n v="1359.9"/>
  </r>
  <r>
    <x v="14"/>
    <x v="20"/>
    <x v="0"/>
    <n v="1.9839800000000001"/>
    <n v="1.91"/>
    <n v="2.0459900000000002"/>
    <n v="1.9779949999999999"/>
    <n v="1359.9"/>
  </r>
  <r>
    <x v="14"/>
    <x v="20"/>
    <x v="0"/>
    <n v="1.9839800000000001"/>
    <n v="1.91"/>
    <n v="2.0459900000000002"/>
    <n v="1.9779949999999999"/>
    <n v="1359.9"/>
  </r>
  <r>
    <x v="14"/>
    <x v="20"/>
    <x v="0"/>
    <n v="1.9839800000000001"/>
    <n v="1.91"/>
    <n v="2.0459900000000002"/>
    <n v="1.9779949999999999"/>
    <n v="1359.9"/>
  </r>
  <r>
    <x v="14"/>
    <x v="20"/>
    <x v="0"/>
    <n v="1.9839800000000001"/>
    <n v="1.91"/>
    <n v="2.0459900000000002"/>
    <n v="1.9779949999999999"/>
    <n v="1359.9"/>
  </r>
  <r>
    <x v="14"/>
    <x v="20"/>
    <x v="0"/>
    <n v="1.9839800000000001"/>
    <n v="1.91"/>
    <n v="2.0459900000000002"/>
    <n v="1.9779949999999999"/>
    <n v="1359.9"/>
  </r>
  <r>
    <x v="14"/>
    <x v="20"/>
    <x v="0"/>
    <n v="1.9839800000000001"/>
    <n v="1.91"/>
    <n v="2.0459900000000002"/>
    <n v="1.9779949999999999"/>
    <n v="1359.9"/>
  </r>
  <r>
    <x v="14"/>
    <x v="20"/>
    <x v="0"/>
    <n v="1.9839800000000001"/>
    <n v="1.91"/>
    <n v="2.0459900000000002"/>
    <n v="1.9779949999999999"/>
    <n v="1359.9"/>
  </r>
  <r>
    <x v="14"/>
    <x v="20"/>
    <x v="0"/>
    <n v="1.9839800000000001"/>
    <n v="1.91"/>
    <n v="2.0459900000000002"/>
    <n v="1.9779949999999999"/>
    <n v="1359.9"/>
  </r>
  <r>
    <x v="14"/>
    <x v="20"/>
    <x v="0"/>
    <n v="1.9839800000000001"/>
    <n v="1.91"/>
    <n v="2.0459900000000002"/>
    <n v="1.9779949999999999"/>
    <n v="1359.9"/>
  </r>
  <r>
    <x v="14"/>
    <x v="20"/>
    <x v="0"/>
    <n v="1.9839800000000001"/>
    <n v="1.91"/>
    <n v="2.0459900000000002"/>
    <n v="1.9779949999999999"/>
    <n v="1359.9"/>
  </r>
  <r>
    <x v="14"/>
    <x v="20"/>
    <x v="0"/>
    <n v="1.9839800000000001"/>
    <n v="1.91"/>
    <n v="2.0459900000000002"/>
    <n v="1.9779949999999999"/>
    <n v="1359.9"/>
  </r>
  <r>
    <x v="14"/>
    <x v="20"/>
    <x v="0"/>
    <n v="1.9839800000000001"/>
    <n v="1.91"/>
    <n v="2.0459900000000002"/>
    <n v="1.9779949999999999"/>
    <n v="1359.9"/>
  </r>
  <r>
    <x v="14"/>
    <x v="20"/>
    <x v="0"/>
    <n v="1.9839800000000001"/>
    <n v="1.91"/>
    <n v="2.0459900000000002"/>
    <n v="1.9779949999999999"/>
    <n v="1359.9"/>
  </r>
  <r>
    <x v="14"/>
    <x v="20"/>
    <x v="0"/>
    <n v="1.9839800000000001"/>
    <n v="1.91"/>
    <n v="2.0459900000000002"/>
    <n v="1.9779949999999999"/>
    <n v="1359.9"/>
  </r>
  <r>
    <x v="14"/>
    <x v="20"/>
    <x v="0"/>
    <n v="1.9839800000000001"/>
    <n v="1.91"/>
    <n v="2.0459900000000002"/>
    <n v="1.9779949999999999"/>
    <n v="1359.9"/>
  </r>
  <r>
    <x v="14"/>
    <x v="20"/>
    <x v="0"/>
    <n v="1.9839800000000001"/>
    <n v="1.91"/>
    <n v="2.0459900000000002"/>
    <n v="1.9779949999999999"/>
    <n v="1359.9"/>
  </r>
  <r>
    <x v="14"/>
    <x v="20"/>
    <x v="0"/>
    <n v="1.9839800000000001"/>
    <n v="1.91"/>
    <n v="2.0459900000000002"/>
    <n v="1.9779949999999999"/>
    <n v="1359.9"/>
  </r>
  <r>
    <x v="14"/>
    <x v="20"/>
    <x v="0"/>
    <n v="1.9839800000000001"/>
    <n v="1.91"/>
    <n v="2.0459900000000002"/>
    <n v="1.9779949999999999"/>
    <n v="1359.9"/>
  </r>
  <r>
    <x v="14"/>
    <x v="20"/>
    <x v="0"/>
    <n v="1.9839800000000001"/>
    <n v="1.91"/>
    <n v="2.0459900000000002"/>
    <n v="1.9779949999999999"/>
    <n v="1359.9"/>
  </r>
  <r>
    <x v="14"/>
    <x v="20"/>
    <x v="0"/>
    <n v="1.9839800000000001"/>
    <n v="1.91"/>
    <n v="2.0459900000000002"/>
    <n v="1.9779949999999999"/>
    <n v="1359.9"/>
  </r>
  <r>
    <x v="14"/>
    <x v="20"/>
    <x v="0"/>
    <n v="1.9839800000000001"/>
    <n v="1.91"/>
    <n v="2.0459900000000002"/>
    <n v="1.9779949999999999"/>
    <n v="1359.9"/>
  </r>
  <r>
    <x v="14"/>
    <x v="20"/>
    <x v="0"/>
    <n v="1.9839800000000001"/>
    <n v="1.91"/>
    <n v="2.0459900000000002"/>
    <n v="1.9779949999999999"/>
    <n v="1359.9"/>
  </r>
  <r>
    <x v="14"/>
    <x v="20"/>
    <x v="0"/>
    <n v="1.9839800000000001"/>
    <n v="1.91"/>
    <n v="2.0459900000000002"/>
    <n v="1.9779949999999999"/>
    <n v="1359.9"/>
  </r>
  <r>
    <x v="14"/>
    <x v="20"/>
    <x v="0"/>
    <n v="1.9839800000000001"/>
    <n v="1.91"/>
    <n v="2.0459900000000002"/>
    <n v="1.9779949999999999"/>
    <n v="1359.9"/>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0"/>
    <x v="10"/>
    <n v="0.96953"/>
    <n v="0.871"/>
    <n v="0.97099999999999997"/>
    <n v="0.92100000000000004"/>
    <n v="1000"/>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4"/>
    <n v="100.83199999999999"/>
    <n v="91.4"/>
    <n v="101.2"/>
    <n v="96.3"/>
    <n v="980"/>
  </r>
  <r>
    <x v="14"/>
    <x v="21"/>
    <x v="4"/>
    <n v="100.83199999999999"/>
    <n v="91.4"/>
    <n v="101.2"/>
    <n v="96.3"/>
    <n v="980"/>
  </r>
  <r>
    <x v="14"/>
    <x v="21"/>
    <x v="4"/>
    <n v="100.83199999999999"/>
    <n v="91.4"/>
    <n v="101.2"/>
    <n v="96.3"/>
    <n v="980"/>
  </r>
  <r>
    <x v="14"/>
    <x v="21"/>
    <x v="4"/>
    <n v="100.83199999999999"/>
    <n v="91.4"/>
    <n v="101.2"/>
    <n v="96.3"/>
    <n v="980"/>
  </r>
  <r>
    <x v="14"/>
    <x v="21"/>
    <x v="4"/>
    <n v="100.83199999999999"/>
    <n v="91.4"/>
    <n v="101.2"/>
    <n v="96.3"/>
    <n v="980"/>
  </r>
  <r>
    <x v="14"/>
    <x v="21"/>
    <x v="4"/>
    <n v="100.83199999999999"/>
    <n v="91.4"/>
    <n v="101.2"/>
    <n v="96.3"/>
    <n v="980"/>
  </r>
  <r>
    <x v="14"/>
    <x v="21"/>
    <x v="4"/>
    <n v="100.83199999999999"/>
    <n v="91.4"/>
    <n v="101.2"/>
    <n v="96.3"/>
    <n v="980"/>
  </r>
  <r>
    <x v="14"/>
    <x v="21"/>
    <x v="4"/>
    <n v="100.83199999999999"/>
    <n v="91.4"/>
    <n v="101.2"/>
    <n v="96.3"/>
    <n v="980"/>
  </r>
  <r>
    <x v="14"/>
    <x v="21"/>
    <x v="4"/>
    <n v="100.83199999999999"/>
    <n v="91.4"/>
    <n v="101.2"/>
    <n v="96.3"/>
    <n v="980"/>
  </r>
  <r>
    <x v="14"/>
    <x v="21"/>
    <x v="4"/>
    <n v="100.83199999999999"/>
    <n v="91.4"/>
    <n v="101.2"/>
    <n v="96.3"/>
    <n v="980"/>
  </r>
  <r>
    <x v="14"/>
    <x v="21"/>
    <x v="4"/>
    <n v="100.83199999999999"/>
    <n v="91.4"/>
    <n v="101.2"/>
    <n v="96.3"/>
    <n v="980"/>
  </r>
  <r>
    <x v="14"/>
    <x v="21"/>
    <x v="4"/>
    <n v="100.83199999999999"/>
    <n v="91.4"/>
    <n v="101.2"/>
    <n v="96.3"/>
    <n v="980"/>
  </r>
  <r>
    <x v="14"/>
    <x v="21"/>
    <x v="4"/>
    <n v="100.83199999999999"/>
    <n v="91.4"/>
    <n v="101.2"/>
    <n v="96.3"/>
    <n v="980"/>
  </r>
  <r>
    <x v="14"/>
    <x v="21"/>
    <x v="4"/>
    <n v="100.83199999999999"/>
    <n v="91.4"/>
    <n v="101.2"/>
    <n v="96.3"/>
    <n v="980"/>
  </r>
  <r>
    <x v="14"/>
    <x v="21"/>
    <x v="4"/>
    <n v="100.83199999999999"/>
    <n v="91.4"/>
    <n v="101.2"/>
    <n v="96.3"/>
    <n v="980"/>
  </r>
  <r>
    <x v="14"/>
    <x v="21"/>
    <x v="4"/>
    <n v="100.83199999999999"/>
    <n v="91.4"/>
    <n v="101.2"/>
    <n v="96.3"/>
    <n v="980"/>
  </r>
  <r>
    <x v="14"/>
    <x v="21"/>
    <x v="4"/>
    <n v="100.83199999999999"/>
    <n v="91.4"/>
    <n v="101.2"/>
    <n v="96.3"/>
    <n v="980"/>
  </r>
  <r>
    <x v="14"/>
    <x v="21"/>
    <x v="4"/>
    <n v="100.83199999999999"/>
    <n v="91.4"/>
    <n v="101.2"/>
    <n v="96.3"/>
    <n v="980"/>
  </r>
  <r>
    <x v="14"/>
    <x v="21"/>
    <x v="4"/>
    <n v="100.83199999999999"/>
    <n v="91.4"/>
    <n v="101.2"/>
    <n v="96.3"/>
    <n v="980"/>
  </r>
  <r>
    <x v="14"/>
    <x v="21"/>
    <x v="4"/>
    <n v="100.83199999999999"/>
    <n v="91.4"/>
    <n v="101.2"/>
    <n v="96.3"/>
    <n v="980"/>
  </r>
  <r>
    <x v="14"/>
    <x v="21"/>
    <x v="4"/>
    <n v="100.83199999999999"/>
    <n v="91.4"/>
    <n v="101.2"/>
    <n v="96.3"/>
    <n v="980"/>
  </r>
  <r>
    <x v="14"/>
    <x v="21"/>
    <x v="4"/>
    <n v="100.83199999999999"/>
    <n v="91.4"/>
    <n v="101.2"/>
    <n v="96.3"/>
    <n v="980"/>
  </r>
  <r>
    <x v="14"/>
    <x v="21"/>
    <x v="4"/>
    <n v="100.83199999999999"/>
    <n v="91.4"/>
    <n v="101.2"/>
    <n v="96.3"/>
    <n v="980"/>
  </r>
  <r>
    <x v="14"/>
    <x v="21"/>
    <x v="4"/>
    <n v="100.83199999999999"/>
    <n v="91.4"/>
    <n v="101.2"/>
    <n v="96.3"/>
    <n v="980"/>
  </r>
  <r>
    <x v="14"/>
    <x v="21"/>
    <x v="0"/>
    <n v="1.99255"/>
    <n v="1.91"/>
    <n v="2.0459900000000002"/>
    <n v="1.9779949999999999"/>
    <n v="1359.9"/>
  </r>
  <r>
    <x v="14"/>
    <x v="21"/>
    <x v="0"/>
    <n v="1.99255"/>
    <n v="1.91"/>
    <n v="2.0459900000000002"/>
    <n v="1.9779949999999999"/>
    <n v="1359.9"/>
  </r>
  <r>
    <x v="14"/>
    <x v="21"/>
    <x v="0"/>
    <n v="1.99255"/>
    <n v="1.91"/>
    <n v="2.0459900000000002"/>
    <n v="1.9779949999999999"/>
    <n v="1359.9"/>
  </r>
  <r>
    <x v="14"/>
    <x v="21"/>
    <x v="0"/>
    <n v="1.99255"/>
    <n v="1.91"/>
    <n v="2.0459900000000002"/>
    <n v="1.9779949999999999"/>
    <n v="1359.9"/>
  </r>
  <r>
    <x v="14"/>
    <x v="21"/>
    <x v="0"/>
    <n v="1.99255"/>
    <n v="1.91"/>
    <n v="2.0459900000000002"/>
    <n v="1.9779949999999999"/>
    <n v="1359.9"/>
  </r>
  <r>
    <x v="14"/>
    <x v="21"/>
    <x v="0"/>
    <n v="1.99255"/>
    <n v="1.91"/>
    <n v="2.0459900000000002"/>
    <n v="1.9779949999999999"/>
    <n v="1359.9"/>
  </r>
  <r>
    <x v="14"/>
    <x v="21"/>
    <x v="0"/>
    <n v="1.99255"/>
    <n v="1.91"/>
    <n v="2.0459900000000002"/>
    <n v="1.9779949999999999"/>
    <n v="1359.9"/>
  </r>
  <r>
    <x v="14"/>
    <x v="21"/>
    <x v="0"/>
    <n v="1.99255"/>
    <n v="1.91"/>
    <n v="2.0459900000000002"/>
    <n v="1.9779949999999999"/>
    <n v="1359.9"/>
  </r>
  <r>
    <x v="14"/>
    <x v="21"/>
    <x v="0"/>
    <n v="1.99255"/>
    <n v="1.91"/>
    <n v="2.0459900000000002"/>
    <n v="1.9779949999999999"/>
    <n v="1359.9"/>
  </r>
  <r>
    <x v="14"/>
    <x v="21"/>
    <x v="0"/>
    <n v="1.99255"/>
    <n v="1.91"/>
    <n v="2.0459900000000002"/>
    <n v="1.9779949999999999"/>
    <n v="1359.9"/>
  </r>
  <r>
    <x v="14"/>
    <x v="21"/>
    <x v="0"/>
    <n v="1.99255"/>
    <n v="1.91"/>
    <n v="2.0459900000000002"/>
    <n v="1.9779949999999999"/>
    <n v="1359.9"/>
  </r>
  <r>
    <x v="14"/>
    <x v="21"/>
    <x v="0"/>
    <n v="1.99255"/>
    <n v="1.91"/>
    <n v="2.0459900000000002"/>
    <n v="1.9779949999999999"/>
    <n v="1359.9"/>
  </r>
  <r>
    <x v="14"/>
    <x v="21"/>
    <x v="0"/>
    <n v="1.99255"/>
    <n v="1.91"/>
    <n v="2.0459900000000002"/>
    <n v="1.9779949999999999"/>
    <n v="1359.9"/>
  </r>
  <r>
    <x v="14"/>
    <x v="21"/>
    <x v="0"/>
    <n v="1.99255"/>
    <n v="1.91"/>
    <n v="2.0459900000000002"/>
    <n v="1.9779949999999999"/>
    <n v="1359.9"/>
  </r>
  <r>
    <x v="14"/>
    <x v="21"/>
    <x v="0"/>
    <n v="1.99255"/>
    <n v="1.91"/>
    <n v="2.0459900000000002"/>
    <n v="1.9779949999999999"/>
    <n v="1359.9"/>
  </r>
  <r>
    <x v="14"/>
    <x v="21"/>
    <x v="0"/>
    <n v="1.99255"/>
    <n v="1.91"/>
    <n v="2.0459900000000002"/>
    <n v="1.9779949999999999"/>
    <n v="1359.9"/>
  </r>
  <r>
    <x v="14"/>
    <x v="21"/>
    <x v="0"/>
    <n v="1.99255"/>
    <n v="1.91"/>
    <n v="2.0459900000000002"/>
    <n v="1.9779949999999999"/>
    <n v="1359.9"/>
  </r>
  <r>
    <x v="14"/>
    <x v="21"/>
    <x v="0"/>
    <n v="1.99255"/>
    <n v="1.91"/>
    <n v="2.0459900000000002"/>
    <n v="1.9779949999999999"/>
    <n v="1359.9"/>
  </r>
  <r>
    <x v="14"/>
    <x v="21"/>
    <x v="0"/>
    <n v="1.99255"/>
    <n v="1.91"/>
    <n v="2.0459900000000002"/>
    <n v="1.9779949999999999"/>
    <n v="1359.9"/>
  </r>
  <r>
    <x v="14"/>
    <x v="21"/>
    <x v="0"/>
    <n v="1.99255"/>
    <n v="1.91"/>
    <n v="2.0459900000000002"/>
    <n v="1.9779949999999999"/>
    <n v="1359.9"/>
  </r>
  <r>
    <x v="14"/>
    <x v="21"/>
    <x v="0"/>
    <n v="1.99255"/>
    <n v="1.91"/>
    <n v="2.0459900000000002"/>
    <n v="1.9779949999999999"/>
    <n v="1359.9"/>
  </r>
  <r>
    <x v="14"/>
    <x v="21"/>
    <x v="0"/>
    <n v="1.99255"/>
    <n v="1.91"/>
    <n v="2.0459900000000002"/>
    <n v="1.9779949999999999"/>
    <n v="1359.9"/>
  </r>
  <r>
    <x v="14"/>
    <x v="21"/>
    <x v="0"/>
    <n v="1.99255"/>
    <n v="1.91"/>
    <n v="2.0459900000000002"/>
    <n v="1.9779949999999999"/>
    <n v="1359.9"/>
  </r>
  <r>
    <x v="14"/>
    <x v="21"/>
    <x v="0"/>
    <n v="1.99255"/>
    <n v="1.91"/>
    <n v="2.0459900000000002"/>
    <n v="1.9779949999999999"/>
    <n v="1359.9"/>
  </r>
  <r>
    <x v="14"/>
    <x v="21"/>
    <x v="0"/>
    <n v="1.99255"/>
    <n v="1.91"/>
    <n v="2.0459900000000002"/>
    <n v="1.9779949999999999"/>
    <n v="1359.9"/>
  </r>
  <r>
    <x v="14"/>
    <x v="21"/>
    <x v="0"/>
    <n v="1.99255"/>
    <n v="1.91"/>
    <n v="2.0459900000000002"/>
    <n v="1.9779949999999999"/>
    <n v="1359.9"/>
  </r>
  <r>
    <x v="14"/>
    <x v="21"/>
    <x v="0"/>
    <n v="1.99255"/>
    <n v="1.91"/>
    <n v="2.0459900000000002"/>
    <n v="1.9779949999999999"/>
    <n v="1359.9"/>
  </r>
  <r>
    <x v="14"/>
    <x v="21"/>
    <x v="0"/>
    <n v="1.99255"/>
    <n v="1.91"/>
    <n v="2.0459900000000002"/>
    <n v="1.9779949999999999"/>
    <n v="1359.9"/>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1"/>
    <x v="10"/>
    <n v="0.96511000000000002"/>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4"/>
    <n v="101.011"/>
    <n v="91.4"/>
    <n v="101.2"/>
    <n v="96.3"/>
    <n v="980"/>
  </r>
  <r>
    <x v="14"/>
    <x v="22"/>
    <x v="4"/>
    <n v="101.011"/>
    <n v="91.4"/>
    <n v="101.2"/>
    <n v="96.3"/>
    <n v="980"/>
  </r>
  <r>
    <x v="14"/>
    <x v="22"/>
    <x v="4"/>
    <n v="101.011"/>
    <n v="91.4"/>
    <n v="101.2"/>
    <n v="96.3"/>
    <n v="980"/>
  </r>
  <r>
    <x v="14"/>
    <x v="22"/>
    <x v="4"/>
    <n v="101.011"/>
    <n v="91.4"/>
    <n v="101.2"/>
    <n v="96.3"/>
    <n v="980"/>
  </r>
  <r>
    <x v="14"/>
    <x v="22"/>
    <x v="4"/>
    <n v="101.011"/>
    <n v="91.4"/>
    <n v="101.2"/>
    <n v="96.3"/>
    <n v="980"/>
  </r>
  <r>
    <x v="14"/>
    <x v="22"/>
    <x v="4"/>
    <n v="101.011"/>
    <n v="91.4"/>
    <n v="101.2"/>
    <n v="96.3"/>
    <n v="980"/>
  </r>
  <r>
    <x v="14"/>
    <x v="22"/>
    <x v="4"/>
    <n v="101.011"/>
    <n v="91.4"/>
    <n v="101.2"/>
    <n v="96.3"/>
    <n v="980"/>
  </r>
  <r>
    <x v="14"/>
    <x v="22"/>
    <x v="4"/>
    <n v="101.011"/>
    <n v="91.4"/>
    <n v="101.2"/>
    <n v="96.3"/>
    <n v="980"/>
  </r>
  <r>
    <x v="14"/>
    <x v="22"/>
    <x v="4"/>
    <n v="101.011"/>
    <n v="91.4"/>
    <n v="101.2"/>
    <n v="96.3"/>
    <n v="980"/>
  </r>
  <r>
    <x v="14"/>
    <x v="22"/>
    <x v="4"/>
    <n v="101.011"/>
    <n v="91.4"/>
    <n v="101.2"/>
    <n v="96.3"/>
    <n v="980"/>
  </r>
  <r>
    <x v="14"/>
    <x v="22"/>
    <x v="4"/>
    <n v="101.011"/>
    <n v="91.4"/>
    <n v="101.2"/>
    <n v="96.3"/>
    <n v="980"/>
  </r>
  <r>
    <x v="14"/>
    <x v="22"/>
    <x v="4"/>
    <n v="101.011"/>
    <n v="91.4"/>
    <n v="101.2"/>
    <n v="96.3"/>
    <n v="980"/>
  </r>
  <r>
    <x v="14"/>
    <x v="22"/>
    <x v="4"/>
    <n v="101.011"/>
    <n v="91.4"/>
    <n v="101.2"/>
    <n v="96.3"/>
    <n v="980"/>
  </r>
  <r>
    <x v="14"/>
    <x v="22"/>
    <x v="4"/>
    <n v="101.011"/>
    <n v="91.4"/>
    <n v="101.2"/>
    <n v="96.3"/>
    <n v="980"/>
  </r>
  <r>
    <x v="14"/>
    <x v="22"/>
    <x v="4"/>
    <n v="101.011"/>
    <n v="91.4"/>
    <n v="101.2"/>
    <n v="96.3"/>
    <n v="980"/>
  </r>
  <r>
    <x v="14"/>
    <x v="22"/>
    <x v="4"/>
    <n v="101.011"/>
    <n v="91.4"/>
    <n v="101.2"/>
    <n v="96.3"/>
    <n v="980"/>
  </r>
  <r>
    <x v="14"/>
    <x v="22"/>
    <x v="4"/>
    <n v="101.011"/>
    <n v="91.4"/>
    <n v="101.2"/>
    <n v="96.3"/>
    <n v="980"/>
  </r>
  <r>
    <x v="14"/>
    <x v="22"/>
    <x v="4"/>
    <n v="101.011"/>
    <n v="91.4"/>
    <n v="101.2"/>
    <n v="96.3"/>
    <n v="980"/>
  </r>
  <r>
    <x v="14"/>
    <x v="22"/>
    <x v="4"/>
    <n v="101.011"/>
    <n v="91.4"/>
    <n v="101.2"/>
    <n v="96.3"/>
    <n v="980"/>
  </r>
  <r>
    <x v="14"/>
    <x v="22"/>
    <x v="4"/>
    <n v="101.011"/>
    <n v="91.4"/>
    <n v="101.2"/>
    <n v="96.3"/>
    <n v="980"/>
  </r>
  <r>
    <x v="14"/>
    <x v="22"/>
    <x v="4"/>
    <n v="101.011"/>
    <n v="91.4"/>
    <n v="101.2"/>
    <n v="96.3"/>
    <n v="980"/>
  </r>
  <r>
    <x v="14"/>
    <x v="22"/>
    <x v="0"/>
    <n v="2.0185"/>
    <n v="1.91"/>
    <n v="2.0459900000000002"/>
    <n v="1.9779949999999999"/>
    <n v="1359.9"/>
  </r>
  <r>
    <x v="14"/>
    <x v="22"/>
    <x v="0"/>
    <n v="2.0185"/>
    <n v="1.91"/>
    <n v="2.0459900000000002"/>
    <n v="1.9779949999999999"/>
    <n v="1359.9"/>
  </r>
  <r>
    <x v="14"/>
    <x v="22"/>
    <x v="0"/>
    <n v="2.0185"/>
    <n v="1.91"/>
    <n v="2.0459900000000002"/>
    <n v="1.9779949999999999"/>
    <n v="1359.9"/>
  </r>
  <r>
    <x v="14"/>
    <x v="22"/>
    <x v="0"/>
    <n v="2.0185"/>
    <n v="1.91"/>
    <n v="2.0459900000000002"/>
    <n v="1.9779949999999999"/>
    <n v="1359.9"/>
  </r>
  <r>
    <x v="14"/>
    <x v="22"/>
    <x v="0"/>
    <n v="2.0185"/>
    <n v="1.91"/>
    <n v="2.0459900000000002"/>
    <n v="1.9779949999999999"/>
    <n v="1359.9"/>
  </r>
  <r>
    <x v="14"/>
    <x v="22"/>
    <x v="0"/>
    <n v="2.0185"/>
    <n v="1.91"/>
    <n v="2.0459900000000002"/>
    <n v="1.9779949999999999"/>
    <n v="1359.9"/>
  </r>
  <r>
    <x v="14"/>
    <x v="22"/>
    <x v="0"/>
    <n v="2.0185"/>
    <n v="1.91"/>
    <n v="2.0459900000000002"/>
    <n v="1.9779949999999999"/>
    <n v="1359.9"/>
  </r>
  <r>
    <x v="14"/>
    <x v="22"/>
    <x v="0"/>
    <n v="2.0185"/>
    <n v="1.91"/>
    <n v="2.0459900000000002"/>
    <n v="1.9779949999999999"/>
    <n v="1359.9"/>
  </r>
  <r>
    <x v="14"/>
    <x v="22"/>
    <x v="0"/>
    <n v="2.0185"/>
    <n v="1.91"/>
    <n v="2.0459900000000002"/>
    <n v="1.9779949999999999"/>
    <n v="1359.9"/>
  </r>
  <r>
    <x v="14"/>
    <x v="22"/>
    <x v="0"/>
    <n v="2.0185"/>
    <n v="1.91"/>
    <n v="2.0459900000000002"/>
    <n v="1.9779949999999999"/>
    <n v="1359.9"/>
  </r>
  <r>
    <x v="14"/>
    <x v="22"/>
    <x v="0"/>
    <n v="2.0185"/>
    <n v="1.91"/>
    <n v="2.0459900000000002"/>
    <n v="1.9779949999999999"/>
    <n v="1359.9"/>
  </r>
  <r>
    <x v="14"/>
    <x v="22"/>
    <x v="0"/>
    <n v="2.0185"/>
    <n v="1.91"/>
    <n v="2.0459900000000002"/>
    <n v="1.9779949999999999"/>
    <n v="1359.9"/>
  </r>
  <r>
    <x v="14"/>
    <x v="22"/>
    <x v="0"/>
    <n v="2.0185"/>
    <n v="1.91"/>
    <n v="2.0459900000000002"/>
    <n v="1.9779949999999999"/>
    <n v="1359.9"/>
  </r>
  <r>
    <x v="14"/>
    <x v="22"/>
    <x v="0"/>
    <n v="2.0185"/>
    <n v="1.91"/>
    <n v="2.0459900000000002"/>
    <n v="1.9779949999999999"/>
    <n v="1359.9"/>
  </r>
  <r>
    <x v="14"/>
    <x v="22"/>
    <x v="0"/>
    <n v="2.0185"/>
    <n v="1.91"/>
    <n v="2.0459900000000002"/>
    <n v="1.9779949999999999"/>
    <n v="1359.9"/>
  </r>
  <r>
    <x v="14"/>
    <x v="22"/>
    <x v="0"/>
    <n v="2.0185"/>
    <n v="1.91"/>
    <n v="2.0459900000000002"/>
    <n v="1.9779949999999999"/>
    <n v="1359.9"/>
  </r>
  <r>
    <x v="14"/>
    <x v="22"/>
    <x v="0"/>
    <n v="2.0185"/>
    <n v="1.91"/>
    <n v="2.0459900000000002"/>
    <n v="1.9779949999999999"/>
    <n v="1359.9"/>
  </r>
  <r>
    <x v="14"/>
    <x v="22"/>
    <x v="0"/>
    <n v="2.0185"/>
    <n v="1.91"/>
    <n v="2.0459900000000002"/>
    <n v="1.9779949999999999"/>
    <n v="1359.9"/>
  </r>
  <r>
    <x v="14"/>
    <x v="22"/>
    <x v="0"/>
    <n v="2.0185"/>
    <n v="1.91"/>
    <n v="2.0459900000000002"/>
    <n v="1.9779949999999999"/>
    <n v="1359.9"/>
  </r>
  <r>
    <x v="14"/>
    <x v="22"/>
    <x v="0"/>
    <n v="2.0185"/>
    <n v="1.91"/>
    <n v="2.0459900000000002"/>
    <n v="1.9779949999999999"/>
    <n v="1359.9"/>
  </r>
  <r>
    <x v="14"/>
    <x v="22"/>
    <x v="0"/>
    <n v="2.0185"/>
    <n v="1.91"/>
    <n v="2.0459900000000002"/>
    <n v="1.9779949999999999"/>
    <n v="1359.9"/>
  </r>
  <r>
    <x v="14"/>
    <x v="22"/>
    <x v="0"/>
    <n v="2.0185"/>
    <n v="1.91"/>
    <n v="2.0459900000000002"/>
    <n v="1.9779949999999999"/>
    <n v="1359.9"/>
  </r>
  <r>
    <x v="14"/>
    <x v="22"/>
    <x v="0"/>
    <n v="2.0185"/>
    <n v="1.91"/>
    <n v="2.0459900000000002"/>
    <n v="1.9779949999999999"/>
    <n v="1359.9"/>
  </r>
  <r>
    <x v="14"/>
    <x v="22"/>
    <x v="0"/>
    <n v="2.0185"/>
    <n v="1.91"/>
    <n v="2.0459900000000002"/>
    <n v="1.9779949999999999"/>
    <n v="1359.9"/>
  </r>
  <r>
    <x v="14"/>
    <x v="22"/>
    <x v="0"/>
    <n v="2.0185"/>
    <n v="1.91"/>
    <n v="2.0459900000000002"/>
    <n v="1.9779949999999999"/>
    <n v="1359.9"/>
  </r>
  <r>
    <x v="14"/>
    <x v="22"/>
    <x v="0"/>
    <n v="2.0185"/>
    <n v="1.91"/>
    <n v="2.0459900000000002"/>
    <n v="1.9779949999999999"/>
    <n v="1359.9"/>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2"/>
    <x v="10"/>
    <n v="0.97874000000000005"/>
    <n v="0.871"/>
    <n v="0.97306999999999999"/>
    <n v="0.92203500000000005"/>
    <n v="1020.7"/>
  </r>
  <r>
    <x v="14"/>
    <x v="23"/>
    <x v="4"/>
    <n v="98.143000000000001"/>
    <n v="91.4"/>
    <n v="101.2"/>
    <n v="96.3"/>
    <n v="980"/>
  </r>
  <r>
    <x v="14"/>
    <x v="23"/>
    <x v="4"/>
    <n v="98.143000000000001"/>
    <n v="91.4"/>
    <n v="101.2"/>
    <n v="96.3"/>
    <n v="980"/>
  </r>
  <r>
    <x v="14"/>
    <x v="23"/>
    <x v="4"/>
    <n v="98.143000000000001"/>
    <n v="91.4"/>
    <n v="101.2"/>
    <n v="96.3"/>
    <n v="980"/>
  </r>
  <r>
    <x v="14"/>
    <x v="23"/>
    <x v="4"/>
    <n v="98.143000000000001"/>
    <n v="91.4"/>
    <n v="101.2"/>
    <n v="96.3"/>
    <n v="980"/>
  </r>
  <r>
    <x v="14"/>
    <x v="23"/>
    <x v="4"/>
    <n v="98.143000000000001"/>
    <n v="91.4"/>
    <n v="101.2"/>
    <n v="96.3"/>
    <n v="980"/>
  </r>
  <r>
    <x v="14"/>
    <x v="23"/>
    <x v="4"/>
    <n v="98.143000000000001"/>
    <n v="91.4"/>
    <n v="101.2"/>
    <n v="96.3"/>
    <n v="980"/>
  </r>
  <r>
    <x v="14"/>
    <x v="23"/>
    <x v="4"/>
    <n v="98.143000000000001"/>
    <n v="91.4"/>
    <n v="101.2"/>
    <n v="96.3"/>
    <n v="980"/>
  </r>
  <r>
    <x v="14"/>
    <x v="23"/>
    <x v="4"/>
    <n v="98.143000000000001"/>
    <n v="91.4"/>
    <n v="101.2"/>
    <n v="96.3"/>
    <n v="980"/>
  </r>
  <r>
    <x v="14"/>
    <x v="23"/>
    <x v="4"/>
    <n v="98.143000000000001"/>
    <n v="91.4"/>
    <n v="101.2"/>
    <n v="96.3"/>
    <n v="980"/>
  </r>
  <r>
    <x v="14"/>
    <x v="23"/>
    <x v="4"/>
    <n v="98.143000000000001"/>
    <n v="91.4"/>
    <n v="101.2"/>
    <n v="96.3"/>
    <n v="980"/>
  </r>
  <r>
    <x v="14"/>
    <x v="23"/>
    <x v="4"/>
    <n v="98.143000000000001"/>
    <n v="91.4"/>
    <n v="101.2"/>
    <n v="96.3"/>
    <n v="980"/>
  </r>
  <r>
    <x v="14"/>
    <x v="23"/>
    <x v="4"/>
    <n v="98.143000000000001"/>
    <n v="91.4"/>
    <n v="101.2"/>
    <n v="96.3"/>
    <n v="980"/>
  </r>
  <r>
    <x v="14"/>
    <x v="23"/>
    <x v="4"/>
    <n v="98.143000000000001"/>
    <n v="91.4"/>
    <n v="101.2"/>
    <n v="96.3"/>
    <n v="980"/>
  </r>
  <r>
    <x v="14"/>
    <x v="23"/>
    <x v="4"/>
    <n v="98.143000000000001"/>
    <n v="91.4"/>
    <n v="101.2"/>
    <n v="96.3"/>
    <n v="980"/>
  </r>
  <r>
    <x v="14"/>
    <x v="23"/>
    <x v="4"/>
    <n v="98.143000000000001"/>
    <n v="91.4"/>
    <n v="101.2"/>
    <n v="96.3"/>
    <n v="980"/>
  </r>
  <r>
    <x v="14"/>
    <x v="23"/>
    <x v="4"/>
    <n v="98.143000000000001"/>
    <n v="91.4"/>
    <n v="101.2"/>
    <n v="96.3"/>
    <n v="980"/>
  </r>
  <r>
    <x v="14"/>
    <x v="23"/>
    <x v="4"/>
    <n v="98.143000000000001"/>
    <n v="91.4"/>
    <n v="101.2"/>
    <n v="96.3"/>
    <n v="980"/>
  </r>
  <r>
    <x v="14"/>
    <x v="23"/>
    <x v="4"/>
    <n v="98.143000000000001"/>
    <n v="91.4"/>
    <n v="101.2"/>
    <n v="96.3"/>
    <n v="980"/>
  </r>
  <r>
    <x v="14"/>
    <x v="23"/>
    <x v="4"/>
    <n v="98.143000000000001"/>
    <n v="91.4"/>
    <n v="101.2"/>
    <n v="96.3"/>
    <n v="980"/>
  </r>
  <r>
    <x v="14"/>
    <x v="23"/>
    <x v="4"/>
    <n v="98.143000000000001"/>
    <n v="91.4"/>
    <n v="101.2"/>
    <n v="96.3"/>
    <n v="980"/>
  </r>
  <r>
    <x v="14"/>
    <x v="23"/>
    <x v="4"/>
    <n v="98.143000000000001"/>
    <n v="91.4"/>
    <n v="101.2"/>
    <n v="96.3"/>
    <n v="980"/>
  </r>
  <r>
    <x v="14"/>
    <x v="23"/>
    <x v="4"/>
    <n v="98.143000000000001"/>
    <n v="91.4"/>
    <n v="101.2"/>
    <n v="96.3"/>
    <n v="980"/>
  </r>
  <r>
    <x v="14"/>
    <x v="23"/>
    <x v="4"/>
    <n v="98.143000000000001"/>
    <n v="91.4"/>
    <n v="101.2"/>
    <n v="96.3"/>
    <n v="980"/>
  </r>
  <r>
    <x v="14"/>
    <x v="23"/>
    <x v="4"/>
    <n v="98.143000000000001"/>
    <n v="91.4"/>
    <n v="101.2"/>
    <n v="96.3"/>
    <n v="980"/>
  </r>
  <r>
    <x v="14"/>
    <x v="23"/>
    <x v="4"/>
    <n v="98.143000000000001"/>
    <n v="91.4"/>
    <n v="101.2"/>
    <n v="96.3"/>
    <n v="980"/>
  </r>
  <r>
    <x v="14"/>
    <x v="23"/>
    <x v="4"/>
    <n v="98.143000000000001"/>
    <n v="91.4"/>
    <n v="101.2"/>
    <n v="96.3"/>
    <n v="980"/>
  </r>
  <r>
    <x v="15"/>
    <x v="54"/>
    <x v="4"/>
    <m/>
    <n v="94.734999999999999"/>
    <n v="94.816999999999993"/>
    <n v="94.775999999999996"/>
    <n v="8.1999999999999993"/>
  </r>
  <r>
    <x v="15"/>
    <x v="54"/>
    <x v="4"/>
    <m/>
    <n v="94.734999999999999"/>
    <n v="94.816999999999993"/>
    <n v="94.775999999999996"/>
    <n v="8.1999999999999993"/>
  </r>
  <r>
    <x v="15"/>
    <x v="54"/>
    <x v="4"/>
    <m/>
    <n v="94.734999999999999"/>
    <n v="94.816999999999993"/>
    <n v="94.775999999999996"/>
    <n v="8.1999999999999993"/>
  </r>
  <r>
    <x v="15"/>
    <x v="54"/>
    <x v="4"/>
    <m/>
    <n v="94.734999999999999"/>
    <n v="94.816999999999993"/>
    <n v="94.775999999999996"/>
    <n v="8.1999999999999993"/>
  </r>
  <r>
    <x v="15"/>
    <x v="54"/>
    <x v="4"/>
    <m/>
    <n v="94.734999999999999"/>
    <n v="94.816999999999993"/>
    <n v="94.775999999999996"/>
    <n v="8.1999999999999993"/>
  </r>
  <r>
    <x v="15"/>
    <x v="54"/>
    <x v="3"/>
    <m/>
    <n v="1.3868100000000001"/>
    <n v="1.3871500000000001"/>
    <n v="1.3869800000000001"/>
    <n v="3.4"/>
  </r>
  <r>
    <x v="15"/>
    <x v="54"/>
    <x v="3"/>
    <m/>
    <n v="1.3868100000000001"/>
    <n v="1.3871500000000001"/>
    <n v="1.3869800000000001"/>
    <n v="3.4"/>
  </r>
  <r>
    <x v="15"/>
    <x v="54"/>
    <x v="3"/>
    <m/>
    <n v="1.3868100000000001"/>
    <n v="1.3871500000000001"/>
    <n v="1.3869800000000001"/>
    <n v="3.4"/>
  </r>
  <r>
    <x v="15"/>
    <x v="54"/>
    <x v="3"/>
    <m/>
    <n v="1.3868100000000001"/>
    <n v="1.3871500000000001"/>
    <n v="1.3869800000000001"/>
    <n v="3.4"/>
  </r>
  <r>
    <x v="15"/>
    <x v="54"/>
    <x v="3"/>
    <m/>
    <n v="1.3868100000000001"/>
    <n v="1.3871500000000001"/>
    <n v="1.3869800000000001"/>
    <n v="3.4"/>
  </r>
  <r>
    <x v="15"/>
    <x v="54"/>
    <x v="0"/>
    <m/>
    <n v="1.9461200000000001"/>
    <n v="1.94868"/>
    <n v="1.9474"/>
    <n v="25.6"/>
  </r>
  <r>
    <x v="15"/>
    <x v="54"/>
    <x v="0"/>
    <m/>
    <n v="1.9461200000000001"/>
    <n v="1.94868"/>
    <n v="1.9474"/>
    <n v="25.6"/>
  </r>
  <r>
    <x v="15"/>
    <x v="54"/>
    <x v="0"/>
    <m/>
    <n v="1.9461200000000001"/>
    <n v="1.94868"/>
    <n v="1.9474"/>
    <n v="25.6"/>
  </r>
  <r>
    <x v="15"/>
    <x v="54"/>
    <x v="0"/>
    <m/>
    <n v="1.9461200000000001"/>
    <n v="1.94868"/>
    <n v="1.9474"/>
    <n v="25.6"/>
  </r>
  <r>
    <x v="15"/>
    <x v="54"/>
    <x v="0"/>
    <m/>
    <n v="1.9461200000000001"/>
    <n v="1.94868"/>
    <n v="1.9474"/>
    <n v="25.6"/>
  </r>
  <r>
    <x v="15"/>
    <x v="54"/>
    <x v="0"/>
    <m/>
    <n v="1.9461200000000001"/>
    <n v="1.94868"/>
    <n v="1.9474"/>
    <n v="25.6"/>
  </r>
  <r>
    <x v="15"/>
    <x v="54"/>
    <x v="0"/>
    <m/>
    <n v="1.9461200000000001"/>
    <n v="1.94868"/>
    <n v="1.9474"/>
    <n v="25.6"/>
  </r>
  <r>
    <x v="15"/>
    <x v="54"/>
    <x v="0"/>
    <m/>
    <n v="1.9461200000000001"/>
    <n v="1.94868"/>
    <n v="1.9474"/>
    <n v="25.6"/>
  </r>
  <r>
    <x v="15"/>
    <x v="54"/>
    <x v="2"/>
    <m/>
    <n v="102.17100000000001"/>
    <n v="102.221"/>
    <n v="102.196"/>
    <n v="5"/>
  </r>
  <r>
    <x v="15"/>
    <x v="54"/>
    <x v="2"/>
    <m/>
    <n v="102.17100000000001"/>
    <n v="102.221"/>
    <n v="102.196"/>
    <n v="5"/>
  </r>
  <r>
    <x v="15"/>
    <x v="54"/>
    <x v="2"/>
    <m/>
    <n v="102.17100000000001"/>
    <n v="102.221"/>
    <n v="102.196"/>
    <n v="5"/>
  </r>
  <r>
    <x v="15"/>
    <x v="54"/>
    <x v="2"/>
    <m/>
    <n v="102.17100000000001"/>
    <n v="102.221"/>
    <n v="102.196"/>
    <n v="5"/>
  </r>
  <r>
    <x v="15"/>
    <x v="54"/>
    <x v="2"/>
    <m/>
    <n v="102.17100000000001"/>
    <n v="102.221"/>
    <n v="102.196"/>
    <n v="5"/>
  </r>
  <r>
    <x v="15"/>
    <x v="54"/>
    <x v="2"/>
    <m/>
    <n v="102.17100000000001"/>
    <n v="102.221"/>
    <n v="102.196"/>
    <n v="5"/>
  </r>
  <r>
    <x v="15"/>
    <x v="55"/>
    <x v="4"/>
    <m/>
    <n v="94.734999999999999"/>
    <n v="95.418999999999997"/>
    <n v="95.076999999999998"/>
    <n v="68.400000000000006"/>
  </r>
  <r>
    <x v="15"/>
    <x v="55"/>
    <x v="4"/>
    <m/>
    <n v="94.734999999999999"/>
    <n v="95.418999999999997"/>
    <n v="95.076999999999998"/>
    <n v="68.400000000000006"/>
  </r>
  <r>
    <x v="15"/>
    <x v="55"/>
    <x v="4"/>
    <m/>
    <n v="94.734999999999999"/>
    <n v="95.418999999999997"/>
    <n v="95.076999999999998"/>
    <n v="68.400000000000006"/>
  </r>
  <r>
    <x v="15"/>
    <x v="55"/>
    <x v="4"/>
    <m/>
    <n v="94.734999999999999"/>
    <n v="95.418999999999997"/>
    <n v="95.076999999999998"/>
    <n v="68.400000000000006"/>
  </r>
  <r>
    <x v="15"/>
    <x v="55"/>
    <x v="4"/>
    <m/>
    <n v="94.734999999999999"/>
    <n v="95.418999999999997"/>
    <n v="95.076999999999998"/>
    <n v="68.400000000000006"/>
  </r>
  <r>
    <x v="15"/>
    <x v="55"/>
    <x v="4"/>
    <m/>
    <n v="94.734999999999999"/>
    <n v="95.418999999999997"/>
    <n v="95.076999999999998"/>
    <n v="68.400000000000006"/>
  </r>
  <r>
    <x v="15"/>
    <x v="55"/>
    <x v="4"/>
    <m/>
    <n v="94.734999999999999"/>
    <n v="95.418999999999997"/>
    <n v="95.076999999999998"/>
    <n v="68.400000000000006"/>
  </r>
  <r>
    <x v="15"/>
    <x v="55"/>
    <x v="4"/>
    <m/>
    <n v="94.734999999999999"/>
    <n v="95.418999999999997"/>
    <n v="95.076999999999998"/>
    <n v="68.400000000000006"/>
  </r>
  <r>
    <x v="15"/>
    <x v="55"/>
    <x v="3"/>
    <m/>
    <n v="1.3756200000000001"/>
    <n v="1.3871500000000001"/>
    <n v="1.3813850000000001"/>
    <n v="115.3"/>
  </r>
  <r>
    <x v="15"/>
    <x v="55"/>
    <x v="3"/>
    <m/>
    <n v="1.3756200000000001"/>
    <n v="1.3871500000000001"/>
    <n v="1.3813850000000001"/>
    <n v="115.3"/>
  </r>
  <r>
    <x v="15"/>
    <x v="55"/>
    <x v="3"/>
    <m/>
    <n v="1.3756200000000001"/>
    <n v="1.3871500000000001"/>
    <n v="1.3813850000000001"/>
    <n v="115.3"/>
  </r>
  <r>
    <x v="15"/>
    <x v="55"/>
    <x v="3"/>
    <m/>
    <n v="1.3756200000000001"/>
    <n v="1.3871500000000001"/>
    <n v="1.3813850000000001"/>
    <n v="115.3"/>
  </r>
  <r>
    <x v="15"/>
    <x v="55"/>
    <x v="3"/>
    <m/>
    <n v="1.3756200000000001"/>
    <n v="1.3871500000000001"/>
    <n v="1.3813850000000001"/>
    <n v="115.3"/>
  </r>
  <r>
    <x v="15"/>
    <x v="55"/>
    <x v="3"/>
    <m/>
    <n v="1.3756200000000001"/>
    <n v="1.3871500000000001"/>
    <n v="1.3813850000000001"/>
    <n v="115.3"/>
  </r>
  <r>
    <x v="15"/>
    <x v="55"/>
    <x v="3"/>
    <m/>
    <n v="1.3756200000000001"/>
    <n v="1.3871500000000001"/>
    <n v="1.3813850000000001"/>
    <n v="115.3"/>
  </r>
  <r>
    <x v="15"/>
    <x v="55"/>
    <x v="3"/>
    <m/>
    <n v="1.3756200000000001"/>
    <n v="1.3871500000000001"/>
    <n v="1.3813850000000001"/>
    <n v="115.3"/>
  </r>
  <r>
    <x v="15"/>
    <x v="55"/>
    <x v="3"/>
    <m/>
    <n v="1.3756200000000001"/>
    <n v="1.3871500000000001"/>
    <n v="1.3813850000000001"/>
    <n v="115.3"/>
  </r>
  <r>
    <x v="15"/>
    <x v="55"/>
    <x v="0"/>
    <m/>
    <n v="1.9461200000000001"/>
    <n v="1.9570000000000001"/>
    <n v="1.95156"/>
    <n v="108.8"/>
  </r>
  <r>
    <x v="15"/>
    <x v="55"/>
    <x v="0"/>
    <m/>
    <n v="1.9461200000000001"/>
    <n v="1.9570000000000001"/>
    <n v="1.95156"/>
    <n v="108.8"/>
  </r>
  <r>
    <x v="15"/>
    <x v="55"/>
    <x v="0"/>
    <m/>
    <n v="1.9461200000000001"/>
    <n v="1.9570000000000001"/>
    <n v="1.95156"/>
    <n v="108.8"/>
  </r>
  <r>
    <x v="15"/>
    <x v="55"/>
    <x v="0"/>
    <m/>
    <n v="1.9461200000000001"/>
    <n v="1.9570000000000001"/>
    <n v="1.95156"/>
    <n v="108.8"/>
  </r>
  <r>
    <x v="15"/>
    <x v="55"/>
    <x v="0"/>
    <m/>
    <n v="1.9461200000000001"/>
    <n v="1.9570000000000001"/>
    <n v="1.95156"/>
    <n v="108.8"/>
  </r>
  <r>
    <x v="15"/>
    <x v="55"/>
    <x v="0"/>
    <m/>
    <n v="1.9461200000000001"/>
    <n v="1.9570000000000001"/>
    <n v="1.95156"/>
    <n v="108.8"/>
  </r>
  <r>
    <x v="15"/>
    <x v="55"/>
    <x v="0"/>
    <m/>
    <n v="1.9461200000000001"/>
    <n v="1.9570000000000001"/>
    <n v="1.95156"/>
    <n v="108.8"/>
  </r>
  <r>
    <x v="15"/>
    <x v="55"/>
    <x v="0"/>
    <m/>
    <n v="1.9461200000000001"/>
    <n v="1.9570000000000001"/>
    <n v="1.95156"/>
    <n v="108.8"/>
  </r>
  <r>
    <x v="15"/>
    <x v="55"/>
    <x v="0"/>
    <m/>
    <n v="1.9461200000000001"/>
    <n v="1.9570000000000001"/>
    <n v="1.95156"/>
    <n v="108.8"/>
  </r>
  <r>
    <x v="15"/>
    <x v="55"/>
    <x v="0"/>
    <m/>
    <n v="1.9461200000000001"/>
    <n v="1.9570000000000001"/>
    <n v="1.95156"/>
    <n v="108.8"/>
  </r>
  <r>
    <x v="15"/>
    <x v="55"/>
    <x v="0"/>
    <m/>
    <n v="1.9461200000000001"/>
    <n v="1.9570000000000001"/>
    <n v="1.95156"/>
    <n v="108.8"/>
  </r>
  <r>
    <x v="15"/>
    <x v="55"/>
    <x v="2"/>
    <m/>
    <n v="101.843"/>
    <n v="102.221"/>
    <n v="102.032"/>
    <n v="37.799999999999997"/>
  </r>
  <r>
    <x v="15"/>
    <x v="55"/>
    <x v="2"/>
    <m/>
    <n v="101.843"/>
    <n v="102.221"/>
    <n v="102.032"/>
    <n v="37.799999999999997"/>
  </r>
  <r>
    <x v="15"/>
    <x v="55"/>
    <x v="2"/>
    <m/>
    <n v="101.843"/>
    <n v="102.221"/>
    <n v="102.032"/>
    <n v="37.799999999999997"/>
  </r>
  <r>
    <x v="15"/>
    <x v="55"/>
    <x v="2"/>
    <m/>
    <n v="101.843"/>
    <n v="102.221"/>
    <n v="102.032"/>
    <n v="37.799999999999997"/>
  </r>
  <r>
    <x v="15"/>
    <x v="55"/>
    <x v="2"/>
    <m/>
    <n v="101.843"/>
    <n v="102.221"/>
    <n v="102.032"/>
    <n v="37.799999999999997"/>
  </r>
  <r>
    <x v="15"/>
    <x v="55"/>
    <x v="2"/>
    <m/>
    <n v="101.843"/>
    <n v="102.221"/>
    <n v="102.032"/>
    <n v="37.799999999999997"/>
  </r>
  <r>
    <x v="15"/>
    <x v="55"/>
    <x v="2"/>
    <m/>
    <n v="101.843"/>
    <n v="102.221"/>
    <n v="102.032"/>
    <n v="37.799999999999997"/>
  </r>
  <r>
    <x v="15"/>
    <x v="55"/>
    <x v="2"/>
    <m/>
    <n v="101.843"/>
    <n v="102.221"/>
    <n v="102.032"/>
    <n v="37.799999999999997"/>
  </r>
  <r>
    <x v="15"/>
    <x v="55"/>
    <x v="2"/>
    <m/>
    <n v="101.843"/>
    <n v="102.221"/>
    <n v="102.032"/>
    <n v="37.799999999999997"/>
  </r>
  <r>
    <x v="15"/>
    <x v="56"/>
    <x v="4"/>
    <m/>
    <n v="94.734999999999999"/>
    <n v="95.418999999999997"/>
    <n v="95.076999999999998"/>
    <n v="68.400000000000006"/>
  </r>
  <r>
    <x v="15"/>
    <x v="56"/>
    <x v="4"/>
    <m/>
    <n v="94.734999999999999"/>
    <n v="95.418999999999997"/>
    <n v="95.076999999999998"/>
    <n v="68.400000000000006"/>
  </r>
  <r>
    <x v="15"/>
    <x v="56"/>
    <x v="4"/>
    <m/>
    <n v="94.734999999999999"/>
    <n v="95.418999999999997"/>
    <n v="95.076999999999998"/>
    <n v="68.400000000000006"/>
  </r>
  <r>
    <x v="15"/>
    <x v="56"/>
    <x v="4"/>
    <m/>
    <n v="94.734999999999999"/>
    <n v="95.418999999999997"/>
    <n v="95.076999999999998"/>
    <n v="68.400000000000006"/>
  </r>
  <r>
    <x v="15"/>
    <x v="56"/>
    <x v="4"/>
    <m/>
    <n v="94.734999999999999"/>
    <n v="95.418999999999997"/>
    <n v="95.076999999999998"/>
    <n v="68.400000000000006"/>
  </r>
  <r>
    <x v="15"/>
    <x v="56"/>
    <x v="4"/>
    <m/>
    <n v="94.734999999999999"/>
    <n v="95.418999999999997"/>
    <n v="95.076999999999998"/>
    <n v="68.400000000000006"/>
  </r>
  <r>
    <x v="15"/>
    <x v="56"/>
    <x v="4"/>
    <m/>
    <n v="94.734999999999999"/>
    <n v="95.418999999999997"/>
    <n v="95.076999999999998"/>
    <n v="68.400000000000006"/>
  </r>
  <r>
    <x v="15"/>
    <x v="56"/>
    <x v="4"/>
    <m/>
    <n v="94.734999999999999"/>
    <n v="95.418999999999997"/>
    <n v="95.076999999999998"/>
    <n v="68.400000000000006"/>
  </r>
  <r>
    <x v="15"/>
    <x v="56"/>
    <x v="4"/>
    <m/>
    <n v="94.734999999999999"/>
    <n v="95.418999999999997"/>
    <n v="95.076999999999998"/>
    <n v="68.400000000000006"/>
  </r>
  <r>
    <x v="15"/>
    <x v="56"/>
    <x v="4"/>
    <m/>
    <n v="94.734999999999999"/>
    <n v="95.418999999999997"/>
    <n v="95.076999999999998"/>
    <n v="68.400000000000006"/>
  </r>
  <r>
    <x v="15"/>
    <x v="56"/>
    <x v="3"/>
    <m/>
    <n v="1.3692599999999999"/>
    <n v="1.3871500000000001"/>
    <n v="1.3782049999999999"/>
    <n v="178.9"/>
  </r>
  <r>
    <x v="15"/>
    <x v="56"/>
    <x v="3"/>
    <m/>
    <n v="1.3692599999999999"/>
    <n v="1.3871500000000001"/>
    <n v="1.3782049999999999"/>
    <n v="178.9"/>
  </r>
  <r>
    <x v="15"/>
    <x v="56"/>
    <x v="3"/>
    <m/>
    <n v="1.3692599999999999"/>
    <n v="1.3871500000000001"/>
    <n v="1.3782049999999999"/>
    <n v="178.9"/>
  </r>
  <r>
    <x v="15"/>
    <x v="56"/>
    <x v="3"/>
    <m/>
    <n v="1.3692599999999999"/>
    <n v="1.3871500000000001"/>
    <n v="1.3782049999999999"/>
    <n v="178.9"/>
  </r>
  <r>
    <x v="15"/>
    <x v="56"/>
    <x v="3"/>
    <m/>
    <n v="1.3692599999999999"/>
    <n v="1.3871500000000001"/>
    <n v="1.3782049999999999"/>
    <n v="178.9"/>
  </r>
  <r>
    <x v="15"/>
    <x v="56"/>
    <x v="3"/>
    <m/>
    <n v="1.3692599999999999"/>
    <n v="1.3871500000000001"/>
    <n v="1.3782049999999999"/>
    <n v="178.9"/>
  </r>
  <r>
    <x v="15"/>
    <x v="56"/>
    <x v="3"/>
    <m/>
    <n v="1.3692599999999999"/>
    <n v="1.3871500000000001"/>
    <n v="1.3782049999999999"/>
    <n v="178.9"/>
  </r>
  <r>
    <x v="15"/>
    <x v="56"/>
    <x v="3"/>
    <m/>
    <n v="1.3692599999999999"/>
    <n v="1.3871500000000001"/>
    <n v="1.3782049999999999"/>
    <n v="178.9"/>
  </r>
  <r>
    <x v="15"/>
    <x v="56"/>
    <x v="3"/>
    <m/>
    <n v="1.3692599999999999"/>
    <n v="1.3871500000000001"/>
    <n v="1.3782049999999999"/>
    <n v="178.9"/>
  </r>
  <r>
    <x v="15"/>
    <x v="56"/>
    <x v="3"/>
    <m/>
    <n v="1.3692599999999999"/>
    <n v="1.3871500000000001"/>
    <n v="1.3782049999999999"/>
    <n v="178.9"/>
  </r>
  <r>
    <x v="15"/>
    <x v="56"/>
    <x v="3"/>
    <m/>
    <n v="1.3692599999999999"/>
    <n v="1.3871500000000001"/>
    <n v="1.3782049999999999"/>
    <n v="178.9"/>
  </r>
  <r>
    <x v="15"/>
    <x v="56"/>
    <x v="3"/>
    <m/>
    <n v="1.3692599999999999"/>
    <n v="1.3871500000000001"/>
    <n v="1.3782049999999999"/>
    <n v="178.9"/>
  </r>
  <r>
    <x v="15"/>
    <x v="56"/>
    <x v="0"/>
    <m/>
    <n v="1.9461200000000001"/>
    <n v="1.9570000000000001"/>
    <n v="1.95156"/>
    <n v="108.8"/>
  </r>
  <r>
    <x v="15"/>
    <x v="56"/>
    <x v="0"/>
    <m/>
    <n v="1.9461200000000001"/>
    <n v="1.9570000000000001"/>
    <n v="1.95156"/>
    <n v="108.8"/>
  </r>
  <r>
    <x v="15"/>
    <x v="56"/>
    <x v="0"/>
    <m/>
    <n v="1.9461200000000001"/>
    <n v="1.9570000000000001"/>
    <n v="1.95156"/>
    <n v="108.8"/>
  </r>
  <r>
    <x v="15"/>
    <x v="56"/>
    <x v="0"/>
    <m/>
    <n v="1.9461200000000001"/>
    <n v="1.9570000000000001"/>
    <n v="1.95156"/>
    <n v="108.8"/>
  </r>
  <r>
    <x v="15"/>
    <x v="56"/>
    <x v="0"/>
    <m/>
    <n v="1.9461200000000001"/>
    <n v="1.9570000000000001"/>
    <n v="1.95156"/>
    <n v="108.8"/>
  </r>
  <r>
    <x v="15"/>
    <x v="56"/>
    <x v="0"/>
    <m/>
    <n v="1.9461200000000001"/>
    <n v="1.9570000000000001"/>
    <n v="1.95156"/>
    <n v="108.8"/>
  </r>
  <r>
    <x v="15"/>
    <x v="56"/>
    <x v="0"/>
    <m/>
    <n v="1.9461200000000001"/>
    <n v="1.9570000000000001"/>
    <n v="1.95156"/>
    <n v="108.8"/>
  </r>
  <r>
    <x v="15"/>
    <x v="56"/>
    <x v="0"/>
    <m/>
    <n v="1.9461200000000001"/>
    <n v="1.9570000000000001"/>
    <n v="1.95156"/>
    <n v="108.8"/>
  </r>
  <r>
    <x v="15"/>
    <x v="56"/>
    <x v="0"/>
    <m/>
    <n v="1.9461200000000001"/>
    <n v="1.9570000000000001"/>
    <n v="1.95156"/>
    <n v="108.8"/>
  </r>
  <r>
    <x v="15"/>
    <x v="56"/>
    <x v="0"/>
    <m/>
    <n v="1.9461200000000001"/>
    <n v="1.9570000000000001"/>
    <n v="1.95156"/>
    <n v="108.8"/>
  </r>
  <r>
    <x v="15"/>
    <x v="56"/>
    <x v="0"/>
    <m/>
    <n v="1.9461200000000001"/>
    <n v="1.9570000000000001"/>
    <n v="1.95156"/>
    <n v="108.8"/>
  </r>
  <r>
    <x v="15"/>
    <x v="56"/>
    <x v="0"/>
    <m/>
    <n v="1.9461200000000001"/>
    <n v="1.9570000000000001"/>
    <n v="1.95156"/>
    <n v="108.8"/>
  </r>
  <r>
    <x v="15"/>
    <x v="56"/>
    <x v="2"/>
    <m/>
    <n v="101.446"/>
    <n v="102.221"/>
    <n v="101.8335"/>
    <n v="77.5"/>
  </r>
  <r>
    <x v="15"/>
    <x v="56"/>
    <x v="2"/>
    <m/>
    <n v="101.446"/>
    <n v="102.221"/>
    <n v="101.8335"/>
    <n v="77.5"/>
  </r>
  <r>
    <x v="15"/>
    <x v="56"/>
    <x v="2"/>
    <m/>
    <n v="101.446"/>
    <n v="102.221"/>
    <n v="101.8335"/>
    <n v="77.5"/>
  </r>
  <r>
    <x v="15"/>
    <x v="56"/>
    <x v="2"/>
    <m/>
    <n v="101.446"/>
    <n v="102.221"/>
    <n v="101.8335"/>
    <n v="77.5"/>
  </r>
  <r>
    <x v="15"/>
    <x v="56"/>
    <x v="2"/>
    <m/>
    <n v="101.446"/>
    <n v="102.221"/>
    <n v="101.8335"/>
    <n v="77.5"/>
  </r>
  <r>
    <x v="15"/>
    <x v="56"/>
    <x v="2"/>
    <m/>
    <n v="101.446"/>
    <n v="102.221"/>
    <n v="101.8335"/>
    <n v="77.5"/>
  </r>
  <r>
    <x v="15"/>
    <x v="56"/>
    <x v="2"/>
    <m/>
    <n v="101.446"/>
    <n v="102.221"/>
    <n v="101.8335"/>
    <n v="77.5"/>
  </r>
  <r>
    <x v="15"/>
    <x v="56"/>
    <x v="2"/>
    <m/>
    <n v="101.446"/>
    <n v="102.221"/>
    <n v="101.8335"/>
    <n v="77.5"/>
  </r>
  <r>
    <x v="15"/>
    <x v="56"/>
    <x v="2"/>
    <m/>
    <n v="101.446"/>
    <n v="102.221"/>
    <n v="101.8335"/>
    <n v="77.5"/>
  </r>
  <r>
    <x v="15"/>
    <x v="56"/>
    <x v="2"/>
    <m/>
    <n v="101.446"/>
    <n v="102.221"/>
    <n v="101.8335"/>
    <n v="77.5"/>
  </r>
  <r>
    <x v="15"/>
    <x v="57"/>
    <x v="4"/>
    <m/>
    <n v="94.075999999999993"/>
    <n v="95.418999999999997"/>
    <n v="94.747500000000002"/>
    <n v="134.30000000000001"/>
  </r>
  <r>
    <x v="15"/>
    <x v="57"/>
    <x v="4"/>
    <m/>
    <n v="94.075999999999993"/>
    <n v="95.418999999999997"/>
    <n v="94.747500000000002"/>
    <n v="134.30000000000001"/>
  </r>
  <r>
    <x v="15"/>
    <x v="57"/>
    <x v="4"/>
    <m/>
    <n v="94.075999999999993"/>
    <n v="95.418999999999997"/>
    <n v="94.747500000000002"/>
    <n v="134.30000000000001"/>
  </r>
  <r>
    <x v="15"/>
    <x v="57"/>
    <x v="4"/>
    <m/>
    <n v="94.075999999999993"/>
    <n v="95.418999999999997"/>
    <n v="94.747500000000002"/>
    <n v="134.30000000000001"/>
  </r>
  <r>
    <x v="15"/>
    <x v="57"/>
    <x v="4"/>
    <m/>
    <n v="94.075999999999993"/>
    <n v="95.418999999999997"/>
    <n v="94.747500000000002"/>
    <n v="134.30000000000001"/>
  </r>
  <r>
    <x v="15"/>
    <x v="57"/>
    <x v="4"/>
    <m/>
    <n v="94.075999999999993"/>
    <n v="95.418999999999997"/>
    <n v="94.747500000000002"/>
    <n v="134.30000000000001"/>
  </r>
  <r>
    <x v="15"/>
    <x v="57"/>
    <x v="4"/>
    <m/>
    <n v="94.075999999999993"/>
    <n v="95.418999999999997"/>
    <n v="94.747500000000002"/>
    <n v="134.30000000000001"/>
  </r>
  <r>
    <x v="15"/>
    <x v="57"/>
    <x v="4"/>
    <m/>
    <n v="94.075999999999993"/>
    <n v="95.418999999999997"/>
    <n v="94.747500000000002"/>
    <n v="134.30000000000001"/>
  </r>
  <r>
    <x v="15"/>
    <x v="57"/>
    <x v="4"/>
    <m/>
    <n v="94.075999999999993"/>
    <n v="95.418999999999997"/>
    <n v="94.747500000000002"/>
    <n v="134.30000000000001"/>
  </r>
  <r>
    <x v="15"/>
    <x v="57"/>
    <x v="4"/>
    <m/>
    <n v="94.075999999999993"/>
    <n v="95.418999999999997"/>
    <n v="94.747500000000002"/>
    <n v="134.30000000000001"/>
  </r>
  <r>
    <x v="15"/>
    <x v="57"/>
    <x v="4"/>
    <m/>
    <n v="94.075999999999993"/>
    <n v="95.418999999999997"/>
    <n v="94.747500000000002"/>
    <n v="134.30000000000001"/>
  </r>
  <r>
    <x v="15"/>
    <x v="57"/>
    <x v="4"/>
    <m/>
    <n v="94.075999999999993"/>
    <n v="95.418999999999997"/>
    <n v="94.747500000000002"/>
    <n v="134.30000000000001"/>
  </r>
  <r>
    <x v="15"/>
    <x v="57"/>
    <x v="4"/>
    <m/>
    <n v="94.075999999999993"/>
    <n v="95.418999999999997"/>
    <n v="94.747500000000002"/>
    <n v="134.30000000000001"/>
  </r>
  <r>
    <x v="15"/>
    <x v="57"/>
    <x v="4"/>
    <m/>
    <n v="94.075999999999993"/>
    <n v="95.418999999999997"/>
    <n v="94.747500000000002"/>
    <n v="134.30000000000001"/>
  </r>
  <r>
    <x v="15"/>
    <x v="57"/>
    <x v="4"/>
    <m/>
    <n v="94.075999999999993"/>
    <n v="95.418999999999997"/>
    <n v="94.747500000000002"/>
    <n v="134.30000000000001"/>
  </r>
  <r>
    <x v="15"/>
    <x v="57"/>
    <x v="4"/>
    <m/>
    <n v="94.075999999999993"/>
    <n v="95.418999999999997"/>
    <n v="94.747500000000002"/>
    <n v="134.30000000000001"/>
  </r>
  <r>
    <x v="15"/>
    <x v="57"/>
    <x v="3"/>
    <m/>
    <n v="1.3627100000000001"/>
    <n v="1.3871500000000001"/>
    <n v="1.37493"/>
    <n v="244.4"/>
  </r>
  <r>
    <x v="15"/>
    <x v="57"/>
    <x v="3"/>
    <m/>
    <n v="1.3627100000000001"/>
    <n v="1.3871500000000001"/>
    <n v="1.37493"/>
    <n v="244.4"/>
  </r>
  <r>
    <x v="15"/>
    <x v="57"/>
    <x v="3"/>
    <m/>
    <n v="1.3627100000000001"/>
    <n v="1.3871500000000001"/>
    <n v="1.37493"/>
    <n v="244.4"/>
  </r>
  <r>
    <x v="15"/>
    <x v="57"/>
    <x v="3"/>
    <m/>
    <n v="1.3627100000000001"/>
    <n v="1.3871500000000001"/>
    <n v="1.37493"/>
    <n v="244.4"/>
  </r>
  <r>
    <x v="15"/>
    <x v="57"/>
    <x v="3"/>
    <m/>
    <n v="1.3627100000000001"/>
    <n v="1.3871500000000001"/>
    <n v="1.37493"/>
    <n v="244.4"/>
  </r>
  <r>
    <x v="15"/>
    <x v="57"/>
    <x v="3"/>
    <m/>
    <n v="1.3627100000000001"/>
    <n v="1.3871500000000001"/>
    <n v="1.37493"/>
    <n v="244.4"/>
  </r>
  <r>
    <x v="15"/>
    <x v="57"/>
    <x v="3"/>
    <m/>
    <n v="1.3627100000000001"/>
    <n v="1.3871500000000001"/>
    <n v="1.37493"/>
    <n v="244.4"/>
  </r>
  <r>
    <x v="15"/>
    <x v="57"/>
    <x v="3"/>
    <m/>
    <n v="1.3627100000000001"/>
    <n v="1.3871500000000001"/>
    <n v="1.37493"/>
    <n v="244.4"/>
  </r>
  <r>
    <x v="15"/>
    <x v="57"/>
    <x v="3"/>
    <m/>
    <n v="1.3627100000000001"/>
    <n v="1.3871500000000001"/>
    <n v="1.37493"/>
    <n v="244.4"/>
  </r>
  <r>
    <x v="15"/>
    <x v="57"/>
    <x v="3"/>
    <m/>
    <n v="1.3627100000000001"/>
    <n v="1.3871500000000001"/>
    <n v="1.37493"/>
    <n v="244.4"/>
  </r>
  <r>
    <x v="15"/>
    <x v="57"/>
    <x v="3"/>
    <m/>
    <n v="1.3627100000000001"/>
    <n v="1.3871500000000001"/>
    <n v="1.37493"/>
    <n v="244.4"/>
  </r>
  <r>
    <x v="15"/>
    <x v="57"/>
    <x v="3"/>
    <m/>
    <n v="1.3627100000000001"/>
    <n v="1.3871500000000001"/>
    <n v="1.37493"/>
    <n v="244.4"/>
  </r>
  <r>
    <x v="15"/>
    <x v="57"/>
    <x v="3"/>
    <m/>
    <n v="1.3627100000000001"/>
    <n v="1.3871500000000001"/>
    <n v="1.37493"/>
    <n v="244.4"/>
  </r>
  <r>
    <x v="15"/>
    <x v="57"/>
    <x v="3"/>
    <m/>
    <n v="1.3627100000000001"/>
    <n v="1.3871500000000001"/>
    <n v="1.37493"/>
    <n v="244.4"/>
  </r>
  <r>
    <x v="15"/>
    <x v="57"/>
    <x v="0"/>
    <m/>
    <n v="1.9461200000000001"/>
    <n v="1.972"/>
    <n v="1.95906"/>
    <n v="258.8"/>
  </r>
  <r>
    <x v="15"/>
    <x v="57"/>
    <x v="0"/>
    <m/>
    <n v="1.9461200000000001"/>
    <n v="1.972"/>
    <n v="1.95906"/>
    <n v="258.8"/>
  </r>
  <r>
    <x v="15"/>
    <x v="57"/>
    <x v="0"/>
    <m/>
    <n v="1.9461200000000001"/>
    <n v="1.972"/>
    <n v="1.95906"/>
    <n v="258.8"/>
  </r>
  <r>
    <x v="15"/>
    <x v="57"/>
    <x v="0"/>
    <m/>
    <n v="1.9461200000000001"/>
    <n v="1.972"/>
    <n v="1.95906"/>
    <n v="258.8"/>
  </r>
  <r>
    <x v="15"/>
    <x v="57"/>
    <x v="0"/>
    <m/>
    <n v="1.9461200000000001"/>
    <n v="1.972"/>
    <n v="1.95906"/>
    <n v="258.8"/>
  </r>
  <r>
    <x v="15"/>
    <x v="57"/>
    <x v="0"/>
    <m/>
    <n v="1.9461200000000001"/>
    <n v="1.972"/>
    <n v="1.95906"/>
    <n v="258.8"/>
  </r>
  <r>
    <x v="15"/>
    <x v="57"/>
    <x v="0"/>
    <m/>
    <n v="1.9461200000000001"/>
    <n v="1.972"/>
    <n v="1.95906"/>
    <n v="258.8"/>
  </r>
  <r>
    <x v="15"/>
    <x v="57"/>
    <x v="0"/>
    <m/>
    <n v="1.9461200000000001"/>
    <n v="1.972"/>
    <n v="1.95906"/>
    <n v="258.8"/>
  </r>
  <r>
    <x v="15"/>
    <x v="57"/>
    <x v="0"/>
    <m/>
    <n v="1.9461200000000001"/>
    <n v="1.972"/>
    <n v="1.95906"/>
    <n v="258.8"/>
  </r>
  <r>
    <x v="15"/>
    <x v="57"/>
    <x v="0"/>
    <m/>
    <n v="1.9461200000000001"/>
    <n v="1.972"/>
    <n v="1.95906"/>
    <n v="258.8"/>
  </r>
  <r>
    <x v="15"/>
    <x v="57"/>
    <x v="0"/>
    <m/>
    <n v="1.9461200000000001"/>
    <n v="1.972"/>
    <n v="1.95906"/>
    <n v="258.8"/>
  </r>
  <r>
    <x v="15"/>
    <x v="57"/>
    <x v="0"/>
    <m/>
    <n v="1.9461200000000001"/>
    <n v="1.972"/>
    <n v="1.95906"/>
    <n v="258.8"/>
  </r>
  <r>
    <x v="15"/>
    <x v="57"/>
    <x v="0"/>
    <m/>
    <n v="1.9461200000000001"/>
    <n v="1.972"/>
    <n v="1.95906"/>
    <n v="258.8"/>
  </r>
  <r>
    <x v="15"/>
    <x v="57"/>
    <x v="0"/>
    <m/>
    <n v="1.9461200000000001"/>
    <n v="1.972"/>
    <n v="1.95906"/>
    <n v="258.8"/>
  </r>
  <r>
    <x v="15"/>
    <x v="57"/>
    <x v="2"/>
    <m/>
    <n v="101.446"/>
    <n v="102.221"/>
    <n v="101.8335"/>
    <n v="77.5"/>
  </r>
  <r>
    <x v="15"/>
    <x v="57"/>
    <x v="2"/>
    <m/>
    <n v="101.446"/>
    <n v="102.221"/>
    <n v="101.8335"/>
    <n v="77.5"/>
  </r>
  <r>
    <x v="15"/>
    <x v="57"/>
    <x v="2"/>
    <m/>
    <n v="101.446"/>
    <n v="102.221"/>
    <n v="101.8335"/>
    <n v="77.5"/>
  </r>
  <r>
    <x v="15"/>
    <x v="57"/>
    <x v="2"/>
    <m/>
    <n v="101.446"/>
    <n v="102.221"/>
    <n v="101.8335"/>
    <n v="77.5"/>
  </r>
  <r>
    <x v="15"/>
    <x v="57"/>
    <x v="2"/>
    <m/>
    <n v="101.446"/>
    <n v="102.221"/>
    <n v="101.8335"/>
    <n v="77.5"/>
  </r>
  <r>
    <x v="15"/>
    <x v="57"/>
    <x v="2"/>
    <m/>
    <n v="101.446"/>
    <n v="102.221"/>
    <n v="101.8335"/>
    <n v="77.5"/>
  </r>
  <r>
    <x v="15"/>
    <x v="57"/>
    <x v="2"/>
    <m/>
    <n v="101.446"/>
    <n v="102.221"/>
    <n v="101.8335"/>
    <n v="77.5"/>
  </r>
  <r>
    <x v="15"/>
    <x v="57"/>
    <x v="2"/>
    <m/>
    <n v="101.446"/>
    <n v="102.221"/>
    <n v="101.8335"/>
    <n v="77.5"/>
  </r>
  <r>
    <x v="15"/>
    <x v="57"/>
    <x v="2"/>
    <m/>
    <n v="101.446"/>
    <n v="102.221"/>
    <n v="101.8335"/>
    <n v="77.5"/>
  </r>
  <r>
    <x v="15"/>
    <x v="57"/>
    <x v="2"/>
    <m/>
    <n v="101.446"/>
    <n v="102.221"/>
    <n v="101.8335"/>
    <n v="77.5"/>
  </r>
  <r>
    <x v="15"/>
    <x v="57"/>
    <x v="2"/>
    <m/>
    <n v="101.446"/>
    <n v="102.221"/>
    <n v="101.8335"/>
    <n v="77.5"/>
  </r>
  <r>
    <x v="15"/>
    <x v="57"/>
    <x v="2"/>
    <m/>
    <n v="101.446"/>
    <n v="102.221"/>
    <n v="101.8335"/>
    <n v="77.5"/>
  </r>
  <r>
    <x v="15"/>
    <x v="58"/>
    <x v="4"/>
    <m/>
    <n v="94.075999999999993"/>
    <n v="95.418999999999997"/>
    <n v="94.747500000000002"/>
    <n v="134.30000000000001"/>
  </r>
  <r>
    <x v="15"/>
    <x v="58"/>
    <x v="4"/>
    <m/>
    <n v="94.075999999999993"/>
    <n v="95.418999999999997"/>
    <n v="94.747500000000002"/>
    <n v="134.30000000000001"/>
  </r>
  <r>
    <x v="15"/>
    <x v="58"/>
    <x v="4"/>
    <m/>
    <n v="94.075999999999993"/>
    <n v="95.418999999999997"/>
    <n v="94.747500000000002"/>
    <n v="134.30000000000001"/>
  </r>
  <r>
    <x v="15"/>
    <x v="58"/>
    <x v="4"/>
    <m/>
    <n v="94.075999999999993"/>
    <n v="95.418999999999997"/>
    <n v="94.747500000000002"/>
    <n v="134.30000000000001"/>
  </r>
  <r>
    <x v="15"/>
    <x v="58"/>
    <x v="4"/>
    <m/>
    <n v="94.075999999999993"/>
    <n v="95.418999999999997"/>
    <n v="94.747500000000002"/>
    <n v="134.30000000000001"/>
  </r>
  <r>
    <x v="15"/>
    <x v="58"/>
    <x v="4"/>
    <m/>
    <n v="94.075999999999993"/>
    <n v="95.418999999999997"/>
    <n v="94.747500000000002"/>
    <n v="134.30000000000001"/>
  </r>
  <r>
    <x v="15"/>
    <x v="58"/>
    <x v="4"/>
    <m/>
    <n v="94.075999999999993"/>
    <n v="95.418999999999997"/>
    <n v="94.747500000000002"/>
    <n v="134.30000000000001"/>
  </r>
  <r>
    <x v="15"/>
    <x v="58"/>
    <x v="4"/>
    <m/>
    <n v="94.075999999999993"/>
    <n v="95.418999999999997"/>
    <n v="94.747500000000002"/>
    <n v="134.30000000000001"/>
  </r>
  <r>
    <x v="15"/>
    <x v="58"/>
    <x v="4"/>
    <m/>
    <n v="94.075999999999993"/>
    <n v="95.418999999999997"/>
    <n v="94.747500000000002"/>
    <n v="134.30000000000001"/>
  </r>
  <r>
    <x v="15"/>
    <x v="58"/>
    <x v="4"/>
    <m/>
    <n v="94.075999999999993"/>
    <n v="95.418999999999997"/>
    <n v="94.747500000000002"/>
    <n v="134.30000000000001"/>
  </r>
  <r>
    <x v="15"/>
    <x v="58"/>
    <x v="4"/>
    <m/>
    <n v="94.075999999999993"/>
    <n v="95.418999999999997"/>
    <n v="94.747500000000002"/>
    <n v="134.30000000000001"/>
  </r>
  <r>
    <x v="15"/>
    <x v="58"/>
    <x v="4"/>
    <m/>
    <n v="94.075999999999993"/>
    <n v="95.418999999999997"/>
    <n v="94.747500000000002"/>
    <n v="134.30000000000001"/>
  </r>
  <r>
    <x v="15"/>
    <x v="58"/>
    <x v="4"/>
    <m/>
    <n v="94.075999999999993"/>
    <n v="95.418999999999997"/>
    <n v="94.747500000000002"/>
    <n v="134.30000000000001"/>
  </r>
  <r>
    <x v="15"/>
    <x v="58"/>
    <x v="4"/>
    <m/>
    <n v="94.075999999999993"/>
    <n v="95.418999999999997"/>
    <n v="94.747500000000002"/>
    <n v="134.30000000000001"/>
  </r>
  <r>
    <x v="15"/>
    <x v="58"/>
    <x v="4"/>
    <m/>
    <n v="94.075999999999993"/>
    <n v="95.418999999999997"/>
    <n v="94.747500000000002"/>
    <n v="134.30000000000001"/>
  </r>
  <r>
    <x v="15"/>
    <x v="58"/>
    <x v="4"/>
    <m/>
    <n v="94.075999999999993"/>
    <n v="95.418999999999997"/>
    <n v="94.747500000000002"/>
    <n v="134.30000000000001"/>
  </r>
  <r>
    <x v="15"/>
    <x v="58"/>
    <x v="3"/>
    <m/>
    <n v="1.3627100000000001"/>
    <n v="1.3871500000000001"/>
    <n v="1.37493"/>
    <n v="244.4"/>
  </r>
  <r>
    <x v="15"/>
    <x v="58"/>
    <x v="3"/>
    <m/>
    <n v="1.3627100000000001"/>
    <n v="1.3871500000000001"/>
    <n v="1.37493"/>
    <n v="244.4"/>
  </r>
  <r>
    <x v="15"/>
    <x v="58"/>
    <x v="3"/>
    <m/>
    <n v="1.3627100000000001"/>
    <n v="1.3871500000000001"/>
    <n v="1.37493"/>
    <n v="244.4"/>
  </r>
  <r>
    <x v="15"/>
    <x v="58"/>
    <x v="3"/>
    <m/>
    <n v="1.3627100000000001"/>
    <n v="1.3871500000000001"/>
    <n v="1.37493"/>
    <n v="244.4"/>
  </r>
  <r>
    <x v="15"/>
    <x v="58"/>
    <x v="3"/>
    <m/>
    <n v="1.3627100000000001"/>
    <n v="1.3871500000000001"/>
    <n v="1.37493"/>
    <n v="244.4"/>
  </r>
  <r>
    <x v="15"/>
    <x v="58"/>
    <x v="3"/>
    <m/>
    <n v="1.3627100000000001"/>
    <n v="1.3871500000000001"/>
    <n v="1.37493"/>
    <n v="244.4"/>
  </r>
  <r>
    <x v="15"/>
    <x v="58"/>
    <x v="3"/>
    <m/>
    <n v="1.3627100000000001"/>
    <n v="1.3871500000000001"/>
    <n v="1.37493"/>
    <n v="244.4"/>
  </r>
  <r>
    <x v="15"/>
    <x v="58"/>
    <x v="3"/>
    <m/>
    <n v="1.3627100000000001"/>
    <n v="1.3871500000000001"/>
    <n v="1.37493"/>
    <n v="244.4"/>
  </r>
  <r>
    <x v="15"/>
    <x v="58"/>
    <x v="3"/>
    <m/>
    <n v="1.3627100000000001"/>
    <n v="1.3871500000000001"/>
    <n v="1.37493"/>
    <n v="244.4"/>
  </r>
  <r>
    <x v="15"/>
    <x v="58"/>
    <x v="3"/>
    <m/>
    <n v="1.3627100000000001"/>
    <n v="1.3871500000000001"/>
    <n v="1.37493"/>
    <n v="244.4"/>
  </r>
  <r>
    <x v="15"/>
    <x v="58"/>
    <x v="3"/>
    <m/>
    <n v="1.3627100000000001"/>
    <n v="1.3871500000000001"/>
    <n v="1.37493"/>
    <n v="244.4"/>
  </r>
  <r>
    <x v="15"/>
    <x v="58"/>
    <x v="3"/>
    <m/>
    <n v="1.3627100000000001"/>
    <n v="1.3871500000000001"/>
    <n v="1.37493"/>
    <n v="244.4"/>
  </r>
  <r>
    <x v="15"/>
    <x v="58"/>
    <x v="3"/>
    <m/>
    <n v="1.3627100000000001"/>
    <n v="1.3871500000000001"/>
    <n v="1.37493"/>
    <n v="244.4"/>
  </r>
  <r>
    <x v="15"/>
    <x v="58"/>
    <x v="3"/>
    <m/>
    <n v="1.3627100000000001"/>
    <n v="1.3871500000000001"/>
    <n v="1.37493"/>
    <n v="244.4"/>
  </r>
  <r>
    <x v="15"/>
    <x v="58"/>
    <x v="0"/>
    <m/>
    <n v="1.9461200000000001"/>
    <n v="1.9726999999999999"/>
    <n v="1.9594100000000001"/>
    <n v="265.8"/>
  </r>
  <r>
    <x v="15"/>
    <x v="58"/>
    <x v="0"/>
    <m/>
    <n v="1.9461200000000001"/>
    <n v="1.9726999999999999"/>
    <n v="1.9594100000000001"/>
    <n v="265.8"/>
  </r>
  <r>
    <x v="15"/>
    <x v="58"/>
    <x v="0"/>
    <m/>
    <n v="1.9461200000000001"/>
    <n v="1.9726999999999999"/>
    <n v="1.9594100000000001"/>
    <n v="265.8"/>
  </r>
  <r>
    <x v="15"/>
    <x v="58"/>
    <x v="0"/>
    <m/>
    <n v="1.9461200000000001"/>
    <n v="1.9726999999999999"/>
    <n v="1.9594100000000001"/>
    <n v="265.8"/>
  </r>
  <r>
    <x v="15"/>
    <x v="58"/>
    <x v="0"/>
    <m/>
    <n v="1.9461200000000001"/>
    <n v="1.9726999999999999"/>
    <n v="1.9594100000000001"/>
    <n v="265.8"/>
  </r>
  <r>
    <x v="15"/>
    <x v="58"/>
    <x v="0"/>
    <m/>
    <n v="1.9461200000000001"/>
    <n v="1.9726999999999999"/>
    <n v="1.9594100000000001"/>
    <n v="265.8"/>
  </r>
  <r>
    <x v="15"/>
    <x v="58"/>
    <x v="0"/>
    <m/>
    <n v="1.9461200000000001"/>
    <n v="1.9726999999999999"/>
    <n v="1.9594100000000001"/>
    <n v="265.8"/>
  </r>
  <r>
    <x v="15"/>
    <x v="58"/>
    <x v="0"/>
    <m/>
    <n v="1.9461200000000001"/>
    <n v="1.9726999999999999"/>
    <n v="1.9594100000000001"/>
    <n v="265.8"/>
  </r>
  <r>
    <x v="15"/>
    <x v="58"/>
    <x v="0"/>
    <m/>
    <n v="1.9461200000000001"/>
    <n v="1.9726999999999999"/>
    <n v="1.9594100000000001"/>
    <n v="265.8"/>
  </r>
  <r>
    <x v="15"/>
    <x v="58"/>
    <x v="0"/>
    <m/>
    <n v="1.9461200000000001"/>
    <n v="1.9726999999999999"/>
    <n v="1.9594100000000001"/>
    <n v="265.8"/>
  </r>
  <r>
    <x v="15"/>
    <x v="58"/>
    <x v="0"/>
    <m/>
    <n v="1.9461200000000001"/>
    <n v="1.9726999999999999"/>
    <n v="1.9594100000000001"/>
    <n v="265.8"/>
  </r>
  <r>
    <x v="15"/>
    <x v="58"/>
    <x v="0"/>
    <m/>
    <n v="1.9461200000000001"/>
    <n v="1.9726999999999999"/>
    <n v="1.9594100000000001"/>
    <n v="265.8"/>
  </r>
  <r>
    <x v="15"/>
    <x v="58"/>
    <x v="0"/>
    <m/>
    <n v="1.9461200000000001"/>
    <n v="1.9726999999999999"/>
    <n v="1.9594100000000001"/>
    <n v="265.8"/>
  </r>
  <r>
    <x v="15"/>
    <x v="58"/>
    <x v="0"/>
    <m/>
    <n v="1.9461200000000001"/>
    <n v="1.9726999999999999"/>
    <n v="1.9594100000000001"/>
    <n v="265.8"/>
  </r>
  <r>
    <x v="15"/>
    <x v="58"/>
    <x v="0"/>
    <m/>
    <n v="1.9461200000000001"/>
    <n v="1.9726999999999999"/>
    <n v="1.9594100000000001"/>
    <n v="265.8"/>
  </r>
  <r>
    <x v="15"/>
    <x v="58"/>
    <x v="2"/>
    <m/>
    <n v="101.446"/>
    <n v="102.221"/>
    <n v="101.8335"/>
    <n v="77.5"/>
  </r>
  <r>
    <x v="15"/>
    <x v="58"/>
    <x v="2"/>
    <m/>
    <n v="101.446"/>
    <n v="102.221"/>
    <n v="101.8335"/>
    <n v="77.5"/>
  </r>
  <r>
    <x v="15"/>
    <x v="58"/>
    <x v="2"/>
    <m/>
    <n v="101.446"/>
    <n v="102.221"/>
    <n v="101.8335"/>
    <n v="77.5"/>
  </r>
  <r>
    <x v="15"/>
    <x v="58"/>
    <x v="2"/>
    <m/>
    <n v="101.446"/>
    <n v="102.221"/>
    <n v="101.8335"/>
    <n v="77.5"/>
  </r>
  <r>
    <x v="15"/>
    <x v="58"/>
    <x v="2"/>
    <m/>
    <n v="101.446"/>
    <n v="102.221"/>
    <n v="101.8335"/>
    <n v="77.5"/>
  </r>
  <r>
    <x v="15"/>
    <x v="58"/>
    <x v="2"/>
    <m/>
    <n v="101.446"/>
    <n v="102.221"/>
    <n v="101.8335"/>
    <n v="77.5"/>
  </r>
  <r>
    <x v="15"/>
    <x v="58"/>
    <x v="2"/>
    <m/>
    <n v="101.446"/>
    <n v="102.221"/>
    <n v="101.8335"/>
    <n v="77.5"/>
  </r>
  <r>
    <x v="15"/>
    <x v="58"/>
    <x v="2"/>
    <m/>
    <n v="101.446"/>
    <n v="102.221"/>
    <n v="101.8335"/>
    <n v="77.5"/>
  </r>
  <r>
    <x v="15"/>
    <x v="58"/>
    <x v="2"/>
    <m/>
    <n v="101.446"/>
    <n v="102.221"/>
    <n v="101.8335"/>
    <n v="77.5"/>
  </r>
  <r>
    <x v="15"/>
    <x v="58"/>
    <x v="2"/>
    <m/>
    <n v="101.446"/>
    <n v="102.221"/>
    <n v="101.8335"/>
    <n v="77.5"/>
  </r>
  <r>
    <x v="15"/>
    <x v="58"/>
    <x v="2"/>
    <m/>
    <n v="101.446"/>
    <n v="102.221"/>
    <n v="101.8335"/>
    <n v="77.5"/>
  </r>
  <r>
    <x v="15"/>
    <x v="58"/>
    <x v="2"/>
    <m/>
    <n v="101.446"/>
    <n v="102.221"/>
    <n v="101.8335"/>
    <n v="77.5"/>
  </r>
  <r>
    <x v="15"/>
    <x v="59"/>
    <x v="4"/>
    <m/>
    <n v="93.2"/>
    <n v="96"/>
    <n v="94.6"/>
    <n v="280"/>
  </r>
  <r>
    <x v="15"/>
    <x v="59"/>
    <x v="4"/>
    <m/>
    <n v="93.2"/>
    <n v="96"/>
    <n v="94.6"/>
    <n v="280"/>
  </r>
  <r>
    <x v="15"/>
    <x v="59"/>
    <x v="4"/>
    <m/>
    <n v="93.2"/>
    <n v="96"/>
    <n v="94.6"/>
    <n v="280"/>
  </r>
  <r>
    <x v="15"/>
    <x v="59"/>
    <x v="4"/>
    <m/>
    <n v="93.2"/>
    <n v="96"/>
    <n v="94.6"/>
    <n v="280"/>
  </r>
  <r>
    <x v="15"/>
    <x v="59"/>
    <x v="4"/>
    <m/>
    <n v="93.2"/>
    <n v="96"/>
    <n v="94.6"/>
    <n v="280"/>
  </r>
  <r>
    <x v="15"/>
    <x v="59"/>
    <x v="4"/>
    <m/>
    <n v="93.2"/>
    <n v="96"/>
    <n v="94.6"/>
    <n v="280"/>
  </r>
  <r>
    <x v="15"/>
    <x v="59"/>
    <x v="4"/>
    <m/>
    <n v="93.2"/>
    <n v="96"/>
    <n v="94.6"/>
    <n v="280"/>
  </r>
  <r>
    <x v="15"/>
    <x v="59"/>
    <x v="4"/>
    <m/>
    <n v="93.2"/>
    <n v="96"/>
    <n v="94.6"/>
    <n v="280"/>
  </r>
  <r>
    <x v="15"/>
    <x v="59"/>
    <x v="4"/>
    <m/>
    <n v="93.2"/>
    <n v="96"/>
    <n v="94.6"/>
    <n v="280"/>
  </r>
  <r>
    <x v="15"/>
    <x v="59"/>
    <x v="4"/>
    <m/>
    <n v="93.2"/>
    <n v="96"/>
    <n v="94.6"/>
    <n v="280"/>
  </r>
  <r>
    <x v="15"/>
    <x v="59"/>
    <x v="4"/>
    <m/>
    <n v="93.2"/>
    <n v="96"/>
    <n v="94.6"/>
    <n v="280"/>
  </r>
  <r>
    <x v="15"/>
    <x v="59"/>
    <x v="4"/>
    <m/>
    <n v="93.2"/>
    <n v="96"/>
    <n v="94.6"/>
    <n v="280"/>
  </r>
  <r>
    <x v="15"/>
    <x v="59"/>
    <x v="4"/>
    <m/>
    <n v="93.2"/>
    <n v="96"/>
    <n v="94.6"/>
    <n v="280"/>
  </r>
  <r>
    <x v="15"/>
    <x v="59"/>
    <x v="4"/>
    <m/>
    <n v="93.2"/>
    <n v="96"/>
    <n v="94.6"/>
    <n v="280"/>
  </r>
  <r>
    <x v="15"/>
    <x v="59"/>
    <x v="4"/>
    <m/>
    <n v="93.2"/>
    <n v="96"/>
    <n v="94.6"/>
    <n v="280"/>
  </r>
  <r>
    <x v="15"/>
    <x v="59"/>
    <x v="4"/>
    <m/>
    <n v="93.2"/>
    <n v="96"/>
    <n v="94.6"/>
    <n v="280"/>
  </r>
  <r>
    <x v="15"/>
    <x v="59"/>
    <x v="3"/>
    <m/>
    <n v="1.35198"/>
    <n v="1.3970800000000001"/>
    <n v="1.37453"/>
    <n v="451"/>
  </r>
  <r>
    <x v="15"/>
    <x v="59"/>
    <x v="3"/>
    <m/>
    <n v="1.35198"/>
    <n v="1.3970800000000001"/>
    <n v="1.37453"/>
    <n v="451"/>
  </r>
  <r>
    <x v="15"/>
    <x v="59"/>
    <x v="3"/>
    <m/>
    <n v="1.35198"/>
    <n v="1.3970800000000001"/>
    <n v="1.37453"/>
    <n v="451"/>
  </r>
  <r>
    <x v="15"/>
    <x v="59"/>
    <x v="3"/>
    <m/>
    <n v="1.35198"/>
    <n v="1.3970800000000001"/>
    <n v="1.37453"/>
    <n v="451"/>
  </r>
  <r>
    <x v="15"/>
    <x v="59"/>
    <x v="3"/>
    <m/>
    <n v="1.35198"/>
    <n v="1.3970800000000001"/>
    <n v="1.37453"/>
    <n v="451"/>
  </r>
  <r>
    <x v="15"/>
    <x v="59"/>
    <x v="3"/>
    <m/>
    <n v="1.35198"/>
    <n v="1.3970800000000001"/>
    <n v="1.37453"/>
    <n v="451"/>
  </r>
  <r>
    <x v="15"/>
    <x v="59"/>
    <x v="3"/>
    <m/>
    <n v="1.35198"/>
    <n v="1.3970800000000001"/>
    <n v="1.37453"/>
    <n v="451"/>
  </r>
  <r>
    <x v="15"/>
    <x v="59"/>
    <x v="3"/>
    <m/>
    <n v="1.35198"/>
    <n v="1.3970800000000001"/>
    <n v="1.37453"/>
    <n v="451"/>
  </r>
  <r>
    <x v="15"/>
    <x v="59"/>
    <x v="3"/>
    <m/>
    <n v="1.35198"/>
    <n v="1.3970800000000001"/>
    <n v="1.37453"/>
    <n v="451"/>
  </r>
  <r>
    <x v="15"/>
    <x v="59"/>
    <x v="3"/>
    <m/>
    <n v="1.35198"/>
    <n v="1.3970800000000001"/>
    <n v="1.37453"/>
    <n v="451"/>
  </r>
  <r>
    <x v="15"/>
    <x v="59"/>
    <x v="3"/>
    <m/>
    <n v="1.35198"/>
    <n v="1.3970800000000001"/>
    <n v="1.37453"/>
    <n v="451"/>
  </r>
  <r>
    <x v="15"/>
    <x v="59"/>
    <x v="3"/>
    <m/>
    <n v="1.35198"/>
    <n v="1.3970800000000001"/>
    <n v="1.37453"/>
    <n v="451"/>
  </r>
  <r>
    <x v="15"/>
    <x v="59"/>
    <x v="3"/>
    <m/>
    <n v="1.35198"/>
    <n v="1.3970800000000001"/>
    <n v="1.37453"/>
    <n v="451"/>
  </r>
  <r>
    <x v="15"/>
    <x v="59"/>
    <x v="3"/>
    <m/>
    <n v="1.35198"/>
    <n v="1.3970800000000001"/>
    <n v="1.37453"/>
    <n v="451"/>
  </r>
  <r>
    <x v="15"/>
    <x v="59"/>
    <x v="3"/>
    <m/>
    <n v="1.35198"/>
    <n v="1.3970800000000001"/>
    <n v="1.37453"/>
    <n v="451"/>
  </r>
  <r>
    <x v="15"/>
    <x v="59"/>
    <x v="3"/>
    <m/>
    <n v="1.35198"/>
    <n v="1.3970800000000001"/>
    <n v="1.37453"/>
    <n v="451"/>
  </r>
  <r>
    <x v="15"/>
    <x v="59"/>
    <x v="3"/>
    <m/>
    <n v="1.35198"/>
    <n v="1.3970800000000001"/>
    <n v="1.37453"/>
    <n v="451"/>
  </r>
  <r>
    <x v="15"/>
    <x v="59"/>
    <x v="0"/>
    <m/>
    <n v="1.93"/>
    <n v="1.99403"/>
    <n v="1.9620150000000001"/>
    <n v="640.29999999999995"/>
  </r>
  <r>
    <x v="15"/>
    <x v="59"/>
    <x v="0"/>
    <m/>
    <n v="1.93"/>
    <n v="1.99403"/>
    <n v="1.9620150000000001"/>
    <n v="640.29999999999995"/>
  </r>
  <r>
    <x v="15"/>
    <x v="59"/>
    <x v="0"/>
    <m/>
    <n v="1.93"/>
    <n v="1.99403"/>
    <n v="1.9620150000000001"/>
    <n v="640.29999999999995"/>
  </r>
  <r>
    <x v="15"/>
    <x v="59"/>
    <x v="0"/>
    <m/>
    <n v="1.93"/>
    <n v="1.99403"/>
    <n v="1.9620150000000001"/>
    <n v="640.29999999999995"/>
  </r>
  <r>
    <x v="15"/>
    <x v="59"/>
    <x v="0"/>
    <m/>
    <n v="1.93"/>
    <n v="1.99403"/>
    <n v="1.9620150000000001"/>
    <n v="640.29999999999995"/>
  </r>
  <r>
    <x v="15"/>
    <x v="59"/>
    <x v="0"/>
    <m/>
    <n v="1.93"/>
    <n v="1.99403"/>
    <n v="1.9620150000000001"/>
    <n v="640.29999999999995"/>
  </r>
  <r>
    <x v="15"/>
    <x v="59"/>
    <x v="0"/>
    <m/>
    <n v="1.93"/>
    <n v="1.99403"/>
    <n v="1.9620150000000001"/>
    <n v="640.29999999999995"/>
  </r>
  <r>
    <x v="15"/>
    <x v="59"/>
    <x v="0"/>
    <m/>
    <n v="1.93"/>
    <n v="1.99403"/>
    <n v="1.9620150000000001"/>
    <n v="640.29999999999995"/>
  </r>
  <r>
    <x v="15"/>
    <x v="59"/>
    <x v="0"/>
    <m/>
    <n v="1.93"/>
    <n v="1.99403"/>
    <n v="1.9620150000000001"/>
    <n v="640.29999999999995"/>
  </r>
  <r>
    <x v="15"/>
    <x v="59"/>
    <x v="0"/>
    <m/>
    <n v="1.93"/>
    <n v="1.99403"/>
    <n v="1.9620150000000001"/>
    <n v="640.29999999999995"/>
  </r>
  <r>
    <x v="15"/>
    <x v="59"/>
    <x v="0"/>
    <m/>
    <n v="1.93"/>
    <n v="1.99403"/>
    <n v="1.9620150000000001"/>
    <n v="640.29999999999995"/>
  </r>
  <r>
    <x v="15"/>
    <x v="59"/>
    <x v="0"/>
    <m/>
    <n v="1.93"/>
    <n v="1.99403"/>
    <n v="1.9620150000000001"/>
    <n v="640.29999999999995"/>
  </r>
  <r>
    <x v="15"/>
    <x v="59"/>
    <x v="0"/>
    <m/>
    <n v="1.93"/>
    <n v="1.99403"/>
    <n v="1.9620150000000001"/>
    <n v="640.29999999999995"/>
  </r>
  <r>
    <x v="15"/>
    <x v="59"/>
    <x v="0"/>
    <m/>
    <n v="1.93"/>
    <n v="1.99403"/>
    <n v="1.9620150000000001"/>
    <n v="640.29999999999995"/>
  </r>
  <r>
    <x v="15"/>
    <x v="59"/>
    <x v="0"/>
    <m/>
    <n v="1.93"/>
    <n v="1.99403"/>
    <n v="1.9620150000000001"/>
    <n v="640.29999999999995"/>
  </r>
  <r>
    <x v="15"/>
    <x v="59"/>
    <x v="0"/>
    <m/>
    <n v="1.93"/>
    <n v="1.99403"/>
    <n v="1.9620150000000001"/>
    <n v="640.29999999999995"/>
  </r>
  <r>
    <x v="15"/>
    <x v="59"/>
    <x v="0"/>
    <m/>
    <n v="1.93"/>
    <n v="1.99403"/>
    <n v="1.9620150000000001"/>
    <n v="640.29999999999995"/>
  </r>
  <r>
    <x v="15"/>
    <x v="59"/>
    <x v="0"/>
    <m/>
    <n v="1.93"/>
    <n v="1.99403"/>
    <n v="1.9620150000000001"/>
    <n v="640.29999999999995"/>
  </r>
  <r>
    <x v="15"/>
    <x v="59"/>
    <x v="2"/>
    <m/>
    <n v="101"/>
    <n v="103"/>
    <n v="102"/>
    <n v="200"/>
  </r>
  <r>
    <x v="15"/>
    <x v="59"/>
    <x v="2"/>
    <m/>
    <n v="101"/>
    <n v="103"/>
    <n v="102"/>
    <n v="200"/>
  </r>
  <r>
    <x v="15"/>
    <x v="59"/>
    <x v="2"/>
    <m/>
    <n v="101"/>
    <n v="103"/>
    <n v="102"/>
    <n v="200"/>
  </r>
  <r>
    <x v="15"/>
    <x v="59"/>
    <x v="2"/>
    <m/>
    <n v="101"/>
    <n v="103"/>
    <n v="102"/>
    <n v="200"/>
  </r>
  <r>
    <x v="15"/>
    <x v="59"/>
    <x v="2"/>
    <m/>
    <n v="101"/>
    <n v="103"/>
    <n v="102"/>
    <n v="200"/>
  </r>
  <r>
    <x v="15"/>
    <x v="59"/>
    <x v="2"/>
    <m/>
    <n v="101"/>
    <n v="103"/>
    <n v="102"/>
    <n v="200"/>
  </r>
  <r>
    <x v="15"/>
    <x v="59"/>
    <x v="2"/>
    <m/>
    <n v="101"/>
    <n v="103"/>
    <n v="102"/>
    <n v="200"/>
  </r>
  <r>
    <x v="15"/>
    <x v="59"/>
    <x v="2"/>
    <m/>
    <n v="101"/>
    <n v="103"/>
    <n v="102"/>
    <n v="200"/>
  </r>
  <r>
    <x v="15"/>
    <x v="59"/>
    <x v="2"/>
    <m/>
    <n v="101"/>
    <n v="103"/>
    <n v="102"/>
    <n v="200"/>
  </r>
  <r>
    <x v="15"/>
    <x v="59"/>
    <x v="2"/>
    <m/>
    <n v="101"/>
    <n v="103"/>
    <n v="102"/>
    <n v="200"/>
  </r>
  <r>
    <x v="15"/>
    <x v="59"/>
    <x v="2"/>
    <m/>
    <n v="101"/>
    <n v="103"/>
    <n v="102"/>
    <n v="200"/>
  </r>
  <r>
    <x v="15"/>
    <x v="59"/>
    <x v="2"/>
    <m/>
    <n v="101"/>
    <n v="103"/>
    <n v="102"/>
    <n v="200"/>
  </r>
  <r>
    <x v="15"/>
    <x v="25"/>
    <x v="4"/>
    <m/>
    <n v="93.2"/>
    <n v="96"/>
    <n v="94.6"/>
    <n v="280"/>
  </r>
  <r>
    <x v="15"/>
    <x v="25"/>
    <x v="4"/>
    <m/>
    <n v="93.2"/>
    <n v="96"/>
    <n v="94.6"/>
    <n v="280"/>
  </r>
  <r>
    <x v="15"/>
    <x v="25"/>
    <x v="4"/>
    <m/>
    <n v="93.2"/>
    <n v="96"/>
    <n v="94.6"/>
    <n v="280"/>
  </r>
  <r>
    <x v="15"/>
    <x v="25"/>
    <x v="4"/>
    <m/>
    <n v="93.2"/>
    <n v="96"/>
    <n v="94.6"/>
    <n v="280"/>
  </r>
  <r>
    <x v="15"/>
    <x v="25"/>
    <x v="4"/>
    <m/>
    <n v="93.2"/>
    <n v="96"/>
    <n v="94.6"/>
    <n v="280"/>
  </r>
  <r>
    <x v="15"/>
    <x v="25"/>
    <x v="4"/>
    <m/>
    <n v="93.2"/>
    <n v="96"/>
    <n v="94.6"/>
    <n v="280"/>
  </r>
  <r>
    <x v="15"/>
    <x v="25"/>
    <x v="4"/>
    <m/>
    <n v="93.2"/>
    <n v="96"/>
    <n v="94.6"/>
    <n v="280"/>
  </r>
  <r>
    <x v="15"/>
    <x v="25"/>
    <x v="4"/>
    <m/>
    <n v="93.2"/>
    <n v="96"/>
    <n v="94.6"/>
    <n v="280"/>
  </r>
  <r>
    <x v="15"/>
    <x v="25"/>
    <x v="4"/>
    <m/>
    <n v="93.2"/>
    <n v="96"/>
    <n v="94.6"/>
    <n v="280"/>
  </r>
  <r>
    <x v="15"/>
    <x v="25"/>
    <x v="4"/>
    <m/>
    <n v="93.2"/>
    <n v="96"/>
    <n v="94.6"/>
    <n v="280"/>
  </r>
  <r>
    <x v="15"/>
    <x v="25"/>
    <x v="4"/>
    <m/>
    <n v="93.2"/>
    <n v="96"/>
    <n v="94.6"/>
    <n v="280"/>
  </r>
  <r>
    <x v="15"/>
    <x v="25"/>
    <x v="4"/>
    <m/>
    <n v="93.2"/>
    <n v="96"/>
    <n v="94.6"/>
    <n v="280"/>
  </r>
  <r>
    <x v="15"/>
    <x v="25"/>
    <x v="4"/>
    <m/>
    <n v="93.2"/>
    <n v="96"/>
    <n v="94.6"/>
    <n v="280"/>
  </r>
  <r>
    <x v="15"/>
    <x v="25"/>
    <x v="4"/>
    <m/>
    <n v="93.2"/>
    <n v="96"/>
    <n v="94.6"/>
    <n v="280"/>
  </r>
  <r>
    <x v="15"/>
    <x v="25"/>
    <x v="4"/>
    <m/>
    <n v="93.2"/>
    <n v="96"/>
    <n v="94.6"/>
    <n v="280"/>
  </r>
  <r>
    <x v="15"/>
    <x v="25"/>
    <x v="4"/>
    <m/>
    <n v="93.2"/>
    <n v="96"/>
    <n v="94.6"/>
    <n v="280"/>
  </r>
  <r>
    <x v="15"/>
    <x v="25"/>
    <x v="3"/>
    <m/>
    <n v="1.35198"/>
    <n v="1.3970800000000001"/>
    <n v="1.37453"/>
    <n v="451"/>
  </r>
  <r>
    <x v="15"/>
    <x v="25"/>
    <x v="3"/>
    <m/>
    <n v="1.35198"/>
    <n v="1.3970800000000001"/>
    <n v="1.37453"/>
    <n v="451"/>
  </r>
  <r>
    <x v="15"/>
    <x v="25"/>
    <x v="3"/>
    <m/>
    <n v="1.35198"/>
    <n v="1.3970800000000001"/>
    <n v="1.37453"/>
    <n v="451"/>
  </r>
  <r>
    <x v="15"/>
    <x v="25"/>
    <x v="3"/>
    <m/>
    <n v="1.35198"/>
    <n v="1.3970800000000001"/>
    <n v="1.37453"/>
    <n v="451"/>
  </r>
  <r>
    <x v="15"/>
    <x v="25"/>
    <x v="3"/>
    <m/>
    <n v="1.35198"/>
    <n v="1.3970800000000001"/>
    <n v="1.37453"/>
    <n v="451"/>
  </r>
  <r>
    <x v="15"/>
    <x v="25"/>
    <x v="3"/>
    <m/>
    <n v="1.35198"/>
    <n v="1.3970800000000001"/>
    <n v="1.37453"/>
    <n v="451"/>
  </r>
  <r>
    <x v="15"/>
    <x v="25"/>
    <x v="3"/>
    <m/>
    <n v="1.35198"/>
    <n v="1.3970800000000001"/>
    <n v="1.37453"/>
    <n v="451"/>
  </r>
  <r>
    <x v="15"/>
    <x v="25"/>
    <x v="3"/>
    <m/>
    <n v="1.35198"/>
    <n v="1.3970800000000001"/>
    <n v="1.37453"/>
    <n v="451"/>
  </r>
  <r>
    <x v="15"/>
    <x v="25"/>
    <x v="3"/>
    <m/>
    <n v="1.35198"/>
    <n v="1.3970800000000001"/>
    <n v="1.37453"/>
    <n v="451"/>
  </r>
  <r>
    <x v="15"/>
    <x v="25"/>
    <x v="3"/>
    <m/>
    <n v="1.35198"/>
    <n v="1.3970800000000001"/>
    <n v="1.37453"/>
    <n v="451"/>
  </r>
  <r>
    <x v="15"/>
    <x v="25"/>
    <x v="3"/>
    <m/>
    <n v="1.35198"/>
    <n v="1.3970800000000001"/>
    <n v="1.37453"/>
    <n v="451"/>
  </r>
  <r>
    <x v="15"/>
    <x v="25"/>
    <x v="3"/>
    <m/>
    <n v="1.35198"/>
    <n v="1.3970800000000001"/>
    <n v="1.37453"/>
    <n v="451"/>
  </r>
  <r>
    <x v="15"/>
    <x v="25"/>
    <x v="3"/>
    <m/>
    <n v="1.35198"/>
    <n v="1.3970800000000001"/>
    <n v="1.37453"/>
    <n v="451"/>
  </r>
  <r>
    <x v="15"/>
    <x v="25"/>
    <x v="3"/>
    <m/>
    <n v="1.35198"/>
    <n v="1.3970800000000001"/>
    <n v="1.37453"/>
    <n v="451"/>
  </r>
  <r>
    <x v="15"/>
    <x v="25"/>
    <x v="3"/>
    <m/>
    <n v="1.35198"/>
    <n v="1.3970800000000001"/>
    <n v="1.37453"/>
    <n v="451"/>
  </r>
  <r>
    <x v="15"/>
    <x v="25"/>
    <x v="3"/>
    <m/>
    <n v="1.35198"/>
    <n v="1.3970800000000001"/>
    <n v="1.37453"/>
    <n v="451"/>
  </r>
  <r>
    <x v="15"/>
    <x v="25"/>
    <x v="3"/>
    <m/>
    <n v="1.35198"/>
    <n v="1.3970800000000001"/>
    <n v="1.37453"/>
    <n v="451"/>
  </r>
  <r>
    <x v="15"/>
    <x v="25"/>
    <x v="0"/>
    <m/>
    <n v="1.93"/>
    <n v="1.99403"/>
    <n v="1.9620150000000001"/>
    <n v="640.29999999999995"/>
  </r>
  <r>
    <x v="15"/>
    <x v="25"/>
    <x v="0"/>
    <m/>
    <n v="1.93"/>
    <n v="1.99403"/>
    <n v="1.9620150000000001"/>
    <n v="640.29999999999995"/>
  </r>
  <r>
    <x v="15"/>
    <x v="25"/>
    <x v="0"/>
    <m/>
    <n v="1.93"/>
    <n v="1.99403"/>
    <n v="1.9620150000000001"/>
    <n v="640.29999999999995"/>
  </r>
  <r>
    <x v="15"/>
    <x v="25"/>
    <x v="0"/>
    <m/>
    <n v="1.93"/>
    <n v="1.99403"/>
    <n v="1.9620150000000001"/>
    <n v="640.29999999999995"/>
  </r>
  <r>
    <x v="15"/>
    <x v="25"/>
    <x v="0"/>
    <m/>
    <n v="1.93"/>
    <n v="1.99403"/>
    <n v="1.9620150000000001"/>
    <n v="640.29999999999995"/>
  </r>
  <r>
    <x v="15"/>
    <x v="25"/>
    <x v="0"/>
    <m/>
    <n v="1.93"/>
    <n v="1.99403"/>
    <n v="1.9620150000000001"/>
    <n v="640.29999999999995"/>
  </r>
  <r>
    <x v="15"/>
    <x v="25"/>
    <x v="0"/>
    <m/>
    <n v="1.93"/>
    <n v="1.99403"/>
    <n v="1.9620150000000001"/>
    <n v="640.29999999999995"/>
  </r>
  <r>
    <x v="15"/>
    <x v="25"/>
    <x v="0"/>
    <m/>
    <n v="1.93"/>
    <n v="1.99403"/>
    <n v="1.9620150000000001"/>
    <n v="640.29999999999995"/>
  </r>
  <r>
    <x v="15"/>
    <x v="25"/>
    <x v="0"/>
    <m/>
    <n v="1.93"/>
    <n v="1.99403"/>
    <n v="1.9620150000000001"/>
    <n v="640.29999999999995"/>
  </r>
  <r>
    <x v="15"/>
    <x v="25"/>
    <x v="0"/>
    <m/>
    <n v="1.93"/>
    <n v="1.99403"/>
    <n v="1.9620150000000001"/>
    <n v="640.29999999999995"/>
  </r>
  <r>
    <x v="15"/>
    <x v="25"/>
    <x v="0"/>
    <m/>
    <n v="1.93"/>
    <n v="1.99403"/>
    <n v="1.9620150000000001"/>
    <n v="640.29999999999995"/>
  </r>
  <r>
    <x v="15"/>
    <x v="25"/>
    <x v="0"/>
    <m/>
    <n v="1.93"/>
    <n v="1.99403"/>
    <n v="1.9620150000000001"/>
    <n v="640.29999999999995"/>
  </r>
  <r>
    <x v="15"/>
    <x v="25"/>
    <x v="0"/>
    <m/>
    <n v="1.93"/>
    <n v="1.99403"/>
    <n v="1.9620150000000001"/>
    <n v="640.29999999999995"/>
  </r>
  <r>
    <x v="15"/>
    <x v="25"/>
    <x v="0"/>
    <m/>
    <n v="1.93"/>
    <n v="1.99403"/>
    <n v="1.9620150000000001"/>
    <n v="640.29999999999995"/>
  </r>
  <r>
    <x v="15"/>
    <x v="25"/>
    <x v="0"/>
    <m/>
    <n v="1.93"/>
    <n v="1.99403"/>
    <n v="1.9620150000000001"/>
    <n v="640.29999999999995"/>
  </r>
  <r>
    <x v="15"/>
    <x v="25"/>
    <x v="0"/>
    <m/>
    <n v="1.93"/>
    <n v="1.99403"/>
    <n v="1.9620150000000001"/>
    <n v="640.29999999999995"/>
  </r>
  <r>
    <x v="15"/>
    <x v="25"/>
    <x v="0"/>
    <m/>
    <n v="1.93"/>
    <n v="1.99403"/>
    <n v="1.9620150000000001"/>
    <n v="640.29999999999995"/>
  </r>
  <r>
    <x v="15"/>
    <x v="25"/>
    <x v="0"/>
    <m/>
    <n v="1.93"/>
    <n v="1.99403"/>
    <n v="1.9620150000000001"/>
    <n v="640.29999999999995"/>
  </r>
  <r>
    <x v="15"/>
    <x v="25"/>
    <x v="0"/>
    <m/>
    <n v="1.93"/>
    <n v="1.99403"/>
    <n v="1.9620150000000001"/>
    <n v="640.29999999999995"/>
  </r>
  <r>
    <x v="15"/>
    <x v="25"/>
    <x v="2"/>
    <m/>
    <n v="101"/>
    <n v="103"/>
    <n v="102"/>
    <n v="200"/>
  </r>
  <r>
    <x v="15"/>
    <x v="25"/>
    <x v="2"/>
    <m/>
    <n v="101"/>
    <n v="103"/>
    <n v="102"/>
    <n v="200"/>
  </r>
  <r>
    <x v="15"/>
    <x v="25"/>
    <x v="2"/>
    <m/>
    <n v="101"/>
    <n v="103"/>
    <n v="102"/>
    <n v="200"/>
  </r>
  <r>
    <x v="15"/>
    <x v="25"/>
    <x v="2"/>
    <m/>
    <n v="101"/>
    <n v="103"/>
    <n v="102"/>
    <n v="200"/>
  </r>
  <r>
    <x v="15"/>
    <x v="25"/>
    <x v="2"/>
    <m/>
    <n v="101"/>
    <n v="103"/>
    <n v="102"/>
    <n v="200"/>
  </r>
  <r>
    <x v="15"/>
    <x v="25"/>
    <x v="2"/>
    <m/>
    <n v="101"/>
    <n v="103"/>
    <n v="102"/>
    <n v="200"/>
  </r>
  <r>
    <x v="15"/>
    <x v="25"/>
    <x v="2"/>
    <m/>
    <n v="101"/>
    <n v="103"/>
    <n v="102"/>
    <n v="200"/>
  </r>
  <r>
    <x v="15"/>
    <x v="25"/>
    <x v="2"/>
    <m/>
    <n v="101"/>
    <n v="103"/>
    <n v="102"/>
    <n v="200"/>
  </r>
  <r>
    <x v="15"/>
    <x v="25"/>
    <x v="2"/>
    <m/>
    <n v="101"/>
    <n v="103"/>
    <n v="102"/>
    <n v="200"/>
  </r>
  <r>
    <x v="15"/>
    <x v="25"/>
    <x v="2"/>
    <m/>
    <n v="101"/>
    <n v="103"/>
    <n v="102"/>
    <n v="200"/>
  </r>
  <r>
    <x v="15"/>
    <x v="25"/>
    <x v="2"/>
    <m/>
    <n v="101"/>
    <n v="103"/>
    <n v="102"/>
    <n v="200"/>
  </r>
  <r>
    <x v="15"/>
    <x v="25"/>
    <x v="2"/>
    <m/>
    <n v="101"/>
    <n v="103"/>
    <n v="102"/>
    <n v="200"/>
  </r>
  <r>
    <x v="15"/>
    <x v="60"/>
    <x v="4"/>
    <n v="95.798000000000002"/>
    <n v="93.2"/>
    <n v="96"/>
    <n v="94.6"/>
    <n v="280"/>
  </r>
  <r>
    <x v="15"/>
    <x v="60"/>
    <x v="4"/>
    <n v="95.798000000000002"/>
    <n v="93.2"/>
    <n v="96"/>
    <n v="94.6"/>
    <n v="280"/>
  </r>
  <r>
    <x v="15"/>
    <x v="60"/>
    <x v="4"/>
    <n v="95.798000000000002"/>
    <n v="93.2"/>
    <n v="96"/>
    <n v="94.6"/>
    <n v="280"/>
  </r>
  <r>
    <x v="15"/>
    <x v="60"/>
    <x v="4"/>
    <n v="95.798000000000002"/>
    <n v="93.2"/>
    <n v="96"/>
    <n v="94.6"/>
    <n v="280"/>
  </r>
  <r>
    <x v="15"/>
    <x v="60"/>
    <x v="4"/>
    <n v="95.798000000000002"/>
    <n v="93.2"/>
    <n v="96"/>
    <n v="94.6"/>
    <n v="280"/>
  </r>
  <r>
    <x v="15"/>
    <x v="60"/>
    <x v="4"/>
    <n v="95.798000000000002"/>
    <n v="93.2"/>
    <n v="96"/>
    <n v="94.6"/>
    <n v="280"/>
  </r>
  <r>
    <x v="15"/>
    <x v="60"/>
    <x v="4"/>
    <n v="95.798000000000002"/>
    <n v="93.2"/>
    <n v="96"/>
    <n v="94.6"/>
    <n v="280"/>
  </r>
  <r>
    <x v="15"/>
    <x v="60"/>
    <x v="4"/>
    <n v="95.798000000000002"/>
    <n v="93.2"/>
    <n v="96"/>
    <n v="94.6"/>
    <n v="280"/>
  </r>
  <r>
    <x v="15"/>
    <x v="60"/>
    <x v="4"/>
    <n v="95.798000000000002"/>
    <n v="93.2"/>
    <n v="96"/>
    <n v="94.6"/>
    <n v="280"/>
  </r>
  <r>
    <x v="15"/>
    <x v="60"/>
    <x v="4"/>
    <n v="95.798000000000002"/>
    <n v="93.2"/>
    <n v="96"/>
    <n v="94.6"/>
    <n v="280"/>
  </r>
  <r>
    <x v="15"/>
    <x v="60"/>
    <x v="4"/>
    <n v="95.798000000000002"/>
    <n v="93.2"/>
    <n v="96"/>
    <n v="94.6"/>
    <n v="280"/>
  </r>
  <r>
    <x v="15"/>
    <x v="60"/>
    <x v="4"/>
    <n v="95.798000000000002"/>
    <n v="93.2"/>
    <n v="96"/>
    <n v="94.6"/>
    <n v="280"/>
  </r>
  <r>
    <x v="15"/>
    <x v="60"/>
    <x v="4"/>
    <n v="95.798000000000002"/>
    <n v="93.2"/>
    <n v="96"/>
    <n v="94.6"/>
    <n v="280"/>
  </r>
  <r>
    <x v="15"/>
    <x v="60"/>
    <x v="4"/>
    <n v="95.798000000000002"/>
    <n v="93.2"/>
    <n v="96"/>
    <n v="94.6"/>
    <n v="280"/>
  </r>
  <r>
    <x v="15"/>
    <x v="60"/>
    <x v="4"/>
    <n v="95.798000000000002"/>
    <n v="93.2"/>
    <n v="96"/>
    <n v="94.6"/>
    <n v="280"/>
  </r>
  <r>
    <x v="15"/>
    <x v="60"/>
    <x v="4"/>
    <n v="95.798000000000002"/>
    <n v="93.2"/>
    <n v="96"/>
    <n v="94.6"/>
    <n v="280"/>
  </r>
  <r>
    <x v="15"/>
    <x v="60"/>
    <x v="3"/>
    <n v="1.35991"/>
    <n v="1.35198"/>
    <n v="1.3970800000000001"/>
    <n v="1.37453"/>
    <n v="451"/>
  </r>
  <r>
    <x v="15"/>
    <x v="60"/>
    <x v="3"/>
    <n v="1.35991"/>
    <n v="1.35198"/>
    <n v="1.3970800000000001"/>
    <n v="1.37453"/>
    <n v="451"/>
  </r>
  <r>
    <x v="15"/>
    <x v="60"/>
    <x v="3"/>
    <n v="1.35991"/>
    <n v="1.35198"/>
    <n v="1.3970800000000001"/>
    <n v="1.37453"/>
    <n v="451"/>
  </r>
  <r>
    <x v="15"/>
    <x v="60"/>
    <x v="3"/>
    <n v="1.35991"/>
    <n v="1.35198"/>
    <n v="1.3970800000000001"/>
    <n v="1.37453"/>
    <n v="451"/>
  </r>
  <r>
    <x v="15"/>
    <x v="60"/>
    <x v="3"/>
    <n v="1.35991"/>
    <n v="1.35198"/>
    <n v="1.3970800000000001"/>
    <n v="1.37453"/>
    <n v="451"/>
  </r>
  <r>
    <x v="15"/>
    <x v="60"/>
    <x v="3"/>
    <n v="1.35991"/>
    <n v="1.35198"/>
    <n v="1.3970800000000001"/>
    <n v="1.37453"/>
    <n v="451"/>
  </r>
  <r>
    <x v="15"/>
    <x v="60"/>
    <x v="3"/>
    <n v="1.35991"/>
    <n v="1.35198"/>
    <n v="1.3970800000000001"/>
    <n v="1.37453"/>
    <n v="451"/>
  </r>
  <r>
    <x v="15"/>
    <x v="60"/>
    <x v="3"/>
    <n v="1.35991"/>
    <n v="1.35198"/>
    <n v="1.3970800000000001"/>
    <n v="1.37453"/>
    <n v="451"/>
  </r>
  <r>
    <x v="15"/>
    <x v="60"/>
    <x v="3"/>
    <n v="1.35991"/>
    <n v="1.35198"/>
    <n v="1.3970800000000001"/>
    <n v="1.37453"/>
    <n v="451"/>
  </r>
  <r>
    <x v="15"/>
    <x v="60"/>
    <x v="3"/>
    <n v="1.35991"/>
    <n v="1.35198"/>
    <n v="1.3970800000000001"/>
    <n v="1.37453"/>
    <n v="451"/>
  </r>
  <r>
    <x v="15"/>
    <x v="60"/>
    <x v="3"/>
    <n v="1.35991"/>
    <n v="1.35198"/>
    <n v="1.3970800000000001"/>
    <n v="1.37453"/>
    <n v="451"/>
  </r>
  <r>
    <x v="15"/>
    <x v="60"/>
    <x v="3"/>
    <n v="1.35991"/>
    <n v="1.35198"/>
    <n v="1.3970800000000001"/>
    <n v="1.37453"/>
    <n v="451"/>
  </r>
  <r>
    <x v="15"/>
    <x v="60"/>
    <x v="3"/>
    <n v="1.35991"/>
    <n v="1.35198"/>
    <n v="1.3970800000000001"/>
    <n v="1.37453"/>
    <n v="451"/>
  </r>
  <r>
    <x v="15"/>
    <x v="60"/>
    <x v="3"/>
    <n v="1.35991"/>
    <n v="1.35198"/>
    <n v="1.3970800000000001"/>
    <n v="1.37453"/>
    <n v="451"/>
  </r>
  <r>
    <x v="15"/>
    <x v="60"/>
    <x v="3"/>
    <n v="1.35991"/>
    <n v="1.35198"/>
    <n v="1.3970800000000001"/>
    <n v="1.37453"/>
    <n v="451"/>
  </r>
  <r>
    <x v="15"/>
    <x v="60"/>
    <x v="3"/>
    <n v="1.35991"/>
    <n v="1.35198"/>
    <n v="1.3970800000000001"/>
    <n v="1.37453"/>
    <n v="451"/>
  </r>
  <r>
    <x v="15"/>
    <x v="60"/>
    <x v="3"/>
    <n v="1.35991"/>
    <n v="1.35198"/>
    <n v="1.3970800000000001"/>
    <n v="1.37453"/>
    <n v="451"/>
  </r>
  <r>
    <x v="15"/>
    <x v="60"/>
    <x v="0"/>
    <n v="1.9552499999999999"/>
    <n v="1.93"/>
    <n v="1.99403"/>
    <n v="1.9620150000000001"/>
    <n v="640.29999999999995"/>
  </r>
  <r>
    <x v="15"/>
    <x v="60"/>
    <x v="0"/>
    <n v="1.9552499999999999"/>
    <n v="1.93"/>
    <n v="1.99403"/>
    <n v="1.9620150000000001"/>
    <n v="640.29999999999995"/>
  </r>
  <r>
    <x v="15"/>
    <x v="60"/>
    <x v="0"/>
    <n v="1.9552499999999999"/>
    <n v="1.93"/>
    <n v="1.99403"/>
    <n v="1.9620150000000001"/>
    <n v="640.29999999999995"/>
  </r>
  <r>
    <x v="15"/>
    <x v="60"/>
    <x v="0"/>
    <n v="1.9552499999999999"/>
    <n v="1.93"/>
    <n v="1.99403"/>
    <n v="1.9620150000000001"/>
    <n v="640.29999999999995"/>
  </r>
  <r>
    <x v="15"/>
    <x v="60"/>
    <x v="0"/>
    <n v="1.9552499999999999"/>
    <n v="1.93"/>
    <n v="1.99403"/>
    <n v="1.9620150000000001"/>
    <n v="640.29999999999995"/>
  </r>
  <r>
    <x v="15"/>
    <x v="60"/>
    <x v="0"/>
    <n v="1.9552499999999999"/>
    <n v="1.93"/>
    <n v="1.99403"/>
    <n v="1.9620150000000001"/>
    <n v="640.29999999999995"/>
  </r>
  <r>
    <x v="15"/>
    <x v="60"/>
    <x v="0"/>
    <n v="1.9552499999999999"/>
    <n v="1.93"/>
    <n v="1.99403"/>
    <n v="1.9620150000000001"/>
    <n v="640.29999999999995"/>
  </r>
  <r>
    <x v="15"/>
    <x v="60"/>
    <x v="0"/>
    <n v="1.9552499999999999"/>
    <n v="1.93"/>
    <n v="1.99403"/>
    <n v="1.9620150000000001"/>
    <n v="640.29999999999995"/>
  </r>
  <r>
    <x v="15"/>
    <x v="60"/>
    <x v="0"/>
    <n v="1.9552499999999999"/>
    <n v="1.93"/>
    <n v="1.99403"/>
    <n v="1.9620150000000001"/>
    <n v="640.29999999999995"/>
  </r>
  <r>
    <x v="15"/>
    <x v="60"/>
    <x v="0"/>
    <n v="1.9552499999999999"/>
    <n v="1.93"/>
    <n v="1.99403"/>
    <n v="1.9620150000000001"/>
    <n v="640.29999999999995"/>
  </r>
  <r>
    <x v="15"/>
    <x v="60"/>
    <x v="0"/>
    <n v="1.9552499999999999"/>
    <n v="1.93"/>
    <n v="1.99403"/>
    <n v="1.9620150000000001"/>
    <n v="640.29999999999995"/>
  </r>
  <r>
    <x v="15"/>
    <x v="60"/>
    <x v="0"/>
    <n v="1.9552499999999999"/>
    <n v="1.93"/>
    <n v="1.99403"/>
    <n v="1.9620150000000001"/>
    <n v="640.29999999999995"/>
  </r>
  <r>
    <x v="15"/>
    <x v="60"/>
    <x v="0"/>
    <n v="1.9552499999999999"/>
    <n v="1.93"/>
    <n v="1.99403"/>
    <n v="1.9620150000000001"/>
    <n v="640.29999999999995"/>
  </r>
  <r>
    <x v="15"/>
    <x v="60"/>
    <x v="0"/>
    <n v="1.9552499999999999"/>
    <n v="1.93"/>
    <n v="1.99403"/>
    <n v="1.9620150000000001"/>
    <n v="640.29999999999995"/>
  </r>
  <r>
    <x v="15"/>
    <x v="60"/>
    <x v="0"/>
    <n v="1.9552499999999999"/>
    <n v="1.93"/>
    <n v="1.99403"/>
    <n v="1.9620150000000001"/>
    <n v="640.29999999999995"/>
  </r>
  <r>
    <x v="15"/>
    <x v="60"/>
    <x v="0"/>
    <n v="1.9552499999999999"/>
    <n v="1.93"/>
    <n v="1.99403"/>
    <n v="1.9620150000000001"/>
    <n v="640.29999999999995"/>
  </r>
  <r>
    <x v="15"/>
    <x v="60"/>
    <x v="0"/>
    <n v="1.9552499999999999"/>
    <n v="1.93"/>
    <n v="1.99403"/>
    <n v="1.9620150000000001"/>
    <n v="640.29999999999995"/>
  </r>
  <r>
    <x v="15"/>
    <x v="60"/>
    <x v="0"/>
    <n v="1.9552499999999999"/>
    <n v="1.93"/>
    <n v="1.99403"/>
    <n v="1.9620150000000001"/>
    <n v="640.29999999999995"/>
  </r>
  <r>
    <x v="15"/>
    <x v="60"/>
    <x v="0"/>
    <n v="1.9552499999999999"/>
    <n v="1.93"/>
    <n v="1.99403"/>
    <n v="1.9620150000000001"/>
    <n v="640.29999999999995"/>
  </r>
  <r>
    <x v="15"/>
    <x v="60"/>
    <x v="0"/>
    <n v="1.9552499999999999"/>
    <n v="1.93"/>
    <n v="1.99403"/>
    <n v="1.9620150000000001"/>
    <n v="640.29999999999995"/>
  </r>
  <r>
    <x v="15"/>
    <x v="60"/>
    <x v="2"/>
    <n v="102.06399999999999"/>
    <n v="101"/>
    <n v="103"/>
    <n v="102"/>
    <n v="200"/>
  </r>
  <r>
    <x v="15"/>
    <x v="60"/>
    <x v="2"/>
    <n v="102.06399999999999"/>
    <n v="101"/>
    <n v="103"/>
    <n v="102"/>
    <n v="200"/>
  </r>
  <r>
    <x v="15"/>
    <x v="60"/>
    <x v="2"/>
    <n v="102.06399999999999"/>
    <n v="101"/>
    <n v="103"/>
    <n v="102"/>
    <n v="200"/>
  </r>
  <r>
    <x v="15"/>
    <x v="60"/>
    <x v="2"/>
    <n v="102.06399999999999"/>
    <n v="101"/>
    <n v="103"/>
    <n v="102"/>
    <n v="200"/>
  </r>
  <r>
    <x v="15"/>
    <x v="60"/>
    <x v="2"/>
    <n v="102.06399999999999"/>
    <n v="101"/>
    <n v="103"/>
    <n v="102"/>
    <n v="200"/>
  </r>
  <r>
    <x v="15"/>
    <x v="60"/>
    <x v="2"/>
    <n v="102.06399999999999"/>
    <n v="101"/>
    <n v="103"/>
    <n v="102"/>
    <n v="200"/>
  </r>
  <r>
    <x v="15"/>
    <x v="60"/>
    <x v="2"/>
    <n v="102.06399999999999"/>
    <n v="101"/>
    <n v="103"/>
    <n v="102"/>
    <n v="200"/>
  </r>
  <r>
    <x v="15"/>
    <x v="60"/>
    <x v="2"/>
    <n v="102.06399999999999"/>
    <n v="101"/>
    <n v="103"/>
    <n v="102"/>
    <n v="200"/>
  </r>
  <r>
    <x v="15"/>
    <x v="60"/>
    <x v="2"/>
    <n v="102.06399999999999"/>
    <n v="101"/>
    <n v="103"/>
    <n v="102"/>
    <n v="200"/>
  </r>
  <r>
    <x v="15"/>
    <x v="60"/>
    <x v="2"/>
    <n v="102.06399999999999"/>
    <n v="101"/>
    <n v="103"/>
    <n v="102"/>
    <n v="200"/>
  </r>
  <r>
    <x v="15"/>
    <x v="60"/>
    <x v="2"/>
    <n v="102.06399999999999"/>
    <n v="101"/>
    <n v="103"/>
    <n v="102"/>
    <n v="200"/>
  </r>
  <r>
    <x v="15"/>
    <x v="60"/>
    <x v="2"/>
    <n v="102.06399999999999"/>
    <n v="101"/>
    <n v="103"/>
    <n v="102"/>
    <n v="200"/>
  </r>
  <r>
    <x v="15"/>
    <x v="26"/>
    <x v="2"/>
    <n v="101.334"/>
    <n v="101"/>
    <n v="103"/>
    <n v="102"/>
    <n v="200"/>
  </r>
  <r>
    <x v="15"/>
    <x v="26"/>
    <x v="2"/>
    <n v="101.334"/>
    <n v="101"/>
    <n v="103"/>
    <n v="102"/>
    <n v="200"/>
  </r>
  <r>
    <x v="15"/>
    <x v="26"/>
    <x v="4"/>
    <n v="95.546000000000006"/>
    <n v="93.2"/>
    <n v="96.275999999999996"/>
    <n v="94.738"/>
    <n v="307.60000000000002"/>
  </r>
  <r>
    <x v="15"/>
    <x v="26"/>
    <x v="4"/>
    <n v="95.546000000000006"/>
    <n v="93.2"/>
    <n v="96.275999999999996"/>
    <n v="94.738"/>
    <n v="307.60000000000002"/>
  </r>
  <r>
    <x v="15"/>
    <x v="26"/>
    <x v="4"/>
    <n v="95.546000000000006"/>
    <n v="93.2"/>
    <n v="96.275999999999996"/>
    <n v="94.738"/>
    <n v="307.60000000000002"/>
  </r>
  <r>
    <x v="15"/>
    <x v="26"/>
    <x v="4"/>
    <n v="95.546000000000006"/>
    <n v="93.2"/>
    <n v="96.275999999999996"/>
    <n v="94.738"/>
    <n v="307.60000000000002"/>
  </r>
  <r>
    <x v="15"/>
    <x v="26"/>
    <x v="4"/>
    <n v="95.546000000000006"/>
    <n v="93.2"/>
    <n v="96.275999999999996"/>
    <n v="94.738"/>
    <n v="307.60000000000002"/>
  </r>
  <r>
    <x v="15"/>
    <x v="26"/>
    <x v="4"/>
    <n v="95.546000000000006"/>
    <n v="93.2"/>
    <n v="96.275999999999996"/>
    <n v="94.738"/>
    <n v="307.60000000000002"/>
  </r>
  <r>
    <x v="15"/>
    <x v="26"/>
    <x v="4"/>
    <n v="95.546000000000006"/>
    <n v="93.2"/>
    <n v="96.275999999999996"/>
    <n v="94.738"/>
    <n v="307.60000000000002"/>
  </r>
  <r>
    <x v="15"/>
    <x v="26"/>
    <x v="4"/>
    <n v="95.546000000000006"/>
    <n v="93.2"/>
    <n v="96.275999999999996"/>
    <n v="94.738"/>
    <n v="307.60000000000002"/>
  </r>
  <r>
    <x v="15"/>
    <x v="26"/>
    <x v="4"/>
    <n v="95.546000000000006"/>
    <n v="93.2"/>
    <n v="96.275999999999996"/>
    <n v="94.738"/>
    <n v="307.60000000000002"/>
  </r>
  <r>
    <x v="15"/>
    <x v="26"/>
    <x v="4"/>
    <n v="95.546000000000006"/>
    <n v="93.2"/>
    <n v="96.275999999999996"/>
    <n v="94.738"/>
    <n v="307.60000000000002"/>
  </r>
  <r>
    <x v="15"/>
    <x v="26"/>
    <x v="4"/>
    <n v="95.546000000000006"/>
    <n v="93.2"/>
    <n v="96.275999999999996"/>
    <n v="94.738"/>
    <n v="307.60000000000002"/>
  </r>
  <r>
    <x v="15"/>
    <x v="26"/>
    <x v="4"/>
    <n v="95.546000000000006"/>
    <n v="93.2"/>
    <n v="96.275999999999996"/>
    <n v="94.738"/>
    <n v="307.60000000000002"/>
  </r>
  <r>
    <x v="15"/>
    <x v="26"/>
    <x v="4"/>
    <n v="95.546000000000006"/>
    <n v="93.2"/>
    <n v="96.275999999999996"/>
    <n v="94.738"/>
    <n v="307.60000000000002"/>
  </r>
  <r>
    <x v="15"/>
    <x v="26"/>
    <x v="4"/>
    <n v="95.546000000000006"/>
    <n v="93.2"/>
    <n v="96.275999999999996"/>
    <n v="94.738"/>
    <n v="307.60000000000002"/>
  </r>
  <r>
    <x v="15"/>
    <x v="26"/>
    <x v="4"/>
    <n v="95.546000000000006"/>
    <n v="93.2"/>
    <n v="96.275999999999996"/>
    <n v="94.738"/>
    <n v="307.60000000000002"/>
  </r>
  <r>
    <x v="15"/>
    <x v="26"/>
    <x v="4"/>
    <n v="95.546000000000006"/>
    <n v="93.2"/>
    <n v="96.275999999999996"/>
    <n v="94.738"/>
    <n v="307.60000000000002"/>
  </r>
  <r>
    <x v="15"/>
    <x v="26"/>
    <x v="4"/>
    <n v="95.546000000000006"/>
    <n v="93.2"/>
    <n v="96.275999999999996"/>
    <n v="94.738"/>
    <n v="307.60000000000002"/>
  </r>
  <r>
    <x v="15"/>
    <x v="26"/>
    <x v="4"/>
    <n v="95.546000000000006"/>
    <n v="93.2"/>
    <n v="96.275999999999996"/>
    <n v="94.738"/>
    <n v="307.60000000000002"/>
  </r>
  <r>
    <x v="15"/>
    <x v="26"/>
    <x v="3"/>
    <n v="1.36459"/>
    <n v="1.35198"/>
    <n v="1.3970800000000001"/>
    <n v="1.37453"/>
    <n v="451"/>
  </r>
  <r>
    <x v="15"/>
    <x v="26"/>
    <x v="3"/>
    <n v="1.36459"/>
    <n v="1.35198"/>
    <n v="1.3970800000000001"/>
    <n v="1.37453"/>
    <n v="451"/>
  </r>
  <r>
    <x v="15"/>
    <x v="26"/>
    <x v="3"/>
    <n v="1.36459"/>
    <n v="1.35198"/>
    <n v="1.3970800000000001"/>
    <n v="1.37453"/>
    <n v="451"/>
  </r>
  <r>
    <x v="15"/>
    <x v="26"/>
    <x v="3"/>
    <n v="1.36459"/>
    <n v="1.35198"/>
    <n v="1.3970800000000001"/>
    <n v="1.37453"/>
    <n v="451"/>
  </r>
  <r>
    <x v="15"/>
    <x v="26"/>
    <x v="3"/>
    <n v="1.36459"/>
    <n v="1.35198"/>
    <n v="1.3970800000000001"/>
    <n v="1.37453"/>
    <n v="451"/>
  </r>
  <r>
    <x v="15"/>
    <x v="26"/>
    <x v="3"/>
    <n v="1.36459"/>
    <n v="1.35198"/>
    <n v="1.3970800000000001"/>
    <n v="1.37453"/>
    <n v="451"/>
  </r>
  <r>
    <x v="15"/>
    <x v="26"/>
    <x v="3"/>
    <n v="1.36459"/>
    <n v="1.35198"/>
    <n v="1.3970800000000001"/>
    <n v="1.37453"/>
    <n v="451"/>
  </r>
  <r>
    <x v="15"/>
    <x v="26"/>
    <x v="3"/>
    <n v="1.36459"/>
    <n v="1.35198"/>
    <n v="1.3970800000000001"/>
    <n v="1.37453"/>
    <n v="451"/>
  </r>
  <r>
    <x v="15"/>
    <x v="26"/>
    <x v="3"/>
    <n v="1.36459"/>
    <n v="1.35198"/>
    <n v="1.3970800000000001"/>
    <n v="1.37453"/>
    <n v="451"/>
  </r>
  <r>
    <x v="15"/>
    <x v="26"/>
    <x v="3"/>
    <n v="1.36459"/>
    <n v="1.35198"/>
    <n v="1.3970800000000001"/>
    <n v="1.37453"/>
    <n v="451"/>
  </r>
  <r>
    <x v="15"/>
    <x v="26"/>
    <x v="3"/>
    <n v="1.36459"/>
    <n v="1.35198"/>
    <n v="1.3970800000000001"/>
    <n v="1.37453"/>
    <n v="451"/>
  </r>
  <r>
    <x v="15"/>
    <x v="26"/>
    <x v="3"/>
    <n v="1.36459"/>
    <n v="1.35198"/>
    <n v="1.3970800000000001"/>
    <n v="1.37453"/>
    <n v="451"/>
  </r>
  <r>
    <x v="15"/>
    <x v="26"/>
    <x v="3"/>
    <n v="1.36459"/>
    <n v="1.35198"/>
    <n v="1.3970800000000001"/>
    <n v="1.37453"/>
    <n v="451"/>
  </r>
  <r>
    <x v="15"/>
    <x v="26"/>
    <x v="3"/>
    <n v="1.36459"/>
    <n v="1.35198"/>
    <n v="1.3970800000000001"/>
    <n v="1.37453"/>
    <n v="451"/>
  </r>
  <r>
    <x v="15"/>
    <x v="26"/>
    <x v="3"/>
    <n v="1.36459"/>
    <n v="1.35198"/>
    <n v="1.3970800000000001"/>
    <n v="1.37453"/>
    <n v="451"/>
  </r>
  <r>
    <x v="15"/>
    <x v="26"/>
    <x v="3"/>
    <n v="1.36459"/>
    <n v="1.35198"/>
    <n v="1.3970800000000001"/>
    <n v="1.37453"/>
    <n v="451"/>
  </r>
  <r>
    <x v="15"/>
    <x v="26"/>
    <x v="3"/>
    <n v="1.36459"/>
    <n v="1.35198"/>
    <n v="1.3970800000000001"/>
    <n v="1.37453"/>
    <n v="451"/>
  </r>
  <r>
    <x v="15"/>
    <x v="26"/>
    <x v="0"/>
    <n v="1.93953"/>
    <n v="1.93"/>
    <n v="1.99403"/>
    <n v="1.9620150000000001"/>
    <n v="640.29999999999995"/>
  </r>
  <r>
    <x v="15"/>
    <x v="26"/>
    <x v="0"/>
    <n v="1.93953"/>
    <n v="1.93"/>
    <n v="1.99403"/>
    <n v="1.9620150000000001"/>
    <n v="640.29999999999995"/>
  </r>
  <r>
    <x v="15"/>
    <x v="26"/>
    <x v="0"/>
    <n v="1.93953"/>
    <n v="1.93"/>
    <n v="1.99403"/>
    <n v="1.9620150000000001"/>
    <n v="640.29999999999995"/>
  </r>
  <r>
    <x v="15"/>
    <x v="26"/>
    <x v="0"/>
    <n v="1.93953"/>
    <n v="1.93"/>
    <n v="1.99403"/>
    <n v="1.9620150000000001"/>
    <n v="640.29999999999995"/>
  </r>
  <r>
    <x v="15"/>
    <x v="26"/>
    <x v="0"/>
    <n v="1.93953"/>
    <n v="1.93"/>
    <n v="1.99403"/>
    <n v="1.9620150000000001"/>
    <n v="640.29999999999995"/>
  </r>
  <r>
    <x v="15"/>
    <x v="26"/>
    <x v="0"/>
    <n v="1.93953"/>
    <n v="1.93"/>
    <n v="1.99403"/>
    <n v="1.9620150000000001"/>
    <n v="640.29999999999995"/>
  </r>
  <r>
    <x v="15"/>
    <x v="26"/>
    <x v="0"/>
    <n v="1.93953"/>
    <n v="1.93"/>
    <n v="1.99403"/>
    <n v="1.9620150000000001"/>
    <n v="640.29999999999995"/>
  </r>
  <r>
    <x v="15"/>
    <x v="26"/>
    <x v="0"/>
    <n v="1.93953"/>
    <n v="1.93"/>
    <n v="1.99403"/>
    <n v="1.9620150000000001"/>
    <n v="640.29999999999995"/>
  </r>
  <r>
    <x v="15"/>
    <x v="26"/>
    <x v="0"/>
    <n v="1.93953"/>
    <n v="1.93"/>
    <n v="1.99403"/>
    <n v="1.9620150000000001"/>
    <n v="640.29999999999995"/>
  </r>
  <r>
    <x v="15"/>
    <x v="26"/>
    <x v="0"/>
    <n v="1.93953"/>
    <n v="1.93"/>
    <n v="1.99403"/>
    <n v="1.9620150000000001"/>
    <n v="640.29999999999995"/>
  </r>
  <r>
    <x v="15"/>
    <x v="26"/>
    <x v="0"/>
    <n v="1.93953"/>
    <n v="1.93"/>
    <n v="1.99403"/>
    <n v="1.9620150000000001"/>
    <n v="640.29999999999995"/>
  </r>
  <r>
    <x v="15"/>
    <x v="26"/>
    <x v="0"/>
    <n v="1.93953"/>
    <n v="1.93"/>
    <n v="1.99403"/>
    <n v="1.9620150000000001"/>
    <n v="640.29999999999995"/>
  </r>
  <r>
    <x v="15"/>
    <x v="26"/>
    <x v="0"/>
    <n v="1.93953"/>
    <n v="1.93"/>
    <n v="1.99403"/>
    <n v="1.9620150000000001"/>
    <n v="640.29999999999995"/>
  </r>
  <r>
    <x v="15"/>
    <x v="26"/>
    <x v="0"/>
    <n v="1.93953"/>
    <n v="1.93"/>
    <n v="1.99403"/>
    <n v="1.9620150000000001"/>
    <n v="640.29999999999995"/>
  </r>
  <r>
    <x v="15"/>
    <x v="26"/>
    <x v="0"/>
    <n v="1.93953"/>
    <n v="1.93"/>
    <n v="1.99403"/>
    <n v="1.9620150000000001"/>
    <n v="640.29999999999995"/>
  </r>
  <r>
    <x v="15"/>
    <x v="26"/>
    <x v="0"/>
    <n v="1.93953"/>
    <n v="1.93"/>
    <n v="1.99403"/>
    <n v="1.9620150000000001"/>
    <n v="640.29999999999995"/>
  </r>
  <r>
    <x v="15"/>
    <x v="26"/>
    <x v="0"/>
    <n v="1.93953"/>
    <n v="1.93"/>
    <n v="1.99403"/>
    <n v="1.9620150000000001"/>
    <n v="640.29999999999995"/>
  </r>
  <r>
    <x v="15"/>
    <x v="26"/>
    <x v="0"/>
    <n v="1.93953"/>
    <n v="1.93"/>
    <n v="1.99403"/>
    <n v="1.9620150000000001"/>
    <n v="640.29999999999995"/>
  </r>
  <r>
    <x v="15"/>
    <x v="26"/>
    <x v="0"/>
    <n v="1.93953"/>
    <n v="1.93"/>
    <n v="1.99403"/>
    <n v="1.9620150000000001"/>
    <n v="640.29999999999995"/>
  </r>
  <r>
    <x v="15"/>
    <x v="26"/>
    <x v="2"/>
    <n v="101.334"/>
    <n v="101"/>
    <n v="103"/>
    <n v="102"/>
    <n v="200"/>
  </r>
  <r>
    <x v="15"/>
    <x v="26"/>
    <x v="2"/>
    <n v="101.334"/>
    <n v="101"/>
    <n v="103"/>
    <n v="102"/>
    <n v="200"/>
  </r>
  <r>
    <x v="15"/>
    <x v="26"/>
    <x v="2"/>
    <n v="101.334"/>
    <n v="101"/>
    <n v="103"/>
    <n v="102"/>
    <n v="200"/>
  </r>
  <r>
    <x v="15"/>
    <x v="26"/>
    <x v="2"/>
    <n v="101.334"/>
    <n v="101"/>
    <n v="103"/>
    <n v="102"/>
    <n v="200"/>
  </r>
  <r>
    <x v="15"/>
    <x v="26"/>
    <x v="2"/>
    <n v="101.334"/>
    <n v="101"/>
    <n v="103"/>
    <n v="102"/>
    <n v="200"/>
  </r>
  <r>
    <x v="15"/>
    <x v="26"/>
    <x v="2"/>
    <n v="101.334"/>
    <n v="101"/>
    <n v="103"/>
    <n v="102"/>
    <n v="200"/>
  </r>
  <r>
    <x v="15"/>
    <x v="26"/>
    <x v="2"/>
    <n v="101.334"/>
    <n v="101"/>
    <n v="103"/>
    <n v="102"/>
    <n v="200"/>
  </r>
  <r>
    <x v="15"/>
    <x v="26"/>
    <x v="2"/>
    <n v="101.334"/>
    <n v="101"/>
    <n v="103"/>
    <n v="102"/>
    <n v="200"/>
  </r>
  <r>
    <x v="15"/>
    <x v="26"/>
    <x v="2"/>
    <n v="101.334"/>
    <n v="101"/>
    <n v="103"/>
    <n v="102"/>
    <n v="200"/>
  </r>
  <r>
    <x v="15"/>
    <x v="26"/>
    <x v="2"/>
    <n v="101.334"/>
    <n v="101"/>
    <n v="103"/>
    <n v="102"/>
    <n v="200"/>
  </r>
  <r>
    <x v="15"/>
    <x v="0"/>
    <x v="2"/>
    <n v="102.029"/>
    <n v="101"/>
    <n v="103"/>
    <n v="102"/>
    <n v="200"/>
  </r>
  <r>
    <x v="15"/>
    <x v="0"/>
    <x v="2"/>
    <n v="102.029"/>
    <n v="101"/>
    <n v="103"/>
    <n v="102"/>
    <n v="200"/>
  </r>
  <r>
    <x v="15"/>
    <x v="0"/>
    <x v="4"/>
    <n v="95.561000000000007"/>
    <n v="93.2"/>
    <n v="96.403000000000006"/>
    <n v="94.801500000000004"/>
    <n v="320.3"/>
  </r>
  <r>
    <x v="15"/>
    <x v="0"/>
    <x v="4"/>
    <n v="95.561000000000007"/>
    <n v="93.2"/>
    <n v="96.403000000000006"/>
    <n v="94.801500000000004"/>
    <n v="320.3"/>
  </r>
  <r>
    <x v="15"/>
    <x v="0"/>
    <x v="4"/>
    <n v="95.561000000000007"/>
    <n v="93.2"/>
    <n v="96.403000000000006"/>
    <n v="94.801500000000004"/>
    <n v="320.3"/>
  </r>
  <r>
    <x v="15"/>
    <x v="0"/>
    <x v="4"/>
    <n v="95.561000000000007"/>
    <n v="93.2"/>
    <n v="96.403000000000006"/>
    <n v="94.801500000000004"/>
    <n v="320.3"/>
  </r>
  <r>
    <x v="15"/>
    <x v="0"/>
    <x v="4"/>
    <n v="95.561000000000007"/>
    <n v="93.2"/>
    <n v="96.403000000000006"/>
    <n v="94.801500000000004"/>
    <n v="320.3"/>
  </r>
  <r>
    <x v="15"/>
    <x v="0"/>
    <x v="4"/>
    <n v="95.561000000000007"/>
    <n v="93.2"/>
    <n v="96.403000000000006"/>
    <n v="94.801500000000004"/>
    <n v="320.3"/>
  </r>
  <r>
    <x v="15"/>
    <x v="0"/>
    <x v="4"/>
    <n v="95.561000000000007"/>
    <n v="93.2"/>
    <n v="96.403000000000006"/>
    <n v="94.801500000000004"/>
    <n v="320.3"/>
  </r>
  <r>
    <x v="15"/>
    <x v="0"/>
    <x v="4"/>
    <n v="95.561000000000007"/>
    <n v="93.2"/>
    <n v="96.403000000000006"/>
    <n v="94.801500000000004"/>
    <n v="320.3"/>
  </r>
  <r>
    <x v="15"/>
    <x v="0"/>
    <x v="4"/>
    <n v="95.561000000000007"/>
    <n v="93.2"/>
    <n v="96.403000000000006"/>
    <n v="94.801500000000004"/>
    <n v="320.3"/>
  </r>
  <r>
    <x v="15"/>
    <x v="0"/>
    <x v="4"/>
    <n v="95.561000000000007"/>
    <n v="93.2"/>
    <n v="96.403000000000006"/>
    <n v="94.801500000000004"/>
    <n v="320.3"/>
  </r>
  <r>
    <x v="15"/>
    <x v="0"/>
    <x v="4"/>
    <n v="95.561000000000007"/>
    <n v="93.2"/>
    <n v="96.403000000000006"/>
    <n v="94.801500000000004"/>
    <n v="320.3"/>
  </r>
  <r>
    <x v="15"/>
    <x v="0"/>
    <x v="4"/>
    <n v="95.561000000000007"/>
    <n v="93.2"/>
    <n v="96.403000000000006"/>
    <n v="94.801500000000004"/>
    <n v="320.3"/>
  </r>
  <r>
    <x v="15"/>
    <x v="0"/>
    <x v="4"/>
    <n v="95.561000000000007"/>
    <n v="93.2"/>
    <n v="96.403000000000006"/>
    <n v="94.801500000000004"/>
    <n v="320.3"/>
  </r>
  <r>
    <x v="15"/>
    <x v="0"/>
    <x v="4"/>
    <n v="95.561000000000007"/>
    <n v="93.2"/>
    <n v="96.403000000000006"/>
    <n v="94.801500000000004"/>
    <n v="320.3"/>
  </r>
  <r>
    <x v="15"/>
    <x v="0"/>
    <x v="4"/>
    <n v="95.561000000000007"/>
    <n v="93.2"/>
    <n v="96.403000000000006"/>
    <n v="94.801500000000004"/>
    <n v="320.3"/>
  </r>
  <r>
    <x v="15"/>
    <x v="0"/>
    <x v="4"/>
    <n v="95.561000000000007"/>
    <n v="93.2"/>
    <n v="96.403000000000006"/>
    <n v="94.801500000000004"/>
    <n v="320.3"/>
  </r>
  <r>
    <x v="15"/>
    <x v="0"/>
    <x v="4"/>
    <n v="95.561000000000007"/>
    <n v="93.2"/>
    <n v="96.403000000000006"/>
    <n v="94.801500000000004"/>
    <n v="320.3"/>
  </r>
  <r>
    <x v="15"/>
    <x v="0"/>
    <x v="4"/>
    <n v="95.561000000000007"/>
    <n v="93.2"/>
    <n v="96.403000000000006"/>
    <n v="94.801500000000004"/>
    <n v="320.3"/>
  </r>
  <r>
    <x v="15"/>
    <x v="0"/>
    <x v="3"/>
    <n v="1.35934"/>
    <n v="1.35198"/>
    <n v="1.3970800000000001"/>
    <n v="1.37453"/>
    <n v="451"/>
  </r>
  <r>
    <x v="15"/>
    <x v="0"/>
    <x v="3"/>
    <n v="1.35934"/>
    <n v="1.35198"/>
    <n v="1.3970800000000001"/>
    <n v="1.37453"/>
    <n v="451"/>
  </r>
  <r>
    <x v="15"/>
    <x v="0"/>
    <x v="3"/>
    <n v="1.35934"/>
    <n v="1.35198"/>
    <n v="1.3970800000000001"/>
    <n v="1.37453"/>
    <n v="451"/>
  </r>
  <r>
    <x v="15"/>
    <x v="0"/>
    <x v="3"/>
    <n v="1.35934"/>
    <n v="1.35198"/>
    <n v="1.3970800000000001"/>
    <n v="1.37453"/>
    <n v="451"/>
  </r>
  <r>
    <x v="15"/>
    <x v="0"/>
    <x v="3"/>
    <n v="1.35934"/>
    <n v="1.35198"/>
    <n v="1.3970800000000001"/>
    <n v="1.37453"/>
    <n v="451"/>
  </r>
  <r>
    <x v="15"/>
    <x v="0"/>
    <x v="3"/>
    <n v="1.35934"/>
    <n v="1.35198"/>
    <n v="1.3970800000000001"/>
    <n v="1.37453"/>
    <n v="451"/>
  </r>
  <r>
    <x v="15"/>
    <x v="0"/>
    <x v="3"/>
    <n v="1.35934"/>
    <n v="1.35198"/>
    <n v="1.3970800000000001"/>
    <n v="1.37453"/>
    <n v="451"/>
  </r>
  <r>
    <x v="15"/>
    <x v="0"/>
    <x v="3"/>
    <n v="1.35934"/>
    <n v="1.35198"/>
    <n v="1.3970800000000001"/>
    <n v="1.37453"/>
    <n v="451"/>
  </r>
  <r>
    <x v="15"/>
    <x v="0"/>
    <x v="3"/>
    <n v="1.35934"/>
    <n v="1.35198"/>
    <n v="1.3970800000000001"/>
    <n v="1.37453"/>
    <n v="451"/>
  </r>
  <r>
    <x v="15"/>
    <x v="0"/>
    <x v="3"/>
    <n v="1.35934"/>
    <n v="1.35198"/>
    <n v="1.3970800000000001"/>
    <n v="1.37453"/>
    <n v="451"/>
  </r>
  <r>
    <x v="15"/>
    <x v="0"/>
    <x v="3"/>
    <n v="1.35934"/>
    <n v="1.35198"/>
    <n v="1.3970800000000001"/>
    <n v="1.37453"/>
    <n v="451"/>
  </r>
  <r>
    <x v="15"/>
    <x v="0"/>
    <x v="3"/>
    <n v="1.35934"/>
    <n v="1.35198"/>
    <n v="1.3970800000000001"/>
    <n v="1.37453"/>
    <n v="451"/>
  </r>
  <r>
    <x v="15"/>
    <x v="0"/>
    <x v="3"/>
    <n v="1.35934"/>
    <n v="1.35198"/>
    <n v="1.3970800000000001"/>
    <n v="1.37453"/>
    <n v="451"/>
  </r>
  <r>
    <x v="15"/>
    <x v="0"/>
    <x v="3"/>
    <n v="1.35934"/>
    <n v="1.35198"/>
    <n v="1.3970800000000001"/>
    <n v="1.37453"/>
    <n v="451"/>
  </r>
  <r>
    <x v="15"/>
    <x v="0"/>
    <x v="3"/>
    <n v="1.35934"/>
    <n v="1.35198"/>
    <n v="1.3970800000000001"/>
    <n v="1.37453"/>
    <n v="451"/>
  </r>
  <r>
    <x v="15"/>
    <x v="0"/>
    <x v="3"/>
    <n v="1.35934"/>
    <n v="1.35198"/>
    <n v="1.3970800000000001"/>
    <n v="1.37453"/>
    <n v="451"/>
  </r>
  <r>
    <x v="15"/>
    <x v="0"/>
    <x v="0"/>
    <n v="1.96218"/>
    <n v="1.93"/>
    <n v="1.99403"/>
    <n v="1.9620150000000001"/>
    <n v="640.29999999999995"/>
  </r>
  <r>
    <x v="15"/>
    <x v="0"/>
    <x v="0"/>
    <n v="1.96218"/>
    <n v="1.93"/>
    <n v="1.99403"/>
    <n v="1.9620150000000001"/>
    <n v="640.29999999999995"/>
  </r>
  <r>
    <x v="15"/>
    <x v="0"/>
    <x v="0"/>
    <n v="1.96218"/>
    <n v="1.93"/>
    <n v="1.99403"/>
    <n v="1.9620150000000001"/>
    <n v="640.29999999999995"/>
  </r>
  <r>
    <x v="15"/>
    <x v="0"/>
    <x v="0"/>
    <n v="1.96218"/>
    <n v="1.93"/>
    <n v="1.99403"/>
    <n v="1.9620150000000001"/>
    <n v="640.29999999999995"/>
  </r>
  <r>
    <x v="15"/>
    <x v="0"/>
    <x v="0"/>
    <n v="1.96218"/>
    <n v="1.93"/>
    <n v="1.99403"/>
    <n v="1.9620150000000001"/>
    <n v="640.29999999999995"/>
  </r>
  <r>
    <x v="15"/>
    <x v="0"/>
    <x v="0"/>
    <n v="1.96218"/>
    <n v="1.93"/>
    <n v="1.99403"/>
    <n v="1.9620150000000001"/>
    <n v="640.29999999999995"/>
  </r>
  <r>
    <x v="15"/>
    <x v="0"/>
    <x v="0"/>
    <n v="1.96218"/>
    <n v="1.93"/>
    <n v="1.99403"/>
    <n v="1.9620150000000001"/>
    <n v="640.29999999999995"/>
  </r>
  <r>
    <x v="15"/>
    <x v="0"/>
    <x v="0"/>
    <n v="1.96218"/>
    <n v="1.93"/>
    <n v="1.99403"/>
    <n v="1.9620150000000001"/>
    <n v="640.29999999999995"/>
  </r>
  <r>
    <x v="15"/>
    <x v="0"/>
    <x v="0"/>
    <n v="1.96218"/>
    <n v="1.93"/>
    <n v="1.99403"/>
    <n v="1.9620150000000001"/>
    <n v="640.29999999999995"/>
  </r>
  <r>
    <x v="15"/>
    <x v="0"/>
    <x v="0"/>
    <n v="1.96218"/>
    <n v="1.93"/>
    <n v="1.99403"/>
    <n v="1.9620150000000001"/>
    <n v="640.29999999999995"/>
  </r>
  <r>
    <x v="15"/>
    <x v="0"/>
    <x v="0"/>
    <n v="1.96218"/>
    <n v="1.93"/>
    <n v="1.99403"/>
    <n v="1.9620150000000001"/>
    <n v="640.29999999999995"/>
  </r>
  <r>
    <x v="15"/>
    <x v="0"/>
    <x v="0"/>
    <n v="1.96218"/>
    <n v="1.93"/>
    <n v="1.99403"/>
    <n v="1.9620150000000001"/>
    <n v="640.29999999999995"/>
  </r>
  <r>
    <x v="15"/>
    <x v="0"/>
    <x v="0"/>
    <n v="1.96218"/>
    <n v="1.93"/>
    <n v="1.99403"/>
    <n v="1.9620150000000001"/>
    <n v="640.29999999999995"/>
  </r>
  <r>
    <x v="15"/>
    <x v="0"/>
    <x v="0"/>
    <n v="1.96218"/>
    <n v="1.93"/>
    <n v="1.99403"/>
    <n v="1.9620150000000001"/>
    <n v="640.29999999999995"/>
  </r>
  <r>
    <x v="15"/>
    <x v="0"/>
    <x v="0"/>
    <n v="1.96218"/>
    <n v="1.93"/>
    <n v="1.99403"/>
    <n v="1.9620150000000001"/>
    <n v="640.29999999999995"/>
  </r>
  <r>
    <x v="15"/>
    <x v="0"/>
    <x v="0"/>
    <n v="1.96218"/>
    <n v="1.93"/>
    <n v="1.99403"/>
    <n v="1.9620150000000001"/>
    <n v="640.29999999999995"/>
  </r>
  <r>
    <x v="15"/>
    <x v="0"/>
    <x v="0"/>
    <n v="1.96218"/>
    <n v="1.93"/>
    <n v="1.99403"/>
    <n v="1.9620150000000001"/>
    <n v="640.29999999999995"/>
  </r>
  <r>
    <x v="15"/>
    <x v="0"/>
    <x v="0"/>
    <n v="1.96218"/>
    <n v="1.93"/>
    <n v="1.99403"/>
    <n v="1.9620150000000001"/>
    <n v="640.29999999999995"/>
  </r>
  <r>
    <x v="15"/>
    <x v="0"/>
    <x v="0"/>
    <n v="1.96218"/>
    <n v="1.93"/>
    <n v="1.99403"/>
    <n v="1.9620150000000001"/>
    <n v="640.29999999999995"/>
  </r>
  <r>
    <x v="15"/>
    <x v="0"/>
    <x v="2"/>
    <n v="102.029"/>
    <n v="101"/>
    <n v="103"/>
    <n v="102"/>
    <n v="200"/>
  </r>
  <r>
    <x v="15"/>
    <x v="0"/>
    <x v="2"/>
    <n v="102.029"/>
    <n v="101"/>
    <n v="103"/>
    <n v="102"/>
    <n v="200"/>
  </r>
  <r>
    <x v="15"/>
    <x v="0"/>
    <x v="2"/>
    <n v="102.029"/>
    <n v="101"/>
    <n v="103"/>
    <n v="102"/>
    <n v="200"/>
  </r>
  <r>
    <x v="15"/>
    <x v="0"/>
    <x v="2"/>
    <n v="102.029"/>
    <n v="101"/>
    <n v="103"/>
    <n v="102"/>
    <n v="200"/>
  </r>
  <r>
    <x v="15"/>
    <x v="0"/>
    <x v="2"/>
    <n v="102.029"/>
    <n v="101"/>
    <n v="103"/>
    <n v="102"/>
    <n v="200"/>
  </r>
  <r>
    <x v="15"/>
    <x v="0"/>
    <x v="2"/>
    <n v="102.029"/>
    <n v="101"/>
    <n v="103"/>
    <n v="102"/>
    <n v="200"/>
  </r>
  <r>
    <x v="15"/>
    <x v="0"/>
    <x v="2"/>
    <n v="102.029"/>
    <n v="101"/>
    <n v="103"/>
    <n v="102"/>
    <n v="200"/>
  </r>
  <r>
    <x v="15"/>
    <x v="0"/>
    <x v="2"/>
    <n v="102.029"/>
    <n v="101"/>
    <n v="103"/>
    <n v="102"/>
    <n v="200"/>
  </r>
  <r>
    <x v="15"/>
    <x v="0"/>
    <x v="2"/>
    <n v="102.029"/>
    <n v="101"/>
    <n v="103"/>
    <n v="102"/>
    <n v="200"/>
  </r>
  <r>
    <x v="15"/>
    <x v="0"/>
    <x v="2"/>
    <n v="102.029"/>
    <n v="101"/>
    <n v="103"/>
    <n v="102"/>
    <n v="200"/>
  </r>
  <r>
    <x v="15"/>
    <x v="0"/>
    <x v="2"/>
    <n v="102.029"/>
    <n v="101"/>
    <n v="103"/>
    <n v="102"/>
    <n v="200"/>
  </r>
  <r>
    <x v="15"/>
    <x v="1"/>
    <x v="2"/>
    <n v="101.325"/>
    <n v="101"/>
    <n v="103"/>
    <n v="102"/>
    <n v="200"/>
  </r>
  <r>
    <x v="15"/>
    <x v="1"/>
    <x v="4"/>
    <n v="95.137"/>
    <n v="93.2"/>
    <n v="96.403000000000006"/>
    <n v="94.801500000000004"/>
    <n v="320.3"/>
  </r>
  <r>
    <x v="15"/>
    <x v="1"/>
    <x v="4"/>
    <n v="95.137"/>
    <n v="93.2"/>
    <n v="96.403000000000006"/>
    <n v="94.801500000000004"/>
    <n v="320.3"/>
  </r>
  <r>
    <x v="15"/>
    <x v="1"/>
    <x v="4"/>
    <n v="95.137"/>
    <n v="93.2"/>
    <n v="96.403000000000006"/>
    <n v="94.801500000000004"/>
    <n v="320.3"/>
  </r>
  <r>
    <x v="15"/>
    <x v="1"/>
    <x v="4"/>
    <n v="95.137"/>
    <n v="93.2"/>
    <n v="96.403000000000006"/>
    <n v="94.801500000000004"/>
    <n v="320.3"/>
  </r>
  <r>
    <x v="15"/>
    <x v="1"/>
    <x v="4"/>
    <n v="95.137"/>
    <n v="93.2"/>
    <n v="96.403000000000006"/>
    <n v="94.801500000000004"/>
    <n v="320.3"/>
  </r>
  <r>
    <x v="15"/>
    <x v="1"/>
    <x v="4"/>
    <n v="95.137"/>
    <n v="93.2"/>
    <n v="96.403000000000006"/>
    <n v="94.801500000000004"/>
    <n v="320.3"/>
  </r>
  <r>
    <x v="15"/>
    <x v="1"/>
    <x v="4"/>
    <n v="95.137"/>
    <n v="93.2"/>
    <n v="96.403000000000006"/>
    <n v="94.801500000000004"/>
    <n v="320.3"/>
  </r>
  <r>
    <x v="15"/>
    <x v="1"/>
    <x v="4"/>
    <n v="95.137"/>
    <n v="93.2"/>
    <n v="96.403000000000006"/>
    <n v="94.801500000000004"/>
    <n v="320.3"/>
  </r>
  <r>
    <x v="15"/>
    <x v="1"/>
    <x v="4"/>
    <n v="95.137"/>
    <n v="93.2"/>
    <n v="96.403000000000006"/>
    <n v="94.801500000000004"/>
    <n v="320.3"/>
  </r>
  <r>
    <x v="15"/>
    <x v="1"/>
    <x v="4"/>
    <n v="95.137"/>
    <n v="93.2"/>
    <n v="96.403000000000006"/>
    <n v="94.801500000000004"/>
    <n v="320.3"/>
  </r>
  <r>
    <x v="15"/>
    <x v="1"/>
    <x v="4"/>
    <n v="95.137"/>
    <n v="93.2"/>
    <n v="96.403000000000006"/>
    <n v="94.801500000000004"/>
    <n v="320.3"/>
  </r>
  <r>
    <x v="15"/>
    <x v="1"/>
    <x v="4"/>
    <n v="95.137"/>
    <n v="93.2"/>
    <n v="96.403000000000006"/>
    <n v="94.801500000000004"/>
    <n v="320.3"/>
  </r>
  <r>
    <x v="15"/>
    <x v="1"/>
    <x v="4"/>
    <n v="95.137"/>
    <n v="93.2"/>
    <n v="96.403000000000006"/>
    <n v="94.801500000000004"/>
    <n v="320.3"/>
  </r>
  <r>
    <x v="15"/>
    <x v="1"/>
    <x v="4"/>
    <n v="95.137"/>
    <n v="93.2"/>
    <n v="96.403000000000006"/>
    <n v="94.801500000000004"/>
    <n v="320.3"/>
  </r>
  <r>
    <x v="15"/>
    <x v="1"/>
    <x v="4"/>
    <n v="95.137"/>
    <n v="93.2"/>
    <n v="96.403000000000006"/>
    <n v="94.801500000000004"/>
    <n v="320.3"/>
  </r>
  <r>
    <x v="15"/>
    <x v="1"/>
    <x v="4"/>
    <n v="95.137"/>
    <n v="93.2"/>
    <n v="96.403000000000006"/>
    <n v="94.801500000000004"/>
    <n v="320.3"/>
  </r>
  <r>
    <x v="15"/>
    <x v="1"/>
    <x v="4"/>
    <n v="95.137"/>
    <n v="93.2"/>
    <n v="96.403000000000006"/>
    <n v="94.801500000000004"/>
    <n v="320.3"/>
  </r>
  <r>
    <x v="15"/>
    <x v="1"/>
    <x v="4"/>
    <n v="95.137"/>
    <n v="93.2"/>
    <n v="96.403000000000006"/>
    <n v="94.801500000000004"/>
    <n v="320.3"/>
  </r>
  <r>
    <x v="15"/>
    <x v="1"/>
    <x v="3"/>
    <n v="1.36012"/>
    <n v="1.35198"/>
    <n v="1.3970800000000001"/>
    <n v="1.37453"/>
    <n v="451"/>
  </r>
  <r>
    <x v="15"/>
    <x v="1"/>
    <x v="3"/>
    <n v="1.36012"/>
    <n v="1.35198"/>
    <n v="1.3970800000000001"/>
    <n v="1.37453"/>
    <n v="451"/>
  </r>
  <r>
    <x v="15"/>
    <x v="1"/>
    <x v="3"/>
    <n v="1.36012"/>
    <n v="1.35198"/>
    <n v="1.3970800000000001"/>
    <n v="1.37453"/>
    <n v="451"/>
  </r>
  <r>
    <x v="15"/>
    <x v="1"/>
    <x v="3"/>
    <n v="1.36012"/>
    <n v="1.35198"/>
    <n v="1.3970800000000001"/>
    <n v="1.37453"/>
    <n v="451"/>
  </r>
  <r>
    <x v="15"/>
    <x v="1"/>
    <x v="3"/>
    <n v="1.36012"/>
    <n v="1.35198"/>
    <n v="1.3970800000000001"/>
    <n v="1.37453"/>
    <n v="451"/>
  </r>
  <r>
    <x v="15"/>
    <x v="1"/>
    <x v="3"/>
    <n v="1.36012"/>
    <n v="1.35198"/>
    <n v="1.3970800000000001"/>
    <n v="1.37453"/>
    <n v="451"/>
  </r>
  <r>
    <x v="15"/>
    <x v="1"/>
    <x v="3"/>
    <n v="1.36012"/>
    <n v="1.35198"/>
    <n v="1.3970800000000001"/>
    <n v="1.37453"/>
    <n v="451"/>
  </r>
  <r>
    <x v="15"/>
    <x v="1"/>
    <x v="3"/>
    <n v="1.36012"/>
    <n v="1.35198"/>
    <n v="1.3970800000000001"/>
    <n v="1.37453"/>
    <n v="451"/>
  </r>
  <r>
    <x v="15"/>
    <x v="1"/>
    <x v="3"/>
    <n v="1.36012"/>
    <n v="1.35198"/>
    <n v="1.3970800000000001"/>
    <n v="1.37453"/>
    <n v="451"/>
  </r>
  <r>
    <x v="15"/>
    <x v="1"/>
    <x v="3"/>
    <n v="1.36012"/>
    <n v="1.35198"/>
    <n v="1.3970800000000001"/>
    <n v="1.37453"/>
    <n v="451"/>
  </r>
  <r>
    <x v="15"/>
    <x v="1"/>
    <x v="3"/>
    <n v="1.36012"/>
    <n v="1.35198"/>
    <n v="1.3970800000000001"/>
    <n v="1.37453"/>
    <n v="451"/>
  </r>
  <r>
    <x v="15"/>
    <x v="1"/>
    <x v="3"/>
    <n v="1.36012"/>
    <n v="1.35198"/>
    <n v="1.3970800000000001"/>
    <n v="1.37453"/>
    <n v="451"/>
  </r>
  <r>
    <x v="15"/>
    <x v="1"/>
    <x v="3"/>
    <n v="1.36012"/>
    <n v="1.35198"/>
    <n v="1.3970800000000001"/>
    <n v="1.37453"/>
    <n v="451"/>
  </r>
  <r>
    <x v="15"/>
    <x v="1"/>
    <x v="3"/>
    <n v="1.36012"/>
    <n v="1.35198"/>
    <n v="1.3970800000000001"/>
    <n v="1.37453"/>
    <n v="451"/>
  </r>
  <r>
    <x v="15"/>
    <x v="1"/>
    <x v="3"/>
    <n v="1.36012"/>
    <n v="1.35198"/>
    <n v="1.3970800000000001"/>
    <n v="1.37453"/>
    <n v="451"/>
  </r>
  <r>
    <x v="15"/>
    <x v="1"/>
    <x v="3"/>
    <n v="1.36012"/>
    <n v="1.35198"/>
    <n v="1.3970800000000001"/>
    <n v="1.37453"/>
    <n v="451"/>
  </r>
  <r>
    <x v="15"/>
    <x v="1"/>
    <x v="3"/>
    <n v="1.36012"/>
    <n v="1.35198"/>
    <n v="1.3970800000000001"/>
    <n v="1.37453"/>
    <n v="451"/>
  </r>
  <r>
    <x v="15"/>
    <x v="1"/>
    <x v="0"/>
    <n v="1.94255"/>
    <n v="1.93"/>
    <n v="1.99403"/>
    <n v="1.9620150000000001"/>
    <n v="640.29999999999995"/>
  </r>
  <r>
    <x v="15"/>
    <x v="1"/>
    <x v="0"/>
    <n v="1.94255"/>
    <n v="1.93"/>
    <n v="1.99403"/>
    <n v="1.9620150000000001"/>
    <n v="640.29999999999995"/>
  </r>
  <r>
    <x v="15"/>
    <x v="1"/>
    <x v="0"/>
    <n v="1.94255"/>
    <n v="1.93"/>
    <n v="1.99403"/>
    <n v="1.9620150000000001"/>
    <n v="640.29999999999995"/>
  </r>
  <r>
    <x v="15"/>
    <x v="1"/>
    <x v="0"/>
    <n v="1.94255"/>
    <n v="1.93"/>
    <n v="1.99403"/>
    <n v="1.9620150000000001"/>
    <n v="640.29999999999995"/>
  </r>
  <r>
    <x v="15"/>
    <x v="1"/>
    <x v="0"/>
    <n v="1.94255"/>
    <n v="1.93"/>
    <n v="1.99403"/>
    <n v="1.9620150000000001"/>
    <n v="640.29999999999995"/>
  </r>
  <r>
    <x v="15"/>
    <x v="1"/>
    <x v="0"/>
    <n v="1.94255"/>
    <n v="1.93"/>
    <n v="1.99403"/>
    <n v="1.9620150000000001"/>
    <n v="640.29999999999995"/>
  </r>
  <r>
    <x v="15"/>
    <x v="1"/>
    <x v="0"/>
    <n v="1.94255"/>
    <n v="1.93"/>
    <n v="1.99403"/>
    <n v="1.9620150000000001"/>
    <n v="640.29999999999995"/>
  </r>
  <r>
    <x v="15"/>
    <x v="1"/>
    <x v="0"/>
    <n v="1.94255"/>
    <n v="1.93"/>
    <n v="1.99403"/>
    <n v="1.9620150000000001"/>
    <n v="640.29999999999995"/>
  </r>
  <r>
    <x v="15"/>
    <x v="1"/>
    <x v="0"/>
    <n v="1.94255"/>
    <n v="1.93"/>
    <n v="1.99403"/>
    <n v="1.9620150000000001"/>
    <n v="640.29999999999995"/>
  </r>
  <r>
    <x v="15"/>
    <x v="1"/>
    <x v="0"/>
    <n v="1.94255"/>
    <n v="1.93"/>
    <n v="1.99403"/>
    <n v="1.9620150000000001"/>
    <n v="640.29999999999995"/>
  </r>
  <r>
    <x v="15"/>
    <x v="1"/>
    <x v="0"/>
    <n v="1.94255"/>
    <n v="1.93"/>
    <n v="1.99403"/>
    <n v="1.9620150000000001"/>
    <n v="640.29999999999995"/>
  </r>
  <r>
    <x v="15"/>
    <x v="1"/>
    <x v="0"/>
    <n v="1.94255"/>
    <n v="1.93"/>
    <n v="1.99403"/>
    <n v="1.9620150000000001"/>
    <n v="640.29999999999995"/>
  </r>
  <r>
    <x v="15"/>
    <x v="1"/>
    <x v="0"/>
    <n v="1.94255"/>
    <n v="1.93"/>
    <n v="1.99403"/>
    <n v="1.9620150000000001"/>
    <n v="640.29999999999995"/>
  </r>
  <r>
    <x v="15"/>
    <x v="1"/>
    <x v="0"/>
    <n v="1.94255"/>
    <n v="1.93"/>
    <n v="1.99403"/>
    <n v="1.9620150000000001"/>
    <n v="640.29999999999995"/>
  </r>
  <r>
    <x v="15"/>
    <x v="1"/>
    <x v="0"/>
    <n v="1.94255"/>
    <n v="1.93"/>
    <n v="1.99403"/>
    <n v="1.9620150000000001"/>
    <n v="640.29999999999995"/>
  </r>
  <r>
    <x v="15"/>
    <x v="1"/>
    <x v="0"/>
    <n v="1.94255"/>
    <n v="1.93"/>
    <n v="1.99403"/>
    <n v="1.9620150000000001"/>
    <n v="640.29999999999995"/>
  </r>
  <r>
    <x v="15"/>
    <x v="1"/>
    <x v="0"/>
    <n v="1.94255"/>
    <n v="1.93"/>
    <n v="1.99403"/>
    <n v="1.9620150000000001"/>
    <n v="640.29999999999995"/>
  </r>
  <r>
    <x v="15"/>
    <x v="1"/>
    <x v="0"/>
    <n v="1.94255"/>
    <n v="1.93"/>
    <n v="1.99403"/>
    <n v="1.9620150000000001"/>
    <n v="640.29999999999995"/>
  </r>
  <r>
    <x v="15"/>
    <x v="1"/>
    <x v="2"/>
    <n v="101.325"/>
    <n v="101"/>
    <n v="103"/>
    <n v="102"/>
    <n v="200"/>
  </r>
  <r>
    <x v="15"/>
    <x v="1"/>
    <x v="2"/>
    <n v="101.325"/>
    <n v="101"/>
    <n v="103"/>
    <n v="102"/>
    <n v="200"/>
  </r>
  <r>
    <x v="15"/>
    <x v="1"/>
    <x v="2"/>
    <n v="101.325"/>
    <n v="101"/>
    <n v="103"/>
    <n v="102"/>
    <n v="200"/>
  </r>
  <r>
    <x v="15"/>
    <x v="1"/>
    <x v="2"/>
    <n v="101.325"/>
    <n v="101"/>
    <n v="103"/>
    <n v="102"/>
    <n v="200"/>
  </r>
  <r>
    <x v="15"/>
    <x v="1"/>
    <x v="2"/>
    <n v="101.325"/>
    <n v="101"/>
    <n v="103"/>
    <n v="102"/>
    <n v="200"/>
  </r>
  <r>
    <x v="15"/>
    <x v="1"/>
    <x v="2"/>
    <n v="101.325"/>
    <n v="101"/>
    <n v="103"/>
    <n v="102"/>
    <n v="200"/>
  </r>
  <r>
    <x v="15"/>
    <x v="1"/>
    <x v="2"/>
    <n v="101.325"/>
    <n v="101"/>
    <n v="103"/>
    <n v="102"/>
    <n v="200"/>
  </r>
  <r>
    <x v="15"/>
    <x v="1"/>
    <x v="2"/>
    <n v="101.325"/>
    <n v="101"/>
    <n v="103"/>
    <n v="102"/>
    <n v="200"/>
  </r>
  <r>
    <x v="15"/>
    <x v="1"/>
    <x v="2"/>
    <n v="101.325"/>
    <n v="101"/>
    <n v="103"/>
    <n v="102"/>
    <n v="200"/>
  </r>
  <r>
    <x v="15"/>
    <x v="1"/>
    <x v="2"/>
    <n v="101.325"/>
    <n v="101"/>
    <n v="103"/>
    <n v="102"/>
    <n v="200"/>
  </r>
  <r>
    <x v="15"/>
    <x v="1"/>
    <x v="2"/>
    <n v="101.325"/>
    <n v="101"/>
    <n v="103"/>
    <n v="102"/>
    <n v="200"/>
  </r>
  <r>
    <x v="15"/>
    <x v="2"/>
    <x v="2"/>
    <n v="101.315"/>
    <n v="101"/>
    <n v="103"/>
    <n v="102"/>
    <n v="200"/>
  </r>
  <r>
    <x v="15"/>
    <x v="2"/>
    <x v="2"/>
    <n v="101.315"/>
    <n v="101"/>
    <n v="103"/>
    <n v="102"/>
    <n v="200"/>
  </r>
  <r>
    <x v="15"/>
    <x v="2"/>
    <x v="2"/>
    <n v="101.315"/>
    <n v="101"/>
    <n v="103"/>
    <n v="102"/>
    <n v="200"/>
  </r>
  <r>
    <x v="15"/>
    <x v="2"/>
    <x v="4"/>
    <n v="95.113"/>
    <n v="93.2"/>
    <n v="96.403000000000006"/>
    <n v="94.801500000000004"/>
    <n v="320.3"/>
  </r>
  <r>
    <x v="15"/>
    <x v="2"/>
    <x v="4"/>
    <n v="95.113"/>
    <n v="93.2"/>
    <n v="96.403000000000006"/>
    <n v="94.801500000000004"/>
    <n v="320.3"/>
  </r>
  <r>
    <x v="15"/>
    <x v="2"/>
    <x v="4"/>
    <n v="95.113"/>
    <n v="93.2"/>
    <n v="96.403000000000006"/>
    <n v="94.801500000000004"/>
    <n v="320.3"/>
  </r>
  <r>
    <x v="15"/>
    <x v="2"/>
    <x v="4"/>
    <n v="95.113"/>
    <n v="93.2"/>
    <n v="96.403000000000006"/>
    <n v="94.801500000000004"/>
    <n v="320.3"/>
  </r>
  <r>
    <x v="15"/>
    <x v="2"/>
    <x v="4"/>
    <n v="95.113"/>
    <n v="93.2"/>
    <n v="96.403000000000006"/>
    <n v="94.801500000000004"/>
    <n v="320.3"/>
  </r>
  <r>
    <x v="15"/>
    <x v="2"/>
    <x v="4"/>
    <n v="95.113"/>
    <n v="93.2"/>
    <n v="96.403000000000006"/>
    <n v="94.801500000000004"/>
    <n v="320.3"/>
  </r>
  <r>
    <x v="15"/>
    <x v="2"/>
    <x v="4"/>
    <n v="95.113"/>
    <n v="93.2"/>
    <n v="96.403000000000006"/>
    <n v="94.801500000000004"/>
    <n v="320.3"/>
  </r>
  <r>
    <x v="15"/>
    <x v="2"/>
    <x v="4"/>
    <n v="95.113"/>
    <n v="93.2"/>
    <n v="96.403000000000006"/>
    <n v="94.801500000000004"/>
    <n v="320.3"/>
  </r>
  <r>
    <x v="15"/>
    <x v="2"/>
    <x v="4"/>
    <n v="95.113"/>
    <n v="93.2"/>
    <n v="96.403000000000006"/>
    <n v="94.801500000000004"/>
    <n v="320.3"/>
  </r>
  <r>
    <x v="15"/>
    <x v="2"/>
    <x v="4"/>
    <n v="95.113"/>
    <n v="93.2"/>
    <n v="96.403000000000006"/>
    <n v="94.801500000000004"/>
    <n v="320.3"/>
  </r>
  <r>
    <x v="15"/>
    <x v="2"/>
    <x v="4"/>
    <n v="95.113"/>
    <n v="93.2"/>
    <n v="96.403000000000006"/>
    <n v="94.801500000000004"/>
    <n v="320.3"/>
  </r>
  <r>
    <x v="15"/>
    <x v="2"/>
    <x v="4"/>
    <n v="95.113"/>
    <n v="93.2"/>
    <n v="96.403000000000006"/>
    <n v="94.801500000000004"/>
    <n v="320.3"/>
  </r>
  <r>
    <x v="15"/>
    <x v="2"/>
    <x v="4"/>
    <n v="95.113"/>
    <n v="93.2"/>
    <n v="96.403000000000006"/>
    <n v="94.801500000000004"/>
    <n v="320.3"/>
  </r>
  <r>
    <x v="15"/>
    <x v="2"/>
    <x v="4"/>
    <n v="95.113"/>
    <n v="93.2"/>
    <n v="96.403000000000006"/>
    <n v="94.801500000000004"/>
    <n v="320.3"/>
  </r>
  <r>
    <x v="15"/>
    <x v="2"/>
    <x v="4"/>
    <n v="95.113"/>
    <n v="93.2"/>
    <n v="96.403000000000006"/>
    <n v="94.801500000000004"/>
    <n v="320.3"/>
  </r>
  <r>
    <x v="15"/>
    <x v="2"/>
    <x v="4"/>
    <n v="95.113"/>
    <n v="93.2"/>
    <n v="96.403000000000006"/>
    <n v="94.801500000000004"/>
    <n v="320.3"/>
  </r>
  <r>
    <x v="15"/>
    <x v="2"/>
    <x v="4"/>
    <n v="95.113"/>
    <n v="93.2"/>
    <n v="96.403000000000006"/>
    <n v="94.801500000000004"/>
    <n v="320.3"/>
  </r>
  <r>
    <x v="15"/>
    <x v="2"/>
    <x v="4"/>
    <n v="95.113"/>
    <n v="93.2"/>
    <n v="96.403000000000006"/>
    <n v="94.801500000000004"/>
    <n v="320.3"/>
  </r>
  <r>
    <x v="15"/>
    <x v="2"/>
    <x v="3"/>
    <n v="1.35225"/>
    <n v="1.349"/>
    <n v="1.3970800000000001"/>
    <n v="1.37304"/>
    <n v="480.8"/>
  </r>
  <r>
    <x v="15"/>
    <x v="2"/>
    <x v="3"/>
    <n v="1.35225"/>
    <n v="1.349"/>
    <n v="1.3970800000000001"/>
    <n v="1.37304"/>
    <n v="480.8"/>
  </r>
  <r>
    <x v="15"/>
    <x v="2"/>
    <x v="3"/>
    <n v="1.35225"/>
    <n v="1.349"/>
    <n v="1.3970800000000001"/>
    <n v="1.37304"/>
    <n v="480.8"/>
  </r>
  <r>
    <x v="15"/>
    <x v="2"/>
    <x v="3"/>
    <n v="1.35225"/>
    <n v="1.349"/>
    <n v="1.3970800000000001"/>
    <n v="1.37304"/>
    <n v="480.8"/>
  </r>
  <r>
    <x v="15"/>
    <x v="2"/>
    <x v="3"/>
    <n v="1.35225"/>
    <n v="1.349"/>
    <n v="1.3970800000000001"/>
    <n v="1.37304"/>
    <n v="480.8"/>
  </r>
  <r>
    <x v="15"/>
    <x v="2"/>
    <x v="3"/>
    <n v="1.35225"/>
    <n v="1.349"/>
    <n v="1.3970800000000001"/>
    <n v="1.37304"/>
    <n v="480.8"/>
  </r>
  <r>
    <x v="15"/>
    <x v="2"/>
    <x v="3"/>
    <n v="1.35225"/>
    <n v="1.349"/>
    <n v="1.3970800000000001"/>
    <n v="1.37304"/>
    <n v="480.8"/>
  </r>
  <r>
    <x v="15"/>
    <x v="2"/>
    <x v="3"/>
    <n v="1.35225"/>
    <n v="1.349"/>
    <n v="1.3970800000000001"/>
    <n v="1.37304"/>
    <n v="480.8"/>
  </r>
  <r>
    <x v="15"/>
    <x v="2"/>
    <x v="3"/>
    <n v="1.35225"/>
    <n v="1.349"/>
    <n v="1.3970800000000001"/>
    <n v="1.37304"/>
    <n v="480.8"/>
  </r>
  <r>
    <x v="15"/>
    <x v="2"/>
    <x v="3"/>
    <n v="1.35225"/>
    <n v="1.349"/>
    <n v="1.3970800000000001"/>
    <n v="1.37304"/>
    <n v="480.8"/>
  </r>
  <r>
    <x v="15"/>
    <x v="2"/>
    <x v="3"/>
    <n v="1.35225"/>
    <n v="1.349"/>
    <n v="1.3970800000000001"/>
    <n v="1.37304"/>
    <n v="480.8"/>
  </r>
  <r>
    <x v="15"/>
    <x v="2"/>
    <x v="3"/>
    <n v="1.35225"/>
    <n v="1.349"/>
    <n v="1.3970800000000001"/>
    <n v="1.37304"/>
    <n v="480.8"/>
  </r>
  <r>
    <x v="15"/>
    <x v="2"/>
    <x v="3"/>
    <n v="1.35225"/>
    <n v="1.349"/>
    <n v="1.3970800000000001"/>
    <n v="1.37304"/>
    <n v="480.8"/>
  </r>
  <r>
    <x v="15"/>
    <x v="2"/>
    <x v="3"/>
    <n v="1.35225"/>
    <n v="1.349"/>
    <n v="1.3970800000000001"/>
    <n v="1.37304"/>
    <n v="480.8"/>
  </r>
  <r>
    <x v="15"/>
    <x v="2"/>
    <x v="3"/>
    <n v="1.35225"/>
    <n v="1.349"/>
    <n v="1.3970800000000001"/>
    <n v="1.37304"/>
    <n v="480.8"/>
  </r>
  <r>
    <x v="15"/>
    <x v="2"/>
    <x v="3"/>
    <n v="1.35225"/>
    <n v="1.349"/>
    <n v="1.3970800000000001"/>
    <n v="1.37304"/>
    <n v="480.8"/>
  </r>
  <r>
    <x v="15"/>
    <x v="2"/>
    <x v="3"/>
    <n v="1.35225"/>
    <n v="1.349"/>
    <n v="1.3970800000000001"/>
    <n v="1.37304"/>
    <n v="480.8"/>
  </r>
  <r>
    <x v="15"/>
    <x v="2"/>
    <x v="3"/>
    <n v="1.35225"/>
    <n v="1.349"/>
    <n v="1.3970800000000001"/>
    <n v="1.37304"/>
    <n v="480.8"/>
  </r>
  <r>
    <x v="15"/>
    <x v="2"/>
    <x v="0"/>
    <n v="1.96496"/>
    <n v="1.93"/>
    <n v="1.99403"/>
    <n v="1.9620150000000001"/>
    <n v="640.29999999999995"/>
  </r>
  <r>
    <x v="15"/>
    <x v="2"/>
    <x v="0"/>
    <n v="1.96496"/>
    <n v="1.93"/>
    <n v="1.99403"/>
    <n v="1.9620150000000001"/>
    <n v="640.29999999999995"/>
  </r>
  <r>
    <x v="15"/>
    <x v="2"/>
    <x v="0"/>
    <n v="1.96496"/>
    <n v="1.93"/>
    <n v="1.99403"/>
    <n v="1.9620150000000001"/>
    <n v="640.29999999999995"/>
  </r>
  <r>
    <x v="15"/>
    <x v="2"/>
    <x v="0"/>
    <n v="1.96496"/>
    <n v="1.93"/>
    <n v="1.99403"/>
    <n v="1.9620150000000001"/>
    <n v="640.29999999999995"/>
  </r>
  <r>
    <x v="15"/>
    <x v="2"/>
    <x v="0"/>
    <n v="1.96496"/>
    <n v="1.93"/>
    <n v="1.99403"/>
    <n v="1.9620150000000001"/>
    <n v="640.29999999999995"/>
  </r>
  <r>
    <x v="15"/>
    <x v="2"/>
    <x v="0"/>
    <n v="1.96496"/>
    <n v="1.93"/>
    <n v="1.99403"/>
    <n v="1.9620150000000001"/>
    <n v="640.29999999999995"/>
  </r>
  <r>
    <x v="15"/>
    <x v="2"/>
    <x v="0"/>
    <n v="1.96496"/>
    <n v="1.93"/>
    <n v="1.99403"/>
    <n v="1.9620150000000001"/>
    <n v="640.29999999999995"/>
  </r>
  <r>
    <x v="15"/>
    <x v="2"/>
    <x v="0"/>
    <n v="1.96496"/>
    <n v="1.93"/>
    <n v="1.99403"/>
    <n v="1.9620150000000001"/>
    <n v="640.29999999999995"/>
  </r>
  <r>
    <x v="15"/>
    <x v="2"/>
    <x v="0"/>
    <n v="1.96496"/>
    <n v="1.93"/>
    <n v="1.99403"/>
    <n v="1.9620150000000001"/>
    <n v="640.29999999999995"/>
  </r>
  <r>
    <x v="15"/>
    <x v="2"/>
    <x v="0"/>
    <n v="1.96496"/>
    <n v="1.93"/>
    <n v="1.99403"/>
    <n v="1.9620150000000001"/>
    <n v="640.29999999999995"/>
  </r>
  <r>
    <x v="15"/>
    <x v="2"/>
    <x v="0"/>
    <n v="1.96496"/>
    <n v="1.93"/>
    <n v="1.99403"/>
    <n v="1.9620150000000001"/>
    <n v="640.29999999999995"/>
  </r>
  <r>
    <x v="15"/>
    <x v="2"/>
    <x v="0"/>
    <n v="1.96496"/>
    <n v="1.93"/>
    <n v="1.99403"/>
    <n v="1.9620150000000001"/>
    <n v="640.29999999999995"/>
  </r>
  <r>
    <x v="15"/>
    <x v="2"/>
    <x v="0"/>
    <n v="1.96496"/>
    <n v="1.93"/>
    <n v="1.99403"/>
    <n v="1.9620150000000001"/>
    <n v="640.29999999999995"/>
  </r>
  <r>
    <x v="15"/>
    <x v="2"/>
    <x v="0"/>
    <n v="1.96496"/>
    <n v="1.93"/>
    <n v="1.99403"/>
    <n v="1.9620150000000001"/>
    <n v="640.29999999999995"/>
  </r>
  <r>
    <x v="15"/>
    <x v="2"/>
    <x v="0"/>
    <n v="1.96496"/>
    <n v="1.93"/>
    <n v="1.99403"/>
    <n v="1.9620150000000001"/>
    <n v="640.29999999999995"/>
  </r>
  <r>
    <x v="15"/>
    <x v="2"/>
    <x v="0"/>
    <n v="1.96496"/>
    <n v="1.93"/>
    <n v="1.99403"/>
    <n v="1.9620150000000001"/>
    <n v="640.29999999999995"/>
  </r>
  <r>
    <x v="15"/>
    <x v="2"/>
    <x v="0"/>
    <n v="1.96496"/>
    <n v="1.93"/>
    <n v="1.99403"/>
    <n v="1.9620150000000001"/>
    <n v="640.29999999999995"/>
  </r>
  <r>
    <x v="15"/>
    <x v="2"/>
    <x v="0"/>
    <n v="1.96496"/>
    <n v="1.93"/>
    <n v="1.99403"/>
    <n v="1.9620150000000001"/>
    <n v="640.29999999999995"/>
  </r>
  <r>
    <x v="15"/>
    <x v="2"/>
    <x v="0"/>
    <n v="1.96496"/>
    <n v="1.93"/>
    <n v="1.99403"/>
    <n v="1.9620150000000001"/>
    <n v="640.29999999999995"/>
  </r>
  <r>
    <x v="15"/>
    <x v="2"/>
    <x v="2"/>
    <n v="101.315"/>
    <n v="101"/>
    <n v="103"/>
    <n v="102"/>
    <n v="200"/>
  </r>
  <r>
    <x v="15"/>
    <x v="2"/>
    <x v="2"/>
    <n v="101.315"/>
    <n v="101"/>
    <n v="103"/>
    <n v="102"/>
    <n v="200"/>
  </r>
  <r>
    <x v="15"/>
    <x v="2"/>
    <x v="2"/>
    <n v="101.315"/>
    <n v="101"/>
    <n v="103"/>
    <n v="102"/>
    <n v="200"/>
  </r>
  <r>
    <x v="15"/>
    <x v="2"/>
    <x v="2"/>
    <n v="101.315"/>
    <n v="101"/>
    <n v="103"/>
    <n v="102"/>
    <n v="200"/>
  </r>
  <r>
    <x v="15"/>
    <x v="2"/>
    <x v="2"/>
    <n v="101.315"/>
    <n v="101"/>
    <n v="103"/>
    <n v="102"/>
    <n v="200"/>
  </r>
  <r>
    <x v="15"/>
    <x v="2"/>
    <x v="2"/>
    <n v="101.315"/>
    <n v="101"/>
    <n v="103"/>
    <n v="102"/>
    <n v="200"/>
  </r>
  <r>
    <x v="15"/>
    <x v="2"/>
    <x v="2"/>
    <n v="101.315"/>
    <n v="101"/>
    <n v="103"/>
    <n v="102"/>
    <n v="200"/>
  </r>
  <r>
    <x v="15"/>
    <x v="2"/>
    <x v="2"/>
    <n v="101.315"/>
    <n v="101"/>
    <n v="103"/>
    <n v="102"/>
    <n v="200"/>
  </r>
  <r>
    <x v="15"/>
    <x v="2"/>
    <x v="2"/>
    <n v="101.315"/>
    <n v="101"/>
    <n v="103"/>
    <n v="102"/>
    <n v="200"/>
  </r>
  <r>
    <x v="15"/>
    <x v="3"/>
    <x v="2"/>
    <n v="101.804"/>
    <n v="101"/>
    <n v="103"/>
    <n v="102"/>
    <n v="200"/>
  </r>
  <r>
    <x v="15"/>
    <x v="3"/>
    <x v="2"/>
    <n v="101.804"/>
    <n v="101"/>
    <n v="103"/>
    <n v="102"/>
    <n v="200"/>
  </r>
  <r>
    <x v="15"/>
    <x v="3"/>
    <x v="2"/>
    <n v="101.804"/>
    <n v="101"/>
    <n v="103"/>
    <n v="102"/>
    <n v="200"/>
  </r>
  <r>
    <x v="15"/>
    <x v="3"/>
    <x v="2"/>
    <n v="101.804"/>
    <n v="101"/>
    <n v="103"/>
    <n v="102"/>
    <n v="200"/>
  </r>
  <r>
    <x v="15"/>
    <x v="3"/>
    <x v="2"/>
    <n v="101.804"/>
    <n v="101"/>
    <n v="103"/>
    <n v="102"/>
    <n v="200"/>
  </r>
  <r>
    <x v="15"/>
    <x v="3"/>
    <x v="2"/>
    <n v="101.804"/>
    <n v="101"/>
    <n v="103"/>
    <n v="102"/>
    <n v="200"/>
  </r>
  <r>
    <x v="15"/>
    <x v="3"/>
    <x v="4"/>
    <n v="95.638999999999996"/>
    <n v="93.2"/>
    <n v="96.403000000000006"/>
    <n v="94.801500000000004"/>
    <n v="320.3"/>
  </r>
  <r>
    <x v="15"/>
    <x v="3"/>
    <x v="4"/>
    <n v="95.638999999999996"/>
    <n v="93.2"/>
    <n v="96.403000000000006"/>
    <n v="94.801500000000004"/>
    <n v="320.3"/>
  </r>
  <r>
    <x v="15"/>
    <x v="3"/>
    <x v="4"/>
    <n v="95.638999999999996"/>
    <n v="93.2"/>
    <n v="96.403000000000006"/>
    <n v="94.801500000000004"/>
    <n v="320.3"/>
  </r>
  <r>
    <x v="15"/>
    <x v="3"/>
    <x v="4"/>
    <n v="95.638999999999996"/>
    <n v="93.2"/>
    <n v="96.403000000000006"/>
    <n v="94.801500000000004"/>
    <n v="320.3"/>
  </r>
  <r>
    <x v="15"/>
    <x v="3"/>
    <x v="4"/>
    <n v="95.638999999999996"/>
    <n v="93.2"/>
    <n v="96.403000000000006"/>
    <n v="94.801500000000004"/>
    <n v="320.3"/>
  </r>
  <r>
    <x v="15"/>
    <x v="3"/>
    <x v="4"/>
    <n v="95.638999999999996"/>
    <n v="93.2"/>
    <n v="96.403000000000006"/>
    <n v="94.801500000000004"/>
    <n v="320.3"/>
  </r>
  <r>
    <x v="15"/>
    <x v="3"/>
    <x v="4"/>
    <n v="95.638999999999996"/>
    <n v="93.2"/>
    <n v="96.403000000000006"/>
    <n v="94.801500000000004"/>
    <n v="320.3"/>
  </r>
  <r>
    <x v="15"/>
    <x v="3"/>
    <x v="4"/>
    <n v="95.638999999999996"/>
    <n v="93.2"/>
    <n v="96.403000000000006"/>
    <n v="94.801500000000004"/>
    <n v="320.3"/>
  </r>
  <r>
    <x v="15"/>
    <x v="3"/>
    <x v="4"/>
    <n v="95.638999999999996"/>
    <n v="93.2"/>
    <n v="96.403000000000006"/>
    <n v="94.801500000000004"/>
    <n v="320.3"/>
  </r>
  <r>
    <x v="15"/>
    <x v="3"/>
    <x v="4"/>
    <n v="95.638999999999996"/>
    <n v="93.2"/>
    <n v="96.403000000000006"/>
    <n v="94.801500000000004"/>
    <n v="320.3"/>
  </r>
  <r>
    <x v="15"/>
    <x v="3"/>
    <x v="4"/>
    <n v="95.638999999999996"/>
    <n v="93.2"/>
    <n v="96.403000000000006"/>
    <n v="94.801500000000004"/>
    <n v="320.3"/>
  </r>
  <r>
    <x v="15"/>
    <x v="3"/>
    <x v="4"/>
    <n v="95.638999999999996"/>
    <n v="93.2"/>
    <n v="96.403000000000006"/>
    <n v="94.801500000000004"/>
    <n v="320.3"/>
  </r>
  <r>
    <x v="15"/>
    <x v="3"/>
    <x v="4"/>
    <n v="95.638999999999996"/>
    <n v="93.2"/>
    <n v="96.403000000000006"/>
    <n v="94.801500000000004"/>
    <n v="320.3"/>
  </r>
  <r>
    <x v="15"/>
    <x v="3"/>
    <x v="4"/>
    <n v="95.638999999999996"/>
    <n v="93.2"/>
    <n v="96.403000000000006"/>
    <n v="94.801500000000004"/>
    <n v="320.3"/>
  </r>
  <r>
    <x v="15"/>
    <x v="3"/>
    <x v="4"/>
    <n v="95.638999999999996"/>
    <n v="93.2"/>
    <n v="96.403000000000006"/>
    <n v="94.801500000000004"/>
    <n v="320.3"/>
  </r>
  <r>
    <x v="15"/>
    <x v="3"/>
    <x v="4"/>
    <n v="95.638999999999996"/>
    <n v="93.2"/>
    <n v="96.403000000000006"/>
    <n v="94.801500000000004"/>
    <n v="320.3"/>
  </r>
  <r>
    <x v="15"/>
    <x v="3"/>
    <x v="4"/>
    <n v="95.638999999999996"/>
    <n v="93.2"/>
    <n v="96.403000000000006"/>
    <n v="94.801500000000004"/>
    <n v="320.3"/>
  </r>
  <r>
    <x v="15"/>
    <x v="3"/>
    <x v="4"/>
    <n v="95.638999999999996"/>
    <n v="93.2"/>
    <n v="96.403000000000006"/>
    <n v="94.801500000000004"/>
    <n v="320.3"/>
  </r>
  <r>
    <x v="15"/>
    <x v="3"/>
    <x v="3"/>
    <n v="1.34287"/>
    <n v="1.34297"/>
    <n v="1.3970800000000001"/>
    <n v="1.370025"/>
    <n v="541.1"/>
  </r>
  <r>
    <x v="15"/>
    <x v="3"/>
    <x v="3"/>
    <n v="1.34287"/>
    <n v="1.34297"/>
    <n v="1.3970800000000001"/>
    <n v="1.370025"/>
    <n v="541.1"/>
  </r>
  <r>
    <x v="15"/>
    <x v="3"/>
    <x v="3"/>
    <n v="1.34287"/>
    <n v="1.34297"/>
    <n v="1.3970800000000001"/>
    <n v="1.370025"/>
    <n v="541.1"/>
  </r>
  <r>
    <x v="15"/>
    <x v="3"/>
    <x v="3"/>
    <n v="1.34287"/>
    <n v="1.34297"/>
    <n v="1.3970800000000001"/>
    <n v="1.370025"/>
    <n v="541.1"/>
  </r>
  <r>
    <x v="15"/>
    <x v="3"/>
    <x v="3"/>
    <n v="1.34287"/>
    <n v="1.34297"/>
    <n v="1.3970800000000001"/>
    <n v="1.370025"/>
    <n v="541.1"/>
  </r>
  <r>
    <x v="15"/>
    <x v="3"/>
    <x v="3"/>
    <n v="1.34287"/>
    <n v="1.34297"/>
    <n v="1.3970800000000001"/>
    <n v="1.370025"/>
    <n v="541.1"/>
  </r>
  <r>
    <x v="15"/>
    <x v="3"/>
    <x v="3"/>
    <n v="1.34287"/>
    <n v="1.34297"/>
    <n v="1.3970800000000001"/>
    <n v="1.370025"/>
    <n v="541.1"/>
  </r>
  <r>
    <x v="15"/>
    <x v="3"/>
    <x v="3"/>
    <n v="1.34287"/>
    <n v="1.34297"/>
    <n v="1.3970800000000001"/>
    <n v="1.370025"/>
    <n v="541.1"/>
  </r>
  <r>
    <x v="15"/>
    <x v="3"/>
    <x v="3"/>
    <n v="1.34287"/>
    <n v="1.34297"/>
    <n v="1.3970800000000001"/>
    <n v="1.370025"/>
    <n v="541.1"/>
  </r>
  <r>
    <x v="15"/>
    <x v="3"/>
    <x v="3"/>
    <n v="1.34287"/>
    <n v="1.34297"/>
    <n v="1.3970800000000001"/>
    <n v="1.370025"/>
    <n v="541.1"/>
  </r>
  <r>
    <x v="15"/>
    <x v="3"/>
    <x v="3"/>
    <n v="1.34287"/>
    <n v="1.34297"/>
    <n v="1.3970800000000001"/>
    <n v="1.370025"/>
    <n v="541.1"/>
  </r>
  <r>
    <x v="15"/>
    <x v="3"/>
    <x v="3"/>
    <n v="1.34287"/>
    <n v="1.34297"/>
    <n v="1.3970800000000001"/>
    <n v="1.370025"/>
    <n v="541.1"/>
  </r>
  <r>
    <x v="15"/>
    <x v="3"/>
    <x v="3"/>
    <n v="1.34287"/>
    <n v="1.34297"/>
    <n v="1.3970800000000001"/>
    <n v="1.370025"/>
    <n v="541.1"/>
  </r>
  <r>
    <x v="15"/>
    <x v="3"/>
    <x v="3"/>
    <n v="1.34287"/>
    <n v="1.34297"/>
    <n v="1.3970800000000001"/>
    <n v="1.370025"/>
    <n v="541.1"/>
  </r>
  <r>
    <x v="15"/>
    <x v="3"/>
    <x v="3"/>
    <n v="1.34287"/>
    <n v="1.34297"/>
    <n v="1.3970800000000001"/>
    <n v="1.370025"/>
    <n v="541.1"/>
  </r>
  <r>
    <x v="15"/>
    <x v="3"/>
    <x v="3"/>
    <n v="1.34287"/>
    <n v="1.34297"/>
    <n v="1.3970800000000001"/>
    <n v="1.370025"/>
    <n v="541.1"/>
  </r>
  <r>
    <x v="15"/>
    <x v="3"/>
    <x v="3"/>
    <n v="1.34287"/>
    <n v="1.34297"/>
    <n v="1.3970800000000001"/>
    <n v="1.370025"/>
    <n v="541.1"/>
  </r>
  <r>
    <x v="15"/>
    <x v="3"/>
    <x v="3"/>
    <n v="1.34287"/>
    <n v="1.34297"/>
    <n v="1.3970800000000001"/>
    <n v="1.370025"/>
    <n v="541.1"/>
  </r>
  <r>
    <x v="15"/>
    <x v="3"/>
    <x v="3"/>
    <n v="1.34287"/>
    <n v="1.34297"/>
    <n v="1.3970800000000001"/>
    <n v="1.370025"/>
    <n v="541.1"/>
  </r>
  <r>
    <x v="15"/>
    <x v="3"/>
    <x v="3"/>
    <n v="1.34287"/>
    <n v="1.34297"/>
    <n v="1.3970800000000001"/>
    <n v="1.370025"/>
    <n v="541.1"/>
  </r>
  <r>
    <x v="15"/>
    <x v="3"/>
    <x v="0"/>
    <n v="1.9835499999999999"/>
    <n v="1.93"/>
    <n v="1.99403"/>
    <n v="1.9620150000000001"/>
    <n v="640.29999999999995"/>
  </r>
  <r>
    <x v="15"/>
    <x v="3"/>
    <x v="0"/>
    <n v="1.9835499999999999"/>
    <n v="1.93"/>
    <n v="1.99403"/>
    <n v="1.9620150000000001"/>
    <n v="640.29999999999995"/>
  </r>
  <r>
    <x v="15"/>
    <x v="3"/>
    <x v="0"/>
    <n v="1.9835499999999999"/>
    <n v="1.93"/>
    <n v="1.99403"/>
    <n v="1.9620150000000001"/>
    <n v="640.29999999999995"/>
  </r>
  <r>
    <x v="15"/>
    <x v="3"/>
    <x v="0"/>
    <n v="1.9835499999999999"/>
    <n v="1.93"/>
    <n v="1.99403"/>
    <n v="1.9620150000000001"/>
    <n v="640.29999999999995"/>
  </r>
  <r>
    <x v="15"/>
    <x v="3"/>
    <x v="0"/>
    <n v="1.9835499999999999"/>
    <n v="1.93"/>
    <n v="1.99403"/>
    <n v="1.9620150000000001"/>
    <n v="640.29999999999995"/>
  </r>
  <r>
    <x v="15"/>
    <x v="3"/>
    <x v="0"/>
    <n v="1.9835499999999999"/>
    <n v="1.93"/>
    <n v="1.99403"/>
    <n v="1.9620150000000001"/>
    <n v="640.29999999999995"/>
  </r>
  <r>
    <x v="15"/>
    <x v="3"/>
    <x v="0"/>
    <n v="1.9835499999999999"/>
    <n v="1.93"/>
    <n v="1.99403"/>
    <n v="1.9620150000000001"/>
    <n v="640.29999999999995"/>
  </r>
  <r>
    <x v="15"/>
    <x v="3"/>
    <x v="0"/>
    <n v="1.9835499999999999"/>
    <n v="1.93"/>
    <n v="1.99403"/>
    <n v="1.9620150000000001"/>
    <n v="640.29999999999995"/>
  </r>
  <r>
    <x v="15"/>
    <x v="3"/>
    <x v="0"/>
    <n v="1.9835499999999999"/>
    <n v="1.93"/>
    <n v="1.99403"/>
    <n v="1.9620150000000001"/>
    <n v="640.29999999999995"/>
  </r>
  <r>
    <x v="15"/>
    <x v="3"/>
    <x v="0"/>
    <n v="1.9835499999999999"/>
    <n v="1.93"/>
    <n v="1.99403"/>
    <n v="1.9620150000000001"/>
    <n v="640.29999999999995"/>
  </r>
  <r>
    <x v="15"/>
    <x v="3"/>
    <x v="0"/>
    <n v="1.9835499999999999"/>
    <n v="1.93"/>
    <n v="1.99403"/>
    <n v="1.9620150000000001"/>
    <n v="640.29999999999995"/>
  </r>
  <r>
    <x v="15"/>
    <x v="3"/>
    <x v="0"/>
    <n v="1.9835499999999999"/>
    <n v="1.93"/>
    <n v="1.99403"/>
    <n v="1.9620150000000001"/>
    <n v="640.29999999999995"/>
  </r>
  <r>
    <x v="15"/>
    <x v="3"/>
    <x v="0"/>
    <n v="1.9835499999999999"/>
    <n v="1.93"/>
    <n v="1.99403"/>
    <n v="1.9620150000000001"/>
    <n v="640.29999999999995"/>
  </r>
  <r>
    <x v="15"/>
    <x v="3"/>
    <x v="0"/>
    <n v="1.9835499999999999"/>
    <n v="1.93"/>
    <n v="1.99403"/>
    <n v="1.9620150000000001"/>
    <n v="640.29999999999995"/>
  </r>
  <r>
    <x v="15"/>
    <x v="3"/>
    <x v="0"/>
    <n v="1.9835499999999999"/>
    <n v="1.93"/>
    <n v="1.99403"/>
    <n v="1.9620150000000001"/>
    <n v="640.29999999999995"/>
  </r>
  <r>
    <x v="15"/>
    <x v="3"/>
    <x v="0"/>
    <n v="1.9835499999999999"/>
    <n v="1.93"/>
    <n v="1.99403"/>
    <n v="1.9620150000000001"/>
    <n v="640.29999999999995"/>
  </r>
  <r>
    <x v="15"/>
    <x v="3"/>
    <x v="0"/>
    <n v="1.9835499999999999"/>
    <n v="1.93"/>
    <n v="1.99403"/>
    <n v="1.9620150000000001"/>
    <n v="640.29999999999995"/>
  </r>
  <r>
    <x v="15"/>
    <x v="3"/>
    <x v="0"/>
    <n v="1.9835499999999999"/>
    <n v="1.93"/>
    <n v="1.99403"/>
    <n v="1.9620150000000001"/>
    <n v="640.29999999999995"/>
  </r>
  <r>
    <x v="15"/>
    <x v="3"/>
    <x v="0"/>
    <n v="1.9835499999999999"/>
    <n v="1.93"/>
    <n v="1.99403"/>
    <n v="1.9620150000000001"/>
    <n v="640.29999999999995"/>
  </r>
  <r>
    <x v="15"/>
    <x v="3"/>
    <x v="0"/>
    <n v="1.9835499999999999"/>
    <n v="1.93"/>
    <n v="1.99403"/>
    <n v="1.9620150000000001"/>
    <n v="640.29999999999995"/>
  </r>
  <r>
    <x v="15"/>
    <x v="3"/>
    <x v="2"/>
    <n v="101.804"/>
    <n v="101"/>
    <n v="103"/>
    <n v="102"/>
    <n v="200"/>
  </r>
  <r>
    <x v="15"/>
    <x v="3"/>
    <x v="2"/>
    <n v="101.804"/>
    <n v="101"/>
    <n v="103"/>
    <n v="102"/>
    <n v="200"/>
  </r>
  <r>
    <x v="15"/>
    <x v="3"/>
    <x v="2"/>
    <n v="101.804"/>
    <n v="101"/>
    <n v="103"/>
    <n v="102"/>
    <n v="200"/>
  </r>
  <r>
    <x v="15"/>
    <x v="3"/>
    <x v="2"/>
    <n v="101.804"/>
    <n v="101"/>
    <n v="103"/>
    <n v="102"/>
    <n v="200"/>
  </r>
  <r>
    <x v="15"/>
    <x v="3"/>
    <x v="2"/>
    <n v="101.804"/>
    <n v="101"/>
    <n v="103"/>
    <n v="102"/>
    <n v="200"/>
  </r>
  <r>
    <x v="15"/>
    <x v="3"/>
    <x v="2"/>
    <n v="101.804"/>
    <n v="101"/>
    <n v="103"/>
    <n v="102"/>
    <n v="200"/>
  </r>
  <r>
    <x v="15"/>
    <x v="4"/>
    <x v="2"/>
    <n v="102.59099999999999"/>
    <n v="101"/>
    <n v="103"/>
    <n v="102"/>
    <n v="200"/>
  </r>
  <r>
    <x v="15"/>
    <x v="4"/>
    <x v="2"/>
    <n v="102.59099999999999"/>
    <n v="101"/>
    <n v="103"/>
    <n v="102"/>
    <n v="200"/>
  </r>
  <r>
    <x v="15"/>
    <x v="4"/>
    <x v="2"/>
    <n v="102.59099999999999"/>
    <n v="101"/>
    <n v="103"/>
    <n v="102"/>
    <n v="200"/>
  </r>
  <r>
    <x v="15"/>
    <x v="4"/>
    <x v="2"/>
    <n v="102.59099999999999"/>
    <n v="101"/>
    <n v="103"/>
    <n v="102"/>
    <n v="200"/>
  </r>
  <r>
    <x v="15"/>
    <x v="4"/>
    <x v="2"/>
    <n v="102.59099999999999"/>
    <n v="101"/>
    <n v="103"/>
    <n v="102"/>
    <n v="200"/>
  </r>
  <r>
    <x v="15"/>
    <x v="4"/>
    <x v="2"/>
    <n v="102.59099999999999"/>
    <n v="101"/>
    <n v="103"/>
    <n v="102"/>
    <n v="200"/>
  </r>
  <r>
    <x v="15"/>
    <x v="4"/>
    <x v="2"/>
    <n v="102.59099999999999"/>
    <n v="101"/>
    <n v="103"/>
    <n v="102"/>
    <n v="200"/>
  </r>
  <r>
    <x v="15"/>
    <x v="4"/>
    <x v="2"/>
    <n v="102.59099999999999"/>
    <n v="101"/>
    <n v="103"/>
    <n v="102"/>
    <n v="200"/>
  </r>
  <r>
    <x v="15"/>
    <x v="4"/>
    <x v="2"/>
    <n v="102.59099999999999"/>
    <n v="101"/>
    <n v="103"/>
    <n v="102"/>
    <n v="200"/>
  </r>
  <r>
    <x v="15"/>
    <x v="4"/>
    <x v="2"/>
    <n v="102.59099999999999"/>
    <n v="101"/>
    <n v="103"/>
    <n v="102"/>
    <n v="200"/>
  </r>
  <r>
    <x v="15"/>
    <x v="4"/>
    <x v="2"/>
    <n v="102.59099999999999"/>
    <n v="101"/>
    <n v="103"/>
    <n v="102"/>
    <n v="200"/>
  </r>
  <r>
    <x v="15"/>
    <x v="4"/>
    <x v="0"/>
    <n v="1.97536"/>
    <n v="1.93"/>
    <n v="1.99403"/>
    <n v="1.9620150000000001"/>
    <n v="640.29999999999995"/>
  </r>
  <r>
    <x v="15"/>
    <x v="4"/>
    <x v="0"/>
    <n v="1.97536"/>
    <n v="1.93"/>
    <n v="1.99403"/>
    <n v="1.9620150000000001"/>
    <n v="640.29999999999995"/>
  </r>
  <r>
    <x v="15"/>
    <x v="4"/>
    <x v="0"/>
    <n v="1.97536"/>
    <n v="1.93"/>
    <n v="1.99403"/>
    <n v="1.9620150000000001"/>
    <n v="640.29999999999995"/>
  </r>
  <r>
    <x v="15"/>
    <x v="4"/>
    <x v="0"/>
    <n v="1.97536"/>
    <n v="1.93"/>
    <n v="1.99403"/>
    <n v="1.9620150000000001"/>
    <n v="640.29999999999995"/>
  </r>
  <r>
    <x v="15"/>
    <x v="4"/>
    <x v="0"/>
    <n v="1.97536"/>
    <n v="1.93"/>
    <n v="1.99403"/>
    <n v="1.9620150000000001"/>
    <n v="640.29999999999995"/>
  </r>
  <r>
    <x v="15"/>
    <x v="4"/>
    <x v="0"/>
    <n v="1.97536"/>
    <n v="1.93"/>
    <n v="1.99403"/>
    <n v="1.9620150000000001"/>
    <n v="640.29999999999995"/>
  </r>
  <r>
    <x v="15"/>
    <x v="4"/>
    <x v="0"/>
    <n v="1.97536"/>
    <n v="1.93"/>
    <n v="1.99403"/>
    <n v="1.9620150000000001"/>
    <n v="640.29999999999995"/>
  </r>
  <r>
    <x v="15"/>
    <x v="4"/>
    <x v="0"/>
    <n v="1.97536"/>
    <n v="1.93"/>
    <n v="1.99403"/>
    <n v="1.9620150000000001"/>
    <n v="640.29999999999995"/>
  </r>
  <r>
    <x v="15"/>
    <x v="4"/>
    <x v="0"/>
    <n v="1.97536"/>
    <n v="1.93"/>
    <n v="1.99403"/>
    <n v="1.9620150000000001"/>
    <n v="640.29999999999995"/>
  </r>
  <r>
    <x v="15"/>
    <x v="4"/>
    <x v="0"/>
    <n v="1.97536"/>
    <n v="1.93"/>
    <n v="1.99403"/>
    <n v="1.9620150000000001"/>
    <n v="640.29999999999995"/>
  </r>
  <r>
    <x v="15"/>
    <x v="4"/>
    <x v="0"/>
    <n v="1.97536"/>
    <n v="1.93"/>
    <n v="1.99403"/>
    <n v="1.9620150000000001"/>
    <n v="640.29999999999995"/>
  </r>
  <r>
    <x v="15"/>
    <x v="4"/>
    <x v="0"/>
    <n v="1.97536"/>
    <n v="1.93"/>
    <n v="1.99403"/>
    <n v="1.9620150000000001"/>
    <n v="640.29999999999995"/>
  </r>
  <r>
    <x v="15"/>
    <x v="4"/>
    <x v="0"/>
    <n v="1.97536"/>
    <n v="1.93"/>
    <n v="1.99403"/>
    <n v="1.9620150000000001"/>
    <n v="640.29999999999995"/>
  </r>
  <r>
    <x v="15"/>
    <x v="4"/>
    <x v="0"/>
    <n v="1.97536"/>
    <n v="1.93"/>
    <n v="1.99403"/>
    <n v="1.9620150000000001"/>
    <n v="640.29999999999995"/>
  </r>
  <r>
    <x v="15"/>
    <x v="4"/>
    <x v="0"/>
    <n v="1.97536"/>
    <n v="1.93"/>
    <n v="1.99403"/>
    <n v="1.9620150000000001"/>
    <n v="640.29999999999995"/>
  </r>
  <r>
    <x v="15"/>
    <x v="4"/>
    <x v="0"/>
    <n v="1.97536"/>
    <n v="1.93"/>
    <n v="1.99403"/>
    <n v="1.9620150000000001"/>
    <n v="640.29999999999995"/>
  </r>
  <r>
    <x v="15"/>
    <x v="4"/>
    <x v="0"/>
    <n v="1.97536"/>
    <n v="1.93"/>
    <n v="1.99403"/>
    <n v="1.9620150000000001"/>
    <n v="640.29999999999995"/>
  </r>
  <r>
    <x v="15"/>
    <x v="4"/>
    <x v="0"/>
    <n v="1.97536"/>
    <n v="1.93"/>
    <n v="1.99403"/>
    <n v="1.9620150000000001"/>
    <n v="640.29999999999995"/>
  </r>
  <r>
    <x v="15"/>
    <x v="4"/>
    <x v="0"/>
    <n v="1.97536"/>
    <n v="1.93"/>
    <n v="1.99403"/>
    <n v="1.9620150000000001"/>
    <n v="640.29999999999995"/>
  </r>
  <r>
    <x v="15"/>
    <x v="4"/>
    <x v="0"/>
    <n v="1.97536"/>
    <n v="1.93"/>
    <n v="1.99403"/>
    <n v="1.9620150000000001"/>
    <n v="640.29999999999995"/>
  </r>
  <r>
    <x v="15"/>
    <x v="4"/>
    <x v="0"/>
    <n v="1.97536"/>
    <n v="1.93"/>
    <n v="1.99403"/>
    <n v="1.9620150000000001"/>
    <n v="640.29999999999995"/>
  </r>
  <r>
    <x v="15"/>
    <x v="4"/>
    <x v="3"/>
    <n v="1.34266"/>
    <n v="1.33697"/>
    <n v="1.3970800000000001"/>
    <n v="1.3670249999999999"/>
    <n v="601.1"/>
  </r>
  <r>
    <x v="15"/>
    <x v="4"/>
    <x v="3"/>
    <n v="1.34266"/>
    <n v="1.33697"/>
    <n v="1.3970800000000001"/>
    <n v="1.3670249999999999"/>
    <n v="601.1"/>
  </r>
  <r>
    <x v="15"/>
    <x v="4"/>
    <x v="3"/>
    <n v="1.34266"/>
    <n v="1.33697"/>
    <n v="1.3970800000000001"/>
    <n v="1.3670249999999999"/>
    <n v="601.1"/>
  </r>
  <r>
    <x v="15"/>
    <x v="4"/>
    <x v="3"/>
    <n v="1.34266"/>
    <n v="1.33697"/>
    <n v="1.3970800000000001"/>
    <n v="1.3670249999999999"/>
    <n v="601.1"/>
  </r>
  <r>
    <x v="15"/>
    <x v="4"/>
    <x v="3"/>
    <n v="1.34266"/>
    <n v="1.33697"/>
    <n v="1.3970800000000001"/>
    <n v="1.3670249999999999"/>
    <n v="601.1"/>
  </r>
  <r>
    <x v="15"/>
    <x v="4"/>
    <x v="3"/>
    <n v="1.34266"/>
    <n v="1.33697"/>
    <n v="1.3970800000000001"/>
    <n v="1.3670249999999999"/>
    <n v="601.1"/>
  </r>
  <r>
    <x v="15"/>
    <x v="4"/>
    <x v="3"/>
    <n v="1.34266"/>
    <n v="1.33697"/>
    <n v="1.3970800000000001"/>
    <n v="1.3670249999999999"/>
    <n v="601.1"/>
  </r>
  <r>
    <x v="15"/>
    <x v="4"/>
    <x v="3"/>
    <n v="1.34266"/>
    <n v="1.33697"/>
    <n v="1.3970800000000001"/>
    <n v="1.3670249999999999"/>
    <n v="601.1"/>
  </r>
  <r>
    <x v="15"/>
    <x v="4"/>
    <x v="3"/>
    <n v="1.34266"/>
    <n v="1.33697"/>
    <n v="1.3970800000000001"/>
    <n v="1.3670249999999999"/>
    <n v="601.1"/>
  </r>
  <r>
    <x v="15"/>
    <x v="4"/>
    <x v="3"/>
    <n v="1.34266"/>
    <n v="1.33697"/>
    <n v="1.3970800000000001"/>
    <n v="1.3670249999999999"/>
    <n v="601.1"/>
  </r>
  <r>
    <x v="15"/>
    <x v="4"/>
    <x v="3"/>
    <n v="1.34266"/>
    <n v="1.33697"/>
    <n v="1.3970800000000001"/>
    <n v="1.3670249999999999"/>
    <n v="601.1"/>
  </r>
  <r>
    <x v="15"/>
    <x v="4"/>
    <x v="3"/>
    <n v="1.34266"/>
    <n v="1.33697"/>
    <n v="1.3970800000000001"/>
    <n v="1.3670249999999999"/>
    <n v="601.1"/>
  </r>
  <r>
    <x v="15"/>
    <x v="4"/>
    <x v="3"/>
    <n v="1.34266"/>
    <n v="1.33697"/>
    <n v="1.3970800000000001"/>
    <n v="1.3670249999999999"/>
    <n v="601.1"/>
  </r>
  <r>
    <x v="15"/>
    <x v="4"/>
    <x v="3"/>
    <n v="1.34266"/>
    <n v="1.33697"/>
    <n v="1.3970800000000001"/>
    <n v="1.3670249999999999"/>
    <n v="601.1"/>
  </r>
  <r>
    <x v="15"/>
    <x v="4"/>
    <x v="3"/>
    <n v="1.34266"/>
    <n v="1.33697"/>
    <n v="1.3970800000000001"/>
    <n v="1.3670249999999999"/>
    <n v="601.1"/>
  </r>
  <r>
    <x v="15"/>
    <x v="4"/>
    <x v="3"/>
    <n v="1.34266"/>
    <n v="1.33697"/>
    <n v="1.3970800000000001"/>
    <n v="1.3670249999999999"/>
    <n v="601.1"/>
  </r>
  <r>
    <x v="15"/>
    <x v="4"/>
    <x v="3"/>
    <n v="1.34266"/>
    <n v="1.33697"/>
    <n v="1.3970800000000001"/>
    <n v="1.3670249999999999"/>
    <n v="601.1"/>
  </r>
  <r>
    <x v="15"/>
    <x v="4"/>
    <x v="3"/>
    <n v="1.34266"/>
    <n v="1.33697"/>
    <n v="1.3970800000000001"/>
    <n v="1.3670249999999999"/>
    <n v="601.1"/>
  </r>
  <r>
    <x v="15"/>
    <x v="4"/>
    <x v="3"/>
    <n v="1.34266"/>
    <n v="1.33697"/>
    <n v="1.3970800000000001"/>
    <n v="1.3670249999999999"/>
    <n v="601.1"/>
  </r>
  <r>
    <x v="15"/>
    <x v="4"/>
    <x v="3"/>
    <n v="1.34266"/>
    <n v="1.33697"/>
    <n v="1.3970800000000001"/>
    <n v="1.3670249999999999"/>
    <n v="601.1"/>
  </r>
  <r>
    <x v="15"/>
    <x v="4"/>
    <x v="3"/>
    <n v="1.34266"/>
    <n v="1.33697"/>
    <n v="1.3970800000000001"/>
    <n v="1.3670249999999999"/>
    <n v="601.1"/>
  </r>
  <r>
    <x v="15"/>
    <x v="4"/>
    <x v="3"/>
    <n v="1.34266"/>
    <n v="1.33697"/>
    <n v="1.3970800000000001"/>
    <n v="1.3670249999999999"/>
    <n v="601.1"/>
  </r>
  <r>
    <x v="15"/>
    <x v="4"/>
    <x v="4"/>
    <n v="95.513999999999996"/>
    <n v="93.2"/>
    <n v="96.403000000000006"/>
    <n v="94.801500000000004"/>
    <n v="320.3"/>
  </r>
  <r>
    <x v="15"/>
    <x v="4"/>
    <x v="4"/>
    <n v="95.513999999999996"/>
    <n v="93.2"/>
    <n v="96.403000000000006"/>
    <n v="94.801500000000004"/>
    <n v="320.3"/>
  </r>
  <r>
    <x v="15"/>
    <x v="4"/>
    <x v="4"/>
    <n v="95.513999999999996"/>
    <n v="93.2"/>
    <n v="96.403000000000006"/>
    <n v="94.801500000000004"/>
    <n v="320.3"/>
  </r>
  <r>
    <x v="15"/>
    <x v="4"/>
    <x v="4"/>
    <n v="95.513999999999996"/>
    <n v="93.2"/>
    <n v="96.403000000000006"/>
    <n v="94.801500000000004"/>
    <n v="320.3"/>
  </r>
  <r>
    <x v="15"/>
    <x v="4"/>
    <x v="4"/>
    <n v="95.513999999999996"/>
    <n v="93.2"/>
    <n v="96.403000000000006"/>
    <n v="94.801500000000004"/>
    <n v="320.3"/>
  </r>
  <r>
    <x v="15"/>
    <x v="4"/>
    <x v="4"/>
    <n v="95.513999999999996"/>
    <n v="93.2"/>
    <n v="96.403000000000006"/>
    <n v="94.801500000000004"/>
    <n v="320.3"/>
  </r>
  <r>
    <x v="15"/>
    <x v="4"/>
    <x v="4"/>
    <n v="95.513999999999996"/>
    <n v="93.2"/>
    <n v="96.403000000000006"/>
    <n v="94.801500000000004"/>
    <n v="320.3"/>
  </r>
  <r>
    <x v="15"/>
    <x v="4"/>
    <x v="4"/>
    <n v="95.513999999999996"/>
    <n v="93.2"/>
    <n v="96.403000000000006"/>
    <n v="94.801500000000004"/>
    <n v="320.3"/>
  </r>
  <r>
    <x v="15"/>
    <x v="4"/>
    <x v="4"/>
    <n v="95.513999999999996"/>
    <n v="93.2"/>
    <n v="96.403000000000006"/>
    <n v="94.801500000000004"/>
    <n v="320.3"/>
  </r>
  <r>
    <x v="15"/>
    <x v="4"/>
    <x v="4"/>
    <n v="95.513999999999996"/>
    <n v="93.2"/>
    <n v="96.403000000000006"/>
    <n v="94.801500000000004"/>
    <n v="320.3"/>
  </r>
  <r>
    <x v="15"/>
    <x v="4"/>
    <x v="4"/>
    <n v="95.513999999999996"/>
    <n v="93.2"/>
    <n v="96.403000000000006"/>
    <n v="94.801500000000004"/>
    <n v="320.3"/>
  </r>
  <r>
    <x v="15"/>
    <x v="4"/>
    <x v="4"/>
    <n v="95.513999999999996"/>
    <n v="93.2"/>
    <n v="96.403000000000006"/>
    <n v="94.801500000000004"/>
    <n v="320.3"/>
  </r>
  <r>
    <x v="15"/>
    <x v="4"/>
    <x v="4"/>
    <n v="95.513999999999996"/>
    <n v="93.2"/>
    <n v="96.403000000000006"/>
    <n v="94.801500000000004"/>
    <n v="320.3"/>
  </r>
  <r>
    <x v="15"/>
    <x v="4"/>
    <x v="4"/>
    <n v="95.513999999999996"/>
    <n v="93.2"/>
    <n v="96.403000000000006"/>
    <n v="94.801500000000004"/>
    <n v="320.3"/>
  </r>
  <r>
    <x v="15"/>
    <x v="4"/>
    <x v="4"/>
    <n v="95.513999999999996"/>
    <n v="93.2"/>
    <n v="96.403000000000006"/>
    <n v="94.801500000000004"/>
    <n v="320.3"/>
  </r>
  <r>
    <x v="15"/>
    <x v="4"/>
    <x v="4"/>
    <n v="95.513999999999996"/>
    <n v="93.2"/>
    <n v="96.403000000000006"/>
    <n v="94.801500000000004"/>
    <n v="320.3"/>
  </r>
  <r>
    <x v="15"/>
    <x v="4"/>
    <x v="4"/>
    <n v="95.513999999999996"/>
    <n v="93.2"/>
    <n v="96.403000000000006"/>
    <n v="94.801500000000004"/>
    <n v="320.3"/>
  </r>
  <r>
    <x v="15"/>
    <x v="4"/>
    <x v="4"/>
    <n v="95.513999999999996"/>
    <n v="93.2"/>
    <n v="96.403000000000006"/>
    <n v="94.801500000000004"/>
    <n v="320.3"/>
  </r>
  <r>
    <x v="15"/>
    <x v="5"/>
    <x v="2"/>
    <n v="102.017"/>
    <n v="101"/>
    <n v="103"/>
    <n v="102"/>
    <n v="200"/>
  </r>
  <r>
    <x v="15"/>
    <x v="5"/>
    <x v="2"/>
    <n v="102.017"/>
    <n v="101"/>
    <n v="103"/>
    <n v="102"/>
    <n v="200"/>
  </r>
  <r>
    <x v="15"/>
    <x v="5"/>
    <x v="2"/>
    <n v="102.017"/>
    <n v="101"/>
    <n v="103"/>
    <n v="102"/>
    <n v="200"/>
  </r>
  <r>
    <x v="15"/>
    <x v="5"/>
    <x v="2"/>
    <n v="102.017"/>
    <n v="101"/>
    <n v="103"/>
    <n v="102"/>
    <n v="200"/>
  </r>
  <r>
    <x v="15"/>
    <x v="5"/>
    <x v="2"/>
    <n v="102.017"/>
    <n v="101"/>
    <n v="103"/>
    <n v="102"/>
    <n v="200"/>
  </r>
  <r>
    <x v="15"/>
    <x v="5"/>
    <x v="2"/>
    <n v="102.017"/>
    <n v="101"/>
    <n v="103"/>
    <n v="102"/>
    <n v="200"/>
  </r>
  <r>
    <x v="15"/>
    <x v="5"/>
    <x v="2"/>
    <n v="102.017"/>
    <n v="101"/>
    <n v="103"/>
    <n v="102"/>
    <n v="200"/>
  </r>
  <r>
    <x v="15"/>
    <x v="5"/>
    <x v="2"/>
    <n v="102.017"/>
    <n v="101"/>
    <n v="103"/>
    <n v="102"/>
    <n v="200"/>
  </r>
  <r>
    <x v="15"/>
    <x v="5"/>
    <x v="2"/>
    <n v="102.017"/>
    <n v="101"/>
    <n v="103"/>
    <n v="102"/>
    <n v="200"/>
  </r>
  <r>
    <x v="15"/>
    <x v="5"/>
    <x v="2"/>
    <n v="102.017"/>
    <n v="101"/>
    <n v="103"/>
    <n v="102"/>
    <n v="200"/>
  </r>
  <r>
    <x v="15"/>
    <x v="5"/>
    <x v="2"/>
    <n v="102.017"/>
    <n v="101"/>
    <n v="103"/>
    <n v="102"/>
    <n v="200"/>
  </r>
  <r>
    <x v="15"/>
    <x v="5"/>
    <x v="4"/>
    <n v="94.616"/>
    <n v="93.2"/>
    <n v="96.403000000000006"/>
    <n v="94.801500000000004"/>
    <n v="320.3"/>
  </r>
  <r>
    <x v="15"/>
    <x v="5"/>
    <x v="4"/>
    <n v="94.616"/>
    <n v="93.2"/>
    <n v="96.403000000000006"/>
    <n v="94.801500000000004"/>
    <n v="320.3"/>
  </r>
  <r>
    <x v="15"/>
    <x v="5"/>
    <x v="4"/>
    <n v="94.616"/>
    <n v="93.2"/>
    <n v="96.403000000000006"/>
    <n v="94.801500000000004"/>
    <n v="320.3"/>
  </r>
  <r>
    <x v="15"/>
    <x v="5"/>
    <x v="4"/>
    <n v="94.616"/>
    <n v="93.2"/>
    <n v="96.403000000000006"/>
    <n v="94.801500000000004"/>
    <n v="320.3"/>
  </r>
  <r>
    <x v="15"/>
    <x v="5"/>
    <x v="4"/>
    <n v="94.616"/>
    <n v="93.2"/>
    <n v="96.403000000000006"/>
    <n v="94.801500000000004"/>
    <n v="320.3"/>
  </r>
  <r>
    <x v="15"/>
    <x v="5"/>
    <x v="4"/>
    <n v="94.616"/>
    <n v="93.2"/>
    <n v="96.403000000000006"/>
    <n v="94.801500000000004"/>
    <n v="320.3"/>
  </r>
  <r>
    <x v="15"/>
    <x v="5"/>
    <x v="4"/>
    <n v="94.616"/>
    <n v="93.2"/>
    <n v="96.403000000000006"/>
    <n v="94.801500000000004"/>
    <n v="320.3"/>
  </r>
  <r>
    <x v="15"/>
    <x v="5"/>
    <x v="4"/>
    <n v="94.616"/>
    <n v="93.2"/>
    <n v="96.403000000000006"/>
    <n v="94.801500000000004"/>
    <n v="320.3"/>
  </r>
  <r>
    <x v="15"/>
    <x v="5"/>
    <x v="4"/>
    <n v="94.616"/>
    <n v="93.2"/>
    <n v="96.403000000000006"/>
    <n v="94.801500000000004"/>
    <n v="320.3"/>
  </r>
  <r>
    <x v="15"/>
    <x v="5"/>
    <x v="4"/>
    <n v="94.616"/>
    <n v="93.2"/>
    <n v="96.403000000000006"/>
    <n v="94.801500000000004"/>
    <n v="320.3"/>
  </r>
  <r>
    <x v="15"/>
    <x v="5"/>
    <x v="4"/>
    <n v="94.616"/>
    <n v="93.2"/>
    <n v="96.403000000000006"/>
    <n v="94.801500000000004"/>
    <n v="320.3"/>
  </r>
  <r>
    <x v="15"/>
    <x v="5"/>
    <x v="4"/>
    <n v="94.616"/>
    <n v="93.2"/>
    <n v="96.403000000000006"/>
    <n v="94.801500000000004"/>
    <n v="320.3"/>
  </r>
  <r>
    <x v="15"/>
    <x v="5"/>
    <x v="4"/>
    <n v="94.616"/>
    <n v="93.2"/>
    <n v="96.403000000000006"/>
    <n v="94.801500000000004"/>
    <n v="320.3"/>
  </r>
  <r>
    <x v="15"/>
    <x v="5"/>
    <x v="4"/>
    <n v="94.616"/>
    <n v="93.2"/>
    <n v="96.403000000000006"/>
    <n v="94.801500000000004"/>
    <n v="320.3"/>
  </r>
  <r>
    <x v="15"/>
    <x v="5"/>
    <x v="4"/>
    <n v="94.616"/>
    <n v="93.2"/>
    <n v="96.403000000000006"/>
    <n v="94.801500000000004"/>
    <n v="320.3"/>
  </r>
  <r>
    <x v="15"/>
    <x v="5"/>
    <x v="4"/>
    <n v="94.616"/>
    <n v="93.2"/>
    <n v="96.403000000000006"/>
    <n v="94.801500000000004"/>
    <n v="320.3"/>
  </r>
  <r>
    <x v="15"/>
    <x v="5"/>
    <x v="4"/>
    <n v="94.616"/>
    <n v="93.2"/>
    <n v="96.403000000000006"/>
    <n v="94.801500000000004"/>
    <n v="320.3"/>
  </r>
  <r>
    <x v="15"/>
    <x v="5"/>
    <x v="4"/>
    <n v="94.616"/>
    <n v="93.2"/>
    <n v="96.403000000000006"/>
    <n v="94.801500000000004"/>
    <n v="320.3"/>
  </r>
  <r>
    <x v="15"/>
    <x v="5"/>
    <x v="3"/>
    <n v="1.3409"/>
    <n v="1.3340000000000001"/>
    <n v="1.3970800000000001"/>
    <n v="1.36554"/>
    <n v="630.79999999999995"/>
  </r>
  <r>
    <x v="15"/>
    <x v="5"/>
    <x v="3"/>
    <n v="1.3409"/>
    <n v="1.3340000000000001"/>
    <n v="1.3970800000000001"/>
    <n v="1.36554"/>
    <n v="630.79999999999995"/>
  </r>
  <r>
    <x v="15"/>
    <x v="5"/>
    <x v="3"/>
    <n v="1.3409"/>
    <n v="1.3340000000000001"/>
    <n v="1.3970800000000001"/>
    <n v="1.36554"/>
    <n v="630.79999999999995"/>
  </r>
  <r>
    <x v="15"/>
    <x v="5"/>
    <x v="3"/>
    <n v="1.3409"/>
    <n v="1.3340000000000001"/>
    <n v="1.3970800000000001"/>
    <n v="1.36554"/>
    <n v="630.79999999999995"/>
  </r>
  <r>
    <x v="15"/>
    <x v="5"/>
    <x v="3"/>
    <n v="1.3409"/>
    <n v="1.3340000000000001"/>
    <n v="1.3970800000000001"/>
    <n v="1.36554"/>
    <n v="630.79999999999995"/>
  </r>
  <r>
    <x v="15"/>
    <x v="5"/>
    <x v="3"/>
    <n v="1.3409"/>
    <n v="1.3340000000000001"/>
    <n v="1.3970800000000001"/>
    <n v="1.36554"/>
    <n v="630.79999999999995"/>
  </r>
  <r>
    <x v="15"/>
    <x v="5"/>
    <x v="3"/>
    <n v="1.3409"/>
    <n v="1.3340000000000001"/>
    <n v="1.3970800000000001"/>
    <n v="1.36554"/>
    <n v="630.79999999999995"/>
  </r>
  <r>
    <x v="15"/>
    <x v="5"/>
    <x v="3"/>
    <n v="1.3409"/>
    <n v="1.3340000000000001"/>
    <n v="1.3970800000000001"/>
    <n v="1.36554"/>
    <n v="630.79999999999995"/>
  </r>
  <r>
    <x v="15"/>
    <x v="5"/>
    <x v="3"/>
    <n v="1.3409"/>
    <n v="1.3340000000000001"/>
    <n v="1.3970800000000001"/>
    <n v="1.36554"/>
    <n v="630.79999999999995"/>
  </r>
  <r>
    <x v="15"/>
    <x v="5"/>
    <x v="3"/>
    <n v="1.3409"/>
    <n v="1.3340000000000001"/>
    <n v="1.3970800000000001"/>
    <n v="1.36554"/>
    <n v="630.79999999999995"/>
  </r>
  <r>
    <x v="15"/>
    <x v="5"/>
    <x v="3"/>
    <n v="1.3409"/>
    <n v="1.3340000000000001"/>
    <n v="1.3970800000000001"/>
    <n v="1.36554"/>
    <n v="630.79999999999995"/>
  </r>
  <r>
    <x v="15"/>
    <x v="5"/>
    <x v="3"/>
    <n v="1.3409"/>
    <n v="1.3340000000000001"/>
    <n v="1.3970800000000001"/>
    <n v="1.36554"/>
    <n v="630.79999999999995"/>
  </r>
  <r>
    <x v="15"/>
    <x v="5"/>
    <x v="3"/>
    <n v="1.3409"/>
    <n v="1.3340000000000001"/>
    <n v="1.3970800000000001"/>
    <n v="1.36554"/>
    <n v="630.79999999999995"/>
  </r>
  <r>
    <x v="15"/>
    <x v="5"/>
    <x v="3"/>
    <n v="1.3409"/>
    <n v="1.3340000000000001"/>
    <n v="1.3970800000000001"/>
    <n v="1.36554"/>
    <n v="630.79999999999995"/>
  </r>
  <r>
    <x v="15"/>
    <x v="5"/>
    <x v="3"/>
    <n v="1.3409"/>
    <n v="1.3340000000000001"/>
    <n v="1.3970800000000001"/>
    <n v="1.36554"/>
    <n v="630.79999999999995"/>
  </r>
  <r>
    <x v="15"/>
    <x v="5"/>
    <x v="3"/>
    <n v="1.3409"/>
    <n v="1.3340000000000001"/>
    <n v="1.3970800000000001"/>
    <n v="1.36554"/>
    <n v="630.79999999999995"/>
  </r>
  <r>
    <x v="15"/>
    <x v="5"/>
    <x v="3"/>
    <n v="1.3409"/>
    <n v="1.3340000000000001"/>
    <n v="1.3970800000000001"/>
    <n v="1.36554"/>
    <n v="630.79999999999995"/>
  </r>
  <r>
    <x v="15"/>
    <x v="5"/>
    <x v="3"/>
    <n v="1.3409"/>
    <n v="1.3340000000000001"/>
    <n v="1.3970800000000001"/>
    <n v="1.36554"/>
    <n v="630.79999999999995"/>
  </r>
  <r>
    <x v="15"/>
    <x v="5"/>
    <x v="3"/>
    <n v="1.3409"/>
    <n v="1.3340000000000001"/>
    <n v="1.3970800000000001"/>
    <n v="1.36554"/>
    <n v="630.79999999999995"/>
  </r>
  <r>
    <x v="15"/>
    <x v="5"/>
    <x v="3"/>
    <n v="1.3409"/>
    <n v="1.3340000000000001"/>
    <n v="1.3970800000000001"/>
    <n v="1.36554"/>
    <n v="630.79999999999995"/>
  </r>
  <r>
    <x v="15"/>
    <x v="5"/>
    <x v="3"/>
    <n v="1.3409"/>
    <n v="1.3340000000000001"/>
    <n v="1.3970800000000001"/>
    <n v="1.36554"/>
    <n v="630.79999999999995"/>
  </r>
  <r>
    <x v="15"/>
    <x v="5"/>
    <x v="3"/>
    <n v="1.3409"/>
    <n v="1.3340000000000001"/>
    <n v="1.3970800000000001"/>
    <n v="1.36554"/>
    <n v="630.79999999999995"/>
  </r>
  <r>
    <x v="15"/>
    <x v="5"/>
    <x v="3"/>
    <n v="1.3409"/>
    <n v="1.3340000000000001"/>
    <n v="1.3970800000000001"/>
    <n v="1.36554"/>
    <n v="630.79999999999995"/>
  </r>
  <r>
    <x v="15"/>
    <x v="5"/>
    <x v="0"/>
    <n v="1.98126"/>
    <n v="1.93"/>
    <n v="2.0020199999999999"/>
    <n v="1.96601"/>
    <n v="720.2"/>
  </r>
  <r>
    <x v="15"/>
    <x v="5"/>
    <x v="0"/>
    <n v="1.98126"/>
    <n v="1.93"/>
    <n v="2.0020199999999999"/>
    <n v="1.96601"/>
    <n v="720.2"/>
  </r>
  <r>
    <x v="15"/>
    <x v="5"/>
    <x v="0"/>
    <n v="1.98126"/>
    <n v="1.93"/>
    <n v="2.0020199999999999"/>
    <n v="1.96601"/>
    <n v="720.2"/>
  </r>
  <r>
    <x v="15"/>
    <x v="5"/>
    <x v="0"/>
    <n v="1.98126"/>
    <n v="1.93"/>
    <n v="2.0020199999999999"/>
    <n v="1.96601"/>
    <n v="720.2"/>
  </r>
  <r>
    <x v="15"/>
    <x v="5"/>
    <x v="0"/>
    <n v="1.98126"/>
    <n v="1.93"/>
    <n v="2.0020199999999999"/>
    <n v="1.96601"/>
    <n v="720.2"/>
  </r>
  <r>
    <x v="15"/>
    <x v="5"/>
    <x v="0"/>
    <n v="1.98126"/>
    <n v="1.93"/>
    <n v="2.0020199999999999"/>
    <n v="1.96601"/>
    <n v="720.2"/>
  </r>
  <r>
    <x v="15"/>
    <x v="5"/>
    <x v="0"/>
    <n v="1.98126"/>
    <n v="1.93"/>
    <n v="2.0020199999999999"/>
    <n v="1.96601"/>
    <n v="720.2"/>
  </r>
  <r>
    <x v="15"/>
    <x v="5"/>
    <x v="0"/>
    <n v="1.98126"/>
    <n v="1.93"/>
    <n v="2.0020199999999999"/>
    <n v="1.96601"/>
    <n v="720.2"/>
  </r>
  <r>
    <x v="15"/>
    <x v="5"/>
    <x v="0"/>
    <n v="1.98126"/>
    <n v="1.93"/>
    <n v="2.0020199999999999"/>
    <n v="1.96601"/>
    <n v="720.2"/>
  </r>
  <r>
    <x v="15"/>
    <x v="5"/>
    <x v="0"/>
    <n v="1.98126"/>
    <n v="1.93"/>
    <n v="2.0020199999999999"/>
    <n v="1.96601"/>
    <n v="720.2"/>
  </r>
  <r>
    <x v="15"/>
    <x v="5"/>
    <x v="0"/>
    <n v="1.98126"/>
    <n v="1.93"/>
    <n v="2.0020199999999999"/>
    <n v="1.96601"/>
    <n v="720.2"/>
  </r>
  <r>
    <x v="15"/>
    <x v="5"/>
    <x v="0"/>
    <n v="1.98126"/>
    <n v="1.93"/>
    <n v="2.0020199999999999"/>
    <n v="1.96601"/>
    <n v="720.2"/>
  </r>
  <r>
    <x v="15"/>
    <x v="5"/>
    <x v="0"/>
    <n v="1.98126"/>
    <n v="1.93"/>
    <n v="2.0020199999999999"/>
    <n v="1.96601"/>
    <n v="720.2"/>
  </r>
  <r>
    <x v="15"/>
    <x v="5"/>
    <x v="0"/>
    <n v="1.98126"/>
    <n v="1.93"/>
    <n v="2.0020199999999999"/>
    <n v="1.96601"/>
    <n v="720.2"/>
  </r>
  <r>
    <x v="15"/>
    <x v="5"/>
    <x v="0"/>
    <n v="1.98126"/>
    <n v="1.93"/>
    <n v="2.0020199999999999"/>
    <n v="1.96601"/>
    <n v="720.2"/>
  </r>
  <r>
    <x v="15"/>
    <x v="5"/>
    <x v="0"/>
    <n v="1.98126"/>
    <n v="1.93"/>
    <n v="2.0020199999999999"/>
    <n v="1.96601"/>
    <n v="720.2"/>
  </r>
  <r>
    <x v="15"/>
    <x v="5"/>
    <x v="0"/>
    <n v="1.98126"/>
    <n v="1.93"/>
    <n v="2.0020199999999999"/>
    <n v="1.96601"/>
    <n v="720.2"/>
  </r>
  <r>
    <x v="15"/>
    <x v="5"/>
    <x v="0"/>
    <n v="1.98126"/>
    <n v="1.93"/>
    <n v="2.0020199999999999"/>
    <n v="1.96601"/>
    <n v="720.2"/>
  </r>
  <r>
    <x v="15"/>
    <x v="5"/>
    <x v="0"/>
    <n v="1.98126"/>
    <n v="1.93"/>
    <n v="2.0020199999999999"/>
    <n v="1.96601"/>
    <n v="720.2"/>
  </r>
  <r>
    <x v="15"/>
    <x v="5"/>
    <x v="0"/>
    <n v="1.98126"/>
    <n v="1.93"/>
    <n v="2.0020199999999999"/>
    <n v="1.96601"/>
    <n v="720.2"/>
  </r>
  <r>
    <x v="15"/>
    <x v="5"/>
    <x v="0"/>
    <n v="1.98126"/>
    <n v="1.93"/>
    <n v="2.0020199999999999"/>
    <n v="1.96601"/>
    <n v="720.2"/>
  </r>
  <r>
    <x v="15"/>
    <x v="5"/>
    <x v="0"/>
    <n v="1.98126"/>
    <n v="1.93"/>
    <n v="2.0020199999999999"/>
    <n v="1.96601"/>
    <n v="720.2"/>
  </r>
  <r>
    <x v="15"/>
    <x v="5"/>
    <x v="2"/>
    <n v="102.017"/>
    <n v="101"/>
    <n v="103"/>
    <n v="102"/>
    <n v="200"/>
  </r>
  <r>
    <x v="15"/>
    <x v="6"/>
    <x v="4"/>
    <n v="95.356999999999999"/>
    <n v="93.2"/>
    <n v="96.403000000000006"/>
    <n v="94.801500000000004"/>
    <n v="320.3"/>
  </r>
  <r>
    <x v="15"/>
    <x v="6"/>
    <x v="4"/>
    <n v="95.356999999999999"/>
    <n v="93.2"/>
    <n v="96.403000000000006"/>
    <n v="94.801500000000004"/>
    <n v="320.3"/>
  </r>
  <r>
    <x v="15"/>
    <x v="6"/>
    <x v="4"/>
    <n v="95.356999999999999"/>
    <n v="93.2"/>
    <n v="96.403000000000006"/>
    <n v="94.801500000000004"/>
    <n v="320.3"/>
  </r>
  <r>
    <x v="15"/>
    <x v="6"/>
    <x v="4"/>
    <n v="95.356999999999999"/>
    <n v="93.2"/>
    <n v="96.403000000000006"/>
    <n v="94.801500000000004"/>
    <n v="320.3"/>
  </r>
  <r>
    <x v="15"/>
    <x v="6"/>
    <x v="4"/>
    <n v="95.356999999999999"/>
    <n v="93.2"/>
    <n v="96.403000000000006"/>
    <n v="94.801500000000004"/>
    <n v="320.3"/>
  </r>
  <r>
    <x v="15"/>
    <x v="6"/>
    <x v="4"/>
    <n v="95.356999999999999"/>
    <n v="93.2"/>
    <n v="96.403000000000006"/>
    <n v="94.801500000000004"/>
    <n v="320.3"/>
  </r>
  <r>
    <x v="15"/>
    <x v="6"/>
    <x v="4"/>
    <n v="95.356999999999999"/>
    <n v="93.2"/>
    <n v="96.403000000000006"/>
    <n v="94.801500000000004"/>
    <n v="320.3"/>
  </r>
  <r>
    <x v="15"/>
    <x v="6"/>
    <x v="4"/>
    <n v="95.356999999999999"/>
    <n v="93.2"/>
    <n v="96.403000000000006"/>
    <n v="94.801500000000004"/>
    <n v="320.3"/>
  </r>
  <r>
    <x v="15"/>
    <x v="6"/>
    <x v="4"/>
    <n v="95.356999999999999"/>
    <n v="93.2"/>
    <n v="96.403000000000006"/>
    <n v="94.801500000000004"/>
    <n v="320.3"/>
  </r>
  <r>
    <x v="15"/>
    <x v="6"/>
    <x v="4"/>
    <n v="95.356999999999999"/>
    <n v="93.2"/>
    <n v="96.403000000000006"/>
    <n v="94.801500000000004"/>
    <n v="320.3"/>
  </r>
  <r>
    <x v="15"/>
    <x v="6"/>
    <x v="4"/>
    <n v="95.356999999999999"/>
    <n v="93.2"/>
    <n v="96.403000000000006"/>
    <n v="94.801500000000004"/>
    <n v="320.3"/>
  </r>
  <r>
    <x v="15"/>
    <x v="6"/>
    <x v="4"/>
    <n v="95.356999999999999"/>
    <n v="93.2"/>
    <n v="96.403000000000006"/>
    <n v="94.801500000000004"/>
    <n v="320.3"/>
  </r>
  <r>
    <x v="15"/>
    <x v="6"/>
    <x v="4"/>
    <n v="95.356999999999999"/>
    <n v="93.2"/>
    <n v="96.403000000000006"/>
    <n v="94.801500000000004"/>
    <n v="320.3"/>
  </r>
  <r>
    <x v="15"/>
    <x v="6"/>
    <x v="4"/>
    <n v="95.356999999999999"/>
    <n v="93.2"/>
    <n v="96.403000000000006"/>
    <n v="94.801500000000004"/>
    <n v="320.3"/>
  </r>
  <r>
    <x v="15"/>
    <x v="6"/>
    <x v="4"/>
    <n v="95.356999999999999"/>
    <n v="93.2"/>
    <n v="96.403000000000006"/>
    <n v="94.801500000000004"/>
    <n v="320.3"/>
  </r>
  <r>
    <x v="15"/>
    <x v="6"/>
    <x v="4"/>
    <n v="95.356999999999999"/>
    <n v="93.2"/>
    <n v="96.403000000000006"/>
    <n v="94.801500000000004"/>
    <n v="320.3"/>
  </r>
  <r>
    <x v="15"/>
    <x v="6"/>
    <x v="4"/>
    <n v="95.356999999999999"/>
    <n v="93.2"/>
    <n v="96.403000000000006"/>
    <n v="94.801500000000004"/>
    <n v="320.3"/>
  </r>
  <r>
    <x v="15"/>
    <x v="6"/>
    <x v="4"/>
    <n v="95.356999999999999"/>
    <n v="93.2"/>
    <n v="96.403000000000006"/>
    <n v="94.801500000000004"/>
    <n v="320.3"/>
  </r>
  <r>
    <x v="15"/>
    <x v="6"/>
    <x v="3"/>
    <n v="1.34083"/>
    <n v="1.3340000000000001"/>
    <n v="1.3970800000000001"/>
    <n v="1.36554"/>
    <n v="630.79999999999995"/>
  </r>
  <r>
    <x v="15"/>
    <x v="6"/>
    <x v="3"/>
    <n v="1.34083"/>
    <n v="1.3340000000000001"/>
    <n v="1.3970800000000001"/>
    <n v="1.36554"/>
    <n v="630.79999999999995"/>
  </r>
  <r>
    <x v="15"/>
    <x v="6"/>
    <x v="3"/>
    <n v="1.34083"/>
    <n v="1.3340000000000001"/>
    <n v="1.3970800000000001"/>
    <n v="1.36554"/>
    <n v="630.79999999999995"/>
  </r>
  <r>
    <x v="15"/>
    <x v="6"/>
    <x v="3"/>
    <n v="1.34083"/>
    <n v="1.3340000000000001"/>
    <n v="1.3970800000000001"/>
    <n v="1.36554"/>
    <n v="630.79999999999995"/>
  </r>
  <r>
    <x v="15"/>
    <x v="6"/>
    <x v="3"/>
    <n v="1.34083"/>
    <n v="1.3340000000000001"/>
    <n v="1.3970800000000001"/>
    <n v="1.36554"/>
    <n v="630.79999999999995"/>
  </r>
  <r>
    <x v="15"/>
    <x v="6"/>
    <x v="3"/>
    <n v="1.34083"/>
    <n v="1.3340000000000001"/>
    <n v="1.3970800000000001"/>
    <n v="1.36554"/>
    <n v="630.79999999999995"/>
  </r>
  <r>
    <x v="15"/>
    <x v="6"/>
    <x v="3"/>
    <n v="1.34083"/>
    <n v="1.3340000000000001"/>
    <n v="1.3970800000000001"/>
    <n v="1.36554"/>
    <n v="630.79999999999995"/>
  </r>
  <r>
    <x v="15"/>
    <x v="7"/>
    <x v="0"/>
    <n v="1.97037"/>
    <n v="1.93"/>
    <n v="2.0020199999999999"/>
    <n v="1.96601"/>
    <n v="720.2"/>
  </r>
  <r>
    <x v="15"/>
    <x v="7"/>
    <x v="0"/>
    <n v="1.97037"/>
    <n v="1.93"/>
    <n v="2.0020199999999999"/>
    <n v="1.96601"/>
    <n v="720.2"/>
  </r>
  <r>
    <x v="15"/>
    <x v="7"/>
    <x v="0"/>
    <n v="1.97037"/>
    <n v="1.93"/>
    <n v="2.0020199999999999"/>
    <n v="1.96601"/>
    <n v="720.2"/>
  </r>
  <r>
    <x v="15"/>
    <x v="7"/>
    <x v="0"/>
    <n v="1.97037"/>
    <n v="1.93"/>
    <n v="2.0020199999999999"/>
    <n v="1.96601"/>
    <n v="720.2"/>
  </r>
  <r>
    <x v="15"/>
    <x v="7"/>
    <x v="0"/>
    <n v="1.97037"/>
    <n v="1.93"/>
    <n v="2.0020199999999999"/>
    <n v="1.96601"/>
    <n v="720.2"/>
  </r>
  <r>
    <x v="15"/>
    <x v="7"/>
    <x v="0"/>
    <n v="1.97037"/>
    <n v="1.93"/>
    <n v="2.0020199999999999"/>
    <n v="1.96601"/>
    <n v="720.2"/>
  </r>
  <r>
    <x v="15"/>
    <x v="7"/>
    <x v="2"/>
    <n v="103.934"/>
    <n v="101"/>
    <n v="104.20399999999999"/>
    <n v="102.602"/>
    <n v="320.39999999999998"/>
  </r>
  <r>
    <x v="15"/>
    <x v="7"/>
    <x v="2"/>
    <n v="103.934"/>
    <n v="101"/>
    <n v="104.20399999999999"/>
    <n v="102.602"/>
    <n v="320.39999999999998"/>
  </r>
  <r>
    <x v="15"/>
    <x v="7"/>
    <x v="2"/>
    <n v="103.934"/>
    <n v="101"/>
    <n v="104.20399999999999"/>
    <n v="102.602"/>
    <n v="320.39999999999998"/>
  </r>
  <r>
    <x v="15"/>
    <x v="7"/>
    <x v="2"/>
    <n v="103.934"/>
    <n v="101"/>
    <n v="104.20399999999999"/>
    <n v="102.602"/>
    <n v="320.39999999999998"/>
  </r>
  <r>
    <x v="15"/>
    <x v="7"/>
    <x v="2"/>
    <n v="103.934"/>
    <n v="101"/>
    <n v="104.20399999999999"/>
    <n v="102.602"/>
    <n v="320.39999999999998"/>
  </r>
  <r>
    <x v="15"/>
    <x v="7"/>
    <x v="2"/>
    <n v="103.934"/>
    <n v="101"/>
    <n v="104.20399999999999"/>
    <n v="102.602"/>
    <n v="320.39999999999998"/>
  </r>
  <r>
    <x v="15"/>
    <x v="7"/>
    <x v="2"/>
    <n v="103.934"/>
    <n v="101"/>
    <n v="104.20399999999999"/>
    <n v="102.602"/>
    <n v="320.39999999999998"/>
  </r>
  <r>
    <x v="15"/>
    <x v="7"/>
    <x v="2"/>
    <n v="103.934"/>
    <n v="101"/>
    <n v="104.20399999999999"/>
    <n v="102.602"/>
    <n v="320.39999999999998"/>
  </r>
  <r>
    <x v="15"/>
    <x v="7"/>
    <x v="2"/>
    <n v="103.934"/>
    <n v="101"/>
    <n v="104.20399999999999"/>
    <n v="102.602"/>
    <n v="320.39999999999998"/>
  </r>
  <r>
    <x v="15"/>
    <x v="7"/>
    <x v="2"/>
    <n v="103.934"/>
    <n v="101"/>
    <n v="104.20399999999999"/>
    <n v="102.602"/>
    <n v="320.39999999999998"/>
  </r>
  <r>
    <x v="15"/>
    <x v="7"/>
    <x v="2"/>
    <n v="103.934"/>
    <n v="101"/>
    <n v="104.20399999999999"/>
    <n v="102.602"/>
    <n v="320.39999999999998"/>
  </r>
  <r>
    <x v="15"/>
    <x v="7"/>
    <x v="2"/>
    <n v="103.934"/>
    <n v="101"/>
    <n v="104.20399999999999"/>
    <n v="102.602"/>
    <n v="320.39999999999998"/>
  </r>
  <r>
    <x v="15"/>
    <x v="7"/>
    <x v="2"/>
    <n v="103.934"/>
    <n v="101"/>
    <n v="104.20399999999999"/>
    <n v="102.602"/>
    <n v="320.39999999999998"/>
  </r>
  <r>
    <x v="15"/>
    <x v="7"/>
    <x v="2"/>
    <n v="103.934"/>
    <n v="101"/>
    <n v="104.20399999999999"/>
    <n v="102.602"/>
    <n v="320.39999999999998"/>
  </r>
  <r>
    <x v="15"/>
    <x v="7"/>
    <x v="2"/>
    <n v="103.934"/>
    <n v="101"/>
    <n v="104.20399999999999"/>
    <n v="102.602"/>
    <n v="320.39999999999998"/>
  </r>
  <r>
    <x v="15"/>
    <x v="7"/>
    <x v="2"/>
    <n v="103.934"/>
    <n v="101"/>
    <n v="104.20399999999999"/>
    <n v="102.602"/>
    <n v="320.39999999999998"/>
  </r>
  <r>
    <x v="15"/>
    <x v="7"/>
    <x v="2"/>
    <n v="103.934"/>
    <n v="101"/>
    <n v="104.20399999999999"/>
    <n v="102.602"/>
    <n v="320.39999999999998"/>
  </r>
  <r>
    <x v="15"/>
    <x v="7"/>
    <x v="2"/>
    <n v="103.934"/>
    <n v="101"/>
    <n v="104.20399999999999"/>
    <n v="102.602"/>
    <n v="320.39999999999998"/>
  </r>
  <r>
    <x v="15"/>
    <x v="7"/>
    <x v="4"/>
    <n v="96.813999999999993"/>
    <n v="93.2"/>
    <n v="96.802000000000007"/>
    <n v="95.001000000000005"/>
    <n v="360.2"/>
  </r>
  <r>
    <x v="15"/>
    <x v="7"/>
    <x v="4"/>
    <n v="96.813999999999993"/>
    <n v="93.2"/>
    <n v="96.802000000000007"/>
    <n v="95.001000000000005"/>
    <n v="360.2"/>
  </r>
  <r>
    <x v="15"/>
    <x v="7"/>
    <x v="4"/>
    <n v="96.813999999999993"/>
    <n v="93.2"/>
    <n v="96.802000000000007"/>
    <n v="95.001000000000005"/>
    <n v="360.2"/>
  </r>
  <r>
    <x v="15"/>
    <x v="7"/>
    <x v="4"/>
    <n v="96.813999999999993"/>
    <n v="93.2"/>
    <n v="96.802000000000007"/>
    <n v="95.001000000000005"/>
    <n v="360.2"/>
  </r>
  <r>
    <x v="15"/>
    <x v="7"/>
    <x v="4"/>
    <n v="96.813999999999993"/>
    <n v="93.2"/>
    <n v="96.802000000000007"/>
    <n v="95.001000000000005"/>
    <n v="360.2"/>
  </r>
  <r>
    <x v="15"/>
    <x v="7"/>
    <x v="4"/>
    <n v="96.813999999999993"/>
    <n v="93.2"/>
    <n v="96.802000000000007"/>
    <n v="95.001000000000005"/>
    <n v="360.2"/>
  </r>
  <r>
    <x v="15"/>
    <x v="7"/>
    <x v="4"/>
    <n v="96.813999999999993"/>
    <n v="93.2"/>
    <n v="96.802000000000007"/>
    <n v="95.001000000000005"/>
    <n v="360.2"/>
  </r>
  <r>
    <x v="15"/>
    <x v="7"/>
    <x v="4"/>
    <n v="96.813999999999993"/>
    <n v="93.2"/>
    <n v="96.802000000000007"/>
    <n v="95.001000000000005"/>
    <n v="360.2"/>
  </r>
  <r>
    <x v="15"/>
    <x v="7"/>
    <x v="4"/>
    <n v="96.813999999999993"/>
    <n v="93.2"/>
    <n v="96.802000000000007"/>
    <n v="95.001000000000005"/>
    <n v="360.2"/>
  </r>
  <r>
    <x v="15"/>
    <x v="7"/>
    <x v="4"/>
    <n v="96.813999999999993"/>
    <n v="93.2"/>
    <n v="96.802000000000007"/>
    <n v="95.001000000000005"/>
    <n v="360.2"/>
  </r>
  <r>
    <x v="15"/>
    <x v="7"/>
    <x v="4"/>
    <n v="96.813999999999993"/>
    <n v="93.2"/>
    <n v="96.802000000000007"/>
    <n v="95.001000000000005"/>
    <n v="360.2"/>
  </r>
  <r>
    <x v="15"/>
    <x v="7"/>
    <x v="4"/>
    <n v="96.813999999999993"/>
    <n v="93.2"/>
    <n v="96.802000000000007"/>
    <n v="95.001000000000005"/>
    <n v="360.2"/>
  </r>
  <r>
    <x v="15"/>
    <x v="7"/>
    <x v="4"/>
    <n v="96.813999999999993"/>
    <n v="93.2"/>
    <n v="96.802000000000007"/>
    <n v="95.001000000000005"/>
    <n v="360.2"/>
  </r>
  <r>
    <x v="15"/>
    <x v="7"/>
    <x v="4"/>
    <n v="96.813999999999993"/>
    <n v="93.2"/>
    <n v="96.802000000000007"/>
    <n v="95.001000000000005"/>
    <n v="360.2"/>
  </r>
  <r>
    <x v="15"/>
    <x v="7"/>
    <x v="4"/>
    <n v="96.813999999999993"/>
    <n v="93.2"/>
    <n v="96.802000000000007"/>
    <n v="95.001000000000005"/>
    <n v="360.2"/>
  </r>
  <r>
    <x v="15"/>
    <x v="7"/>
    <x v="4"/>
    <n v="96.813999999999993"/>
    <n v="93.2"/>
    <n v="96.802000000000007"/>
    <n v="95.001000000000005"/>
    <n v="360.2"/>
  </r>
  <r>
    <x v="15"/>
    <x v="7"/>
    <x v="4"/>
    <n v="96.813999999999993"/>
    <n v="93.2"/>
    <n v="96.802000000000007"/>
    <n v="95.001000000000005"/>
    <n v="360.2"/>
  </r>
  <r>
    <x v="15"/>
    <x v="7"/>
    <x v="4"/>
    <n v="96.813999999999993"/>
    <n v="93.2"/>
    <n v="96.802000000000007"/>
    <n v="95.001000000000005"/>
    <n v="360.2"/>
  </r>
  <r>
    <x v="15"/>
    <x v="7"/>
    <x v="4"/>
    <n v="96.813999999999993"/>
    <n v="93.2"/>
    <n v="96.802000000000007"/>
    <n v="95.001000000000005"/>
    <n v="360.2"/>
  </r>
  <r>
    <x v="15"/>
    <x v="7"/>
    <x v="4"/>
    <n v="96.813999999999993"/>
    <n v="93.2"/>
    <n v="96.802000000000007"/>
    <n v="95.001000000000005"/>
    <n v="360.2"/>
  </r>
  <r>
    <x v="15"/>
    <x v="7"/>
    <x v="4"/>
    <n v="96.813999999999993"/>
    <n v="93.2"/>
    <n v="96.802000000000007"/>
    <n v="95.001000000000005"/>
    <n v="360.2"/>
  </r>
  <r>
    <x v="15"/>
    <x v="7"/>
    <x v="3"/>
    <n v="1.32368"/>
    <n v="1.3219799999999999"/>
    <n v="1.3970800000000001"/>
    <n v="1.3595299999999999"/>
    <n v="751"/>
  </r>
  <r>
    <x v="15"/>
    <x v="7"/>
    <x v="3"/>
    <n v="1.32368"/>
    <n v="1.3219799999999999"/>
    <n v="1.3970800000000001"/>
    <n v="1.3595299999999999"/>
    <n v="751"/>
  </r>
  <r>
    <x v="15"/>
    <x v="7"/>
    <x v="3"/>
    <n v="1.32368"/>
    <n v="1.3219799999999999"/>
    <n v="1.3970800000000001"/>
    <n v="1.3595299999999999"/>
    <n v="751"/>
  </r>
  <r>
    <x v="15"/>
    <x v="7"/>
    <x v="3"/>
    <n v="1.32368"/>
    <n v="1.3219799999999999"/>
    <n v="1.3970800000000001"/>
    <n v="1.3595299999999999"/>
    <n v="751"/>
  </r>
  <r>
    <x v="15"/>
    <x v="7"/>
    <x v="3"/>
    <n v="1.32368"/>
    <n v="1.3219799999999999"/>
    <n v="1.3970800000000001"/>
    <n v="1.3595299999999999"/>
    <n v="751"/>
  </r>
  <r>
    <x v="15"/>
    <x v="7"/>
    <x v="3"/>
    <n v="1.32368"/>
    <n v="1.3219799999999999"/>
    <n v="1.3970800000000001"/>
    <n v="1.3595299999999999"/>
    <n v="751"/>
  </r>
  <r>
    <x v="15"/>
    <x v="7"/>
    <x v="3"/>
    <n v="1.32368"/>
    <n v="1.3219799999999999"/>
    <n v="1.3970800000000001"/>
    <n v="1.3595299999999999"/>
    <n v="751"/>
  </r>
  <r>
    <x v="15"/>
    <x v="7"/>
    <x v="3"/>
    <n v="1.32368"/>
    <n v="1.3219799999999999"/>
    <n v="1.3970800000000001"/>
    <n v="1.3595299999999999"/>
    <n v="751"/>
  </r>
  <r>
    <x v="15"/>
    <x v="7"/>
    <x v="3"/>
    <n v="1.32368"/>
    <n v="1.3219799999999999"/>
    <n v="1.3970800000000001"/>
    <n v="1.3595299999999999"/>
    <n v="751"/>
  </r>
  <r>
    <x v="15"/>
    <x v="7"/>
    <x v="3"/>
    <n v="1.32368"/>
    <n v="1.3219799999999999"/>
    <n v="1.3970800000000001"/>
    <n v="1.3595299999999999"/>
    <n v="751"/>
  </r>
  <r>
    <x v="15"/>
    <x v="7"/>
    <x v="3"/>
    <n v="1.32368"/>
    <n v="1.3219799999999999"/>
    <n v="1.3970800000000001"/>
    <n v="1.3595299999999999"/>
    <n v="751"/>
  </r>
  <r>
    <x v="15"/>
    <x v="7"/>
    <x v="3"/>
    <n v="1.32368"/>
    <n v="1.3219799999999999"/>
    <n v="1.3970800000000001"/>
    <n v="1.3595299999999999"/>
    <n v="751"/>
  </r>
  <r>
    <x v="15"/>
    <x v="7"/>
    <x v="3"/>
    <n v="1.32368"/>
    <n v="1.3219799999999999"/>
    <n v="1.3970800000000001"/>
    <n v="1.3595299999999999"/>
    <n v="751"/>
  </r>
  <r>
    <x v="15"/>
    <x v="7"/>
    <x v="3"/>
    <n v="1.32368"/>
    <n v="1.3219799999999999"/>
    <n v="1.3970800000000001"/>
    <n v="1.3595299999999999"/>
    <n v="751"/>
  </r>
  <r>
    <x v="15"/>
    <x v="7"/>
    <x v="3"/>
    <n v="1.32368"/>
    <n v="1.3219799999999999"/>
    <n v="1.3970800000000001"/>
    <n v="1.3595299999999999"/>
    <n v="751"/>
  </r>
  <r>
    <x v="15"/>
    <x v="7"/>
    <x v="3"/>
    <n v="1.32368"/>
    <n v="1.3219799999999999"/>
    <n v="1.3970800000000001"/>
    <n v="1.3595299999999999"/>
    <n v="751"/>
  </r>
  <r>
    <x v="15"/>
    <x v="7"/>
    <x v="3"/>
    <n v="1.32368"/>
    <n v="1.3219799999999999"/>
    <n v="1.3970800000000001"/>
    <n v="1.3595299999999999"/>
    <n v="751"/>
  </r>
  <r>
    <x v="15"/>
    <x v="7"/>
    <x v="3"/>
    <n v="1.32368"/>
    <n v="1.3219799999999999"/>
    <n v="1.3970800000000001"/>
    <n v="1.3595299999999999"/>
    <n v="751"/>
  </r>
  <r>
    <x v="15"/>
    <x v="7"/>
    <x v="3"/>
    <n v="1.32368"/>
    <n v="1.3219799999999999"/>
    <n v="1.3970800000000001"/>
    <n v="1.3595299999999999"/>
    <n v="751"/>
  </r>
  <r>
    <x v="15"/>
    <x v="7"/>
    <x v="3"/>
    <n v="1.32368"/>
    <n v="1.3219799999999999"/>
    <n v="1.3970800000000001"/>
    <n v="1.3595299999999999"/>
    <n v="751"/>
  </r>
  <r>
    <x v="15"/>
    <x v="7"/>
    <x v="3"/>
    <n v="1.32368"/>
    <n v="1.3219799999999999"/>
    <n v="1.3970800000000001"/>
    <n v="1.3595299999999999"/>
    <n v="751"/>
  </r>
  <r>
    <x v="15"/>
    <x v="7"/>
    <x v="3"/>
    <n v="1.32368"/>
    <n v="1.3219799999999999"/>
    <n v="1.3970800000000001"/>
    <n v="1.3595299999999999"/>
    <n v="751"/>
  </r>
  <r>
    <x v="15"/>
    <x v="7"/>
    <x v="3"/>
    <n v="1.32368"/>
    <n v="1.3219799999999999"/>
    <n v="1.3970800000000001"/>
    <n v="1.3595299999999999"/>
    <n v="751"/>
  </r>
  <r>
    <x v="15"/>
    <x v="7"/>
    <x v="3"/>
    <n v="1.32368"/>
    <n v="1.3219799999999999"/>
    <n v="1.3970800000000001"/>
    <n v="1.3595299999999999"/>
    <n v="751"/>
  </r>
  <r>
    <x v="15"/>
    <x v="7"/>
    <x v="3"/>
    <n v="1.32368"/>
    <n v="1.3219799999999999"/>
    <n v="1.3970800000000001"/>
    <n v="1.3595299999999999"/>
    <n v="751"/>
  </r>
  <r>
    <x v="15"/>
    <x v="7"/>
    <x v="3"/>
    <n v="1.32368"/>
    <n v="1.3219799999999999"/>
    <n v="1.3970800000000001"/>
    <n v="1.3595299999999999"/>
    <n v="751"/>
  </r>
  <r>
    <x v="15"/>
    <x v="7"/>
    <x v="3"/>
    <n v="1.32368"/>
    <n v="1.3219799999999999"/>
    <n v="1.3970800000000001"/>
    <n v="1.3595299999999999"/>
    <n v="751"/>
  </r>
  <r>
    <x v="15"/>
    <x v="7"/>
    <x v="0"/>
    <n v="1.97037"/>
    <n v="1.93"/>
    <n v="2.0020199999999999"/>
    <n v="1.96601"/>
    <n v="720.2"/>
  </r>
  <r>
    <x v="15"/>
    <x v="7"/>
    <x v="0"/>
    <n v="1.97037"/>
    <n v="1.93"/>
    <n v="2.0020199999999999"/>
    <n v="1.96601"/>
    <n v="720.2"/>
  </r>
  <r>
    <x v="15"/>
    <x v="7"/>
    <x v="0"/>
    <n v="1.97037"/>
    <n v="1.93"/>
    <n v="2.0020199999999999"/>
    <n v="1.96601"/>
    <n v="720.2"/>
  </r>
  <r>
    <x v="15"/>
    <x v="7"/>
    <x v="0"/>
    <n v="1.97037"/>
    <n v="1.93"/>
    <n v="2.0020199999999999"/>
    <n v="1.96601"/>
    <n v="720.2"/>
  </r>
  <r>
    <x v="15"/>
    <x v="7"/>
    <x v="0"/>
    <n v="1.97037"/>
    <n v="1.93"/>
    <n v="2.0020199999999999"/>
    <n v="1.96601"/>
    <n v="720.2"/>
  </r>
  <r>
    <x v="15"/>
    <x v="7"/>
    <x v="0"/>
    <n v="1.97037"/>
    <n v="1.93"/>
    <n v="2.0020199999999999"/>
    <n v="1.96601"/>
    <n v="720.2"/>
  </r>
  <r>
    <x v="15"/>
    <x v="7"/>
    <x v="0"/>
    <n v="1.97037"/>
    <n v="1.93"/>
    <n v="2.0020199999999999"/>
    <n v="1.96601"/>
    <n v="720.2"/>
  </r>
  <r>
    <x v="15"/>
    <x v="7"/>
    <x v="0"/>
    <n v="1.97037"/>
    <n v="1.93"/>
    <n v="2.0020199999999999"/>
    <n v="1.96601"/>
    <n v="720.2"/>
  </r>
  <r>
    <x v="15"/>
    <x v="7"/>
    <x v="0"/>
    <n v="1.97037"/>
    <n v="1.93"/>
    <n v="2.0020199999999999"/>
    <n v="1.96601"/>
    <n v="720.2"/>
  </r>
  <r>
    <x v="15"/>
    <x v="7"/>
    <x v="0"/>
    <n v="1.97037"/>
    <n v="1.93"/>
    <n v="2.0020199999999999"/>
    <n v="1.96601"/>
    <n v="720.2"/>
  </r>
  <r>
    <x v="15"/>
    <x v="7"/>
    <x v="0"/>
    <n v="1.97037"/>
    <n v="1.93"/>
    <n v="2.0020199999999999"/>
    <n v="1.96601"/>
    <n v="720.2"/>
  </r>
  <r>
    <x v="15"/>
    <x v="7"/>
    <x v="0"/>
    <n v="1.97037"/>
    <n v="1.93"/>
    <n v="2.0020199999999999"/>
    <n v="1.96601"/>
    <n v="720.2"/>
  </r>
  <r>
    <x v="15"/>
    <x v="7"/>
    <x v="0"/>
    <n v="1.97037"/>
    <n v="1.93"/>
    <n v="2.0020199999999999"/>
    <n v="1.96601"/>
    <n v="720.2"/>
  </r>
  <r>
    <x v="15"/>
    <x v="7"/>
    <x v="0"/>
    <n v="1.97037"/>
    <n v="1.93"/>
    <n v="2.0020199999999999"/>
    <n v="1.96601"/>
    <n v="720.2"/>
  </r>
  <r>
    <x v="15"/>
    <x v="7"/>
    <x v="0"/>
    <n v="1.97037"/>
    <n v="1.93"/>
    <n v="2.0020199999999999"/>
    <n v="1.96601"/>
    <n v="720.2"/>
  </r>
  <r>
    <x v="15"/>
    <x v="7"/>
    <x v="0"/>
    <n v="1.97037"/>
    <n v="1.93"/>
    <n v="2.0020199999999999"/>
    <n v="1.96601"/>
    <n v="720.2"/>
  </r>
  <r>
    <x v="15"/>
    <x v="8"/>
    <x v="0"/>
    <n v="1.98454"/>
    <n v="1.93"/>
    <n v="2.0020199999999999"/>
    <n v="1.96601"/>
    <n v="720.2"/>
  </r>
  <r>
    <x v="15"/>
    <x v="8"/>
    <x v="0"/>
    <n v="1.98454"/>
    <n v="1.93"/>
    <n v="2.0020199999999999"/>
    <n v="1.96601"/>
    <n v="720.2"/>
  </r>
  <r>
    <x v="15"/>
    <x v="8"/>
    <x v="0"/>
    <n v="1.98454"/>
    <n v="1.93"/>
    <n v="2.0020199999999999"/>
    <n v="1.96601"/>
    <n v="720.2"/>
  </r>
  <r>
    <x v="15"/>
    <x v="8"/>
    <x v="0"/>
    <n v="1.98454"/>
    <n v="1.93"/>
    <n v="2.0020199999999999"/>
    <n v="1.96601"/>
    <n v="720.2"/>
  </r>
  <r>
    <x v="15"/>
    <x v="8"/>
    <x v="0"/>
    <n v="1.98454"/>
    <n v="1.93"/>
    <n v="2.0020199999999999"/>
    <n v="1.96601"/>
    <n v="720.2"/>
  </r>
  <r>
    <x v="15"/>
    <x v="8"/>
    <x v="0"/>
    <n v="1.98454"/>
    <n v="1.93"/>
    <n v="2.0020199999999999"/>
    <n v="1.96601"/>
    <n v="720.2"/>
  </r>
  <r>
    <x v="15"/>
    <x v="8"/>
    <x v="0"/>
    <n v="1.98454"/>
    <n v="1.93"/>
    <n v="2.0020199999999999"/>
    <n v="1.96601"/>
    <n v="720.2"/>
  </r>
  <r>
    <x v="15"/>
    <x v="8"/>
    <x v="0"/>
    <n v="1.98454"/>
    <n v="1.93"/>
    <n v="2.0020199999999999"/>
    <n v="1.96601"/>
    <n v="720.2"/>
  </r>
  <r>
    <x v="15"/>
    <x v="8"/>
    <x v="0"/>
    <n v="1.98454"/>
    <n v="1.93"/>
    <n v="2.0020199999999999"/>
    <n v="1.96601"/>
    <n v="720.2"/>
  </r>
  <r>
    <x v="15"/>
    <x v="8"/>
    <x v="0"/>
    <n v="1.98454"/>
    <n v="1.93"/>
    <n v="2.0020199999999999"/>
    <n v="1.96601"/>
    <n v="720.2"/>
  </r>
  <r>
    <x v="15"/>
    <x v="8"/>
    <x v="0"/>
    <n v="1.98454"/>
    <n v="1.93"/>
    <n v="2.0020199999999999"/>
    <n v="1.96601"/>
    <n v="720.2"/>
  </r>
  <r>
    <x v="15"/>
    <x v="8"/>
    <x v="2"/>
    <n v="104.054"/>
    <n v="101"/>
    <n v="104.20399999999999"/>
    <n v="102.602"/>
    <n v="320.39999999999998"/>
  </r>
  <r>
    <x v="15"/>
    <x v="8"/>
    <x v="2"/>
    <n v="104.054"/>
    <n v="101"/>
    <n v="104.20399999999999"/>
    <n v="102.602"/>
    <n v="320.39999999999998"/>
  </r>
  <r>
    <x v="15"/>
    <x v="8"/>
    <x v="2"/>
    <n v="104.054"/>
    <n v="101"/>
    <n v="104.20399999999999"/>
    <n v="102.602"/>
    <n v="320.39999999999998"/>
  </r>
  <r>
    <x v="15"/>
    <x v="8"/>
    <x v="2"/>
    <n v="104.054"/>
    <n v="101"/>
    <n v="104.20399999999999"/>
    <n v="102.602"/>
    <n v="320.39999999999998"/>
  </r>
  <r>
    <x v="15"/>
    <x v="8"/>
    <x v="2"/>
    <n v="104.054"/>
    <n v="101"/>
    <n v="104.20399999999999"/>
    <n v="102.602"/>
    <n v="320.39999999999998"/>
  </r>
  <r>
    <x v="15"/>
    <x v="8"/>
    <x v="2"/>
    <n v="104.054"/>
    <n v="101"/>
    <n v="104.20399999999999"/>
    <n v="102.602"/>
    <n v="320.39999999999998"/>
  </r>
  <r>
    <x v="15"/>
    <x v="8"/>
    <x v="2"/>
    <n v="104.054"/>
    <n v="101"/>
    <n v="104.20399999999999"/>
    <n v="102.602"/>
    <n v="320.39999999999998"/>
  </r>
  <r>
    <x v="15"/>
    <x v="8"/>
    <x v="2"/>
    <n v="104.054"/>
    <n v="101"/>
    <n v="104.20399999999999"/>
    <n v="102.602"/>
    <n v="320.39999999999998"/>
  </r>
  <r>
    <x v="15"/>
    <x v="8"/>
    <x v="2"/>
    <n v="104.054"/>
    <n v="101"/>
    <n v="104.20399999999999"/>
    <n v="102.602"/>
    <n v="320.39999999999998"/>
  </r>
  <r>
    <x v="15"/>
    <x v="8"/>
    <x v="2"/>
    <n v="104.054"/>
    <n v="101"/>
    <n v="104.20399999999999"/>
    <n v="102.602"/>
    <n v="320.39999999999998"/>
  </r>
  <r>
    <x v="15"/>
    <x v="8"/>
    <x v="0"/>
    <n v="1.98454"/>
    <n v="1.93"/>
    <n v="2.0020199999999999"/>
    <n v="1.96601"/>
    <n v="720.2"/>
  </r>
  <r>
    <x v="15"/>
    <x v="8"/>
    <x v="2"/>
    <n v="104.054"/>
    <n v="101"/>
    <n v="104.20399999999999"/>
    <n v="102.602"/>
    <n v="320.39999999999998"/>
  </r>
  <r>
    <x v="15"/>
    <x v="8"/>
    <x v="2"/>
    <n v="104.054"/>
    <n v="101"/>
    <n v="104.20399999999999"/>
    <n v="102.602"/>
    <n v="320.39999999999998"/>
  </r>
  <r>
    <x v="15"/>
    <x v="8"/>
    <x v="2"/>
    <n v="104.054"/>
    <n v="101"/>
    <n v="104.20399999999999"/>
    <n v="102.602"/>
    <n v="320.39999999999998"/>
  </r>
  <r>
    <x v="15"/>
    <x v="8"/>
    <x v="2"/>
    <n v="104.054"/>
    <n v="101"/>
    <n v="104.20399999999999"/>
    <n v="102.602"/>
    <n v="320.39999999999998"/>
  </r>
  <r>
    <x v="15"/>
    <x v="8"/>
    <x v="2"/>
    <n v="104.054"/>
    <n v="101"/>
    <n v="104.20399999999999"/>
    <n v="102.602"/>
    <n v="320.39999999999998"/>
  </r>
  <r>
    <x v="15"/>
    <x v="8"/>
    <x v="2"/>
    <n v="104.054"/>
    <n v="101"/>
    <n v="104.20399999999999"/>
    <n v="102.602"/>
    <n v="320.39999999999998"/>
  </r>
  <r>
    <x v="15"/>
    <x v="8"/>
    <x v="2"/>
    <n v="104.054"/>
    <n v="101"/>
    <n v="104.20399999999999"/>
    <n v="102.602"/>
    <n v="320.39999999999998"/>
  </r>
  <r>
    <x v="15"/>
    <x v="8"/>
    <x v="2"/>
    <n v="104.054"/>
    <n v="101"/>
    <n v="104.20399999999999"/>
    <n v="102.602"/>
    <n v="320.39999999999998"/>
  </r>
  <r>
    <x v="15"/>
    <x v="8"/>
    <x v="4"/>
    <n v="97.147000000000006"/>
    <n v="93.2"/>
    <n v="97.295000000000002"/>
    <n v="95.247500000000002"/>
    <n v="409.5"/>
  </r>
  <r>
    <x v="15"/>
    <x v="8"/>
    <x v="4"/>
    <n v="97.147000000000006"/>
    <n v="93.2"/>
    <n v="97.295000000000002"/>
    <n v="95.247500000000002"/>
    <n v="409.5"/>
  </r>
  <r>
    <x v="15"/>
    <x v="8"/>
    <x v="4"/>
    <n v="97.147000000000006"/>
    <n v="93.2"/>
    <n v="97.295000000000002"/>
    <n v="95.247500000000002"/>
    <n v="409.5"/>
  </r>
  <r>
    <x v="15"/>
    <x v="8"/>
    <x v="4"/>
    <n v="97.147000000000006"/>
    <n v="93.2"/>
    <n v="97.295000000000002"/>
    <n v="95.247500000000002"/>
    <n v="409.5"/>
  </r>
  <r>
    <x v="15"/>
    <x v="8"/>
    <x v="4"/>
    <n v="97.147000000000006"/>
    <n v="93.2"/>
    <n v="97.295000000000002"/>
    <n v="95.247500000000002"/>
    <n v="409.5"/>
  </r>
  <r>
    <x v="15"/>
    <x v="8"/>
    <x v="4"/>
    <n v="97.147000000000006"/>
    <n v="93.2"/>
    <n v="97.295000000000002"/>
    <n v="95.247500000000002"/>
    <n v="409.5"/>
  </r>
  <r>
    <x v="15"/>
    <x v="8"/>
    <x v="4"/>
    <n v="97.147000000000006"/>
    <n v="93.2"/>
    <n v="97.295000000000002"/>
    <n v="95.247500000000002"/>
    <n v="409.5"/>
  </r>
  <r>
    <x v="15"/>
    <x v="8"/>
    <x v="4"/>
    <n v="97.147000000000006"/>
    <n v="93.2"/>
    <n v="97.295000000000002"/>
    <n v="95.247500000000002"/>
    <n v="409.5"/>
  </r>
  <r>
    <x v="15"/>
    <x v="8"/>
    <x v="4"/>
    <n v="97.147000000000006"/>
    <n v="93.2"/>
    <n v="97.295000000000002"/>
    <n v="95.247500000000002"/>
    <n v="409.5"/>
  </r>
  <r>
    <x v="15"/>
    <x v="8"/>
    <x v="4"/>
    <n v="97.147000000000006"/>
    <n v="93.2"/>
    <n v="97.295000000000002"/>
    <n v="95.247500000000002"/>
    <n v="409.5"/>
  </r>
  <r>
    <x v="15"/>
    <x v="8"/>
    <x v="4"/>
    <n v="97.147000000000006"/>
    <n v="93.2"/>
    <n v="97.295000000000002"/>
    <n v="95.247500000000002"/>
    <n v="409.5"/>
  </r>
  <r>
    <x v="15"/>
    <x v="8"/>
    <x v="4"/>
    <n v="97.147000000000006"/>
    <n v="93.2"/>
    <n v="97.295000000000002"/>
    <n v="95.247500000000002"/>
    <n v="409.5"/>
  </r>
  <r>
    <x v="15"/>
    <x v="8"/>
    <x v="4"/>
    <n v="97.147000000000006"/>
    <n v="93.2"/>
    <n v="97.295000000000002"/>
    <n v="95.247500000000002"/>
    <n v="409.5"/>
  </r>
  <r>
    <x v="15"/>
    <x v="8"/>
    <x v="4"/>
    <n v="97.147000000000006"/>
    <n v="93.2"/>
    <n v="97.295000000000002"/>
    <n v="95.247500000000002"/>
    <n v="409.5"/>
  </r>
  <r>
    <x v="15"/>
    <x v="8"/>
    <x v="4"/>
    <n v="97.147000000000006"/>
    <n v="93.2"/>
    <n v="97.295000000000002"/>
    <n v="95.247500000000002"/>
    <n v="409.5"/>
  </r>
  <r>
    <x v="15"/>
    <x v="8"/>
    <x v="4"/>
    <n v="97.147000000000006"/>
    <n v="93.2"/>
    <n v="97.295000000000002"/>
    <n v="95.247500000000002"/>
    <n v="409.5"/>
  </r>
  <r>
    <x v="15"/>
    <x v="8"/>
    <x v="4"/>
    <n v="97.147000000000006"/>
    <n v="93.2"/>
    <n v="97.295000000000002"/>
    <n v="95.247500000000002"/>
    <n v="409.5"/>
  </r>
  <r>
    <x v="15"/>
    <x v="8"/>
    <x v="4"/>
    <n v="97.147000000000006"/>
    <n v="93.2"/>
    <n v="97.295000000000002"/>
    <n v="95.247500000000002"/>
    <n v="409.5"/>
  </r>
  <r>
    <x v="15"/>
    <x v="8"/>
    <x v="4"/>
    <n v="97.147000000000006"/>
    <n v="93.2"/>
    <n v="97.295000000000002"/>
    <n v="95.247500000000002"/>
    <n v="409.5"/>
  </r>
  <r>
    <x v="15"/>
    <x v="8"/>
    <x v="4"/>
    <n v="97.147000000000006"/>
    <n v="93.2"/>
    <n v="97.295000000000002"/>
    <n v="95.247500000000002"/>
    <n v="409.5"/>
  </r>
  <r>
    <x v="15"/>
    <x v="8"/>
    <x v="4"/>
    <n v="97.147000000000006"/>
    <n v="93.2"/>
    <n v="97.295000000000002"/>
    <n v="95.247500000000002"/>
    <n v="409.5"/>
  </r>
  <r>
    <x v="15"/>
    <x v="8"/>
    <x v="4"/>
    <n v="97.147000000000006"/>
    <n v="93.2"/>
    <n v="97.295000000000002"/>
    <n v="95.247500000000002"/>
    <n v="409.5"/>
  </r>
  <r>
    <x v="15"/>
    <x v="8"/>
    <x v="4"/>
    <n v="97.147000000000006"/>
    <n v="93.2"/>
    <n v="97.295000000000002"/>
    <n v="95.247500000000002"/>
    <n v="409.5"/>
  </r>
  <r>
    <x v="15"/>
    <x v="8"/>
    <x v="4"/>
    <n v="97.147000000000006"/>
    <n v="93.2"/>
    <n v="97.295000000000002"/>
    <n v="95.247500000000002"/>
    <n v="409.5"/>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3"/>
    <n v="1.3130599999999999"/>
    <n v="1.3159799999999999"/>
    <n v="1.3970800000000001"/>
    <n v="1.35653"/>
    <n v="811"/>
  </r>
  <r>
    <x v="15"/>
    <x v="8"/>
    <x v="0"/>
    <n v="1.98454"/>
    <n v="1.93"/>
    <n v="2.0020199999999999"/>
    <n v="1.96601"/>
    <n v="720.2"/>
  </r>
  <r>
    <x v="15"/>
    <x v="8"/>
    <x v="0"/>
    <n v="1.98454"/>
    <n v="1.93"/>
    <n v="2.0020199999999999"/>
    <n v="1.96601"/>
    <n v="720.2"/>
  </r>
  <r>
    <x v="15"/>
    <x v="8"/>
    <x v="0"/>
    <n v="1.98454"/>
    <n v="1.93"/>
    <n v="2.0020199999999999"/>
    <n v="1.96601"/>
    <n v="720.2"/>
  </r>
  <r>
    <x v="15"/>
    <x v="8"/>
    <x v="0"/>
    <n v="1.98454"/>
    <n v="1.93"/>
    <n v="2.0020199999999999"/>
    <n v="1.96601"/>
    <n v="720.2"/>
  </r>
  <r>
    <x v="15"/>
    <x v="8"/>
    <x v="0"/>
    <n v="1.98454"/>
    <n v="1.93"/>
    <n v="2.0020199999999999"/>
    <n v="1.96601"/>
    <n v="720.2"/>
  </r>
  <r>
    <x v="15"/>
    <x v="8"/>
    <x v="0"/>
    <n v="1.98454"/>
    <n v="1.93"/>
    <n v="2.0020199999999999"/>
    <n v="1.96601"/>
    <n v="720.2"/>
  </r>
  <r>
    <x v="15"/>
    <x v="8"/>
    <x v="0"/>
    <n v="1.98454"/>
    <n v="1.93"/>
    <n v="2.0020199999999999"/>
    <n v="1.96601"/>
    <n v="720.2"/>
  </r>
  <r>
    <x v="15"/>
    <x v="8"/>
    <x v="0"/>
    <n v="1.98454"/>
    <n v="1.93"/>
    <n v="2.0020199999999999"/>
    <n v="1.96601"/>
    <n v="720.2"/>
  </r>
  <r>
    <x v="15"/>
    <x v="8"/>
    <x v="0"/>
    <n v="1.98454"/>
    <n v="1.93"/>
    <n v="2.0020199999999999"/>
    <n v="1.96601"/>
    <n v="720.2"/>
  </r>
  <r>
    <x v="15"/>
    <x v="8"/>
    <x v="0"/>
    <n v="1.98454"/>
    <n v="1.93"/>
    <n v="2.0020199999999999"/>
    <n v="1.96601"/>
    <n v="720.2"/>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0"/>
    <n v="1.9586699999999999"/>
    <n v="1.93"/>
    <n v="2.0020199999999999"/>
    <n v="1.96601"/>
    <n v="720.2"/>
  </r>
  <r>
    <x v="15"/>
    <x v="9"/>
    <x v="0"/>
    <n v="1.9586699999999999"/>
    <n v="1.93"/>
    <n v="2.0020199999999999"/>
    <n v="1.96601"/>
    <n v="720.2"/>
  </r>
  <r>
    <x v="15"/>
    <x v="9"/>
    <x v="0"/>
    <n v="1.9586699999999999"/>
    <n v="1.93"/>
    <n v="2.0020199999999999"/>
    <n v="1.96601"/>
    <n v="720.2"/>
  </r>
  <r>
    <x v="15"/>
    <x v="9"/>
    <x v="0"/>
    <n v="1.9586699999999999"/>
    <n v="1.93"/>
    <n v="2.0020199999999999"/>
    <n v="1.96601"/>
    <n v="720.2"/>
  </r>
  <r>
    <x v="15"/>
    <x v="9"/>
    <x v="0"/>
    <n v="1.9586699999999999"/>
    <n v="1.93"/>
    <n v="2.0020199999999999"/>
    <n v="1.96601"/>
    <n v="720.2"/>
  </r>
  <r>
    <x v="15"/>
    <x v="9"/>
    <x v="0"/>
    <n v="1.9586699999999999"/>
    <n v="1.93"/>
    <n v="2.0020199999999999"/>
    <n v="1.96601"/>
    <n v="720.2"/>
  </r>
  <r>
    <x v="15"/>
    <x v="9"/>
    <x v="0"/>
    <n v="1.9586699999999999"/>
    <n v="1.93"/>
    <n v="2.0020199999999999"/>
    <n v="1.96601"/>
    <n v="720.2"/>
  </r>
  <r>
    <x v="15"/>
    <x v="9"/>
    <x v="0"/>
    <n v="1.9586699999999999"/>
    <n v="1.93"/>
    <n v="2.0020199999999999"/>
    <n v="1.96601"/>
    <n v="720.2"/>
  </r>
  <r>
    <x v="15"/>
    <x v="9"/>
    <x v="0"/>
    <n v="1.9586699999999999"/>
    <n v="1.93"/>
    <n v="2.0020199999999999"/>
    <n v="1.96601"/>
    <n v="720.2"/>
  </r>
  <r>
    <x v="15"/>
    <x v="9"/>
    <x v="0"/>
    <n v="1.9586699999999999"/>
    <n v="1.93"/>
    <n v="2.0020199999999999"/>
    <n v="1.96601"/>
    <n v="720.2"/>
  </r>
  <r>
    <x v="15"/>
    <x v="9"/>
    <x v="0"/>
    <n v="1.9586699999999999"/>
    <n v="1.93"/>
    <n v="2.0020199999999999"/>
    <n v="1.96601"/>
    <n v="720.2"/>
  </r>
  <r>
    <x v="15"/>
    <x v="9"/>
    <x v="0"/>
    <n v="1.9586699999999999"/>
    <n v="1.93"/>
    <n v="2.0020199999999999"/>
    <n v="1.96601"/>
    <n v="720.2"/>
  </r>
  <r>
    <x v="15"/>
    <x v="9"/>
    <x v="0"/>
    <n v="1.9586699999999999"/>
    <n v="1.93"/>
    <n v="2.0020199999999999"/>
    <n v="1.96601"/>
    <n v="720.2"/>
  </r>
  <r>
    <x v="15"/>
    <x v="9"/>
    <x v="0"/>
    <n v="1.9586699999999999"/>
    <n v="1.93"/>
    <n v="2.0020199999999999"/>
    <n v="1.96601"/>
    <n v="720.2"/>
  </r>
  <r>
    <x v="15"/>
    <x v="9"/>
    <x v="0"/>
    <n v="1.9586699999999999"/>
    <n v="1.93"/>
    <n v="2.0020199999999999"/>
    <n v="1.96601"/>
    <n v="720.2"/>
  </r>
  <r>
    <x v="15"/>
    <x v="9"/>
    <x v="0"/>
    <n v="1.9586699999999999"/>
    <n v="1.93"/>
    <n v="2.0020199999999999"/>
    <n v="1.96601"/>
    <n v="720.2"/>
  </r>
  <r>
    <x v="15"/>
    <x v="9"/>
    <x v="0"/>
    <n v="1.9586699999999999"/>
    <n v="1.93"/>
    <n v="2.0020199999999999"/>
    <n v="1.96601"/>
    <n v="720.2"/>
  </r>
  <r>
    <x v="15"/>
    <x v="9"/>
    <x v="0"/>
    <n v="1.9586699999999999"/>
    <n v="1.93"/>
    <n v="2.0020199999999999"/>
    <n v="1.96601"/>
    <n v="720.2"/>
  </r>
  <r>
    <x v="15"/>
    <x v="9"/>
    <x v="0"/>
    <n v="1.9586699999999999"/>
    <n v="1.93"/>
    <n v="2.0020199999999999"/>
    <n v="1.96601"/>
    <n v="720.2"/>
  </r>
  <r>
    <x v="15"/>
    <x v="9"/>
    <x v="0"/>
    <n v="1.9586699999999999"/>
    <n v="1.93"/>
    <n v="2.0020199999999999"/>
    <n v="1.96601"/>
    <n v="720.2"/>
  </r>
  <r>
    <x v="15"/>
    <x v="9"/>
    <x v="0"/>
    <n v="1.9586699999999999"/>
    <n v="1.93"/>
    <n v="2.0020199999999999"/>
    <n v="1.96601"/>
    <n v="720.2"/>
  </r>
  <r>
    <x v="15"/>
    <x v="9"/>
    <x v="2"/>
    <n v="105.066"/>
    <n v="101"/>
    <n v="105.60299999999999"/>
    <n v="103.3015"/>
    <n v="460.3"/>
  </r>
  <r>
    <x v="15"/>
    <x v="9"/>
    <x v="2"/>
    <n v="105.066"/>
    <n v="101"/>
    <n v="105.60299999999999"/>
    <n v="103.3015"/>
    <n v="460.3"/>
  </r>
  <r>
    <x v="15"/>
    <x v="9"/>
    <x v="2"/>
    <n v="105.066"/>
    <n v="101"/>
    <n v="105.60299999999999"/>
    <n v="103.3015"/>
    <n v="460.3"/>
  </r>
  <r>
    <x v="15"/>
    <x v="9"/>
    <x v="2"/>
    <n v="105.066"/>
    <n v="101"/>
    <n v="105.60299999999999"/>
    <n v="103.3015"/>
    <n v="460.3"/>
  </r>
  <r>
    <x v="15"/>
    <x v="9"/>
    <x v="2"/>
    <n v="105.066"/>
    <n v="101"/>
    <n v="105.60299999999999"/>
    <n v="103.3015"/>
    <n v="460.3"/>
  </r>
  <r>
    <x v="15"/>
    <x v="9"/>
    <x v="2"/>
    <n v="105.066"/>
    <n v="101"/>
    <n v="105.60299999999999"/>
    <n v="103.3015"/>
    <n v="460.3"/>
  </r>
  <r>
    <x v="15"/>
    <x v="9"/>
    <x v="2"/>
    <n v="105.066"/>
    <n v="101"/>
    <n v="105.60299999999999"/>
    <n v="103.3015"/>
    <n v="460.3"/>
  </r>
  <r>
    <x v="15"/>
    <x v="9"/>
    <x v="2"/>
    <n v="105.066"/>
    <n v="101"/>
    <n v="105.60299999999999"/>
    <n v="103.3015"/>
    <n v="460.3"/>
  </r>
  <r>
    <x v="15"/>
    <x v="9"/>
    <x v="2"/>
    <n v="105.066"/>
    <n v="101"/>
    <n v="105.60299999999999"/>
    <n v="103.3015"/>
    <n v="460.3"/>
  </r>
  <r>
    <x v="15"/>
    <x v="9"/>
    <x v="2"/>
    <n v="105.066"/>
    <n v="101"/>
    <n v="105.60299999999999"/>
    <n v="103.3015"/>
    <n v="460.3"/>
  </r>
  <r>
    <x v="15"/>
    <x v="9"/>
    <x v="2"/>
    <n v="105.066"/>
    <n v="101"/>
    <n v="105.60299999999999"/>
    <n v="103.3015"/>
    <n v="460.3"/>
  </r>
  <r>
    <x v="15"/>
    <x v="9"/>
    <x v="2"/>
    <n v="105.066"/>
    <n v="101"/>
    <n v="105.60299999999999"/>
    <n v="103.3015"/>
    <n v="460.3"/>
  </r>
  <r>
    <x v="15"/>
    <x v="9"/>
    <x v="2"/>
    <n v="105.066"/>
    <n v="101"/>
    <n v="105.60299999999999"/>
    <n v="103.3015"/>
    <n v="460.3"/>
  </r>
  <r>
    <x v="15"/>
    <x v="9"/>
    <x v="2"/>
    <n v="105.066"/>
    <n v="101"/>
    <n v="105.60299999999999"/>
    <n v="103.3015"/>
    <n v="460.3"/>
  </r>
  <r>
    <x v="15"/>
    <x v="9"/>
    <x v="2"/>
    <n v="105.066"/>
    <n v="101"/>
    <n v="105.60299999999999"/>
    <n v="103.3015"/>
    <n v="460.3"/>
  </r>
  <r>
    <x v="15"/>
    <x v="9"/>
    <x v="2"/>
    <n v="105.066"/>
    <n v="101"/>
    <n v="105.60299999999999"/>
    <n v="103.3015"/>
    <n v="460.3"/>
  </r>
  <r>
    <x v="15"/>
    <x v="9"/>
    <x v="2"/>
    <n v="105.066"/>
    <n v="101"/>
    <n v="105.60299999999999"/>
    <n v="103.3015"/>
    <n v="460.3"/>
  </r>
  <r>
    <x v="15"/>
    <x v="9"/>
    <x v="2"/>
    <n v="105.066"/>
    <n v="101"/>
    <n v="105.60299999999999"/>
    <n v="103.3015"/>
    <n v="460.3"/>
  </r>
  <r>
    <x v="15"/>
    <x v="9"/>
    <x v="2"/>
    <n v="105.066"/>
    <n v="101"/>
    <n v="105.60299999999999"/>
    <n v="103.3015"/>
    <n v="460.3"/>
  </r>
  <r>
    <x v="15"/>
    <x v="9"/>
    <x v="2"/>
    <n v="105.066"/>
    <n v="101"/>
    <n v="105.60299999999999"/>
    <n v="103.3015"/>
    <n v="460.3"/>
  </r>
  <r>
    <x v="15"/>
    <x v="9"/>
    <x v="2"/>
    <n v="105.066"/>
    <n v="101"/>
    <n v="105.60299999999999"/>
    <n v="103.3015"/>
    <n v="460.3"/>
  </r>
  <r>
    <x v="15"/>
    <x v="9"/>
    <x v="2"/>
    <n v="105.066"/>
    <n v="101"/>
    <n v="105.60299999999999"/>
    <n v="103.3015"/>
    <n v="460.3"/>
  </r>
  <r>
    <x v="15"/>
    <x v="9"/>
    <x v="2"/>
    <n v="105.066"/>
    <n v="101"/>
    <n v="105.60299999999999"/>
    <n v="103.3015"/>
    <n v="460.3"/>
  </r>
  <r>
    <x v="15"/>
    <x v="9"/>
    <x v="2"/>
    <n v="105.066"/>
    <n v="101"/>
    <n v="105.60299999999999"/>
    <n v="103.3015"/>
    <n v="460.3"/>
  </r>
  <r>
    <x v="15"/>
    <x v="9"/>
    <x v="2"/>
    <n v="105.066"/>
    <n v="101"/>
    <n v="105.60299999999999"/>
    <n v="103.3015"/>
    <n v="460.3"/>
  </r>
  <r>
    <x v="15"/>
    <x v="9"/>
    <x v="2"/>
    <n v="105.066"/>
    <n v="101"/>
    <n v="105.60299999999999"/>
    <n v="103.3015"/>
    <n v="460.3"/>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4"/>
    <n v="98.495000000000005"/>
    <n v="93.2"/>
    <n v="98.600999999999999"/>
    <n v="95.900499999999994"/>
    <n v="54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9"/>
    <x v="3"/>
    <n v="1.2949900000000001"/>
    <n v="1.29199"/>
    <n v="1.3970800000000001"/>
    <n v="1.344535"/>
    <n v="1050.9000000000001"/>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0"/>
    <n v="1.9958499999999999"/>
    <n v="1.93"/>
    <n v="2.0020199999999999"/>
    <n v="1.96601"/>
    <n v="720.2"/>
  </r>
  <r>
    <x v="15"/>
    <x v="10"/>
    <x v="0"/>
    <n v="1.9958499999999999"/>
    <n v="1.93"/>
    <n v="2.0020199999999999"/>
    <n v="1.96601"/>
    <n v="720.2"/>
  </r>
  <r>
    <x v="15"/>
    <x v="10"/>
    <x v="0"/>
    <n v="1.9958499999999999"/>
    <n v="1.93"/>
    <n v="2.0020199999999999"/>
    <n v="1.96601"/>
    <n v="720.2"/>
  </r>
  <r>
    <x v="15"/>
    <x v="10"/>
    <x v="0"/>
    <n v="1.9958499999999999"/>
    <n v="1.93"/>
    <n v="2.0020199999999999"/>
    <n v="1.96601"/>
    <n v="720.2"/>
  </r>
  <r>
    <x v="15"/>
    <x v="10"/>
    <x v="0"/>
    <n v="1.9958499999999999"/>
    <n v="1.93"/>
    <n v="2.0020199999999999"/>
    <n v="1.96601"/>
    <n v="720.2"/>
  </r>
  <r>
    <x v="15"/>
    <x v="10"/>
    <x v="0"/>
    <n v="1.9958499999999999"/>
    <n v="1.93"/>
    <n v="2.0020199999999999"/>
    <n v="1.96601"/>
    <n v="720.2"/>
  </r>
  <r>
    <x v="15"/>
    <x v="10"/>
    <x v="0"/>
    <n v="1.9958499999999999"/>
    <n v="1.93"/>
    <n v="2.0020199999999999"/>
    <n v="1.96601"/>
    <n v="720.2"/>
  </r>
  <r>
    <x v="15"/>
    <x v="10"/>
    <x v="0"/>
    <n v="1.9958499999999999"/>
    <n v="1.93"/>
    <n v="2.0020199999999999"/>
    <n v="1.96601"/>
    <n v="720.2"/>
  </r>
  <r>
    <x v="15"/>
    <x v="10"/>
    <x v="0"/>
    <n v="1.9958499999999999"/>
    <n v="1.93"/>
    <n v="2.0020199999999999"/>
    <n v="1.96601"/>
    <n v="720.2"/>
  </r>
  <r>
    <x v="15"/>
    <x v="10"/>
    <x v="0"/>
    <n v="1.9958499999999999"/>
    <n v="1.93"/>
    <n v="2.0020199999999999"/>
    <n v="1.96601"/>
    <n v="720.2"/>
  </r>
  <r>
    <x v="15"/>
    <x v="10"/>
    <x v="0"/>
    <n v="1.9958499999999999"/>
    <n v="1.93"/>
    <n v="2.0020199999999999"/>
    <n v="1.96601"/>
    <n v="720.2"/>
  </r>
  <r>
    <x v="15"/>
    <x v="10"/>
    <x v="0"/>
    <n v="1.9958499999999999"/>
    <n v="1.93"/>
    <n v="2.0020199999999999"/>
    <n v="1.96601"/>
    <n v="720.2"/>
  </r>
  <r>
    <x v="15"/>
    <x v="10"/>
    <x v="0"/>
    <n v="1.9958499999999999"/>
    <n v="1.93"/>
    <n v="2.0020199999999999"/>
    <n v="1.96601"/>
    <n v="720.2"/>
  </r>
  <r>
    <x v="15"/>
    <x v="10"/>
    <x v="0"/>
    <n v="1.9958499999999999"/>
    <n v="1.93"/>
    <n v="2.0020199999999999"/>
    <n v="1.96601"/>
    <n v="720.2"/>
  </r>
  <r>
    <x v="15"/>
    <x v="10"/>
    <x v="0"/>
    <n v="1.9958499999999999"/>
    <n v="1.93"/>
    <n v="2.0020199999999999"/>
    <n v="1.96601"/>
    <n v="720.2"/>
  </r>
  <r>
    <x v="15"/>
    <x v="10"/>
    <x v="0"/>
    <n v="1.9958499999999999"/>
    <n v="1.93"/>
    <n v="2.0020199999999999"/>
    <n v="1.96601"/>
    <n v="720.2"/>
  </r>
  <r>
    <x v="15"/>
    <x v="10"/>
    <x v="0"/>
    <n v="1.9958499999999999"/>
    <n v="1.93"/>
    <n v="2.0020199999999999"/>
    <n v="1.96601"/>
    <n v="720.2"/>
  </r>
  <r>
    <x v="15"/>
    <x v="10"/>
    <x v="0"/>
    <n v="1.9958499999999999"/>
    <n v="1.93"/>
    <n v="2.0020199999999999"/>
    <n v="1.96601"/>
    <n v="720.2"/>
  </r>
  <r>
    <x v="15"/>
    <x v="10"/>
    <x v="0"/>
    <n v="1.9958499999999999"/>
    <n v="1.93"/>
    <n v="2.0020199999999999"/>
    <n v="1.96601"/>
    <n v="720.2"/>
  </r>
  <r>
    <x v="15"/>
    <x v="10"/>
    <x v="0"/>
    <n v="1.9958499999999999"/>
    <n v="1.93"/>
    <n v="2.0020199999999999"/>
    <n v="1.96601"/>
    <n v="720.2"/>
  </r>
  <r>
    <x v="15"/>
    <x v="10"/>
    <x v="0"/>
    <n v="1.9958499999999999"/>
    <n v="1.93"/>
    <n v="2.0020199999999999"/>
    <n v="1.96601"/>
    <n v="720.2"/>
  </r>
  <r>
    <x v="15"/>
    <x v="10"/>
    <x v="0"/>
    <n v="1.9958499999999999"/>
    <n v="1.93"/>
    <n v="2.0020199999999999"/>
    <n v="1.96601"/>
    <n v="720.2"/>
  </r>
  <r>
    <x v="15"/>
    <x v="10"/>
    <x v="0"/>
    <n v="1.9958499999999999"/>
    <n v="1.93"/>
    <n v="2.0020199999999999"/>
    <n v="1.96601"/>
    <n v="720.2"/>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2"/>
    <n v="107.29600000000001"/>
    <n v="101"/>
    <n v="107.2"/>
    <n v="104.1"/>
    <n v="620"/>
  </r>
  <r>
    <x v="15"/>
    <x v="10"/>
    <x v="4"/>
    <n v="96.956999999999994"/>
    <n v="93.2"/>
    <n v="98.600999999999999"/>
    <n v="95.900499999999994"/>
    <n v="540.1"/>
  </r>
  <r>
    <x v="15"/>
    <x v="10"/>
    <x v="4"/>
    <n v="96.956999999999994"/>
    <n v="93.2"/>
    <n v="98.600999999999999"/>
    <n v="95.900499999999994"/>
    <n v="540.1"/>
  </r>
  <r>
    <x v="15"/>
    <x v="10"/>
    <x v="4"/>
    <n v="96.956999999999994"/>
    <n v="93.2"/>
    <n v="98.600999999999999"/>
    <n v="95.900499999999994"/>
    <n v="540.1"/>
  </r>
  <r>
    <x v="15"/>
    <x v="10"/>
    <x v="4"/>
    <n v="96.956999999999994"/>
    <n v="93.2"/>
    <n v="98.600999999999999"/>
    <n v="95.900499999999994"/>
    <n v="540.1"/>
  </r>
  <r>
    <x v="15"/>
    <x v="10"/>
    <x v="4"/>
    <n v="96.956999999999994"/>
    <n v="93.2"/>
    <n v="98.600999999999999"/>
    <n v="95.900499999999994"/>
    <n v="540.1"/>
  </r>
  <r>
    <x v="15"/>
    <x v="10"/>
    <x v="4"/>
    <n v="96.956999999999994"/>
    <n v="93.2"/>
    <n v="98.600999999999999"/>
    <n v="95.900499999999994"/>
    <n v="540.1"/>
  </r>
  <r>
    <x v="15"/>
    <x v="10"/>
    <x v="4"/>
    <n v="96.956999999999994"/>
    <n v="93.2"/>
    <n v="98.600999999999999"/>
    <n v="95.900499999999994"/>
    <n v="540.1"/>
  </r>
  <r>
    <x v="15"/>
    <x v="10"/>
    <x v="4"/>
    <n v="96.956999999999994"/>
    <n v="93.2"/>
    <n v="98.600999999999999"/>
    <n v="95.900499999999994"/>
    <n v="540.1"/>
  </r>
  <r>
    <x v="15"/>
    <x v="10"/>
    <x v="4"/>
    <n v="96.956999999999994"/>
    <n v="93.2"/>
    <n v="98.600999999999999"/>
    <n v="95.900499999999994"/>
    <n v="540.1"/>
  </r>
  <r>
    <x v="15"/>
    <x v="10"/>
    <x v="4"/>
    <n v="96.956999999999994"/>
    <n v="93.2"/>
    <n v="98.600999999999999"/>
    <n v="95.900499999999994"/>
    <n v="540.1"/>
  </r>
  <r>
    <x v="15"/>
    <x v="10"/>
    <x v="4"/>
    <n v="96.956999999999994"/>
    <n v="93.2"/>
    <n v="98.600999999999999"/>
    <n v="95.900499999999994"/>
    <n v="540.1"/>
  </r>
  <r>
    <x v="15"/>
    <x v="10"/>
    <x v="4"/>
    <n v="96.956999999999994"/>
    <n v="93.2"/>
    <n v="98.600999999999999"/>
    <n v="95.900499999999994"/>
    <n v="540.1"/>
  </r>
  <r>
    <x v="15"/>
    <x v="10"/>
    <x v="4"/>
    <n v="96.956999999999994"/>
    <n v="93.2"/>
    <n v="98.600999999999999"/>
    <n v="95.900499999999994"/>
    <n v="540.1"/>
  </r>
  <r>
    <x v="15"/>
    <x v="10"/>
    <x v="4"/>
    <n v="96.956999999999994"/>
    <n v="93.2"/>
    <n v="98.600999999999999"/>
    <n v="95.900499999999994"/>
    <n v="540.1"/>
  </r>
  <r>
    <x v="15"/>
    <x v="10"/>
    <x v="4"/>
    <n v="96.956999999999994"/>
    <n v="93.2"/>
    <n v="98.600999999999999"/>
    <n v="95.900499999999994"/>
    <n v="540.1"/>
  </r>
  <r>
    <x v="15"/>
    <x v="10"/>
    <x v="4"/>
    <n v="96.956999999999994"/>
    <n v="93.2"/>
    <n v="98.600999999999999"/>
    <n v="95.900499999999994"/>
    <n v="540.1"/>
  </r>
  <r>
    <x v="15"/>
    <x v="10"/>
    <x v="4"/>
    <n v="96.956999999999994"/>
    <n v="93.2"/>
    <n v="98.600999999999999"/>
    <n v="95.900499999999994"/>
    <n v="540.1"/>
  </r>
  <r>
    <x v="15"/>
    <x v="10"/>
    <x v="4"/>
    <n v="96.956999999999994"/>
    <n v="93.2"/>
    <n v="98.600999999999999"/>
    <n v="95.900499999999994"/>
    <n v="540.1"/>
  </r>
  <r>
    <x v="15"/>
    <x v="10"/>
    <x v="4"/>
    <n v="96.956999999999994"/>
    <n v="93.2"/>
    <n v="98.600999999999999"/>
    <n v="95.900499999999994"/>
    <n v="540.1"/>
  </r>
  <r>
    <x v="15"/>
    <x v="10"/>
    <x v="4"/>
    <n v="96.956999999999994"/>
    <n v="93.2"/>
    <n v="98.600999999999999"/>
    <n v="95.900499999999994"/>
    <n v="540.1"/>
  </r>
  <r>
    <x v="15"/>
    <x v="10"/>
    <x v="4"/>
    <n v="96.956999999999994"/>
    <n v="93.2"/>
    <n v="98.600999999999999"/>
    <n v="95.900499999999994"/>
    <n v="540.1"/>
  </r>
  <r>
    <x v="15"/>
    <x v="10"/>
    <x v="4"/>
    <n v="96.956999999999994"/>
    <n v="93.2"/>
    <n v="98.600999999999999"/>
    <n v="95.900499999999994"/>
    <n v="540.1"/>
  </r>
  <r>
    <x v="15"/>
    <x v="10"/>
    <x v="4"/>
    <n v="96.956999999999994"/>
    <n v="93.2"/>
    <n v="98.600999999999999"/>
    <n v="95.900499999999994"/>
    <n v="540.1"/>
  </r>
  <r>
    <x v="15"/>
    <x v="10"/>
    <x v="4"/>
    <n v="96.956999999999994"/>
    <n v="93.2"/>
    <n v="98.600999999999999"/>
    <n v="95.900499999999994"/>
    <n v="540.1"/>
  </r>
  <r>
    <x v="15"/>
    <x v="10"/>
    <x v="4"/>
    <n v="96.956999999999994"/>
    <n v="93.2"/>
    <n v="98.600999999999999"/>
    <n v="95.900499999999994"/>
    <n v="540.1"/>
  </r>
  <r>
    <x v="15"/>
    <x v="10"/>
    <x v="4"/>
    <n v="96.956999999999994"/>
    <n v="93.2"/>
    <n v="98.600999999999999"/>
    <n v="95.900499999999994"/>
    <n v="540.1"/>
  </r>
  <r>
    <x v="15"/>
    <x v="10"/>
    <x v="4"/>
    <n v="96.956999999999994"/>
    <n v="93.2"/>
    <n v="98.600999999999999"/>
    <n v="95.900499999999994"/>
    <n v="540.1"/>
  </r>
  <r>
    <x v="15"/>
    <x v="10"/>
    <x v="4"/>
    <n v="96.956999999999994"/>
    <n v="93.2"/>
    <n v="98.600999999999999"/>
    <n v="95.900499999999994"/>
    <n v="540.1"/>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0"/>
    <x v="3"/>
    <n v="1.2963499999999999"/>
    <n v="1.28901"/>
    <n v="1.3970800000000001"/>
    <n v="1.343045"/>
    <n v="1080.7"/>
  </r>
  <r>
    <x v="15"/>
    <x v="11"/>
    <x v="0"/>
    <n v="2.00278"/>
    <n v="1.93"/>
    <n v="2.0020199999999999"/>
    <n v="1.96601"/>
    <n v="720.2"/>
  </r>
  <r>
    <x v="15"/>
    <x v="11"/>
    <x v="0"/>
    <n v="2.00278"/>
    <n v="1.93"/>
    <n v="2.0020199999999999"/>
    <n v="1.96601"/>
    <n v="720.2"/>
  </r>
  <r>
    <x v="15"/>
    <x v="11"/>
    <x v="0"/>
    <n v="2.00278"/>
    <n v="1.93"/>
    <n v="2.0020199999999999"/>
    <n v="1.96601"/>
    <n v="720.2"/>
  </r>
  <r>
    <x v="15"/>
    <x v="11"/>
    <x v="0"/>
    <n v="2.00278"/>
    <n v="1.93"/>
    <n v="2.0020199999999999"/>
    <n v="1.96601"/>
    <n v="720.2"/>
  </r>
  <r>
    <x v="15"/>
    <x v="11"/>
    <x v="0"/>
    <n v="2.00278"/>
    <n v="1.93"/>
    <n v="2.0020199999999999"/>
    <n v="1.96601"/>
    <n v="720.2"/>
  </r>
  <r>
    <x v="15"/>
    <x v="11"/>
    <x v="0"/>
    <n v="2.00278"/>
    <n v="1.93"/>
    <n v="2.0020199999999999"/>
    <n v="1.96601"/>
    <n v="720.2"/>
  </r>
  <r>
    <x v="15"/>
    <x v="11"/>
    <x v="0"/>
    <n v="2.00278"/>
    <n v="1.93"/>
    <n v="2.0020199999999999"/>
    <n v="1.96601"/>
    <n v="720.2"/>
  </r>
  <r>
    <x v="15"/>
    <x v="11"/>
    <x v="0"/>
    <n v="2.00278"/>
    <n v="1.93"/>
    <n v="2.0020199999999999"/>
    <n v="1.96601"/>
    <n v="720.2"/>
  </r>
  <r>
    <x v="15"/>
    <x v="11"/>
    <x v="0"/>
    <n v="2.00278"/>
    <n v="1.93"/>
    <n v="2.0020199999999999"/>
    <n v="1.96601"/>
    <n v="720.2"/>
  </r>
  <r>
    <x v="15"/>
    <x v="11"/>
    <x v="0"/>
    <n v="2.00278"/>
    <n v="1.93"/>
    <n v="2.0020199999999999"/>
    <n v="1.96601"/>
    <n v="720.2"/>
  </r>
  <r>
    <x v="15"/>
    <x v="11"/>
    <x v="0"/>
    <n v="2.00278"/>
    <n v="1.93"/>
    <n v="2.0020199999999999"/>
    <n v="1.96601"/>
    <n v="720.2"/>
  </r>
  <r>
    <x v="15"/>
    <x v="11"/>
    <x v="0"/>
    <n v="2.00278"/>
    <n v="1.93"/>
    <n v="2.0020199999999999"/>
    <n v="1.96601"/>
    <n v="720.2"/>
  </r>
  <r>
    <x v="15"/>
    <x v="11"/>
    <x v="0"/>
    <n v="2.00278"/>
    <n v="1.93"/>
    <n v="2.0020199999999999"/>
    <n v="1.96601"/>
    <n v="720.2"/>
  </r>
  <r>
    <x v="15"/>
    <x v="11"/>
    <x v="0"/>
    <n v="2.00278"/>
    <n v="1.93"/>
    <n v="2.0020199999999999"/>
    <n v="1.96601"/>
    <n v="720.2"/>
  </r>
  <r>
    <x v="15"/>
    <x v="11"/>
    <x v="0"/>
    <n v="2.00278"/>
    <n v="1.93"/>
    <n v="2.0020199999999999"/>
    <n v="1.96601"/>
    <n v="720.2"/>
  </r>
  <r>
    <x v="15"/>
    <x v="11"/>
    <x v="0"/>
    <n v="2.00278"/>
    <n v="1.93"/>
    <n v="2.0020199999999999"/>
    <n v="1.96601"/>
    <n v="720.2"/>
  </r>
  <r>
    <x v="15"/>
    <x v="11"/>
    <x v="0"/>
    <n v="2.00278"/>
    <n v="1.93"/>
    <n v="2.0020199999999999"/>
    <n v="1.96601"/>
    <n v="720.2"/>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2"/>
    <n v="109.005"/>
    <n v="101"/>
    <n v="107.398"/>
    <n v="104.199"/>
    <n v="639.79999999999995"/>
  </r>
  <r>
    <x v="15"/>
    <x v="11"/>
    <x v="4"/>
    <n v="97.302000000000007"/>
    <n v="93.2"/>
    <n v="98.600999999999999"/>
    <n v="95.900499999999994"/>
    <n v="540.1"/>
  </r>
  <r>
    <x v="15"/>
    <x v="11"/>
    <x v="4"/>
    <n v="97.302000000000007"/>
    <n v="93.2"/>
    <n v="98.600999999999999"/>
    <n v="95.900499999999994"/>
    <n v="540.1"/>
  </r>
  <r>
    <x v="15"/>
    <x v="11"/>
    <x v="4"/>
    <n v="97.302000000000007"/>
    <n v="93.2"/>
    <n v="98.600999999999999"/>
    <n v="95.900499999999994"/>
    <n v="540.1"/>
  </r>
  <r>
    <x v="15"/>
    <x v="11"/>
    <x v="4"/>
    <n v="97.302000000000007"/>
    <n v="93.2"/>
    <n v="98.600999999999999"/>
    <n v="95.900499999999994"/>
    <n v="540.1"/>
  </r>
  <r>
    <x v="15"/>
    <x v="11"/>
    <x v="4"/>
    <n v="97.302000000000007"/>
    <n v="93.2"/>
    <n v="98.600999999999999"/>
    <n v="95.900499999999994"/>
    <n v="540.1"/>
  </r>
  <r>
    <x v="15"/>
    <x v="11"/>
    <x v="4"/>
    <n v="97.302000000000007"/>
    <n v="93.2"/>
    <n v="98.600999999999999"/>
    <n v="95.900499999999994"/>
    <n v="540.1"/>
  </r>
  <r>
    <x v="15"/>
    <x v="11"/>
    <x v="4"/>
    <n v="97.302000000000007"/>
    <n v="93.2"/>
    <n v="98.600999999999999"/>
    <n v="95.900499999999994"/>
    <n v="540.1"/>
  </r>
  <r>
    <x v="15"/>
    <x v="11"/>
    <x v="4"/>
    <n v="97.302000000000007"/>
    <n v="93.2"/>
    <n v="98.600999999999999"/>
    <n v="95.900499999999994"/>
    <n v="540.1"/>
  </r>
  <r>
    <x v="15"/>
    <x v="11"/>
    <x v="4"/>
    <n v="97.302000000000007"/>
    <n v="93.2"/>
    <n v="98.600999999999999"/>
    <n v="95.900499999999994"/>
    <n v="540.1"/>
  </r>
  <r>
    <x v="15"/>
    <x v="11"/>
    <x v="4"/>
    <n v="97.302000000000007"/>
    <n v="93.2"/>
    <n v="98.600999999999999"/>
    <n v="95.900499999999994"/>
    <n v="540.1"/>
  </r>
  <r>
    <x v="15"/>
    <x v="11"/>
    <x v="4"/>
    <n v="97.302000000000007"/>
    <n v="93.2"/>
    <n v="98.600999999999999"/>
    <n v="95.900499999999994"/>
    <n v="540.1"/>
  </r>
  <r>
    <x v="15"/>
    <x v="11"/>
    <x v="4"/>
    <n v="97.302000000000007"/>
    <n v="93.2"/>
    <n v="98.600999999999999"/>
    <n v="95.900499999999994"/>
    <n v="540.1"/>
  </r>
  <r>
    <x v="15"/>
    <x v="11"/>
    <x v="4"/>
    <n v="97.302000000000007"/>
    <n v="93.2"/>
    <n v="98.600999999999999"/>
    <n v="95.900499999999994"/>
    <n v="540.1"/>
  </r>
  <r>
    <x v="15"/>
    <x v="11"/>
    <x v="4"/>
    <n v="97.302000000000007"/>
    <n v="93.2"/>
    <n v="98.600999999999999"/>
    <n v="95.900499999999994"/>
    <n v="540.1"/>
  </r>
  <r>
    <x v="15"/>
    <x v="11"/>
    <x v="4"/>
    <n v="97.302000000000007"/>
    <n v="93.2"/>
    <n v="98.600999999999999"/>
    <n v="95.900499999999994"/>
    <n v="540.1"/>
  </r>
  <r>
    <x v="15"/>
    <x v="11"/>
    <x v="4"/>
    <n v="97.302000000000007"/>
    <n v="93.2"/>
    <n v="98.600999999999999"/>
    <n v="95.900499999999994"/>
    <n v="540.1"/>
  </r>
  <r>
    <x v="15"/>
    <x v="11"/>
    <x v="4"/>
    <n v="97.302000000000007"/>
    <n v="93.2"/>
    <n v="98.600999999999999"/>
    <n v="95.900499999999994"/>
    <n v="540.1"/>
  </r>
  <r>
    <x v="15"/>
    <x v="11"/>
    <x v="4"/>
    <n v="97.302000000000007"/>
    <n v="93.2"/>
    <n v="98.600999999999999"/>
    <n v="95.900499999999994"/>
    <n v="540.1"/>
  </r>
  <r>
    <x v="15"/>
    <x v="11"/>
    <x v="4"/>
    <n v="97.302000000000007"/>
    <n v="93.2"/>
    <n v="98.600999999999999"/>
    <n v="95.900499999999994"/>
    <n v="540.1"/>
  </r>
  <r>
    <x v="15"/>
    <x v="11"/>
    <x v="4"/>
    <n v="97.302000000000007"/>
    <n v="93.2"/>
    <n v="98.600999999999999"/>
    <n v="95.900499999999994"/>
    <n v="540.1"/>
  </r>
  <r>
    <x v="15"/>
    <x v="11"/>
    <x v="4"/>
    <n v="97.302000000000007"/>
    <n v="93.2"/>
    <n v="98.600999999999999"/>
    <n v="95.900499999999994"/>
    <n v="540.1"/>
  </r>
  <r>
    <x v="15"/>
    <x v="11"/>
    <x v="4"/>
    <n v="97.302000000000007"/>
    <n v="93.2"/>
    <n v="98.600999999999999"/>
    <n v="95.900499999999994"/>
    <n v="540.1"/>
  </r>
  <r>
    <x v="15"/>
    <x v="11"/>
    <x v="4"/>
    <n v="97.302000000000007"/>
    <n v="93.2"/>
    <n v="98.600999999999999"/>
    <n v="95.900499999999994"/>
    <n v="540.1"/>
  </r>
  <r>
    <x v="15"/>
    <x v="11"/>
    <x v="4"/>
    <n v="97.302000000000007"/>
    <n v="93.2"/>
    <n v="98.600999999999999"/>
    <n v="95.900499999999994"/>
    <n v="540.1"/>
  </r>
  <r>
    <x v="15"/>
    <x v="11"/>
    <x v="4"/>
    <n v="97.302000000000007"/>
    <n v="93.2"/>
    <n v="98.600999999999999"/>
    <n v="95.900499999999994"/>
    <n v="540.1"/>
  </r>
  <r>
    <x v="15"/>
    <x v="11"/>
    <x v="4"/>
    <n v="97.302000000000007"/>
    <n v="93.2"/>
    <n v="98.600999999999999"/>
    <n v="95.900499999999994"/>
    <n v="540.1"/>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3"/>
    <n v="1.2827900000000001"/>
    <n v="1.28901"/>
    <n v="1.3970800000000001"/>
    <n v="1.343045"/>
    <n v="1080.7"/>
  </r>
  <r>
    <x v="15"/>
    <x v="11"/>
    <x v="0"/>
    <n v="2.00278"/>
    <n v="1.93"/>
    <n v="2.0020199999999999"/>
    <n v="1.96601"/>
    <n v="720.2"/>
  </r>
  <r>
    <x v="15"/>
    <x v="11"/>
    <x v="0"/>
    <n v="2.00278"/>
    <n v="1.93"/>
    <n v="2.0020199999999999"/>
    <n v="1.96601"/>
    <n v="720.2"/>
  </r>
  <r>
    <x v="15"/>
    <x v="11"/>
    <x v="0"/>
    <n v="2.00278"/>
    <n v="1.93"/>
    <n v="2.0020199999999999"/>
    <n v="1.96601"/>
    <n v="720.2"/>
  </r>
  <r>
    <x v="15"/>
    <x v="12"/>
    <x v="4"/>
    <n v="95.766999999999996"/>
    <n v="93.2"/>
    <n v="98.600999999999999"/>
    <n v="95.900499999999994"/>
    <n v="540.1"/>
  </r>
  <r>
    <x v="15"/>
    <x v="12"/>
    <x v="4"/>
    <n v="95.766999999999996"/>
    <n v="93.2"/>
    <n v="98.600999999999999"/>
    <n v="95.900499999999994"/>
    <n v="540.1"/>
  </r>
  <r>
    <x v="15"/>
    <x v="12"/>
    <x v="4"/>
    <n v="95.766999999999996"/>
    <n v="93.2"/>
    <n v="98.600999999999999"/>
    <n v="95.900499999999994"/>
    <n v="540.1"/>
  </r>
  <r>
    <x v="15"/>
    <x v="12"/>
    <x v="4"/>
    <n v="95.766999999999996"/>
    <n v="93.2"/>
    <n v="98.600999999999999"/>
    <n v="95.900499999999994"/>
    <n v="540.1"/>
  </r>
  <r>
    <x v="15"/>
    <x v="12"/>
    <x v="4"/>
    <n v="95.766999999999996"/>
    <n v="93.2"/>
    <n v="98.600999999999999"/>
    <n v="95.900499999999994"/>
    <n v="540.1"/>
  </r>
  <r>
    <x v="15"/>
    <x v="12"/>
    <x v="4"/>
    <n v="95.766999999999996"/>
    <n v="93.2"/>
    <n v="98.600999999999999"/>
    <n v="95.900499999999994"/>
    <n v="540.1"/>
  </r>
  <r>
    <x v="15"/>
    <x v="12"/>
    <x v="4"/>
    <n v="95.766999999999996"/>
    <n v="93.2"/>
    <n v="98.600999999999999"/>
    <n v="95.900499999999994"/>
    <n v="540.1"/>
  </r>
  <r>
    <x v="15"/>
    <x v="12"/>
    <x v="4"/>
    <n v="95.766999999999996"/>
    <n v="93.2"/>
    <n v="98.600999999999999"/>
    <n v="95.900499999999994"/>
    <n v="540.1"/>
  </r>
  <r>
    <x v="15"/>
    <x v="12"/>
    <x v="4"/>
    <n v="95.766999999999996"/>
    <n v="93.2"/>
    <n v="98.600999999999999"/>
    <n v="95.900499999999994"/>
    <n v="540.1"/>
  </r>
  <r>
    <x v="15"/>
    <x v="12"/>
    <x v="4"/>
    <n v="95.766999999999996"/>
    <n v="93.2"/>
    <n v="98.600999999999999"/>
    <n v="95.900499999999994"/>
    <n v="540.1"/>
  </r>
  <r>
    <x v="15"/>
    <x v="12"/>
    <x v="4"/>
    <n v="95.766999999999996"/>
    <n v="93.2"/>
    <n v="98.600999999999999"/>
    <n v="95.900499999999994"/>
    <n v="540.1"/>
  </r>
  <r>
    <x v="15"/>
    <x v="12"/>
    <x v="4"/>
    <n v="95.766999999999996"/>
    <n v="93.2"/>
    <n v="98.600999999999999"/>
    <n v="95.900499999999994"/>
    <n v="540.1"/>
  </r>
  <r>
    <x v="15"/>
    <x v="12"/>
    <x v="4"/>
    <n v="95.766999999999996"/>
    <n v="93.2"/>
    <n v="98.600999999999999"/>
    <n v="95.900499999999994"/>
    <n v="540.1"/>
  </r>
  <r>
    <x v="15"/>
    <x v="12"/>
    <x v="4"/>
    <n v="95.766999999999996"/>
    <n v="93.2"/>
    <n v="98.600999999999999"/>
    <n v="95.900499999999994"/>
    <n v="540.1"/>
  </r>
  <r>
    <x v="15"/>
    <x v="12"/>
    <x v="4"/>
    <n v="95.766999999999996"/>
    <n v="93.2"/>
    <n v="98.600999999999999"/>
    <n v="95.900499999999994"/>
    <n v="540.1"/>
  </r>
  <r>
    <x v="15"/>
    <x v="12"/>
    <x v="4"/>
    <n v="95.766999999999996"/>
    <n v="93.2"/>
    <n v="98.600999999999999"/>
    <n v="95.900499999999994"/>
    <n v="540.1"/>
  </r>
  <r>
    <x v="15"/>
    <x v="12"/>
    <x v="4"/>
    <n v="95.766999999999996"/>
    <n v="93.2"/>
    <n v="98.600999999999999"/>
    <n v="95.900499999999994"/>
    <n v="540.1"/>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3"/>
    <n v="1.26817"/>
    <n v="1.28901"/>
    <n v="1.3970800000000001"/>
    <n v="1.343045"/>
    <n v="1080.7"/>
  </r>
  <r>
    <x v="15"/>
    <x v="12"/>
    <x v="0"/>
    <n v="2.06318"/>
    <n v="1.93"/>
    <n v="2.0020199999999999"/>
    <n v="1.96601"/>
    <n v="720.2"/>
  </r>
  <r>
    <x v="15"/>
    <x v="12"/>
    <x v="0"/>
    <n v="2.06318"/>
    <n v="1.93"/>
    <n v="2.0020199999999999"/>
    <n v="1.96601"/>
    <n v="720.2"/>
  </r>
  <r>
    <x v="15"/>
    <x v="12"/>
    <x v="0"/>
    <n v="2.06318"/>
    <n v="1.93"/>
    <n v="2.0020199999999999"/>
    <n v="1.96601"/>
    <n v="720.2"/>
  </r>
  <r>
    <x v="15"/>
    <x v="12"/>
    <x v="0"/>
    <n v="2.06318"/>
    <n v="1.93"/>
    <n v="2.0020199999999999"/>
    <n v="1.96601"/>
    <n v="720.2"/>
  </r>
  <r>
    <x v="15"/>
    <x v="12"/>
    <x v="0"/>
    <n v="2.06318"/>
    <n v="1.93"/>
    <n v="2.0020199999999999"/>
    <n v="1.96601"/>
    <n v="720.2"/>
  </r>
  <r>
    <x v="15"/>
    <x v="12"/>
    <x v="0"/>
    <n v="2.06318"/>
    <n v="1.93"/>
    <n v="2.0020199999999999"/>
    <n v="1.96601"/>
    <n v="720.2"/>
  </r>
  <r>
    <x v="15"/>
    <x v="12"/>
    <x v="0"/>
    <n v="2.06318"/>
    <n v="1.93"/>
    <n v="2.0020199999999999"/>
    <n v="1.96601"/>
    <n v="720.2"/>
  </r>
  <r>
    <x v="15"/>
    <x v="12"/>
    <x v="0"/>
    <n v="2.06318"/>
    <n v="1.93"/>
    <n v="2.0020199999999999"/>
    <n v="1.96601"/>
    <n v="720.2"/>
  </r>
  <r>
    <x v="15"/>
    <x v="12"/>
    <x v="0"/>
    <n v="2.06318"/>
    <n v="1.93"/>
    <n v="2.0020199999999999"/>
    <n v="1.96601"/>
    <n v="720.2"/>
  </r>
  <r>
    <x v="15"/>
    <x v="12"/>
    <x v="0"/>
    <n v="2.06318"/>
    <n v="1.93"/>
    <n v="2.0020199999999999"/>
    <n v="1.96601"/>
    <n v="720.2"/>
  </r>
  <r>
    <x v="15"/>
    <x v="12"/>
    <x v="0"/>
    <n v="2.06318"/>
    <n v="1.93"/>
    <n v="2.0020199999999999"/>
    <n v="1.96601"/>
    <n v="720.2"/>
  </r>
  <r>
    <x v="15"/>
    <x v="12"/>
    <x v="0"/>
    <n v="2.06318"/>
    <n v="1.93"/>
    <n v="2.0020199999999999"/>
    <n v="1.96601"/>
    <n v="720.2"/>
  </r>
  <r>
    <x v="15"/>
    <x v="12"/>
    <x v="0"/>
    <n v="2.06318"/>
    <n v="1.93"/>
    <n v="2.0020199999999999"/>
    <n v="1.96601"/>
    <n v="720.2"/>
  </r>
  <r>
    <x v="15"/>
    <x v="12"/>
    <x v="0"/>
    <n v="2.06318"/>
    <n v="1.93"/>
    <n v="2.0020199999999999"/>
    <n v="1.96601"/>
    <n v="720.2"/>
  </r>
  <r>
    <x v="15"/>
    <x v="12"/>
    <x v="0"/>
    <n v="2.06318"/>
    <n v="1.93"/>
    <n v="2.0020199999999999"/>
    <n v="1.96601"/>
    <n v="720.2"/>
  </r>
  <r>
    <x v="15"/>
    <x v="12"/>
    <x v="0"/>
    <n v="2.06318"/>
    <n v="1.93"/>
    <n v="2.0020199999999999"/>
    <n v="1.96601"/>
    <n v="720.2"/>
  </r>
  <r>
    <x v="15"/>
    <x v="12"/>
    <x v="0"/>
    <n v="2.06318"/>
    <n v="1.93"/>
    <n v="2.0020199999999999"/>
    <n v="1.96601"/>
    <n v="720.2"/>
  </r>
  <r>
    <x v="15"/>
    <x v="12"/>
    <x v="0"/>
    <n v="2.06318"/>
    <n v="1.93"/>
    <n v="2.0020199999999999"/>
    <n v="1.96601"/>
    <n v="720.2"/>
  </r>
  <r>
    <x v="15"/>
    <x v="12"/>
    <x v="0"/>
    <n v="2.06318"/>
    <n v="1.93"/>
    <n v="2.0020199999999999"/>
    <n v="1.96601"/>
    <n v="720.2"/>
  </r>
  <r>
    <x v="15"/>
    <x v="12"/>
    <x v="0"/>
    <n v="2.06318"/>
    <n v="1.93"/>
    <n v="2.0020199999999999"/>
    <n v="1.96601"/>
    <n v="720.2"/>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2"/>
    <x v="2"/>
    <n v="109.28"/>
    <n v="101"/>
    <n v="107.398"/>
    <n v="104.199"/>
    <n v="639.79999999999995"/>
  </r>
  <r>
    <x v="15"/>
    <x v="13"/>
    <x v="0"/>
    <n v="2.0533700000000001"/>
    <n v="1.93"/>
    <n v="2.0020199999999999"/>
    <n v="1.96601"/>
    <n v="720.2"/>
  </r>
  <r>
    <x v="15"/>
    <x v="13"/>
    <x v="0"/>
    <n v="2.0533700000000001"/>
    <n v="1.93"/>
    <n v="2.0020199999999999"/>
    <n v="1.96601"/>
    <n v="720.2"/>
  </r>
  <r>
    <x v="15"/>
    <x v="13"/>
    <x v="0"/>
    <n v="2.0533700000000001"/>
    <n v="1.93"/>
    <n v="2.0020199999999999"/>
    <n v="1.96601"/>
    <n v="720.2"/>
  </r>
  <r>
    <x v="15"/>
    <x v="13"/>
    <x v="0"/>
    <n v="2.0533700000000001"/>
    <n v="1.93"/>
    <n v="2.0020199999999999"/>
    <n v="1.96601"/>
    <n v="720.2"/>
  </r>
  <r>
    <x v="15"/>
    <x v="13"/>
    <x v="0"/>
    <n v="2.0533700000000001"/>
    <n v="1.93"/>
    <n v="2.0020199999999999"/>
    <n v="1.96601"/>
    <n v="720.2"/>
  </r>
  <r>
    <x v="15"/>
    <x v="13"/>
    <x v="0"/>
    <n v="2.0533700000000001"/>
    <n v="1.93"/>
    <n v="2.0020199999999999"/>
    <n v="1.96601"/>
    <n v="720.2"/>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2"/>
    <n v="109.748"/>
    <n v="101"/>
    <n v="107.398"/>
    <n v="104.199"/>
    <n v="639.79999999999995"/>
  </r>
  <r>
    <x v="15"/>
    <x v="13"/>
    <x v="4"/>
    <n v="95.186999999999998"/>
    <n v="93.2"/>
    <n v="98.600999999999999"/>
    <n v="95.900499999999994"/>
    <n v="540.1"/>
  </r>
  <r>
    <x v="15"/>
    <x v="13"/>
    <x v="4"/>
    <n v="95.186999999999998"/>
    <n v="93.2"/>
    <n v="98.600999999999999"/>
    <n v="95.900499999999994"/>
    <n v="540.1"/>
  </r>
  <r>
    <x v="15"/>
    <x v="13"/>
    <x v="4"/>
    <n v="95.186999999999998"/>
    <n v="93.2"/>
    <n v="98.600999999999999"/>
    <n v="95.900499999999994"/>
    <n v="540.1"/>
  </r>
  <r>
    <x v="15"/>
    <x v="13"/>
    <x v="4"/>
    <n v="95.186999999999998"/>
    <n v="93.2"/>
    <n v="98.600999999999999"/>
    <n v="95.900499999999994"/>
    <n v="540.1"/>
  </r>
  <r>
    <x v="15"/>
    <x v="13"/>
    <x v="4"/>
    <n v="95.186999999999998"/>
    <n v="93.2"/>
    <n v="98.600999999999999"/>
    <n v="95.900499999999994"/>
    <n v="540.1"/>
  </r>
  <r>
    <x v="15"/>
    <x v="13"/>
    <x v="4"/>
    <n v="95.186999999999998"/>
    <n v="93.2"/>
    <n v="98.600999999999999"/>
    <n v="95.900499999999994"/>
    <n v="540.1"/>
  </r>
  <r>
    <x v="15"/>
    <x v="13"/>
    <x v="4"/>
    <n v="95.186999999999998"/>
    <n v="93.2"/>
    <n v="98.600999999999999"/>
    <n v="95.900499999999994"/>
    <n v="540.1"/>
  </r>
  <r>
    <x v="15"/>
    <x v="13"/>
    <x v="4"/>
    <n v="95.186999999999998"/>
    <n v="93.2"/>
    <n v="98.600999999999999"/>
    <n v="95.900499999999994"/>
    <n v="540.1"/>
  </r>
  <r>
    <x v="15"/>
    <x v="13"/>
    <x v="4"/>
    <n v="95.186999999999998"/>
    <n v="93.2"/>
    <n v="98.600999999999999"/>
    <n v="95.900499999999994"/>
    <n v="540.1"/>
  </r>
  <r>
    <x v="15"/>
    <x v="13"/>
    <x v="4"/>
    <n v="95.186999999999998"/>
    <n v="93.2"/>
    <n v="98.600999999999999"/>
    <n v="95.900499999999994"/>
    <n v="540.1"/>
  </r>
  <r>
    <x v="15"/>
    <x v="13"/>
    <x v="4"/>
    <n v="95.186999999999998"/>
    <n v="93.2"/>
    <n v="98.600999999999999"/>
    <n v="95.900499999999994"/>
    <n v="540.1"/>
  </r>
  <r>
    <x v="15"/>
    <x v="13"/>
    <x v="4"/>
    <n v="95.186999999999998"/>
    <n v="93.2"/>
    <n v="98.600999999999999"/>
    <n v="95.900499999999994"/>
    <n v="540.1"/>
  </r>
  <r>
    <x v="15"/>
    <x v="13"/>
    <x v="4"/>
    <n v="95.186999999999998"/>
    <n v="93.2"/>
    <n v="98.600999999999999"/>
    <n v="95.900499999999994"/>
    <n v="540.1"/>
  </r>
  <r>
    <x v="15"/>
    <x v="13"/>
    <x v="4"/>
    <n v="95.186999999999998"/>
    <n v="93.2"/>
    <n v="98.600999999999999"/>
    <n v="95.900499999999994"/>
    <n v="540.1"/>
  </r>
  <r>
    <x v="15"/>
    <x v="13"/>
    <x v="4"/>
    <n v="95.186999999999998"/>
    <n v="93.2"/>
    <n v="98.600999999999999"/>
    <n v="95.900499999999994"/>
    <n v="540.1"/>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3"/>
    <n v="1.2513399999999999"/>
    <n v="1.28901"/>
    <n v="1.3970800000000001"/>
    <n v="1.343045"/>
    <n v="1080.7"/>
  </r>
  <r>
    <x v="15"/>
    <x v="13"/>
    <x v="0"/>
    <n v="2.0533700000000001"/>
    <n v="1.93"/>
    <n v="2.0020199999999999"/>
    <n v="1.96601"/>
    <n v="720.2"/>
  </r>
  <r>
    <x v="15"/>
    <x v="13"/>
    <x v="0"/>
    <n v="2.0533700000000001"/>
    <n v="1.93"/>
    <n v="2.0020199999999999"/>
    <n v="1.96601"/>
    <n v="720.2"/>
  </r>
  <r>
    <x v="15"/>
    <x v="13"/>
    <x v="0"/>
    <n v="2.0533700000000001"/>
    <n v="1.93"/>
    <n v="2.0020199999999999"/>
    <n v="1.96601"/>
    <n v="720.2"/>
  </r>
  <r>
    <x v="15"/>
    <x v="13"/>
    <x v="0"/>
    <n v="2.0533700000000001"/>
    <n v="1.93"/>
    <n v="2.0020199999999999"/>
    <n v="1.96601"/>
    <n v="720.2"/>
  </r>
  <r>
    <x v="15"/>
    <x v="13"/>
    <x v="0"/>
    <n v="2.0533700000000001"/>
    <n v="1.93"/>
    <n v="2.0020199999999999"/>
    <n v="1.96601"/>
    <n v="720.2"/>
  </r>
  <r>
    <x v="15"/>
    <x v="13"/>
    <x v="0"/>
    <n v="2.0533700000000001"/>
    <n v="1.93"/>
    <n v="2.0020199999999999"/>
    <n v="1.96601"/>
    <n v="720.2"/>
  </r>
  <r>
    <x v="15"/>
    <x v="13"/>
    <x v="0"/>
    <n v="2.0533700000000001"/>
    <n v="1.93"/>
    <n v="2.0020199999999999"/>
    <n v="1.96601"/>
    <n v="720.2"/>
  </r>
  <r>
    <x v="15"/>
    <x v="13"/>
    <x v="0"/>
    <n v="2.0533700000000001"/>
    <n v="1.93"/>
    <n v="2.0020199999999999"/>
    <n v="1.96601"/>
    <n v="720.2"/>
  </r>
  <r>
    <x v="15"/>
    <x v="13"/>
    <x v="0"/>
    <n v="2.0533700000000001"/>
    <n v="1.93"/>
    <n v="2.0020199999999999"/>
    <n v="1.96601"/>
    <n v="720.2"/>
  </r>
  <r>
    <x v="15"/>
    <x v="13"/>
    <x v="0"/>
    <n v="2.0533700000000001"/>
    <n v="1.93"/>
    <n v="2.0020199999999999"/>
    <n v="1.96601"/>
    <n v="720.2"/>
  </r>
  <r>
    <x v="15"/>
    <x v="13"/>
    <x v="0"/>
    <n v="2.0533700000000001"/>
    <n v="1.93"/>
    <n v="2.0020199999999999"/>
    <n v="1.96601"/>
    <n v="720.2"/>
  </r>
  <r>
    <x v="15"/>
    <x v="13"/>
    <x v="0"/>
    <n v="2.0533700000000001"/>
    <n v="1.93"/>
    <n v="2.0020199999999999"/>
    <n v="1.96601"/>
    <n v="720.2"/>
  </r>
  <r>
    <x v="15"/>
    <x v="13"/>
    <x v="0"/>
    <n v="2.0533700000000001"/>
    <n v="1.93"/>
    <n v="2.0020199999999999"/>
    <n v="1.96601"/>
    <n v="720.2"/>
  </r>
  <r>
    <x v="15"/>
    <x v="13"/>
    <x v="0"/>
    <n v="2.0533700000000001"/>
    <n v="1.93"/>
    <n v="2.0020199999999999"/>
    <n v="1.96601"/>
    <n v="720.2"/>
  </r>
  <r>
    <x v="15"/>
    <x v="14"/>
    <x v="2"/>
    <n v="107.637"/>
    <n v="101"/>
    <n v="107.6"/>
    <n v="104.3"/>
    <n v="660"/>
  </r>
  <r>
    <x v="15"/>
    <x v="14"/>
    <x v="2"/>
    <n v="107.637"/>
    <n v="101"/>
    <n v="107.6"/>
    <n v="104.3"/>
    <n v="660"/>
  </r>
  <r>
    <x v="15"/>
    <x v="14"/>
    <x v="2"/>
    <n v="107.637"/>
    <n v="101"/>
    <n v="107.6"/>
    <n v="104.3"/>
    <n v="660"/>
  </r>
  <r>
    <x v="15"/>
    <x v="14"/>
    <x v="2"/>
    <n v="107.637"/>
    <n v="101"/>
    <n v="107.6"/>
    <n v="104.3"/>
    <n v="660"/>
  </r>
  <r>
    <x v="15"/>
    <x v="14"/>
    <x v="2"/>
    <n v="107.637"/>
    <n v="101"/>
    <n v="107.6"/>
    <n v="104.3"/>
    <n v="660"/>
  </r>
  <r>
    <x v="15"/>
    <x v="14"/>
    <x v="2"/>
    <n v="107.637"/>
    <n v="101"/>
    <n v="107.6"/>
    <n v="104.3"/>
    <n v="660"/>
  </r>
  <r>
    <x v="15"/>
    <x v="14"/>
    <x v="2"/>
    <n v="107.637"/>
    <n v="101"/>
    <n v="107.6"/>
    <n v="104.3"/>
    <n v="660"/>
  </r>
  <r>
    <x v="15"/>
    <x v="14"/>
    <x v="2"/>
    <n v="107.637"/>
    <n v="101"/>
    <n v="107.6"/>
    <n v="104.3"/>
    <n v="660"/>
  </r>
  <r>
    <x v="15"/>
    <x v="14"/>
    <x v="2"/>
    <n v="107.637"/>
    <n v="101"/>
    <n v="107.6"/>
    <n v="104.3"/>
    <n v="660"/>
  </r>
  <r>
    <x v="15"/>
    <x v="14"/>
    <x v="2"/>
    <n v="107.637"/>
    <n v="101"/>
    <n v="107.6"/>
    <n v="104.3"/>
    <n v="660"/>
  </r>
  <r>
    <x v="15"/>
    <x v="14"/>
    <x v="2"/>
    <n v="107.637"/>
    <n v="101"/>
    <n v="107.6"/>
    <n v="104.3"/>
    <n v="660"/>
  </r>
  <r>
    <x v="15"/>
    <x v="14"/>
    <x v="2"/>
    <n v="107.637"/>
    <n v="101"/>
    <n v="107.6"/>
    <n v="104.3"/>
    <n v="660"/>
  </r>
  <r>
    <x v="15"/>
    <x v="14"/>
    <x v="2"/>
    <n v="107.637"/>
    <n v="101"/>
    <n v="107.6"/>
    <n v="104.3"/>
    <n v="660"/>
  </r>
  <r>
    <x v="15"/>
    <x v="14"/>
    <x v="2"/>
    <n v="107.637"/>
    <n v="101"/>
    <n v="107.6"/>
    <n v="104.3"/>
    <n v="660"/>
  </r>
  <r>
    <x v="15"/>
    <x v="14"/>
    <x v="4"/>
    <n v="93.456000000000003"/>
    <n v="93.2"/>
    <n v="98.600999999999999"/>
    <n v="95.900499999999994"/>
    <n v="540.1"/>
  </r>
  <r>
    <x v="15"/>
    <x v="14"/>
    <x v="4"/>
    <n v="93.456000000000003"/>
    <n v="93.2"/>
    <n v="98.600999999999999"/>
    <n v="95.900499999999994"/>
    <n v="540.1"/>
  </r>
  <r>
    <x v="15"/>
    <x v="14"/>
    <x v="4"/>
    <n v="93.456000000000003"/>
    <n v="93.2"/>
    <n v="98.600999999999999"/>
    <n v="95.900499999999994"/>
    <n v="540.1"/>
  </r>
  <r>
    <x v="15"/>
    <x v="14"/>
    <x v="4"/>
    <n v="93.456000000000003"/>
    <n v="93.2"/>
    <n v="98.600999999999999"/>
    <n v="95.900499999999994"/>
    <n v="540.1"/>
  </r>
  <r>
    <x v="15"/>
    <x v="14"/>
    <x v="4"/>
    <n v="93.456000000000003"/>
    <n v="93.2"/>
    <n v="98.600999999999999"/>
    <n v="95.900499999999994"/>
    <n v="540.1"/>
  </r>
  <r>
    <x v="15"/>
    <x v="14"/>
    <x v="4"/>
    <n v="93.456000000000003"/>
    <n v="93.2"/>
    <n v="98.600999999999999"/>
    <n v="95.900499999999994"/>
    <n v="540.1"/>
  </r>
  <r>
    <x v="15"/>
    <x v="14"/>
    <x v="4"/>
    <n v="93.456000000000003"/>
    <n v="93.2"/>
    <n v="98.600999999999999"/>
    <n v="95.900499999999994"/>
    <n v="540.1"/>
  </r>
  <r>
    <x v="15"/>
    <x v="14"/>
    <x v="4"/>
    <n v="93.456000000000003"/>
    <n v="93.2"/>
    <n v="98.600999999999999"/>
    <n v="95.900499999999994"/>
    <n v="540.1"/>
  </r>
  <r>
    <x v="15"/>
    <x v="14"/>
    <x v="4"/>
    <n v="93.456000000000003"/>
    <n v="93.2"/>
    <n v="98.600999999999999"/>
    <n v="95.900499999999994"/>
    <n v="540.1"/>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3"/>
    <n v="1.26264"/>
    <n v="1.27702"/>
    <n v="1.3970800000000001"/>
    <n v="1.3370500000000001"/>
    <n v="1200.5999999999999"/>
  </r>
  <r>
    <x v="15"/>
    <x v="14"/>
    <x v="2"/>
    <n v="107.637"/>
    <n v="101"/>
    <n v="107.6"/>
    <n v="104.3"/>
    <n v="660"/>
  </r>
  <r>
    <x v="15"/>
    <x v="14"/>
    <x v="2"/>
    <n v="107.637"/>
    <n v="101"/>
    <n v="107.6"/>
    <n v="104.3"/>
    <n v="660"/>
  </r>
  <r>
    <x v="15"/>
    <x v="14"/>
    <x v="2"/>
    <n v="107.637"/>
    <n v="101"/>
    <n v="107.6"/>
    <n v="104.3"/>
    <n v="660"/>
  </r>
  <r>
    <x v="15"/>
    <x v="14"/>
    <x v="2"/>
    <n v="107.637"/>
    <n v="101"/>
    <n v="107.6"/>
    <n v="104.3"/>
    <n v="660"/>
  </r>
  <r>
    <x v="15"/>
    <x v="14"/>
    <x v="2"/>
    <n v="107.637"/>
    <n v="101"/>
    <n v="107.6"/>
    <n v="104.3"/>
    <n v="660"/>
  </r>
  <r>
    <x v="15"/>
    <x v="14"/>
    <x v="2"/>
    <n v="107.637"/>
    <n v="101"/>
    <n v="107.6"/>
    <n v="104.3"/>
    <n v="660"/>
  </r>
  <r>
    <x v="15"/>
    <x v="14"/>
    <x v="2"/>
    <n v="107.637"/>
    <n v="101"/>
    <n v="107.6"/>
    <n v="104.3"/>
    <n v="660"/>
  </r>
  <r>
    <x v="15"/>
    <x v="14"/>
    <x v="2"/>
    <n v="107.637"/>
    <n v="101"/>
    <n v="107.6"/>
    <n v="104.3"/>
    <n v="660"/>
  </r>
  <r>
    <x v="15"/>
    <x v="14"/>
    <x v="2"/>
    <n v="107.637"/>
    <n v="101"/>
    <n v="107.6"/>
    <n v="104.3"/>
    <n v="660"/>
  </r>
  <r>
    <x v="15"/>
    <x v="14"/>
    <x v="2"/>
    <n v="107.637"/>
    <n v="101"/>
    <n v="107.6"/>
    <n v="104.3"/>
    <n v="660"/>
  </r>
  <r>
    <x v="15"/>
    <x v="14"/>
    <x v="2"/>
    <n v="107.637"/>
    <n v="101"/>
    <n v="107.6"/>
    <n v="104.3"/>
    <n v="660"/>
  </r>
  <r>
    <x v="15"/>
    <x v="14"/>
    <x v="2"/>
    <n v="107.637"/>
    <n v="101"/>
    <n v="107.6"/>
    <n v="104.3"/>
    <n v="660"/>
  </r>
  <r>
    <x v="15"/>
    <x v="14"/>
    <x v="2"/>
    <n v="107.637"/>
    <n v="101"/>
    <n v="107.6"/>
    <n v="104.3"/>
    <n v="660"/>
  </r>
  <r>
    <x v="15"/>
    <x v="14"/>
    <x v="2"/>
    <n v="107.637"/>
    <n v="101"/>
    <n v="107.6"/>
    <n v="104.3"/>
    <n v="660"/>
  </r>
  <r>
    <x v="15"/>
    <x v="14"/>
    <x v="2"/>
    <n v="107.637"/>
    <n v="101"/>
    <n v="107.6"/>
    <n v="104.3"/>
    <n v="660"/>
  </r>
  <r>
    <x v="15"/>
    <x v="14"/>
    <x v="2"/>
    <n v="107.637"/>
    <n v="101"/>
    <n v="107.6"/>
    <n v="104.3"/>
    <n v="660"/>
  </r>
  <r>
    <x v="15"/>
    <x v="14"/>
    <x v="2"/>
    <n v="107.637"/>
    <n v="101"/>
    <n v="107.6"/>
    <n v="104.3"/>
    <n v="660"/>
  </r>
  <r>
    <x v="15"/>
    <x v="14"/>
    <x v="2"/>
    <n v="107.637"/>
    <n v="101"/>
    <n v="107.6"/>
    <n v="104.3"/>
    <n v="660"/>
  </r>
  <r>
    <x v="15"/>
    <x v="14"/>
    <x v="2"/>
    <n v="107.63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2"/>
    <n v="106.87"/>
    <n v="101"/>
    <n v="107.6"/>
    <n v="104.3"/>
    <n v="660"/>
  </r>
  <r>
    <x v="15"/>
    <x v="15"/>
    <x v="4"/>
    <n v="93.438999999999993"/>
    <n v="91.8"/>
    <n v="98.600999999999999"/>
    <n v="95.200500000000005"/>
    <n v="680.1"/>
  </r>
  <r>
    <x v="15"/>
    <x v="15"/>
    <x v="4"/>
    <n v="93.438999999999993"/>
    <n v="91.8"/>
    <n v="98.600999999999999"/>
    <n v="95.200500000000005"/>
    <n v="680.1"/>
  </r>
  <r>
    <x v="15"/>
    <x v="15"/>
    <x v="4"/>
    <n v="93.438999999999993"/>
    <n v="91.8"/>
    <n v="98.600999999999999"/>
    <n v="95.200500000000005"/>
    <n v="680.1"/>
  </r>
  <r>
    <x v="15"/>
    <x v="15"/>
    <x v="4"/>
    <n v="93.438999999999993"/>
    <n v="91.8"/>
    <n v="98.600999999999999"/>
    <n v="95.200500000000005"/>
    <n v="680.1"/>
  </r>
  <r>
    <x v="15"/>
    <x v="15"/>
    <x v="4"/>
    <n v="93.438999999999993"/>
    <n v="91.8"/>
    <n v="98.600999999999999"/>
    <n v="95.200500000000005"/>
    <n v="680.1"/>
  </r>
  <r>
    <x v="15"/>
    <x v="15"/>
    <x v="4"/>
    <n v="93.438999999999993"/>
    <n v="91.8"/>
    <n v="98.600999999999999"/>
    <n v="95.200500000000005"/>
    <n v="680.1"/>
  </r>
  <r>
    <x v="15"/>
    <x v="15"/>
    <x v="4"/>
    <n v="93.438999999999993"/>
    <n v="91.8"/>
    <n v="98.600999999999999"/>
    <n v="95.200500000000005"/>
    <n v="680.1"/>
  </r>
  <r>
    <x v="15"/>
    <x v="15"/>
    <x v="4"/>
    <n v="93.438999999999993"/>
    <n v="91.8"/>
    <n v="98.600999999999999"/>
    <n v="95.200500000000005"/>
    <n v="680.1"/>
  </r>
  <r>
    <x v="15"/>
    <x v="15"/>
    <x v="4"/>
    <n v="93.438999999999993"/>
    <n v="91.8"/>
    <n v="98.600999999999999"/>
    <n v="95.200500000000005"/>
    <n v="680.1"/>
  </r>
  <r>
    <x v="15"/>
    <x v="15"/>
    <x v="4"/>
    <n v="93.438999999999993"/>
    <n v="91.8"/>
    <n v="98.600999999999999"/>
    <n v="95.200500000000005"/>
    <n v="680.1"/>
  </r>
  <r>
    <x v="15"/>
    <x v="15"/>
    <x v="4"/>
    <n v="93.438999999999993"/>
    <n v="91.8"/>
    <n v="98.600999999999999"/>
    <n v="95.200500000000005"/>
    <n v="680.1"/>
  </r>
  <r>
    <x v="15"/>
    <x v="15"/>
    <x v="4"/>
    <n v="93.438999999999993"/>
    <n v="91.8"/>
    <n v="98.600999999999999"/>
    <n v="95.200500000000005"/>
    <n v="680.1"/>
  </r>
  <r>
    <x v="15"/>
    <x v="15"/>
    <x v="4"/>
    <n v="93.438999999999993"/>
    <n v="91.8"/>
    <n v="98.600999999999999"/>
    <n v="95.200500000000005"/>
    <n v="680.1"/>
  </r>
  <r>
    <x v="15"/>
    <x v="15"/>
    <x v="4"/>
    <n v="93.438999999999993"/>
    <n v="91.8"/>
    <n v="98.600999999999999"/>
    <n v="95.200500000000005"/>
    <n v="680.1"/>
  </r>
  <r>
    <x v="15"/>
    <x v="15"/>
    <x v="4"/>
    <n v="93.438999999999993"/>
    <n v="91.8"/>
    <n v="98.600999999999999"/>
    <n v="95.200500000000005"/>
    <n v="680.1"/>
  </r>
  <r>
    <x v="15"/>
    <x v="15"/>
    <x v="4"/>
    <n v="93.438999999999993"/>
    <n v="91.8"/>
    <n v="98.600999999999999"/>
    <n v="95.200500000000005"/>
    <n v="680.1"/>
  </r>
  <r>
    <x v="15"/>
    <x v="15"/>
    <x v="4"/>
    <n v="93.438999999999993"/>
    <n v="91.8"/>
    <n v="98.600999999999999"/>
    <n v="95.200500000000005"/>
    <n v="680.1"/>
  </r>
  <r>
    <x v="15"/>
    <x v="15"/>
    <x v="4"/>
    <n v="93.438999999999993"/>
    <n v="91.8"/>
    <n v="98.600999999999999"/>
    <n v="95.200500000000005"/>
    <n v="680.1"/>
  </r>
  <r>
    <x v="15"/>
    <x v="15"/>
    <x v="4"/>
    <n v="93.438999999999993"/>
    <n v="91.8"/>
    <n v="98.600999999999999"/>
    <n v="95.200500000000005"/>
    <n v="680.1"/>
  </r>
  <r>
    <x v="15"/>
    <x v="15"/>
    <x v="4"/>
    <n v="93.438999999999993"/>
    <n v="91.8"/>
    <n v="98.600999999999999"/>
    <n v="95.200500000000005"/>
    <n v="680.1"/>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5"/>
    <x v="3"/>
    <n v="1.2758799999999999"/>
    <n v="1.2649999999999999"/>
    <n v="1.3970800000000001"/>
    <n v="1.33104"/>
    <n v="1320.8"/>
  </r>
  <r>
    <x v="15"/>
    <x v="16"/>
    <x v="2"/>
    <n v="108.151"/>
    <n v="101"/>
    <n v="107.6"/>
    <n v="104.3"/>
    <n v="660"/>
  </r>
  <r>
    <x v="15"/>
    <x v="16"/>
    <x v="2"/>
    <n v="108.151"/>
    <n v="101"/>
    <n v="107.6"/>
    <n v="104.3"/>
    <n v="660"/>
  </r>
  <r>
    <x v="15"/>
    <x v="16"/>
    <x v="2"/>
    <n v="108.151"/>
    <n v="101"/>
    <n v="107.6"/>
    <n v="104.3"/>
    <n v="660"/>
  </r>
  <r>
    <x v="15"/>
    <x v="16"/>
    <x v="2"/>
    <n v="108.151"/>
    <n v="101"/>
    <n v="107.6"/>
    <n v="104.3"/>
    <n v="660"/>
  </r>
  <r>
    <x v="15"/>
    <x v="16"/>
    <x v="2"/>
    <n v="108.151"/>
    <n v="101"/>
    <n v="107.6"/>
    <n v="104.3"/>
    <n v="660"/>
  </r>
  <r>
    <x v="15"/>
    <x v="16"/>
    <x v="2"/>
    <n v="108.151"/>
    <n v="101"/>
    <n v="107.6"/>
    <n v="104.3"/>
    <n v="660"/>
  </r>
  <r>
    <x v="15"/>
    <x v="16"/>
    <x v="2"/>
    <n v="108.151"/>
    <n v="101"/>
    <n v="107.6"/>
    <n v="104.3"/>
    <n v="660"/>
  </r>
  <r>
    <x v="15"/>
    <x v="16"/>
    <x v="2"/>
    <n v="108.151"/>
    <n v="101"/>
    <n v="107.6"/>
    <n v="104.3"/>
    <n v="660"/>
  </r>
  <r>
    <x v="15"/>
    <x v="16"/>
    <x v="2"/>
    <n v="108.151"/>
    <n v="101"/>
    <n v="107.6"/>
    <n v="104.3"/>
    <n v="660"/>
  </r>
  <r>
    <x v="15"/>
    <x v="16"/>
    <x v="2"/>
    <n v="108.151"/>
    <n v="101"/>
    <n v="107.6"/>
    <n v="104.3"/>
    <n v="660"/>
  </r>
  <r>
    <x v="15"/>
    <x v="16"/>
    <x v="2"/>
    <n v="108.151"/>
    <n v="101"/>
    <n v="107.6"/>
    <n v="104.3"/>
    <n v="660"/>
  </r>
  <r>
    <x v="15"/>
    <x v="16"/>
    <x v="2"/>
    <n v="108.151"/>
    <n v="101"/>
    <n v="107.6"/>
    <n v="104.3"/>
    <n v="660"/>
  </r>
  <r>
    <x v="15"/>
    <x v="16"/>
    <x v="2"/>
    <n v="108.151"/>
    <n v="101"/>
    <n v="107.6"/>
    <n v="104.3"/>
    <n v="660"/>
  </r>
  <r>
    <x v="15"/>
    <x v="16"/>
    <x v="2"/>
    <n v="108.151"/>
    <n v="101"/>
    <n v="107.6"/>
    <n v="104.3"/>
    <n v="660"/>
  </r>
  <r>
    <x v="15"/>
    <x v="16"/>
    <x v="2"/>
    <n v="108.151"/>
    <n v="101"/>
    <n v="107.6"/>
    <n v="104.3"/>
    <n v="660"/>
  </r>
  <r>
    <x v="15"/>
    <x v="16"/>
    <x v="2"/>
    <n v="108.151"/>
    <n v="101"/>
    <n v="107.6"/>
    <n v="104.3"/>
    <n v="660"/>
  </r>
  <r>
    <x v="15"/>
    <x v="16"/>
    <x v="2"/>
    <n v="108.151"/>
    <n v="101"/>
    <n v="107.6"/>
    <n v="104.3"/>
    <n v="660"/>
  </r>
  <r>
    <x v="15"/>
    <x v="16"/>
    <x v="2"/>
    <n v="108.151"/>
    <n v="101"/>
    <n v="107.6"/>
    <n v="104.3"/>
    <n v="660"/>
  </r>
  <r>
    <x v="15"/>
    <x v="16"/>
    <x v="2"/>
    <n v="108.151"/>
    <n v="101"/>
    <n v="107.6"/>
    <n v="104.3"/>
    <n v="660"/>
  </r>
  <r>
    <x v="15"/>
    <x v="16"/>
    <x v="2"/>
    <n v="108.151"/>
    <n v="101"/>
    <n v="107.6"/>
    <n v="104.3"/>
    <n v="660"/>
  </r>
  <r>
    <x v="15"/>
    <x v="16"/>
    <x v="2"/>
    <n v="108.151"/>
    <n v="101"/>
    <n v="107.6"/>
    <n v="104.3"/>
    <n v="660"/>
  </r>
  <r>
    <x v="15"/>
    <x v="16"/>
    <x v="2"/>
    <n v="108.151"/>
    <n v="101"/>
    <n v="107.6"/>
    <n v="104.3"/>
    <n v="660"/>
  </r>
  <r>
    <x v="15"/>
    <x v="16"/>
    <x v="2"/>
    <n v="108.151"/>
    <n v="101"/>
    <n v="107.6"/>
    <n v="104.3"/>
    <n v="660"/>
  </r>
  <r>
    <x v="15"/>
    <x v="16"/>
    <x v="2"/>
    <n v="108.151"/>
    <n v="101"/>
    <n v="107.6"/>
    <n v="104.3"/>
    <n v="660"/>
  </r>
  <r>
    <x v="15"/>
    <x v="16"/>
    <x v="2"/>
    <n v="108.151"/>
    <n v="101"/>
    <n v="107.6"/>
    <n v="104.3"/>
    <n v="660"/>
  </r>
  <r>
    <x v="15"/>
    <x v="16"/>
    <x v="2"/>
    <n v="108.151"/>
    <n v="101"/>
    <n v="107.6"/>
    <n v="104.3"/>
    <n v="660"/>
  </r>
  <r>
    <x v="15"/>
    <x v="16"/>
    <x v="4"/>
    <n v="95.02"/>
    <n v="91.8"/>
    <n v="98.600999999999999"/>
    <n v="95.200500000000005"/>
    <n v="680.1"/>
  </r>
  <r>
    <x v="15"/>
    <x v="16"/>
    <x v="4"/>
    <n v="95.02"/>
    <n v="91.8"/>
    <n v="98.600999999999999"/>
    <n v="95.200500000000005"/>
    <n v="680.1"/>
  </r>
  <r>
    <x v="15"/>
    <x v="16"/>
    <x v="4"/>
    <n v="95.02"/>
    <n v="91.8"/>
    <n v="98.600999999999999"/>
    <n v="95.200500000000005"/>
    <n v="680.1"/>
  </r>
  <r>
    <x v="15"/>
    <x v="16"/>
    <x v="4"/>
    <n v="95.02"/>
    <n v="91.8"/>
    <n v="98.600999999999999"/>
    <n v="95.200500000000005"/>
    <n v="680.1"/>
  </r>
  <r>
    <x v="15"/>
    <x v="16"/>
    <x v="4"/>
    <n v="95.02"/>
    <n v="91.8"/>
    <n v="98.600999999999999"/>
    <n v="95.200500000000005"/>
    <n v="680.1"/>
  </r>
  <r>
    <x v="15"/>
    <x v="16"/>
    <x v="4"/>
    <n v="95.02"/>
    <n v="91.8"/>
    <n v="98.600999999999999"/>
    <n v="95.200500000000005"/>
    <n v="680.1"/>
  </r>
  <r>
    <x v="15"/>
    <x v="16"/>
    <x v="4"/>
    <n v="95.02"/>
    <n v="91.8"/>
    <n v="98.600999999999999"/>
    <n v="95.200500000000005"/>
    <n v="680.1"/>
  </r>
  <r>
    <x v="15"/>
    <x v="16"/>
    <x v="4"/>
    <n v="95.02"/>
    <n v="91.8"/>
    <n v="98.600999999999999"/>
    <n v="95.200500000000005"/>
    <n v="680.1"/>
  </r>
  <r>
    <x v="15"/>
    <x v="16"/>
    <x v="4"/>
    <n v="95.02"/>
    <n v="91.8"/>
    <n v="98.600999999999999"/>
    <n v="95.200500000000005"/>
    <n v="680.1"/>
  </r>
  <r>
    <x v="15"/>
    <x v="16"/>
    <x v="4"/>
    <n v="95.02"/>
    <n v="91.8"/>
    <n v="98.600999999999999"/>
    <n v="95.200500000000005"/>
    <n v="680.1"/>
  </r>
  <r>
    <x v="15"/>
    <x v="16"/>
    <x v="4"/>
    <n v="95.02"/>
    <n v="91.8"/>
    <n v="98.600999999999999"/>
    <n v="95.200500000000005"/>
    <n v="680.1"/>
  </r>
  <r>
    <x v="15"/>
    <x v="16"/>
    <x v="4"/>
    <n v="95.02"/>
    <n v="91.8"/>
    <n v="98.600999999999999"/>
    <n v="95.200500000000005"/>
    <n v="680.1"/>
  </r>
  <r>
    <x v="15"/>
    <x v="16"/>
    <x v="4"/>
    <n v="95.02"/>
    <n v="91.8"/>
    <n v="98.600999999999999"/>
    <n v="95.200500000000005"/>
    <n v="680.1"/>
  </r>
  <r>
    <x v="15"/>
    <x v="16"/>
    <x v="4"/>
    <n v="95.02"/>
    <n v="91.8"/>
    <n v="98.600999999999999"/>
    <n v="95.200500000000005"/>
    <n v="680.1"/>
  </r>
  <r>
    <x v="15"/>
    <x v="16"/>
    <x v="4"/>
    <n v="95.02"/>
    <n v="91.8"/>
    <n v="98.600999999999999"/>
    <n v="95.200500000000005"/>
    <n v="680.1"/>
  </r>
  <r>
    <x v="15"/>
    <x v="16"/>
    <x v="4"/>
    <n v="95.02"/>
    <n v="91.8"/>
    <n v="98.600999999999999"/>
    <n v="95.200500000000005"/>
    <n v="680.1"/>
  </r>
  <r>
    <x v="15"/>
    <x v="16"/>
    <x v="4"/>
    <n v="95.02"/>
    <n v="91.8"/>
    <n v="98.600999999999999"/>
    <n v="95.200500000000005"/>
    <n v="680.1"/>
  </r>
  <r>
    <x v="15"/>
    <x v="16"/>
    <x v="4"/>
    <n v="95.02"/>
    <n v="91.8"/>
    <n v="98.600999999999999"/>
    <n v="95.200500000000005"/>
    <n v="680.1"/>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3"/>
    <n v="1.2668699999999999"/>
    <n v="1.2649999999999999"/>
    <n v="1.3970800000000001"/>
    <n v="1.33104"/>
    <n v="1320.8"/>
  </r>
  <r>
    <x v="15"/>
    <x v="16"/>
    <x v="2"/>
    <n v="108.151"/>
    <n v="101"/>
    <n v="107.6"/>
    <n v="104.3"/>
    <n v="660"/>
  </r>
  <r>
    <x v="15"/>
    <x v="16"/>
    <x v="2"/>
    <n v="108.151"/>
    <n v="101"/>
    <n v="107.6"/>
    <n v="104.3"/>
    <n v="660"/>
  </r>
  <r>
    <x v="15"/>
    <x v="16"/>
    <x v="2"/>
    <n v="108.151"/>
    <n v="101"/>
    <n v="107.6"/>
    <n v="104.3"/>
    <n v="660"/>
  </r>
  <r>
    <x v="15"/>
    <x v="16"/>
    <x v="2"/>
    <n v="108.151"/>
    <n v="101"/>
    <n v="107.6"/>
    <n v="104.3"/>
    <n v="660"/>
  </r>
  <r>
    <x v="15"/>
    <x v="16"/>
    <x v="2"/>
    <n v="108.151"/>
    <n v="101"/>
    <n v="107.6"/>
    <n v="104.3"/>
    <n v="660"/>
  </r>
  <r>
    <x v="15"/>
    <x v="17"/>
    <x v="2"/>
    <n v="112.31100000000001"/>
    <n v="101"/>
    <n v="107.6"/>
    <n v="104.3"/>
    <n v="660"/>
  </r>
  <r>
    <x v="15"/>
    <x v="17"/>
    <x v="2"/>
    <n v="112.31100000000001"/>
    <n v="101"/>
    <n v="107.6"/>
    <n v="104.3"/>
    <n v="660"/>
  </r>
  <r>
    <x v="15"/>
    <x v="17"/>
    <x v="2"/>
    <n v="112.31100000000001"/>
    <n v="101"/>
    <n v="107.6"/>
    <n v="104.3"/>
    <n v="660"/>
  </r>
  <r>
    <x v="15"/>
    <x v="17"/>
    <x v="2"/>
    <n v="112.31100000000001"/>
    <n v="101"/>
    <n v="107.6"/>
    <n v="104.3"/>
    <n v="660"/>
  </r>
  <r>
    <x v="15"/>
    <x v="17"/>
    <x v="2"/>
    <n v="112.31100000000001"/>
    <n v="101"/>
    <n v="107.6"/>
    <n v="104.3"/>
    <n v="660"/>
  </r>
  <r>
    <x v="15"/>
    <x v="17"/>
    <x v="2"/>
    <n v="112.31100000000001"/>
    <n v="101"/>
    <n v="107.6"/>
    <n v="104.3"/>
    <n v="660"/>
  </r>
  <r>
    <x v="15"/>
    <x v="17"/>
    <x v="2"/>
    <n v="112.31100000000001"/>
    <n v="101"/>
    <n v="107.6"/>
    <n v="104.3"/>
    <n v="660"/>
  </r>
  <r>
    <x v="15"/>
    <x v="17"/>
    <x v="2"/>
    <n v="112.31100000000001"/>
    <n v="101"/>
    <n v="107.6"/>
    <n v="104.3"/>
    <n v="660"/>
  </r>
  <r>
    <x v="15"/>
    <x v="17"/>
    <x v="2"/>
    <n v="112.31100000000001"/>
    <n v="101"/>
    <n v="107.6"/>
    <n v="104.3"/>
    <n v="660"/>
  </r>
  <r>
    <x v="15"/>
    <x v="17"/>
    <x v="2"/>
    <n v="112.31100000000001"/>
    <n v="101"/>
    <n v="107.6"/>
    <n v="104.3"/>
    <n v="660"/>
  </r>
  <r>
    <x v="15"/>
    <x v="17"/>
    <x v="2"/>
    <n v="112.31100000000001"/>
    <n v="101"/>
    <n v="107.6"/>
    <n v="104.3"/>
    <n v="660"/>
  </r>
  <r>
    <x v="15"/>
    <x v="17"/>
    <x v="2"/>
    <n v="112.31100000000001"/>
    <n v="101"/>
    <n v="107.6"/>
    <n v="104.3"/>
    <n v="660"/>
  </r>
  <r>
    <x v="15"/>
    <x v="17"/>
    <x v="2"/>
    <n v="112.31100000000001"/>
    <n v="101"/>
    <n v="107.6"/>
    <n v="104.3"/>
    <n v="660"/>
  </r>
  <r>
    <x v="15"/>
    <x v="17"/>
    <x v="2"/>
    <n v="112.31100000000001"/>
    <n v="101"/>
    <n v="107.6"/>
    <n v="104.3"/>
    <n v="660"/>
  </r>
  <r>
    <x v="15"/>
    <x v="17"/>
    <x v="2"/>
    <n v="112.31100000000001"/>
    <n v="101"/>
    <n v="107.6"/>
    <n v="104.3"/>
    <n v="660"/>
  </r>
  <r>
    <x v="15"/>
    <x v="17"/>
    <x v="2"/>
    <n v="112.31100000000001"/>
    <n v="101"/>
    <n v="107.6"/>
    <n v="104.3"/>
    <n v="660"/>
  </r>
  <r>
    <x v="15"/>
    <x v="17"/>
    <x v="2"/>
    <n v="112.31100000000001"/>
    <n v="101"/>
    <n v="107.6"/>
    <n v="104.3"/>
    <n v="660"/>
  </r>
  <r>
    <x v="15"/>
    <x v="17"/>
    <x v="2"/>
    <n v="112.31100000000001"/>
    <n v="101"/>
    <n v="107.6"/>
    <n v="104.3"/>
    <n v="660"/>
  </r>
  <r>
    <x v="15"/>
    <x v="17"/>
    <x v="2"/>
    <n v="112.31100000000001"/>
    <n v="101"/>
    <n v="107.6"/>
    <n v="104.3"/>
    <n v="660"/>
  </r>
  <r>
    <x v="15"/>
    <x v="17"/>
    <x v="2"/>
    <n v="112.31100000000001"/>
    <n v="101"/>
    <n v="107.6"/>
    <n v="104.3"/>
    <n v="660"/>
  </r>
  <r>
    <x v="15"/>
    <x v="17"/>
    <x v="4"/>
    <n v="98.756"/>
    <n v="91.8"/>
    <n v="98.600999999999999"/>
    <n v="95.200500000000005"/>
    <n v="680.1"/>
  </r>
  <r>
    <x v="15"/>
    <x v="17"/>
    <x v="4"/>
    <n v="98.756"/>
    <n v="91.8"/>
    <n v="98.600999999999999"/>
    <n v="95.200500000000005"/>
    <n v="680.1"/>
  </r>
  <r>
    <x v="15"/>
    <x v="17"/>
    <x v="4"/>
    <n v="98.756"/>
    <n v="91.8"/>
    <n v="98.600999999999999"/>
    <n v="95.200500000000005"/>
    <n v="680.1"/>
  </r>
  <r>
    <x v="15"/>
    <x v="17"/>
    <x v="4"/>
    <n v="98.756"/>
    <n v="91.8"/>
    <n v="98.600999999999999"/>
    <n v="95.200500000000005"/>
    <n v="680.1"/>
  </r>
  <r>
    <x v="15"/>
    <x v="17"/>
    <x v="4"/>
    <n v="98.756"/>
    <n v="91.8"/>
    <n v="98.600999999999999"/>
    <n v="95.200500000000005"/>
    <n v="680.1"/>
  </r>
  <r>
    <x v="15"/>
    <x v="17"/>
    <x v="4"/>
    <n v="98.756"/>
    <n v="91.8"/>
    <n v="98.600999999999999"/>
    <n v="95.200500000000005"/>
    <n v="680.1"/>
  </r>
  <r>
    <x v="15"/>
    <x v="17"/>
    <x v="4"/>
    <n v="98.756"/>
    <n v="91.8"/>
    <n v="98.600999999999999"/>
    <n v="95.200500000000005"/>
    <n v="680.1"/>
  </r>
  <r>
    <x v="15"/>
    <x v="17"/>
    <x v="4"/>
    <n v="98.756"/>
    <n v="91.8"/>
    <n v="98.600999999999999"/>
    <n v="95.200500000000005"/>
    <n v="680.1"/>
  </r>
  <r>
    <x v="15"/>
    <x v="17"/>
    <x v="4"/>
    <n v="98.756"/>
    <n v="91.8"/>
    <n v="98.600999999999999"/>
    <n v="95.200500000000005"/>
    <n v="680.1"/>
  </r>
  <r>
    <x v="15"/>
    <x v="17"/>
    <x v="4"/>
    <n v="98.756"/>
    <n v="91.8"/>
    <n v="98.600999999999999"/>
    <n v="95.200500000000005"/>
    <n v="680.1"/>
  </r>
  <r>
    <x v="15"/>
    <x v="17"/>
    <x v="4"/>
    <n v="98.756"/>
    <n v="91.8"/>
    <n v="98.600999999999999"/>
    <n v="95.200500000000005"/>
    <n v="680.1"/>
  </r>
  <r>
    <x v="15"/>
    <x v="17"/>
    <x v="4"/>
    <n v="98.756"/>
    <n v="91.8"/>
    <n v="98.600999999999999"/>
    <n v="95.200500000000005"/>
    <n v="680.1"/>
  </r>
  <r>
    <x v="15"/>
    <x v="17"/>
    <x v="4"/>
    <n v="98.756"/>
    <n v="91.8"/>
    <n v="98.600999999999999"/>
    <n v="95.200500000000005"/>
    <n v="680.1"/>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3"/>
    <n v="1.2522200000000001"/>
    <n v="1.2649999999999999"/>
    <n v="1.3970800000000001"/>
    <n v="1.33104"/>
    <n v="1320.8"/>
  </r>
  <r>
    <x v="15"/>
    <x v="17"/>
    <x v="2"/>
    <n v="112.31100000000001"/>
    <n v="101"/>
    <n v="107.6"/>
    <n v="104.3"/>
    <n v="660"/>
  </r>
  <r>
    <x v="15"/>
    <x v="17"/>
    <x v="2"/>
    <n v="112.31100000000001"/>
    <n v="101"/>
    <n v="107.6"/>
    <n v="104.3"/>
    <n v="660"/>
  </r>
  <r>
    <x v="15"/>
    <x v="17"/>
    <x v="2"/>
    <n v="112.31100000000001"/>
    <n v="101"/>
    <n v="107.6"/>
    <n v="104.3"/>
    <n v="660"/>
  </r>
  <r>
    <x v="15"/>
    <x v="17"/>
    <x v="2"/>
    <n v="112.31100000000001"/>
    <n v="101"/>
    <n v="107.6"/>
    <n v="104.3"/>
    <n v="660"/>
  </r>
  <r>
    <x v="15"/>
    <x v="17"/>
    <x v="2"/>
    <n v="112.31100000000001"/>
    <n v="101"/>
    <n v="107.6"/>
    <n v="104.3"/>
    <n v="660"/>
  </r>
  <r>
    <x v="15"/>
    <x v="17"/>
    <x v="2"/>
    <n v="112.31100000000001"/>
    <n v="101"/>
    <n v="107.6"/>
    <n v="104.3"/>
    <n v="660"/>
  </r>
  <r>
    <x v="15"/>
    <x v="17"/>
    <x v="2"/>
    <n v="112.31100000000001"/>
    <n v="101"/>
    <n v="107.6"/>
    <n v="104.3"/>
    <n v="660"/>
  </r>
  <r>
    <x v="15"/>
    <x v="17"/>
    <x v="2"/>
    <n v="112.31100000000001"/>
    <n v="101"/>
    <n v="107.6"/>
    <n v="104.3"/>
    <n v="660"/>
  </r>
  <r>
    <x v="15"/>
    <x v="17"/>
    <x v="2"/>
    <n v="112.31100000000001"/>
    <n v="101"/>
    <n v="107.6"/>
    <n v="104.3"/>
    <n v="660"/>
  </r>
  <r>
    <x v="15"/>
    <x v="17"/>
    <x v="2"/>
    <n v="112.31100000000001"/>
    <n v="101"/>
    <n v="107.6"/>
    <n v="104.3"/>
    <n v="660"/>
  </r>
  <r>
    <x v="15"/>
    <x v="17"/>
    <x v="2"/>
    <n v="112.31100000000001"/>
    <n v="101"/>
    <n v="107.6"/>
    <n v="104.3"/>
    <n v="660"/>
  </r>
  <r>
    <x v="15"/>
    <x v="18"/>
    <x v="4"/>
    <n v="98.94"/>
    <n v="91.8"/>
    <n v="98.600999999999999"/>
    <n v="95.200500000000005"/>
    <n v="680.1"/>
  </r>
  <r>
    <x v="15"/>
    <x v="18"/>
    <x v="4"/>
    <n v="98.94"/>
    <n v="91.8"/>
    <n v="98.600999999999999"/>
    <n v="95.200500000000005"/>
    <n v="680.1"/>
  </r>
  <r>
    <x v="15"/>
    <x v="18"/>
    <x v="4"/>
    <n v="98.94"/>
    <n v="91.8"/>
    <n v="98.600999999999999"/>
    <n v="95.200500000000005"/>
    <n v="680.1"/>
  </r>
  <r>
    <x v="15"/>
    <x v="18"/>
    <x v="4"/>
    <n v="98.94"/>
    <n v="91.8"/>
    <n v="98.600999999999999"/>
    <n v="95.200500000000005"/>
    <n v="680.1"/>
  </r>
  <r>
    <x v="15"/>
    <x v="18"/>
    <x v="4"/>
    <n v="98.94"/>
    <n v="91.8"/>
    <n v="98.600999999999999"/>
    <n v="95.200500000000005"/>
    <n v="680.1"/>
  </r>
  <r>
    <x v="15"/>
    <x v="18"/>
    <x v="4"/>
    <n v="98.94"/>
    <n v="91.8"/>
    <n v="98.600999999999999"/>
    <n v="95.200500000000005"/>
    <n v="680.1"/>
  </r>
  <r>
    <x v="15"/>
    <x v="18"/>
    <x v="4"/>
    <n v="98.94"/>
    <n v="91.8"/>
    <n v="98.600999999999999"/>
    <n v="95.200500000000005"/>
    <n v="680.1"/>
  </r>
  <r>
    <x v="15"/>
    <x v="18"/>
    <x v="4"/>
    <n v="98.94"/>
    <n v="91.8"/>
    <n v="98.600999999999999"/>
    <n v="95.200500000000005"/>
    <n v="680.1"/>
  </r>
  <r>
    <x v="15"/>
    <x v="18"/>
    <x v="4"/>
    <n v="98.94"/>
    <n v="91.8"/>
    <n v="98.600999999999999"/>
    <n v="95.200500000000005"/>
    <n v="680.1"/>
  </r>
  <r>
    <x v="15"/>
    <x v="18"/>
    <x v="4"/>
    <n v="98.94"/>
    <n v="91.8"/>
    <n v="98.600999999999999"/>
    <n v="95.200500000000005"/>
    <n v="680.1"/>
  </r>
  <r>
    <x v="15"/>
    <x v="18"/>
    <x v="4"/>
    <n v="98.94"/>
    <n v="91.8"/>
    <n v="98.600999999999999"/>
    <n v="95.200500000000005"/>
    <n v="680.1"/>
  </r>
  <r>
    <x v="15"/>
    <x v="18"/>
    <x v="4"/>
    <n v="98.94"/>
    <n v="91.8"/>
    <n v="98.600999999999999"/>
    <n v="95.200500000000005"/>
    <n v="680.1"/>
  </r>
  <r>
    <x v="15"/>
    <x v="18"/>
    <x v="3"/>
    <n v="1.2454400000000001"/>
    <n v="1.2649999999999999"/>
    <n v="1.3970800000000001"/>
    <n v="1.33104"/>
    <n v="1320.8"/>
  </r>
  <r>
    <x v="15"/>
    <x v="18"/>
    <x v="3"/>
    <n v="1.2454400000000001"/>
    <n v="1.2649999999999999"/>
    <n v="1.3970800000000001"/>
    <n v="1.33104"/>
    <n v="1320.8"/>
  </r>
  <r>
    <x v="15"/>
    <x v="18"/>
    <x v="3"/>
    <n v="1.2454400000000001"/>
    <n v="1.2649999999999999"/>
    <n v="1.3970800000000001"/>
    <n v="1.33104"/>
    <n v="1320.8"/>
  </r>
  <r>
    <x v="15"/>
    <x v="18"/>
    <x v="3"/>
    <n v="1.2454400000000001"/>
    <n v="1.2649999999999999"/>
    <n v="1.3970800000000001"/>
    <n v="1.33104"/>
    <n v="1320.8"/>
  </r>
  <r>
    <x v="15"/>
    <x v="18"/>
    <x v="3"/>
    <n v="1.2454400000000001"/>
    <n v="1.2649999999999999"/>
    <n v="1.3970800000000001"/>
    <n v="1.33104"/>
    <n v="1320.8"/>
  </r>
  <r>
    <x v="15"/>
    <x v="18"/>
    <x v="3"/>
    <n v="1.2454400000000001"/>
    <n v="1.2649999999999999"/>
    <n v="1.3970800000000001"/>
    <n v="1.33104"/>
    <n v="1320.8"/>
  </r>
  <r>
    <x v="15"/>
    <x v="18"/>
    <x v="3"/>
    <n v="1.2454400000000001"/>
    <n v="1.2649999999999999"/>
    <n v="1.3970800000000001"/>
    <n v="1.33104"/>
    <n v="1320.8"/>
  </r>
  <r>
    <x v="15"/>
    <x v="19"/>
    <x v="4"/>
    <n v="101.726"/>
    <n v="91.8"/>
    <n v="98.600999999999999"/>
    <n v="95.200500000000005"/>
    <n v="680.1"/>
  </r>
  <r>
    <x v="15"/>
    <x v="19"/>
    <x v="3"/>
    <n v="1.2524500000000001"/>
    <n v="1.2649999999999999"/>
    <n v="1.3970800000000001"/>
    <n v="1.33104"/>
    <n v="1320.8"/>
  </r>
  <r>
    <x v="15"/>
    <x v="19"/>
    <x v="3"/>
    <n v="1.2524500000000001"/>
    <n v="1.2649999999999999"/>
    <n v="1.3970800000000001"/>
    <n v="1.33104"/>
    <n v="1320.8"/>
  </r>
  <r>
    <x v="15"/>
    <x v="19"/>
    <x v="3"/>
    <n v="1.2524500000000001"/>
    <n v="1.2649999999999999"/>
    <n v="1.3970800000000001"/>
    <n v="1.33104"/>
    <n v="1320.8"/>
  </r>
  <r>
    <x v="15"/>
    <x v="19"/>
    <x v="3"/>
    <n v="1.2524500000000001"/>
    <n v="1.2649999999999999"/>
    <n v="1.3970800000000001"/>
    <n v="1.33104"/>
    <n v="1320.8"/>
  </r>
  <r>
    <x v="15"/>
    <x v="19"/>
    <x v="3"/>
    <n v="1.2524500000000001"/>
    <n v="1.2649999999999999"/>
    <n v="1.3970800000000001"/>
    <n v="1.33104"/>
    <n v="1320.8"/>
  </r>
  <r>
    <x v="15"/>
    <x v="19"/>
    <x v="3"/>
    <n v="1.2524500000000001"/>
    <n v="1.2649999999999999"/>
    <n v="1.3970800000000001"/>
    <n v="1.33104"/>
    <n v="1320.8"/>
  </r>
  <r>
    <x v="15"/>
    <x v="20"/>
    <x v="3"/>
    <n v="1.2390099999999999"/>
    <n v="1.2649999999999999"/>
    <n v="1.3970800000000001"/>
    <n v="1.33104"/>
    <n v="1320.8"/>
  </r>
  <r>
    <x v="15"/>
    <x v="20"/>
    <x v="3"/>
    <n v="1.2390099999999999"/>
    <n v="1.2649999999999999"/>
    <n v="1.3970800000000001"/>
    <n v="1.33104"/>
    <n v="1320.8"/>
  </r>
  <r>
    <x v="15"/>
    <x v="20"/>
    <x v="3"/>
    <n v="1.2390099999999999"/>
    <n v="1.2649999999999999"/>
    <n v="1.3970800000000001"/>
    <n v="1.33104"/>
    <n v="1320.8"/>
  </r>
  <r>
    <x v="15"/>
    <x v="20"/>
    <x v="3"/>
    <n v="1.2390099999999999"/>
    <n v="1.2649999999999999"/>
    <n v="1.3970800000000001"/>
    <n v="1.33104"/>
    <n v="1320.8"/>
  </r>
  <r>
    <x v="15"/>
    <x v="21"/>
    <x v="3"/>
    <n v="1.24488"/>
    <n v="1.2649999999999999"/>
    <n v="1.3970800000000001"/>
    <n v="1.33104"/>
    <n v="1320.8"/>
  </r>
  <r>
    <x v="15"/>
    <x v="21"/>
    <x v="3"/>
    <n v="1.24488"/>
    <n v="1.2649999999999999"/>
    <n v="1.3970800000000001"/>
    <n v="1.33104"/>
    <n v="1320.8"/>
  </r>
  <r>
    <x v="15"/>
    <x v="21"/>
    <x v="3"/>
    <n v="1.24488"/>
    <n v="1.2649999999999999"/>
    <n v="1.3970800000000001"/>
    <n v="1.33104"/>
    <n v="1320.8"/>
  </r>
  <r>
    <x v="15"/>
    <x v="22"/>
    <x v="3"/>
    <n v="1.2282900000000001"/>
    <n v="1.2649999999999999"/>
    <n v="1.3970800000000001"/>
    <n v="1.33104"/>
    <n v="1320.8"/>
  </r>
  <r>
    <x v="15"/>
    <x v="23"/>
    <x v="3"/>
    <n v="1.2459899999999999"/>
    <n v="1.2649999999999999"/>
    <n v="1.3970800000000001"/>
    <n v="1.33104"/>
    <n v="1320.8"/>
  </r>
  <r>
    <x v="15"/>
    <x v="24"/>
    <x v="3"/>
    <n v="1.24726"/>
    <n v="1.2649999999999999"/>
    <n v="1.3970800000000001"/>
    <n v="1.33104"/>
    <n v="1320.8"/>
  </r>
  <r>
    <x v="16"/>
    <x v="57"/>
    <x v="0"/>
    <m/>
    <n v="1.9695"/>
    <n v="1.972"/>
    <n v="1.97075"/>
    <n v="25"/>
  </r>
  <r>
    <x v="16"/>
    <x v="57"/>
    <x v="0"/>
    <m/>
    <n v="1.9695"/>
    <n v="1.972"/>
    <n v="1.97075"/>
    <n v="25"/>
  </r>
  <r>
    <x v="16"/>
    <x v="57"/>
    <x v="0"/>
    <m/>
    <n v="1.9695"/>
    <n v="1.972"/>
    <n v="1.97075"/>
    <n v="25"/>
  </r>
  <r>
    <x v="16"/>
    <x v="57"/>
    <x v="0"/>
    <m/>
    <n v="1.9695"/>
    <n v="1.972"/>
    <n v="1.97075"/>
    <n v="25"/>
  </r>
  <r>
    <x v="16"/>
    <x v="57"/>
    <x v="10"/>
    <m/>
    <n v="0.89400000000000002"/>
    <n v="0.89609000000000005"/>
    <n v="0.89504499999999998"/>
    <n v="20.9"/>
  </r>
  <r>
    <x v="16"/>
    <x v="57"/>
    <x v="10"/>
    <m/>
    <n v="0.89400000000000002"/>
    <n v="0.89609000000000005"/>
    <n v="0.89504499999999998"/>
    <n v="20.9"/>
  </r>
  <r>
    <x v="16"/>
    <x v="57"/>
    <x v="10"/>
    <m/>
    <n v="0.89400000000000002"/>
    <n v="0.89609000000000005"/>
    <n v="0.89504499999999998"/>
    <n v="20.9"/>
  </r>
  <r>
    <x v="16"/>
    <x v="57"/>
    <x v="10"/>
    <m/>
    <n v="0.89400000000000002"/>
    <n v="0.89609000000000005"/>
    <n v="0.89504499999999998"/>
    <n v="20.9"/>
  </r>
  <r>
    <x v="16"/>
    <x v="58"/>
    <x v="0"/>
    <m/>
    <n v="1.9695"/>
    <n v="1.9726999999999999"/>
    <n v="1.9711000000000001"/>
    <n v="32"/>
  </r>
  <r>
    <x v="16"/>
    <x v="58"/>
    <x v="0"/>
    <m/>
    <n v="1.9695"/>
    <n v="1.9726999999999999"/>
    <n v="1.9711000000000001"/>
    <n v="32"/>
  </r>
  <r>
    <x v="16"/>
    <x v="58"/>
    <x v="0"/>
    <m/>
    <n v="1.9695"/>
    <n v="1.9726999999999999"/>
    <n v="1.9711000000000001"/>
    <n v="32"/>
  </r>
  <r>
    <x v="16"/>
    <x v="58"/>
    <x v="0"/>
    <m/>
    <n v="1.9695"/>
    <n v="1.9726999999999999"/>
    <n v="1.9711000000000001"/>
    <n v="32"/>
  </r>
  <r>
    <x v="16"/>
    <x v="58"/>
    <x v="0"/>
    <m/>
    <n v="1.9695"/>
    <n v="1.9726999999999999"/>
    <n v="1.9711000000000001"/>
    <n v="32"/>
  </r>
  <r>
    <x v="16"/>
    <x v="58"/>
    <x v="0"/>
    <m/>
    <n v="1.9695"/>
    <n v="1.9726999999999999"/>
    <n v="1.9711000000000001"/>
    <n v="32"/>
  </r>
  <r>
    <x v="16"/>
    <x v="58"/>
    <x v="10"/>
    <m/>
    <n v="0.89400000000000002"/>
    <n v="0.89609000000000005"/>
    <n v="0.89504499999999998"/>
    <n v="20.9"/>
  </r>
  <r>
    <x v="16"/>
    <x v="58"/>
    <x v="10"/>
    <m/>
    <n v="0.89400000000000002"/>
    <n v="0.89609000000000005"/>
    <n v="0.89504499999999998"/>
    <n v="20.9"/>
  </r>
  <r>
    <x v="16"/>
    <x v="58"/>
    <x v="10"/>
    <m/>
    <n v="0.89400000000000002"/>
    <n v="0.89609000000000005"/>
    <n v="0.89504499999999998"/>
    <n v="20.9"/>
  </r>
  <r>
    <x v="16"/>
    <x v="58"/>
    <x v="10"/>
    <m/>
    <n v="0.89400000000000002"/>
    <n v="0.89609000000000005"/>
    <n v="0.89504499999999998"/>
    <n v="20.9"/>
  </r>
  <r>
    <x v="16"/>
    <x v="58"/>
    <x v="10"/>
    <m/>
    <n v="0.89400000000000002"/>
    <n v="0.89609000000000005"/>
    <n v="0.89504499999999998"/>
    <n v="20.9"/>
  </r>
  <r>
    <x v="16"/>
    <x v="59"/>
    <x v="0"/>
    <m/>
    <n v="1.962"/>
    <n v="1.99403"/>
    <n v="1.9780150000000001"/>
    <n v="320.3"/>
  </r>
  <r>
    <x v="16"/>
    <x v="59"/>
    <x v="0"/>
    <m/>
    <n v="1.962"/>
    <n v="1.99403"/>
    <n v="1.9780150000000001"/>
    <n v="320.3"/>
  </r>
  <r>
    <x v="16"/>
    <x v="59"/>
    <x v="0"/>
    <m/>
    <n v="1.962"/>
    <n v="1.99403"/>
    <n v="1.9780150000000001"/>
    <n v="320.3"/>
  </r>
  <r>
    <x v="16"/>
    <x v="59"/>
    <x v="0"/>
    <m/>
    <n v="1.962"/>
    <n v="1.99403"/>
    <n v="1.9780150000000001"/>
    <n v="320.3"/>
  </r>
  <r>
    <x v="16"/>
    <x v="59"/>
    <x v="0"/>
    <m/>
    <n v="1.962"/>
    <n v="1.99403"/>
    <n v="1.9780150000000001"/>
    <n v="320.3"/>
  </r>
  <r>
    <x v="16"/>
    <x v="59"/>
    <x v="0"/>
    <m/>
    <n v="1.962"/>
    <n v="1.99403"/>
    <n v="1.9780150000000001"/>
    <n v="320.3"/>
  </r>
  <r>
    <x v="16"/>
    <x v="59"/>
    <x v="0"/>
    <m/>
    <n v="1.962"/>
    <n v="1.99403"/>
    <n v="1.9780150000000001"/>
    <n v="320.3"/>
  </r>
  <r>
    <x v="16"/>
    <x v="59"/>
    <x v="0"/>
    <m/>
    <n v="1.962"/>
    <n v="1.99403"/>
    <n v="1.9780150000000001"/>
    <n v="320.3"/>
  </r>
  <r>
    <x v="16"/>
    <x v="59"/>
    <x v="0"/>
    <m/>
    <n v="1.962"/>
    <n v="1.99403"/>
    <n v="1.9780150000000001"/>
    <n v="320.3"/>
  </r>
  <r>
    <x v="16"/>
    <x v="59"/>
    <x v="0"/>
    <m/>
    <n v="1.962"/>
    <n v="1.99403"/>
    <n v="1.9780150000000001"/>
    <n v="320.3"/>
  </r>
  <r>
    <x v="16"/>
    <x v="59"/>
    <x v="10"/>
    <m/>
    <n v="0.89100000000000001"/>
    <n v="0.90302000000000004"/>
    <n v="0.89700999999999997"/>
    <n v="120.2"/>
  </r>
  <r>
    <x v="16"/>
    <x v="59"/>
    <x v="10"/>
    <m/>
    <n v="0.89100000000000001"/>
    <n v="0.90302000000000004"/>
    <n v="0.89700999999999997"/>
    <n v="120.2"/>
  </r>
  <r>
    <x v="16"/>
    <x v="59"/>
    <x v="10"/>
    <m/>
    <n v="0.89100000000000001"/>
    <n v="0.90302000000000004"/>
    <n v="0.89700999999999997"/>
    <n v="120.2"/>
  </r>
  <r>
    <x v="16"/>
    <x v="59"/>
    <x v="10"/>
    <m/>
    <n v="0.89100000000000001"/>
    <n v="0.90302000000000004"/>
    <n v="0.89700999999999997"/>
    <n v="120.2"/>
  </r>
  <r>
    <x v="16"/>
    <x v="59"/>
    <x v="10"/>
    <m/>
    <n v="0.89100000000000001"/>
    <n v="0.90302000000000004"/>
    <n v="0.89700999999999997"/>
    <n v="120.2"/>
  </r>
  <r>
    <x v="16"/>
    <x v="59"/>
    <x v="10"/>
    <m/>
    <n v="0.89100000000000001"/>
    <n v="0.90302000000000004"/>
    <n v="0.89700999999999997"/>
    <n v="120.2"/>
  </r>
  <r>
    <x v="16"/>
    <x v="59"/>
    <x v="10"/>
    <m/>
    <n v="0.89100000000000001"/>
    <n v="0.90302000000000004"/>
    <n v="0.89700999999999997"/>
    <n v="120.2"/>
  </r>
  <r>
    <x v="16"/>
    <x v="59"/>
    <x v="10"/>
    <m/>
    <n v="0.89100000000000001"/>
    <n v="0.90302000000000004"/>
    <n v="0.89700999999999997"/>
    <n v="120.2"/>
  </r>
  <r>
    <x v="16"/>
    <x v="25"/>
    <x v="0"/>
    <m/>
    <n v="1.93797"/>
    <n v="1.99403"/>
    <n v="1.966"/>
    <n v="560.6"/>
  </r>
  <r>
    <x v="16"/>
    <x v="25"/>
    <x v="0"/>
    <m/>
    <n v="1.93797"/>
    <n v="1.99403"/>
    <n v="1.966"/>
    <n v="560.6"/>
  </r>
  <r>
    <x v="16"/>
    <x v="25"/>
    <x v="0"/>
    <m/>
    <n v="1.93797"/>
    <n v="1.99403"/>
    <n v="1.966"/>
    <n v="560.6"/>
  </r>
  <r>
    <x v="16"/>
    <x v="25"/>
    <x v="0"/>
    <m/>
    <n v="1.93797"/>
    <n v="1.99403"/>
    <n v="1.966"/>
    <n v="560.6"/>
  </r>
  <r>
    <x v="16"/>
    <x v="25"/>
    <x v="0"/>
    <m/>
    <n v="1.93797"/>
    <n v="1.99403"/>
    <n v="1.966"/>
    <n v="560.6"/>
  </r>
  <r>
    <x v="16"/>
    <x v="25"/>
    <x v="0"/>
    <m/>
    <n v="1.93797"/>
    <n v="1.99403"/>
    <n v="1.966"/>
    <n v="560.6"/>
  </r>
  <r>
    <x v="16"/>
    <x v="25"/>
    <x v="0"/>
    <m/>
    <n v="1.93797"/>
    <n v="1.99403"/>
    <n v="1.966"/>
    <n v="560.6"/>
  </r>
  <r>
    <x v="16"/>
    <x v="25"/>
    <x v="0"/>
    <m/>
    <n v="1.93797"/>
    <n v="1.99403"/>
    <n v="1.966"/>
    <n v="560.6"/>
  </r>
  <r>
    <x v="16"/>
    <x v="25"/>
    <x v="0"/>
    <m/>
    <n v="1.93797"/>
    <n v="1.99403"/>
    <n v="1.966"/>
    <n v="560.6"/>
  </r>
  <r>
    <x v="16"/>
    <x v="25"/>
    <x v="0"/>
    <m/>
    <n v="1.93797"/>
    <n v="1.99403"/>
    <n v="1.966"/>
    <n v="560.6"/>
  </r>
  <r>
    <x v="16"/>
    <x v="25"/>
    <x v="0"/>
    <m/>
    <n v="1.93797"/>
    <n v="1.99403"/>
    <n v="1.966"/>
    <n v="560.6"/>
  </r>
  <r>
    <x v="16"/>
    <x v="25"/>
    <x v="0"/>
    <m/>
    <n v="1.93797"/>
    <n v="1.99403"/>
    <n v="1.966"/>
    <n v="560.6"/>
  </r>
  <r>
    <x v="16"/>
    <x v="25"/>
    <x v="0"/>
    <m/>
    <n v="1.93797"/>
    <n v="1.99403"/>
    <n v="1.966"/>
    <n v="560.6"/>
  </r>
  <r>
    <x v="16"/>
    <x v="25"/>
    <x v="0"/>
    <m/>
    <n v="1.93797"/>
    <n v="1.99403"/>
    <n v="1.966"/>
    <n v="560.6"/>
  </r>
  <r>
    <x v="16"/>
    <x v="25"/>
    <x v="0"/>
    <m/>
    <n v="1.93797"/>
    <n v="1.99403"/>
    <n v="1.966"/>
    <n v="560.6"/>
  </r>
  <r>
    <x v="16"/>
    <x v="25"/>
    <x v="0"/>
    <m/>
    <n v="1.93797"/>
    <n v="1.99403"/>
    <n v="1.966"/>
    <n v="560.6"/>
  </r>
  <r>
    <x v="16"/>
    <x v="25"/>
    <x v="10"/>
    <m/>
    <n v="0.89100000000000001"/>
    <n v="0.90302000000000004"/>
    <n v="0.89700999999999997"/>
    <n v="120.2"/>
  </r>
  <r>
    <x v="16"/>
    <x v="25"/>
    <x v="10"/>
    <m/>
    <n v="0.89100000000000001"/>
    <n v="0.90302000000000004"/>
    <n v="0.89700999999999997"/>
    <n v="120.2"/>
  </r>
  <r>
    <x v="16"/>
    <x v="25"/>
    <x v="10"/>
    <m/>
    <n v="0.89100000000000001"/>
    <n v="0.90302000000000004"/>
    <n v="0.89700999999999997"/>
    <n v="120.2"/>
  </r>
  <r>
    <x v="16"/>
    <x v="25"/>
    <x v="10"/>
    <m/>
    <n v="0.89100000000000001"/>
    <n v="0.90302000000000004"/>
    <n v="0.89700999999999997"/>
    <n v="120.2"/>
  </r>
  <r>
    <x v="16"/>
    <x v="25"/>
    <x v="10"/>
    <m/>
    <n v="0.89100000000000001"/>
    <n v="0.90302000000000004"/>
    <n v="0.89700999999999997"/>
    <n v="120.2"/>
  </r>
  <r>
    <x v="16"/>
    <x v="25"/>
    <x v="10"/>
    <m/>
    <n v="0.89100000000000001"/>
    <n v="0.90302000000000004"/>
    <n v="0.89700999999999997"/>
    <n v="120.2"/>
  </r>
  <r>
    <x v="16"/>
    <x v="25"/>
    <x v="10"/>
    <m/>
    <n v="0.89100000000000001"/>
    <n v="0.90302000000000004"/>
    <n v="0.89700999999999997"/>
    <n v="120.2"/>
  </r>
  <r>
    <x v="16"/>
    <x v="25"/>
    <x v="10"/>
    <m/>
    <n v="0.89100000000000001"/>
    <n v="0.90302000000000004"/>
    <n v="0.89700999999999997"/>
    <n v="120.2"/>
  </r>
  <r>
    <x v="16"/>
    <x v="60"/>
    <x v="0"/>
    <n v="1.9552499999999999"/>
    <n v="1.93797"/>
    <n v="1.99403"/>
    <n v="1.966"/>
    <n v="560.6"/>
  </r>
  <r>
    <x v="16"/>
    <x v="60"/>
    <x v="0"/>
    <n v="1.9552499999999999"/>
    <n v="1.93797"/>
    <n v="1.99403"/>
    <n v="1.966"/>
    <n v="560.6"/>
  </r>
  <r>
    <x v="16"/>
    <x v="60"/>
    <x v="0"/>
    <n v="1.9552499999999999"/>
    <n v="1.93797"/>
    <n v="1.99403"/>
    <n v="1.966"/>
    <n v="560.6"/>
  </r>
  <r>
    <x v="16"/>
    <x v="60"/>
    <x v="0"/>
    <n v="1.9552499999999999"/>
    <n v="1.93797"/>
    <n v="1.99403"/>
    <n v="1.966"/>
    <n v="560.6"/>
  </r>
  <r>
    <x v="16"/>
    <x v="60"/>
    <x v="0"/>
    <n v="1.9552499999999999"/>
    <n v="1.93797"/>
    <n v="1.99403"/>
    <n v="1.966"/>
    <n v="560.6"/>
  </r>
  <r>
    <x v="16"/>
    <x v="60"/>
    <x v="0"/>
    <n v="1.9552499999999999"/>
    <n v="1.93797"/>
    <n v="1.99403"/>
    <n v="1.966"/>
    <n v="560.6"/>
  </r>
  <r>
    <x v="16"/>
    <x v="60"/>
    <x v="0"/>
    <n v="1.9552499999999999"/>
    <n v="1.93797"/>
    <n v="1.99403"/>
    <n v="1.966"/>
    <n v="560.6"/>
  </r>
  <r>
    <x v="16"/>
    <x v="60"/>
    <x v="0"/>
    <n v="1.9552499999999999"/>
    <n v="1.93797"/>
    <n v="1.99403"/>
    <n v="1.966"/>
    <n v="560.6"/>
  </r>
  <r>
    <x v="16"/>
    <x v="60"/>
    <x v="0"/>
    <n v="1.9552499999999999"/>
    <n v="1.93797"/>
    <n v="1.99403"/>
    <n v="1.966"/>
    <n v="560.6"/>
  </r>
  <r>
    <x v="16"/>
    <x v="60"/>
    <x v="0"/>
    <n v="1.9552499999999999"/>
    <n v="1.93797"/>
    <n v="1.99403"/>
    <n v="1.966"/>
    <n v="560.6"/>
  </r>
  <r>
    <x v="16"/>
    <x v="60"/>
    <x v="0"/>
    <n v="1.9552499999999999"/>
    <n v="1.93797"/>
    <n v="1.99403"/>
    <n v="1.966"/>
    <n v="560.6"/>
  </r>
  <r>
    <x v="16"/>
    <x v="60"/>
    <x v="0"/>
    <n v="1.9552499999999999"/>
    <n v="1.93797"/>
    <n v="1.99403"/>
    <n v="1.966"/>
    <n v="560.6"/>
  </r>
  <r>
    <x v="16"/>
    <x v="60"/>
    <x v="0"/>
    <n v="1.9552499999999999"/>
    <n v="1.93797"/>
    <n v="1.99403"/>
    <n v="1.966"/>
    <n v="560.6"/>
  </r>
  <r>
    <x v="16"/>
    <x v="60"/>
    <x v="0"/>
    <n v="1.9552499999999999"/>
    <n v="1.93797"/>
    <n v="1.99403"/>
    <n v="1.966"/>
    <n v="560.6"/>
  </r>
  <r>
    <x v="16"/>
    <x v="60"/>
    <x v="0"/>
    <n v="1.9552499999999999"/>
    <n v="1.93797"/>
    <n v="1.99403"/>
    <n v="1.966"/>
    <n v="560.6"/>
  </r>
  <r>
    <x v="16"/>
    <x v="60"/>
    <x v="0"/>
    <n v="1.9552499999999999"/>
    <n v="1.93797"/>
    <n v="1.99403"/>
    <n v="1.966"/>
    <n v="560.6"/>
  </r>
  <r>
    <x v="16"/>
    <x v="60"/>
    <x v="10"/>
    <n v="0.89490999999999998"/>
    <n v="0.89100000000000001"/>
    <n v="0.90302000000000004"/>
    <n v="0.89700999999999997"/>
    <n v="120.2"/>
  </r>
  <r>
    <x v="16"/>
    <x v="60"/>
    <x v="10"/>
    <n v="0.89490999999999998"/>
    <n v="0.89100000000000001"/>
    <n v="0.90302000000000004"/>
    <n v="0.89700999999999997"/>
    <n v="120.2"/>
  </r>
  <r>
    <x v="16"/>
    <x v="60"/>
    <x v="10"/>
    <n v="0.89490999999999998"/>
    <n v="0.89100000000000001"/>
    <n v="0.90302000000000004"/>
    <n v="0.89700999999999997"/>
    <n v="120.2"/>
  </r>
  <r>
    <x v="16"/>
    <x v="60"/>
    <x v="10"/>
    <n v="0.89490999999999998"/>
    <n v="0.89100000000000001"/>
    <n v="0.90302000000000004"/>
    <n v="0.89700999999999997"/>
    <n v="120.2"/>
  </r>
  <r>
    <x v="16"/>
    <x v="60"/>
    <x v="10"/>
    <n v="0.89490999999999998"/>
    <n v="0.89100000000000001"/>
    <n v="0.90302000000000004"/>
    <n v="0.89700999999999997"/>
    <n v="120.2"/>
  </r>
  <r>
    <x v="16"/>
    <x v="60"/>
    <x v="10"/>
    <n v="0.89490999999999998"/>
    <n v="0.89100000000000001"/>
    <n v="0.90302000000000004"/>
    <n v="0.89700999999999997"/>
    <n v="120.2"/>
  </r>
  <r>
    <x v="16"/>
    <x v="60"/>
    <x v="10"/>
    <n v="0.89490999999999998"/>
    <n v="0.89100000000000001"/>
    <n v="0.90302000000000004"/>
    <n v="0.89700999999999997"/>
    <n v="120.2"/>
  </r>
  <r>
    <x v="16"/>
    <x v="60"/>
    <x v="10"/>
    <n v="0.89490999999999998"/>
    <n v="0.89100000000000001"/>
    <n v="0.90302000000000004"/>
    <n v="0.89700999999999997"/>
    <n v="120.2"/>
  </r>
  <r>
    <x v="16"/>
    <x v="26"/>
    <x v="0"/>
    <n v="1.93953"/>
    <n v="1.93797"/>
    <n v="1.99403"/>
    <n v="1.966"/>
    <n v="560.6"/>
  </r>
  <r>
    <x v="16"/>
    <x v="26"/>
    <x v="0"/>
    <n v="1.93953"/>
    <n v="1.93797"/>
    <n v="1.99403"/>
    <n v="1.966"/>
    <n v="560.6"/>
  </r>
  <r>
    <x v="16"/>
    <x v="26"/>
    <x v="0"/>
    <n v="1.93953"/>
    <n v="1.93797"/>
    <n v="1.99403"/>
    <n v="1.966"/>
    <n v="560.6"/>
  </r>
  <r>
    <x v="16"/>
    <x v="26"/>
    <x v="0"/>
    <n v="1.93953"/>
    <n v="1.93797"/>
    <n v="1.99403"/>
    <n v="1.966"/>
    <n v="560.6"/>
  </r>
  <r>
    <x v="16"/>
    <x v="26"/>
    <x v="0"/>
    <n v="1.93953"/>
    <n v="1.93797"/>
    <n v="1.99403"/>
    <n v="1.966"/>
    <n v="560.6"/>
  </r>
  <r>
    <x v="16"/>
    <x v="26"/>
    <x v="0"/>
    <n v="1.93953"/>
    <n v="1.93797"/>
    <n v="1.99403"/>
    <n v="1.966"/>
    <n v="560.6"/>
  </r>
  <r>
    <x v="16"/>
    <x v="26"/>
    <x v="0"/>
    <n v="1.93953"/>
    <n v="1.93797"/>
    <n v="1.99403"/>
    <n v="1.966"/>
    <n v="560.6"/>
  </r>
  <r>
    <x v="16"/>
    <x v="26"/>
    <x v="0"/>
    <n v="1.93953"/>
    <n v="1.93797"/>
    <n v="1.99403"/>
    <n v="1.966"/>
    <n v="560.6"/>
  </r>
  <r>
    <x v="16"/>
    <x v="26"/>
    <x v="0"/>
    <n v="1.93953"/>
    <n v="1.93797"/>
    <n v="1.99403"/>
    <n v="1.966"/>
    <n v="560.6"/>
  </r>
  <r>
    <x v="16"/>
    <x v="26"/>
    <x v="0"/>
    <n v="1.93953"/>
    <n v="1.93797"/>
    <n v="1.99403"/>
    <n v="1.966"/>
    <n v="560.6"/>
  </r>
  <r>
    <x v="16"/>
    <x v="26"/>
    <x v="0"/>
    <n v="1.93953"/>
    <n v="1.93797"/>
    <n v="1.99403"/>
    <n v="1.966"/>
    <n v="560.6"/>
  </r>
  <r>
    <x v="16"/>
    <x v="26"/>
    <x v="0"/>
    <n v="1.93953"/>
    <n v="1.93797"/>
    <n v="1.99403"/>
    <n v="1.966"/>
    <n v="560.6"/>
  </r>
  <r>
    <x v="16"/>
    <x v="26"/>
    <x v="0"/>
    <n v="1.93953"/>
    <n v="1.93797"/>
    <n v="1.99403"/>
    <n v="1.966"/>
    <n v="560.6"/>
  </r>
  <r>
    <x v="16"/>
    <x v="26"/>
    <x v="0"/>
    <n v="1.93953"/>
    <n v="1.93797"/>
    <n v="1.99403"/>
    <n v="1.966"/>
    <n v="560.6"/>
  </r>
  <r>
    <x v="16"/>
    <x v="26"/>
    <x v="0"/>
    <n v="1.93953"/>
    <n v="1.93797"/>
    <n v="1.99403"/>
    <n v="1.966"/>
    <n v="560.6"/>
  </r>
  <r>
    <x v="16"/>
    <x v="26"/>
    <x v="0"/>
    <n v="1.93953"/>
    <n v="1.93797"/>
    <n v="1.99403"/>
    <n v="1.966"/>
    <n v="560.6"/>
  </r>
  <r>
    <x v="16"/>
    <x v="26"/>
    <x v="10"/>
    <n v="0.89034999999999997"/>
    <n v="0.89100000000000001"/>
    <n v="0.90302000000000004"/>
    <n v="0.89700999999999997"/>
    <n v="120.2"/>
  </r>
  <r>
    <x v="16"/>
    <x v="26"/>
    <x v="10"/>
    <n v="0.89034999999999997"/>
    <n v="0.89100000000000001"/>
    <n v="0.90302000000000004"/>
    <n v="0.89700999999999997"/>
    <n v="120.2"/>
  </r>
  <r>
    <x v="16"/>
    <x v="26"/>
    <x v="10"/>
    <n v="0.89034999999999997"/>
    <n v="0.89100000000000001"/>
    <n v="0.90302000000000004"/>
    <n v="0.89700999999999997"/>
    <n v="120.2"/>
  </r>
  <r>
    <x v="16"/>
    <x v="26"/>
    <x v="10"/>
    <n v="0.89034999999999997"/>
    <n v="0.89100000000000001"/>
    <n v="0.90302000000000004"/>
    <n v="0.89700999999999997"/>
    <n v="120.2"/>
  </r>
  <r>
    <x v="16"/>
    <x v="26"/>
    <x v="10"/>
    <n v="0.89034999999999997"/>
    <n v="0.89100000000000001"/>
    <n v="0.90302000000000004"/>
    <n v="0.89700999999999997"/>
    <n v="120.2"/>
  </r>
  <r>
    <x v="16"/>
    <x v="26"/>
    <x v="10"/>
    <n v="0.89034999999999997"/>
    <n v="0.89100000000000001"/>
    <n v="0.90302000000000004"/>
    <n v="0.89700999999999997"/>
    <n v="120.2"/>
  </r>
  <r>
    <x v="16"/>
    <x v="26"/>
    <x v="10"/>
    <n v="0.89034999999999997"/>
    <n v="0.89100000000000001"/>
    <n v="0.90302000000000004"/>
    <n v="0.89700999999999997"/>
    <n v="120.2"/>
  </r>
  <r>
    <x v="16"/>
    <x v="26"/>
    <x v="10"/>
    <n v="0.89034999999999997"/>
    <n v="0.89100000000000001"/>
    <n v="0.90302000000000004"/>
    <n v="0.89700999999999997"/>
    <n v="120.2"/>
  </r>
  <r>
    <x v="16"/>
    <x v="0"/>
    <x v="0"/>
    <n v="1.96218"/>
    <n v="1.93797"/>
    <n v="1.99403"/>
    <n v="1.966"/>
    <n v="560.6"/>
  </r>
  <r>
    <x v="16"/>
    <x v="0"/>
    <x v="0"/>
    <n v="1.96218"/>
    <n v="1.93797"/>
    <n v="1.99403"/>
    <n v="1.966"/>
    <n v="560.6"/>
  </r>
  <r>
    <x v="16"/>
    <x v="0"/>
    <x v="0"/>
    <n v="1.96218"/>
    <n v="1.93797"/>
    <n v="1.99403"/>
    <n v="1.966"/>
    <n v="560.6"/>
  </r>
  <r>
    <x v="16"/>
    <x v="0"/>
    <x v="0"/>
    <n v="1.96218"/>
    <n v="1.93797"/>
    <n v="1.99403"/>
    <n v="1.966"/>
    <n v="560.6"/>
  </r>
  <r>
    <x v="16"/>
    <x v="0"/>
    <x v="0"/>
    <n v="1.96218"/>
    <n v="1.93797"/>
    <n v="1.99403"/>
    <n v="1.966"/>
    <n v="560.6"/>
  </r>
  <r>
    <x v="16"/>
    <x v="0"/>
    <x v="0"/>
    <n v="1.96218"/>
    <n v="1.93797"/>
    <n v="1.99403"/>
    <n v="1.966"/>
    <n v="560.6"/>
  </r>
  <r>
    <x v="16"/>
    <x v="0"/>
    <x v="0"/>
    <n v="1.96218"/>
    <n v="1.93797"/>
    <n v="1.99403"/>
    <n v="1.966"/>
    <n v="560.6"/>
  </r>
  <r>
    <x v="16"/>
    <x v="0"/>
    <x v="0"/>
    <n v="1.96218"/>
    <n v="1.93797"/>
    <n v="1.99403"/>
    <n v="1.966"/>
    <n v="560.6"/>
  </r>
  <r>
    <x v="16"/>
    <x v="0"/>
    <x v="0"/>
    <n v="1.96218"/>
    <n v="1.93797"/>
    <n v="1.99403"/>
    <n v="1.966"/>
    <n v="560.6"/>
  </r>
  <r>
    <x v="16"/>
    <x v="0"/>
    <x v="0"/>
    <n v="1.96218"/>
    <n v="1.93797"/>
    <n v="1.99403"/>
    <n v="1.966"/>
    <n v="560.6"/>
  </r>
  <r>
    <x v="16"/>
    <x v="0"/>
    <x v="0"/>
    <n v="1.96218"/>
    <n v="1.93797"/>
    <n v="1.99403"/>
    <n v="1.966"/>
    <n v="560.6"/>
  </r>
  <r>
    <x v="16"/>
    <x v="0"/>
    <x v="0"/>
    <n v="1.96218"/>
    <n v="1.93797"/>
    <n v="1.99403"/>
    <n v="1.966"/>
    <n v="560.6"/>
  </r>
  <r>
    <x v="16"/>
    <x v="0"/>
    <x v="0"/>
    <n v="1.96218"/>
    <n v="1.93797"/>
    <n v="1.99403"/>
    <n v="1.966"/>
    <n v="560.6"/>
  </r>
  <r>
    <x v="16"/>
    <x v="0"/>
    <x v="0"/>
    <n v="1.96218"/>
    <n v="1.93797"/>
    <n v="1.99403"/>
    <n v="1.966"/>
    <n v="560.6"/>
  </r>
  <r>
    <x v="16"/>
    <x v="0"/>
    <x v="0"/>
    <n v="1.96218"/>
    <n v="1.93797"/>
    <n v="1.99403"/>
    <n v="1.966"/>
    <n v="560.6"/>
  </r>
  <r>
    <x v="16"/>
    <x v="0"/>
    <x v="0"/>
    <n v="1.96218"/>
    <n v="1.93797"/>
    <n v="1.99403"/>
    <n v="1.966"/>
    <n v="560.6"/>
  </r>
  <r>
    <x v="16"/>
    <x v="0"/>
    <x v="0"/>
    <n v="1.96218"/>
    <n v="1.93797"/>
    <n v="1.99403"/>
    <n v="1.966"/>
    <n v="560.6"/>
  </r>
  <r>
    <x v="16"/>
    <x v="0"/>
    <x v="10"/>
    <n v="0.89363999999999999"/>
    <n v="0.88697000000000004"/>
    <n v="0.90302000000000004"/>
    <n v="0.89499499999999999"/>
    <n v="160.5"/>
  </r>
  <r>
    <x v="16"/>
    <x v="0"/>
    <x v="10"/>
    <n v="0.89363999999999999"/>
    <n v="0.88697000000000004"/>
    <n v="0.90302000000000004"/>
    <n v="0.89499499999999999"/>
    <n v="160.5"/>
  </r>
  <r>
    <x v="16"/>
    <x v="0"/>
    <x v="10"/>
    <n v="0.89363999999999999"/>
    <n v="0.88697000000000004"/>
    <n v="0.90302000000000004"/>
    <n v="0.89499499999999999"/>
    <n v="160.5"/>
  </r>
  <r>
    <x v="16"/>
    <x v="0"/>
    <x v="10"/>
    <n v="0.89363999999999999"/>
    <n v="0.88697000000000004"/>
    <n v="0.90302000000000004"/>
    <n v="0.89499499999999999"/>
    <n v="160.5"/>
  </r>
  <r>
    <x v="16"/>
    <x v="0"/>
    <x v="10"/>
    <n v="0.89363999999999999"/>
    <n v="0.88697000000000004"/>
    <n v="0.90302000000000004"/>
    <n v="0.89499499999999999"/>
    <n v="160.5"/>
  </r>
  <r>
    <x v="16"/>
    <x v="0"/>
    <x v="10"/>
    <n v="0.89363999999999999"/>
    <n v="0.88697000000000004"/>
    <n v="0.90302000000000004"/>
    <n v="0.89499499999999999"/>
    <n v="160.5"/>
  </r>
  <r>
    <x v="16"/>
    <x v="0"/>
    <x v="10"/>
    <n v="0.89363999999999999"/>
    <n v="0.88697000000000004"/>
    <n v="0.90302000000000004"/>
    <n v="0.89499499999999999"/>
    <n v="160.5"/>
  </r>
  <r>
    <x v="16"/>
    <x v="0"/>
    <x v="10"/>
    <n v="0.89363999999999999"/>
    <n v="0.88697000000000004"/>
    <n v="0.90302000000000004"/>
    <n v="0.89499499999999999"/>
    <n v="160.5"/>
  </r>
  <r>
    <x v="16"/>
    <x v="0"/>
    <x v="10"/>
    <n v="0.89363999999999999"/>
    <n v="0.88697000000000004"/>
    <n v="0.90302000000000004"/>
    <n v="0.89499499999999999"/>
    <n v="160.5"/>
  </r>
  <r>
    <x v="16"/>
    <x v="0"/>
    <x v="10"/>
    <n v="0.89363999999999999"/>
    <n v="0.88697000000000004"/>
    <n v="0.90302000000000004"/>
    <n v="0.89499499999999999"/>
    <n v="160.5"/>
  </r>
  <r>
    <x v="16"/>
    <x v="1"/>
    <x v="0"/>
    <n v="1.94255"/>
    <n v="1.93797"/>
    <n v="1.99403"/>
    <n v="1.966"/>
    <n v="560.6"/>
  </r>
  <r>
    <x v="16"/>
    <x v="1"/>
    <x v="0"/>
    <n v="1.94255"/>
    <n v="1.93797"/>
    <n v="1.99403"/>
    <n v="1.966"/>
    <n v="560.6"/>
  </r>
  <r>
    <x v="16"/>
    <x v="1"/>
    <x v="0"/>
    <n v="1.94255"/>
    <n v="1.93797"/>
    <n v="1.99403"/>
    <n v="1.966"/>
    <n v="560.6"/>
  </r>
  <r>
    <x v="16"/>
    <x v="1"/>
    <x v="0"/>
    <n v="1.94255"/>
    <n v="1.93797"/>
    <n v="1.99403"/>
    <n v="1.966"/>
    <n v="560.6"/>
  </r>
  <r>
    <x v="16"/>
    <x v="1"/>
    <x v="0"/>
    <n v="1.94255"/>
    <n v="1.93797"/>
    <n v="1.99403"/>
    <n v="1.966"/>
    <n v="560.6"/>
  </r>
  <r>
    <x v="16"/>
    <x v="1"/>
    <x v="0"/>
    <n v="1.94255"/>
    <n v="1.93797"/>
    <n v="1.99403"/>
    <n v="1.966"/>
    <n v="560.6"/>
  </r>
  <r>
    <x v="16"/>
    <x v="1"/>
    <x v="0"/>
    <n v="1.94255"/>
    <n v="1.93797"/>
    <n v="1.99403"/>
    <n v="1.966"/>
    <n v="560.6"/>
  </r>
  <r>
    <x v="16"/>
    <x v="1"/>
    <x v="0"/>
    <n v="1.94255"/>
    <n v="1.93797"/>
    <n v="1.99403"/>
    <n v="1.966"/>
    <n v="560.6"/>
  </r>
  <r>
    <x v="16"/>
    <x v="1"/>
    <x v="0"/>
    <n v="1.94255"/>
    <n v="1.93797"/>
    <n v="1.99403"/>
    <n v="1.966"/>
    <n v="560.6"/>
  </r>
  <r>
    <x v="16"/>
    <x v="1"/>
    <x v="0"/>
    <n v="1.94255"/>
    <n v="1.93797"/>
    <n v="1.99403"/>
    <n v="1.966"/>
    <n v="560.6"/>
  </r>
  <r>
    <x v="16"/>
    <x v="1"/>
    <x v="0"/>
    <n v="1.94255"/>
    <n v="1.93797"/>
    <n v="1.99403"/>
    <n v="1.966"/>
    <n v="560.6"/>
  </r>
  <r>
    <x v="16"/>
    <x v="1"/>
    <x v="0"/>
    <n v="1.94255"/>
    <n v="1.93797"/>
    <n v="1.99403"/>
    <n v="1.966"/>
    <n v="560.6"/>
  </r>
  <r>
    <x v="16"/>
    <x v="1"/>
    <x v="0"/>
    <n v="1.94255"/>
    <n v="1.93797"/>
    <n v="1.99403"/>
    <n v="1.966"/>
    <n v="560.6"/>
  </r>
  <r>
    <x v="16"/>
    <x v="1"/>
    <x v="0"/>
    <n v="1.94255"/>
    <n v="1.93797"/>
    <n v="1.99403"/>
    <n v="1.966"/>
    <n v="560.6"/>
  </r>
  <r>
    <x v="16"/>
    <x v="1"/>
    <x v="0"/>
    <n v="1.94255"/>
    <n v="1.93797"/>
    <n v="1.99403"/>
    <n v="1.966"/>
    <n v="560.6"/>
  </r>
  <r>
    <x v="16"/>
    <x v="1"/>
    <x v="0"/>
    <n v="1.94255"/>
    <n v="1.93797"/>
    <n v="1.99403"/>
    <n v="1.966"/>
    <n v="560.6"/>
  </r>
  <r>
    <x v="16"/>
    <x v="1"/>
    <x v="10"/>
    <n v="0.89192000000000005"/>
    <n v="0.88697000000000004"/>
    <n v="0.90302000000000004"/>
    <n v="0.89499499999999999"/>
    <n v="160.5"/>
  </r>
  <r>
    <x v="16"/>
    <x v="1"/>
    <x v="10"/>
    <n v="0.89192000000000005"/>
    <n v="0.88697000000000004"/>
    <n v="0.90302000000000004"/>
    <n v="0.89499499999999999"/>
    <n v="160.5"/>
  </r>
  <r>
    <x v="16"/>
    <x v="1"/>
    <x v="10"/>
    <n v="0.89192000000000005"/>
    <n v="0.88697000000000004"/>
    <n v="0.90302000000000004"/>
    <n v="0.89499499999999999"/>
    <n v="160.5"/>
  </r>
  <r>
    <x v="16"/>
    <x v="1"/>
    <x v="10"/>
    <n v="0.89192000000000005"/>
    <n v="0.88697000000000004"/>
    <n v="0.90302000000000004"/>
    <n v="0.89499499999999999"/>
    <n v="160.5"/>
  </r>
  <r>
    <x v="16"/>
    <x v="1"/>
    <x v="10"/>
    <n v="0.89192000000000005"/>
    <n v="0.88697000000000004"/>
    <n v="0.90302000000000004"/>
    <n v="0.89499499999999999"/>
    <n v="160.5"/>
  </r>
  <r>
    <x v="16"/>
    <x v="1"/>
    <x v="10"/>
    <n v="0.89192000000000005"/>
    <n v="0.88697000000000004"/>
    <n v="0.90302000000000004"/>
    <n v="0.89499499999999999"/>
    <n v="160.5"/>
  </r>
  <r>
    <x v="16"/>
    <x v="1"/>
    <x v="10"/>
    <n v="0.89192000000000005"/>
    <n v="0.88697000000000004"/>
    <n v="0.90302000000000004"/>
    <n v="0.89499499999999999"/>
    <n v="160.5"/>
  </r>
  <r>
    <x v="16"/>
    <x v="1"/>
    <x v="10"/>
    <n v="0.89192000000000005"/>
    <n v="0.88697000000000004"/>
    <n v="0.90302000000000004"/>
    <n v="0.89499499999999999"/>
    <n v="160.5"/>
  </r>
  <r>
    <x v="16"/>
    <x v="1"/>
    <x v="10"/>
    <n v="0.89192000000000005"/>
    <n v="0.88697000000000004"/>
    <n v="0.90302000000000004"/>
    <n v="0.89499499999999999"/>
    <n v="160.5"/>
  </r>
  <r>
    <x v="16"/>
    <x v="1"/>
    <x v="10"/>
    <n v="0.89192000000000005"/>
    <n v="0.88697000000000004"/>
    <n v="0.90302000000000004"/>
    <n v="0.89499499999999999"/>
    <n v="160.5"/>
  </r>
  <r>
    <x v="16"/>
    <x v="1"/>
    <x v="10"/>
    <n v="0.89192000000000005"/>
    <n v="0.88697000000000004"/>
    <n v="0.90302000000000004"/>
    <n v="0.89499499999999999"/>
    <n v="160.5"/>
  </r>
  <r>
    <x v="16"/>
    <x v="2"/>
    <x v="0"/>
    <n v="1.96496"/>
    <n v="1.93797"/>
    <n v="1.99403"/>
    <n v="1.966"/>
    <n v="560.6"/>
  </r>
  <r>
    <x v="16"/>
    <x v="2"/>
    <x v="0"/>
    <n v="1.96496"/>
    <n v="1.93797"/>
    <n v="1.99403"/>
    <n v="1.966"/>
    <n v="560.6"/>
  </r>
  <r>
    <x v="16"/>
    <x v="2"/>
    <x v="0"/>
    <n v="1.96496"/>
    <n v="1.93797"/>
    <n v="1.99403"/>
    <n v="1.966"/>
    <n v="560.6"/>
  </r>
  <r>
    <x v="16"/>
    <x v="2"/>
    <x v="0"/>
    <n v="1.96496"/>
    <n v="1.93797"/>
    <n v="1.99403"/>
    <n v="1.966"/>
    <n v="560.6"/>
  </r>
  <r>
    <x v="16"/>
    <x v="2"/>
    <x v="0"/>
    <n v="1.96496"/>
    <n v="1.93797"/>
    <n v="1.99403"/>
    <n v="1.966"/>
    <n v="560.6"/>
  </r>
  <r>
    <x v="16"/>
    <x v="2"/>
    <x v="0"/>
    <n v="1.96496"/>
    <n v="1.93797"/>
    <n v="1.99403"/>
    <n v="1.966"/>
    <n v="560.6"/>
  </r>
  <r>
    <x v="16"/>
    <x v="2"/>
    <x v="0"/>
    <n v="1.96496"/>
    <n v="1.93797"/>
    <n v="1.99403"/>
    <n v="1.966"/>
    <n v="560.6"/>
  </r>
  <r>
    <x v="16"/>
    <x v="2"/>
    <x v="0"/>
    <n v="1.96496"/>
    <n v="1.93797"/>
    <n v="1.99403"/>
    <n v="1.966"/>
    <n v="560.6"/>
  </r>
  <r>
    <x v="16"/>
    <x v="2"/>
    <x v="0"/>
    <n v="1.96496"/>
    <n v="1.93797"/>
    <n v="1.99403"/>
    <n v="1.966"/>
    <n v="560.6"/>
  </r>
  <r>
    <x v="16"/>
    <x v="2"/>
    <x v="0"/>
    <n v="1.96496"/>
    <n v="1.93797"/>
    <n v="1.99403"/>
    <n v="1.966"/>
    <n v="560.6"/>
  </r>
  <r>
    <x v="16"/>
    <x v="2"/>
    <x v="0"/>
    <n v="1.96496"/>
    <n v="1.93797"/>
    <n v="1.99403"/>
    <n v="1.966"/>
    <n v="560.6"/>
  </r>
  <r>
    <x v="16"/>
    <x v="2"/>
    <x v="0"/>
    <n v="1.96496"/>
    <n v="1.93797"/>
    <n v="1.99403"/>
    <n v="1.966"/>
    <n v="560.6"/>
  </r>
  <r>
    <x v="16"/>
    <x v="2"/>
    <x v="0"/>
    <n v="1.96496"/>
    <n v="1.93797"/>
    <n v="1.99403"/>
    <n v="1.966"/>
    <n v="560.6"/>
  </r>
  <r>
    <x v="16"/>
    <x v="2"/>
    <x v="0"/>
    <n v="1.96496"/>
    <n v="1.93797"/>
    <n v="1.99403"/>
    <n v="1.966"/>
    <n v="560.6"/>
  </r>
  <r>
    <x v="16"/>
    <x v="2"/>
    <x v="0"/>
    <n v="1.96496"/>
    <n v="1.93797"/>
    <n v="1.99403"/>
    <n v="1.966"/>
    <n v="560.6"/>
  </r>
  <r>
    <x v="16"/>
    <x v="2"/>
    <x v="0"/>
    <n v="1.96496"/>
    <n v="1.93797"/>
    <n v="1.99403"/>
    <n v="1.966"/>
    <n v="560.6"/>
  </r>
  <r>
    <x v="16"/>
    <x v="2"/>
    <x v="10"/>
    <n v="0.89814000000000005"/>
    <n v="0.88697000000000004"/>
    <n v="0.90302000000000004"/>
    <n v="0.89499499999999999"/>
    <n v="160.5"/>
  </r>
  <r>
    <x v="16"/>
    <x v="2"/>
    <x v="10"/>
    <n v="0.89814000000000005"/>
    <n v="0.88697000000000004"/>
    <n v="0.90302000000000004"/>
    <n v="0.89499499999999999"/>
    <n v="160.5"/>
  </r>
  <r>
    <x v="16"/>
    <x v="2"/>
    <x v="10"/>
    <n v="0.89814000000000005"/>
    <n v="0.88697000000000004"/>
    <n v="0.90302000000000004"/>
    <n v="0.89499499999999999"/>
    <n v="160.5"/>
  </r>
  <r>
    <x v="16"/>
    <x v="2"/>
    <x v="10"/>
    <n v="0.89814000000000005"/>
    <n v="0.88697000000000004"/>
    <n v="0.90302000000000004"/>
    <n v="0.89499499999999999"/>
    <n v="160.5"/>
  </r>
  <r>
    <x v="16"/>
    <x v="2"/>
    <x v="10"/>
    <n v="0.89814000000000005"/>
    <n v="0.88697000000000004"/>
    <n v="0.90302000000000004"/>
    <n v="0.89499499999999999"/>
    <n v="160.5"/>
  </r>
  <r>
    <x v="16"/>
    <x v="2"/>
    <x v="10"/>
    <n v="0.89814000000000005"/>
    <n v="0.88697000000000004"/>
    <n v="0.90302000000000004"/>
    <n v="0.89499499999999999"/>
    <n v="160.5"/>
  </r>
  <r>
    <x v="16"/>
    <x v="2"/>
    <x v="10"/>
    <n v="0.89814000000000005"/>
    <n v="0.88697000000000004"/>
    <n v="0.90302000000000004"/>
    <n v="0.89499499999999999"/>
    <n v="160.5"/>
  </r>
  <r>
    <x v="16"/>
    <x v="2"/>
    <x v="10"/>
    <n v="0.89814000000000005"/>
    <n v="0.88697000000000004"/>
    <n v="0.90302000000000004"/>
    <n v="0.89499499999999999"/>
    <n v="160.5"/>
  </r>
  <r>
    <x v="16"/>
    <x v="2"/>
    <x v="10"/>
    <n v="0.89814000000000005"/>
    <n v="0.88697000000000004"/>
    <n v="0.90302000000000004"/>
    <n v="0.89499499999999999"/>
    <n v="160.5"/>
  </r>
  <r>
    <x v="16"/>
    <x v="2"/>
    <x v="10"/>
    <n v="0.89814000000000005"/>
    <n v="0.88697000000000004"/>
    <n v="0.90302000000000004"/>
    <n v="0.89499499999999999"/>
    <n v="160.5"/>
  </r>
  <r>
    <x v="16"/>
    <x v="2"/>
    <x v="10"/>
    <n v="0.89814000000000005"/>
    <n v="0.88697000000000004"/>
    <n v="0.90302000000000004"/>
    <n v="0.89499499999999999"/>
    <n v="160.5"/>
  </r>
  <r>
    <x v="16"/>
    <x v="3"/>
    <x v="0"/>
    <n v="1.9835499999999999"/>
    <n v="1.93797"/>
    <n v="1.99403"/>
    <n v="1.966"/>
    <n v="560.6"/>
  </r>
  <r>
    <x v="16"/>
    <x v="3"/>
    <x v="0"/>
    <n v="1.9835499999999999"/>
    <n v="1.93797"/>
    <n v="1.99403"/>
    <n v="1.966"/>
    <n v="560.6"/>
  </r>
  <r>
    <x v="16"/>
    <x v="3"/>
    <x v="0"/>
    <n v="1.9835499999999999"/>
    <n v="1.93797"/>
    <n v="1.99403"/>
    <n v="1.966"/>
    <n v="560.6"/>
  </r>
  <r>
    <x v="16"/>
    <x v="3"/>
    <x v="0"/>
    <n v="1.9835499999999999"/>
    <n v="1.93797"/>
    <n v="1.99403"/>
    <n v="1.966"/>
    <n v="560.6"/>
  </r>
  <r>
    <x v="16"/>
    <x v="3"/>
    <x v="0"/>
    <n v="1.9835499999999999"/>
    <n v="1.93797"/>
    <n v="1.99403"/>
    <n v="1.966"/>
    <n v="560.6"/>
  </r>
  <r>
    <x v="16"/>
    <x v="3"/>
    <x v="0"/>
    <n v="1.9835499999999999"/>
    <n v="1.93797"/>
    <n v="1.99403"/>
    <n v="1.966"/>
    <n v="560.6"/>
  </r>
  <r>
    <x v="16"/>
    <x v="3"/>
    <x v="0"/>
    <n v="1.9835499999999999"/>
    <n v="1.93797"/>
    <n v="1.99403"/>
    <n v="1.966"/>
    <n v="560.6"/>
  </r>
  <r>
    <x v="16"/>
    <x v="3"/>
    <x v="0"/>
    <n v="1.9835499999999999"/>
    <n v="1.93797"/>
    <n v="1.99403"/>
    <n v="1.966"/>
    <n v="560.6"/>
  </r>
  <r>
    <x v="16"/>
    <x v="3"/>
    <x v="0"/>
    <n v="1.9835499999999999"/>
    <n v="1.93797"/>
    <n v="1.99403"/>
    <n v="1.966"/>
    <n v="560.6"/>
  </r>
  <r>
    <x v="16"/>
    <x v="3"/>
    <x v="0"/>
    <n v="1.9835499999999999"/>
    <n v="1.93797"/>
    <n v="1.99403"/>
    <n v="1.966"/>
    <n v="560.6"/>
  </r>
  <r>
    <x v="16"/>
    <x v="3"/>
    <x v="0"/>
    <n v="1.9835499999999999"/>
    <n v="1.93797"/>
    <n v="1.99403"/>
    <n v="1.966"/>
    <n v="560.6"/>
  </r>
  <r>
    <x v="16"/>
    <x v="3"/>
    <x v="0"/>
    <n v="1.9835499999999999"/>
    <n v="1.93797"/>
    <n v="1.99403"/>
    <n v="1.966"/>
    <n v="560.6"/>
  </r>
  <r>
    <x v="16"/>
    <x v="3"/>
    <x v="0"/>
    <n v="1.9835499999999999"/>
    <n v="1.93797"/>
    <n v="1.99403"/>
    <n v="1.966"/>
    <n v="560.6"/>
  </r>
  <r>
    <x v="16"/>
    <x v="3"/>
    <x v="0"/>
    <n v="1.9835499999999999"/>
    <n v="1.93797"/>
    <n v="1.99403"/>
    <n v="1.966"/>
    <n v="560.6"/>
  </r>
  <r>
    <x v="16"/>
    <x v="3"/>
    <x v="0"/>
    <n v="1.9835499999999999"/>
    <n v="1.93797"/>
    <n v="1.99403"/>
    <n v="1.966"/>
    <n v="560.6"/>
  </r>
  <r>
    <x v="16"/>
    <x v="3"/>
    <x v="0"/>
    <n v="1.9835499999999999"/>
    <n v="1.93797"/>
    <n v="1.99403"/>
    <n v="1.966"/>
    <n v="560.6"/>
  </r>
  <r>
    <x v="16"/>
    <x v="3"/>
    <x v="0"/>
    <n v="1.9835499999999999"/>
    <n v="1.93797"/>
    <n v="1.99403"/>
    <n v="1.966"/>
    <n v="560.6"/>
  </r>
  <r>
    <x v="16"/>
    <x v="3"/>
    <x v="10"/>
    <n v="0.90461000000000003"/>
    <n v="0.88697000000000004"/>
    <n v="0.90500000000000003"/>
    <n v="0.89598500000000003"/>
    <n v="180.3"/>
  </r>
  <r>
    <x v="16"/>
    <x v="3"/>
    <x v="10"/>
    <n v="0.90461000000000003"/>
    <n v="0.88697000000000004"/>
    <n v="0.90500000000000003"/>
    <n v="0.89598500000000003"/>
    <n v="180.3"/>
  </r>
  <r>
    <x v="16"/>
    <x v="3"/>
    <x v="10"/>
    <n v="0.90461000000000003"/>
    <n v="0.88697000000000004"/>
    <n v="0.90500000000000003"/>
    <n v="0.89598500000000003"/>
    <n v="180.3"/>
  </r>
  <r>
    <x v="16"/>
    <x v="3"/>
    <x v="10"/>
    <n v="0.90461000000000003"/>
    <n v="0.88697000000000004"/>
    <n v="0.90500000000000003"/>
    <n v="0.89598500000000003"/>
    <n v="180.3"/>
  </r>
  <r>
    <x v="16"/>
    <x v="3"/>
    <x v="10"/>
    <n v="0.90461000000000003"/>
    <n v="0.88697000000000004"/>
    <n v="0.90500000000000003"/>
    <n v="0.89598500000000003"/>
    <n v="180.3"/>
  </r>
  <r>
    <x v="16"/>
    <x v="3"/>
    <x v="10"/>
    <n v="0.90461000000000003"/>
    <n v="0.88697000000000004"/>
    <n v="0.90500000000000003"/>
    <n v="0.89598500000000003"/>
    <n v="180.3"/>
  </r>
  <r>
    <x v="16"/>
    <x v="3"/>
    <x v="10"/>
    <n v="0.90461000000000003"/>
    <n v="0.88697000000000004"/>
    <n v="0.90500000000000003"/>
    <n v="0.89598500000000003"/>
    <n v="180.3"/>
  </r>
  <r>
    <x v="16"/>
    <x v="3"/>
    <x v="10"/>
    <n v="0.90461000000000003"/>
    <n v="0.88697000000000004"/>
    <n v="0.90500000000000003"/>
    <n v="0.89598500000000003"/>
    <n v="180.3"/>
  </r>
  <r>
    <x v="16"/>
    <x v="3"/>
    <x v="10"/>
    <n v="0.90461000000000003"/>
    <n v="0.88697000000000004"/>
    <n v="0.90500000000000003"/>
    <n v="0.89598500000000003"/>
    <n v="180.3"/>
  </r>
  <r>
    <x v="16"/>
    <x v="3"/>
    <x v="10"/>
    <n v="0.90461000000000003"/>
    <n v="0.88697000000000004"/>
    <n v="0.90500000000000003"/>
    <n v="0.89598500000000003"/>
    <n v="180.3"/>
  </r>
  <r>
    <x v="16"/>
    <x v="3"/>
    <x v="10"/>
    <n v="0.90461000000000003"/>
    <n v="0.88697000000000004"/>
    <n v="0.90500000000000003"/>
    <n v="0.89598500000000003"/>
    <n v="180.3"/>
  </r>
  <r>
    <x v="16"/>
    <x v="3"/>
    <x v="10"/>
    <n v="0.90461000000000003"/>
    <n v="0.88697000000000004"/>
    <n v="0.90500000000000003"/>
    <n v="0.89598500000000003"/>
    <n v="180.3"/>
  </r>
  <r>
    <x v="16"/>
    <x v="4"/>
    <x v="0"/>
    <n v="1.97536"/>
    <n v="1.93797"/>
    <n v="1.99403"/>
    <n v="1.966"/>
    <n v="560.6"/>
  </r>
  <r>
    <x v="16"/>
    <x v="4"/>
    <x v="0"/>
    <n v="1.97536"/>
    <n v="1.93797"/>
    <n v="1.99403"/>
    <n v="1.966"/>
    <n v="560.6"/>
  </r>
  <r>
    <x v="16"/>
    <x v="4"/>
    <x v="0"/>
    <n v="1.97536"/>
    <n v="1.93797"/>
    <n v="1.99403"/>
    <n v="1.966"/>
    <n v="560.6"/>
  </r>
  <r>
    <x v="16"/>
    <x v="4"/>
    <x v="0"/>
    <n v="1.97536"/>
    <n v="1.93797"/>
    <n v="1.99403"/>
    <n v="1.966"/>
    <n v="560.6"/>
  </r>
  <r>
    <x v="16"/>
    <x v="4"/>
    <x v="0"/>
    <n v="1.97536"/>
    <n v="1.93797"/>
    <n v="1.99403"/>
    <n v="1.966"/>
    <n v="560.6"/>
  </r>
  <r>
    <x v="16"/>
    <x v="4"/>
    <x v="0"/>
    <n v="1.97536"/>
    <n v="1.93797"/>
    <n v="1.99403"/>
    <n v="1.966"/>
    <n v="560.6"/>
  </r>
  <r>
    <x v="16"/>
    <x v="4"/>
    <x v="0"/>
    <n v="1.97536"/>
    <n v="1.93797"/>
    <n v="1.99403"/>
    <n v="1.966"/>
    <n v="560.6"/>
  </r>
  <r>
    <x v="16"/>
    <x v="4"/>
    <x v="0"/>
    <n v="1.97536"/>
    <n v="1.93797"/>
    <n v="1.99403"/>
    <n v="1.966"/>
    <n v="560.6"/>
  </r>
  <r>
    <x v="16"/>
    <x v="4"/>
    <x v="0"/>
    <n v="1.97536"/>
    <n v="1.93797"/>
    <n v="1.99403"/>
    <n v="1.966"/>
    <n v="560.6"/>
  </r>
  <r>
    <x v="16"/>
    <x v="4"/>
    <x v="0"/>
    <n v="1.97536"/>
    <n v="1.93797"/>
    <n v="1.99403"/>
    <n v="1.966"/>
    <n v="560.6"/>
  </r>
  <r>
    <x v="16"/>
    <x v="4"/>
    <x v="0"/>
    <n v="1.97536"/>
    <n v="1.93797"/>
    <n v="1.99403"/>
    <n v="1.966"/>
    <n v="560.6"/>
  </r>
  <r>
    <x v="16"/>
    <x v="4"/>
    <x v="0"/>
    <n v="1.97536"/>
    <n v="1.93797"/>
    <n v="1.99403"/>
    <n v="1.966"/>
    <n v="560.6"/>
  </r>
  <r>
    <x v="16"/>
    <x v="4"/>
    <x v="0"/>
    <n v="1.97536"/>
    <n v="1.93797"/>
    <n v="1.99403"/>
    <n v="1.966"/>
    <n v="560.6"/>
  </r>
  <r>
    <x v="16"/>
    <x v="4"/>
    <x v="0"/>
    <n v="1.97536"/>
    <n v="1.93797"/>
    <n v="1.99403"/>
    <n v="1.966"/>
    <n v="560.6"/>
  </r>
  <r>
    <x v="16"/>
    <x v="4"/>
    <x v="0"/>
    <n v="1.97536"/>
    <n v="1.93797"/>
    <n v="1.99403"/>
    <n v="1.966"/>
    <n v="560.6"/>
  </r>
  <r>
    <x v="16"/>
    <x v="4"/>
    <x v="0"/>
    <n v="1.97536"/>
    <n v="1.93797"/>
    <n v="1.99403"/>
    <n v="1.966"/>
    <n v="560.6"/>
  </r>
  <r>
    <x v="16"/>
    <x v="4"/>
    <x v="0"/>
    <n v="1.97536"/>
    <n v="1.93797"/>
    <n v="1.99403"/>
    <n v="1.966"/>
    <n v="560.6"/>
  </r>
  <r>
    <x v="16"/>
    <x v="4"/>
    <x v="0"/>
    <n v="1.97536"/>
    <n v="1.93797"/>
    <n v="1.99403"/>
    <n v="1.966"/>
    <n v="560.6"/>
  </r>
  <r>
    <x v="16"/>
    <x v="4"/>
    <x v="10"/>
    <n v="0.90578000000000003"/>
    <n v="0.88697000000000004"/>
    <n v="0.90917999999999999"/>
    <n v="0.89807499999999996"/>
    <n v="222.1"/>
  </r>
  <r>
    <x v="16"/>
    <x v="4"/>
    <x v="10"/>
    <n v="0.90578000000000003"/>
    <n v="0.88697000000000004"/>
    <n v="0.90917999999999999"/>
    <n v="0.89807499999999996"/>
    <n v="222.1"/>
  </r>
  <r>
    <x v="16"/>
    <x v="4"/>
    <x v="10"/>
    <n v="0.90578000000000003"/>
    <n v="0.88697000000000004"/>
    <n v="0.90917999999999999"/>
    <n v="0.89807499999999996"/>
    <n v="222.1"/>
  </r>
  <r>
    <x v="16"/>
    <x v="4"/>
    <x v="10"/>
    <n v="0.90578000000000003"/>
    <n v="0.88697000000000004"/>
    <n v="0.90917999999999999"/>
    <n v="0.89807499999999996"/>
    <n v="222.1"/>
  </r>
  <r>
    <x v="16"/>
    <x v="4"/>
    <x v="10"/>
    <n v="0.90578000000000003"/>
    <n v="0.88697000000000004"/>
    <n v="0.90917999999999999"/>
    <n v="0.89807499999999996"/>
    <n v="222.1"/>
  </r>
  <r>
    <x v="16"/>
    <x v="4"/>
    <x v="10"/>
    <n v="0.90578000000000003"/>
    <n v="0.88697000000000004"/>
    <n v="0.90917999999999999"/>
    <n v="0.89807499999999996"/>
    <n v="222.1"/>
  </r>
  <r>
    <x v="16"/>
    <x v="4"/>
    <x v="10"/>
    <n v="0.90578000000000003"/>
    <n v="0.88697000000000004"/>
    <n v="0.90917999999999999"/>
    <n v="0.89807499999999996"/>
    <n v="222.1"/>
  </r>
  <r>
    <x v="16"/>
    <x v="4"/>
    <x v="10"/>
    <n v="0.90578000000000003"/>
    <n v="0.88697000000000004"/>
    <n v="0.90917999999999999"/>
    <n v="0.89807499999999996"/>
    <n v="222.1"/>
  </r>
  <r>
    <x v="16"/>
    <x v="4"/>
    <x v="10"/>
    <n v="0.90578000000000003"/>
    <n v="0.88697000000000004"/>
    <n v="0.90917999999999999"/>
    <n v="0.89807499999999996"/>
    <n v="222.1"/>
  </r>
  <r>
    <x v="16"/>
    <x v="4"/>
    <x v="10"/>
    <n v="0.90578000000000003"/>
    <n v="0.88697000000000004"/>
    <n v="0.90917999999999999"/>
    <n v="0.89807499999999996"/>
    <n v="222.1"/>
  </r>
  <r>
    <x v="16"/>
    <x v="4"/>
    <x v="10"/>
    <n v="0.90578000000000003"/>
    <n v="0.88697000000000004"/>
    <n v="0.90917999999999999"/>
    <n v="0.89807499999999996"/>
    <n v="222.1"/>
  </r>
  <r>
    <x v="16"/>
    <x v="4"/>
    <x v="10"/>
    <n v="0.90578000000000003"/>
    <n v="0.88697000000000004"/>
    <n v="0.90917999999999999"/>
    <n v="0.89807499999999996"/>
    <n v="222.1"/>
  </r>
  <r>
    <x v="16"/>
    <x v="4"/>
    <x v="10"/>
    <n v="0.90578000000000003"/>
    <n v="0.88697000000000004"/>
    <n v="0.90917999999999999"/>
    <n v="0.89807499999999996"/>
    <n v="222.1"/>
  </r>
  <r>
    <x v="16"/>
    <x v="4"/>
    <x v="10"/>
    <n v="0.90578000000000003"/>
    <n v="0.88697000000000004"/>
    <n v="0.90917999999999999"/>
    <n v="0.89807499999999996"/>
    <n v="222.1"/>
  </r>
  <r>
    <x v="16"/>
    <x v="5"/>
    <x v="0"/>
    <n v="1.98126"/>
    <n v="1.93797"/>
    <n v="2.0020199999999999"/>
    <n v="1.9699949999999999"/>
    <n v="640.5"/>
  </r>
  <r>
    <x v="16"/>
    <x v="5"/>
    <x v="0"/>
    <n v="1.98126"/>
    <n v="1.93797"/>
    <n v="2.0020199999999999"/>
    <n v="1.9699949999999999"/>
    <n v="640.5"/>
  </r>
  <r>
    <x v="16"/>
    <x v="5"/>
    <x v="0"/>
    <n v="1.98126"/>
    <n v="1.93797"/>
    <n v="2.0020199999999999"/>
    <n v="1.9699949999999999"/>
    <n v="640.5"/>
  </r>
  <r>
    <x v="16"/>
    <x v="5"/>
    <x v="0"/>
    <n v="1.98126"/>
    <n v="1.93797"/>
    <n v="2.0020199999999999"/>
    <n v="1.9699949999999999"/>
    <n v="640.5"/>
  </r>
  <r>
    <x v="16"/>
    <x v="5"/>
    <x v="0"/>
    <n v="1.98126"/>
    <n v="1.93797"/>
    <n v="2.0020199999999999"/>
    <n v="1.9699949999999999"/>
    <n v="640.5"/>
  </r>
  <r>
    <x v="16"/>
    <x v="5"/>
    <x v="0"/>
    <n v="1.98126"/>
    <n v="1.93797"/>
    <n v="2.0020199999999999"/>
    <n v="1.9699949999999999"/>
    <n v="640.5"/>
  </r>
  <r>
    <x v="16"/>
    <x v="5"/>
    <x v="0"/>
    <n v="1.98126"/>
    <n v="1.93797"/>
    <n v="2.0020199999999999"/>
    <n v="1.9699949999999999"/>
    <n v="640.5"/>
  </r>
  <r>
    <x v="16"/>
    <x v="5"/>
    <x v="0"/>
    <n v="1.98126"/>
    <n v="1.93797"/>
    <n v="2.0020199999999999"/>
    <n v="1.9699949999999999"/>
    <n v="640.5"/>
  </r>
  <r>
    <x v="16"/>
    <x v="5"/>
    <x v="0"/>
    <n v="1.98126"/>
    <n v="1.93797"/>
    <n v="2.0020199999999999"/>
    <n v="1.9699949999999999"/>
    <n v="640.5"/>
  </r>
  <r>
    <x v="16"/>
    <x v="5"/>
    <x v="0"/>
    <n v="1.98126"/>
    <n v="1.93797"/>
    <n v="2.0020199999999999"/>
    <n v="1.9699949999999999"/>
    <n v="640.5"/>
  </r>
  <r>
    <x v="16"/>
    <x v="5"/>
    <x v="0"/>
    <n v="1.98126"/>
    <n v="1.93797"/>
    <n v="2.0020199999999999"/>
    <n v="1.9699949999999999"/>
    <n v="640.5"/>
  </r>
  <r>
    <x v="16"/>
    <x v="5"/>
    <x v="0"/>
    <n v="1.98126"/>
    <n v="1.93797"/>
    <n v="2.0020199999999999"/>
    <n v="1.9699949999999999"/>
    <n v="640.5"/>
  </r>
  <r>
    <x v="16"/>
    <x v="5"/>
    <x v="0"/>
    <n v="1.98126"/>
    <n v="1.93797"/>
    <n v="2.0020199999999999"/>
    <n v="1.9699949999999999"/>
    <n v="640.5"/>
  </r>
  <r>
    <x v="16"/>
    <x v="5"/>
    <x v="0"/>
    <n v="1.98126"/>
    <n v="1.93797"/>
    <n v="2.0020199999999999"/>
    <n v="1.9699949999999999"/>
    <n v="640.5"/>
  </r>
  <r>
    <x v="16"/>
    <x v="5"/>
    <x v="0"/>
    <n v="1.98126"/>
    <n v="1.93797"/>
    <n v="2.0020199999999999"/>
    <n v="1.9699949999999999"/>
    <n v="640.5"/>
  </r>
  <r>
    <x v="16"/>
    <x v="5"/>
    <x v="0"/>
    <n v="1.98126"/>
    <n v="1.93797"/>
    <n v="2.0020199999999999"/>
    <n v="1.9699949999999999"/>
    <n v="640.5"/>
  </r>
  <r>
    <x v="16"/>
    <x v="5"/>
    <x v="0"/>
    <n v="1.98126"/>
    <n v="1.93797"/>
    <n v="2.0020199999999999"/>
    <n v="1.9699949999999999"/>
    <n v="640.5"/>
  </r>
  <r>
    <x v="16"/>
    <x v="5"/>
    <x v="0"/>
    <n v="1.98126"/>
    <n v="1.93797"/>
    <n v="2.0020199999999999"/>
    <n v="1.9699949999999999"/>
    <n v="640.5"/>
  </r>
  <r>
    <x v="16"/>
    <x v="5"/>
    <x v="0"/>
    <n v="1.98126"/>
    <n v="1.93797"/>
    <n v="2.0020199999999999"/>
    <n v="1.9699949999999999"/>
    <n v="640.5"/>
  </r>
  <r>
    <x v="16"/>
    <x v="5"/>
    <x v="0"/>
    <n v="1.98126"/>
    <n v="1.93797"/>
    <n v="2.0020199999999999"/>
    <n v="1.9699949999999999"/>
    <n v="640.5"/>
  </r>
  <r>
    <x v="16"/>
    <x v="5"/>
    <x v="10"/>
    <n v="0.90483999999999998"/>
    <n v="0.88697000000000004"/>
    <n v="0.91100999999999999"/>
    <n v="0.89898999999999996"/>
    <n v="240.4"/>
  </r>
  <r>
    <x v="16"/>
    <x v="5"/>
    <x v="10"/>
    <n v="0.90483999999999998"/>
    <n v="0.88697000000000004"/>
    <n v="0.91100999999999999"/>
    <n v="0.89898999999999996"/>
    <n v="240.4"/>
  </r>
  <r>
    <x v="16"/>
    <x v="5"/>
    <x v="10"/>
    <n v="0.90483999999999998"/>
    <n v="0.88697000000000004"/>
    <n v="0.91100999999999999"/>
    <n v="0.89898999999999996"/>
    <n v="240.4"/>
  </r>
  <r>
    <x v="16"/>
    <x v="5"/>
    <x v="10"/>
    <n v="0.90483999999999998"/>
    <n v="0.88697000000000004"/>
    <n v="0.91100999999999999"/>
    <n v="0.89898999999999996"/>
    <n v="240.4"/>
  </r>
  <r>
    <x v="16"/>
    <x v="5"/>
    <x v="10"/>
    <n v="0.90483999999999998"/>
    <n v="0.88697000000000004"/>
    <n v="0.91100999999999999"/>
    <n v="0.89898999999999996"/>
    <n v="240.4"/>
  </r>
  <r>
    <x v="16"/>
    <x v="5"/>
    <x v="10"/>
    <n v="0.90483999999999998"/>
    <n v="0.88697000000000004"/>
    <n v="0.91100999999999999"/>
    <n v="0.89898999999999996"/>
    <n v="240.4"/>
  </r>
  <r>
    <x v="16"/>
    <x v="5"/>
    <x v="10"/>
    <n v="0.90483999999999998"/>
    <n v="0.88697000000000004"/>
    <n v="0.91100999999999999"/>
    <n v="0.89898999999999996"/>
    <n v="240.4"/>
  </r>
  <r>
    <x v="16"/>
    <x v="5"/>
    <x v="10"/>
    <n v="0.90483999999999998"/>
    <n v="0.88697000000000004"/>
    <n v="0.91100999999999999"/>
    <n v="0.89898999999999996"/>
    <n v="240.4"/>
  </r>
  <r>
    <x v="16"/>
    <x v="5"/>
    <x v="10"/>
    <n v="0.90483999999999998"/>
    <n v="0.88697000000000004"/>
    <n v="0.91100999999999999"/>
    <n v="0.89898999999999996"/>
    <n v="240.4"/>
  </r>
  <r>
    <x v="16"/>
    <x v="5"/>
    <x v="10"/>
    <n v="0.90483999999999998"/>
    <n v="0.88697000000000004"/>
    <n v="0.91100999999999999"/>
    <n v="0.89898999999999996"/>
    <n v="240.4"/>
  </r>
  <r>
    <x v="16"/>
    <x v="5"/>
    <x v="10"/>
    <n v="0.90483999999999998"/>
    <n v="0.88697000000000004"/>
    <n v="0.91100999999999999"/>
    <n v="0.89898999999999996"/>
    <n v="240.4"/>
  </r>
  <r>
    <x v="16"/>
    <x v="5"/>
    <x v="10"/>
    <n v="0.90483999999999998"/>
    <n v="0.88697000000000004"/>
    <n v="0.91100999999999999"/>
    <n v="0.89898999999999996"/>
    <n v="240.4"/>
  </r>
  <r>
    <x v="16"/>
    <x v="5"/>
    <x v="10"/>
    <n v="0.90483999999999998"/>
    <n v="0.88697000000000004"/>
    <n v="0.91100999999999999"/>
    <n v="0.89898999999999996"/>
    <n v="240.4"/>
  </r>
  <r>
    <x v="16"/>
    <x v="5"/>
    <x v="10"/>
    <n v="0.90483999999999998"/>
    <n v="0.88697000000000004"/>
    <n v="0.91100999999999999"/>
    <n v="0.89898999999999996"/>
    <n v="240.4"/>
  </r>
  <r>
    <x v="16"/>
    <x v="5"/>
    <x v="10"/>
    <n v="0.90483999999999998"/>
    <n v="0.88697000000000004"/>
    <n v="0.91100999999999999"/>
    <n v="0.89898999999999996"/>
    <n v="240.4"/>
  </r>
  <r>
    <x v="16"/>
    <x v="6"/>
    <x v="0"/>
    <n v="1.9652799999999999"/>
    <n v="1.93797"/>
    <n v="2.0020199999999999"/>
    <n v="1.9699949999999999"/>
    <n v="640.5"/>
  </r>
  <r>
    <x v="16"/>
    <x v="6"/>
    <x v="0"/>
    <n v="1.9652799999999999"/>
    <n v="1.93797"/>
    <n v="2.0020199999999999"/>
    <n v="1.9699949999999999"/>
    <n v="640.5"/>
  </r>
  <r>
    <x v="16"/>
    <x v="6"/>
    <x v="0"/>
    <n v="1.9652799999999999"/>
    <n v="1.93797"/>
    <n v="2.0020199999999999"/>
    <n v="1.9699949999999999"/>
    <n v="640.5"/>
  </r>
  <r>
    <x v="16"/>
    <x v="6"/>
    <x v="0"/>
    <n v="1.9652799999999999"/>
    <n v="1.93797"/>
    <n v="2.0020199999999999"/>
    <n v="1.9699949999999999"/>
    <n v="640.5"/>
  </r>
  <r>
    <x v="16"/>
    <x v="6"/>
    <x v="0"/>
    <n v="1.9652799999999999"/>
    <n v="1.93797"/>
    <n v="2.0020199999999999"/>
    <n v="1.9699949999999999"/>
    <n v="640.5"/>
  </r>
  <r>
    <x v="16"/>
    <x v="6"/>
    <x v="0"/>
    <n v="1.9652799999999999"/>
    <n v="1.93797"/>
    <n v="2.0020199999999999"/>
    <n v="1.9699949999999999"/>
    <n v="640.5"/>
  </r>
  <r>
    <x v="16"/>
    <x v="6"/>
    <x v="0"/>
    <n v="1.9652799999999999"/>
    <n v="1.93797"/>
    <n v="2.0020199999999999"/>
    <n v="1.9699949999999999"/>
    <n v="640.5"/>
  </r>
  <r>
    <x v="16"/>
    <x v="6"/>
    <x v="0"/>
    <n v="1.9652799999999999"/>
    <n v="1.93797"/>
    <n v="2.0020199999999999"/>
    <n v="1.9699949999999999"/>
    <n v="640.5"/>
  </r>
  <r>
    <x v="16"/>
    <x v="6"/>
    <x v="0"/>
    <n v="1.9652799999999999"/>
    <n v="1.93797"/>
    <n v="2.0020199999999999"/>
    <n v="1.9699949999999999"/>
    <n v="640.5"/>
  </r>
  <r>
    <x v="16"/>
    <x v="6"/>
    <x v="0"/>
    <n v="1.9652799999999999"/>
    <n v="1.93797"/>
    <n v="2.0020199999999999"/>
    <n v="1.9699949999999999"/>
    <n v="640.5"/>
  </r>
  <r>
    <x v="16"/>
    <x v="6"/>
    <x v="0"/>
    <n v="1.9652799999999999"/>
    <n v="1.93797"/>
    <n v="2.0020199999999999"/>
    <n v="1.9699949999999999"/>
    <n v="640.5"/>
  </r>
  <r>
    <x v="16"/>
    <x v="6"/>
    <x v="0"/>
    <n v="1.9652799999999999"/>
    <n v="1.93797"/>
    <n v="2.0020199999999999"/>
    <n v="1.9699949999999999"/>
    <n v="640.5"/>
  </r>
  <r>
    <x v="16"/>
    <x v="6"/>
    <x v="0"/>
    <n v="1.9652799999999999"/>
    <n v="1.93797"/>
    <n v="2.0020199999999999"/>
    <n v="1.9699949999999999"/>
    <n v="640.5"/>
  </r>
  <r>
    <x v="16"/>
    <x v="6"/>
    <x v="0"/>
    <n v="1.9652799999999999"/>
    <n v="1.93797"/>
    <n v="2.0020199999999999"/>
    <n v="1.9699949999999999"/>
    <n v="640.5"/>
  </r>
  <r>
    <x v="16"/>
    <x v="6"/>
    <x v="0"/>
    <n v="1.9652799999999999"/>
    <n v="1.93797"/>
    <n v="2.0020199999999999"/>
    <n v="1.9699949999999999"/>
    <n v="640.5"/>
  </r>
  <r>
    <x v="16"/>
    <x v="6"/>
    <x v="0"/>
    <n v="1.9652799999999999"/>
    <n v="1.93797"/>
    <n v="2.0020199999999999"/>
    <n v="1.9699949999999999"/>
    <n v="640.5"/>
  </r>
  <r>
    <x v="16"/>
    <x v="6"/>
    <x v="0"/>
    <n v="1.9652799999999999"/>
    <n v="1.93797"/>
    <n v="2.0020199999999999"/>
    <n v="1.9699949999999999"/>
    <n v="640.5"/>
  </r>
  <r>
    <x v="16"/>
    <x v="7"/>
    <x v="0"/>
    <n v="1.97037"/>
    <n v="1.93797"/>
    <n v="2.0020199999999999"/>
    <n v="1.9699949999999999"/>
    <n v="640.5"/>
  </r>
  <r>
    <x v="16"/>
    <x v="7"/>
    <x v="0"/>
    <n v="1.97037"/>
    <n v="1.93797"/>
    <n v="2.0020199999999999"/>
    <n v="1.9699949999999999"/>
    <n v="640.5"/>
  </r>
  <r>
    <x v="16"/>
    <x v="7"/>
    <x v="0"/>
    <n v="1.97037"/>
    <n v="1.93797"/>
    <n v="2.0020199999999999"/>
    <n v="1.9699949999999999"/>
    <n v="640.5"/>
  </r>
  <r>
    <x v="16"/>
    <x v="7"/>
    <x v="0"/>
    <n v="1.97037"/>
    <n v="1.93797"/>
    <n v="2.0020199999999999"/>
    <n v="1.9699949999999999"/>
    <n v="640.5"/>
  </r>
  <r>
    <x v="16"/>
    <x v="7"/>
    <x v="0"/>
    <n v="1.97037"/>
    <n v="1.93797"/>
    <n v="2.0020199999999999"/>
    <n v="1.9699949999999999"/>
    <n v="640.5"/>
  </r>
  <r>
    <x v="16"/>
    <x v="7"/>
    <x v="0"/>
    <n v="1.97037"/>
    <n v="1.93797"/>
    <n v="2.0020199999999999"/>
    <n v="1.9699949999999999"/>
    <n v="640.5"/>
  </r>
  <r>
    <x v="16"/>
    <x v="7"/>
    <x v="0"/>
    <n v="1.97037"/>
    <n v="1.93797"/>
    <n v="2.0020199999999999"/>
    <n v="1.9699949999999999"/>
    <n v="640.5"/>
  </r>
  <r>
    <x v="16"/>
    <x v="7"/>
    <x v="0"/>
    <n v="1.97037"/>
    <n v="1.93797"/>
    <n v="2.0020199999999999"/>
    <n v="1.9699949999999999"/>
    <n v="640.5"/>
  </r>
  <r>
    <x v="16"/>
    <x v="7"/>
    <x v="0"/>
    <n v="1.97037"/>
    <n v="1.93797"/>
    <n v="2.0020199999999999"/>
    <n v="1.9699949999999999"/>
    <n v="640.5"/>
  </r>
  <r>
    <x v="16"/>
    <x v="7"/>
    <x v="0"/>
    <n v="1.97037"/>
    <n v="1.93797"/>
    <n v="2.0020199999999999"/>
    <n v="1.9699949999999999"/>
    <n v="640.5"/>
  </r>
  <r>
    <x v="16"/>
    <x v="7"/>
    <x v="0"/>
    <n v="1.97037"/>
    <n v="1.93797"/>
    <n v="2.0020199999999999"/>
    <n v="1.9699949999999999"/>
    <n v="640.5"/>
  </r>
  <r>
    <x v="16"/>
    <x v="7"/>
    <x v="0"/>
    <n v="1.97037"/>
    <n v="1.93797"/>
    <n v="2.0020199999999999"/>
    <n v="1.9699949999999999"/>
    <n v="640.5"/>
  </r>
  <r>
    <x v="16"/>
    <x v="7"/>
    <x v="0"/>
    <n v="1.97037"/>
    <n v="1.93797"/>
    <n v="2.0020199999999999"/>
    <n v="1.9699949999999999"/>
    <n v="640.5"/>
  </r>
  <r>
    <x v="16"/>
    <x v="7"/>
    <x v="0"/>
    <n v="1.97037"/>
    <n v="1.93797"/>
    <n v="2.0020199999999999"/>
    <n v="1.9699949999999999"/>
    <n v="640.5"/>
  </r>
  <r>
    <x v="16"/>
    <x v="7"/>
    <x v="0"/>
    <n v="1.97037"/>
    <n v="1.93797"/>
    <n v="2.0020199999999999"/>
    <n v="1.9699949999999999"/>
    <n v="640.5"/>
  </r>
  <r>
    <x v="16"/>
    <x v="7"/>
    <x v="0"/>
    <n v="1.97037"/>
    <n v="1.93797"/>
    <n v="2.0020199999999999"/>
    <n v="1.9699949999999999"/>
    <n v="640.5"/>
  </r>
  <r>
    <x v="16"/>
    <x v="7"/>
    <x v="0"/>
    <n v="1.97037"/>
    <n v="1.93797"/>
    <n v="2.0020199999999999"/>
    <n v="1.9699949999999999"/>
    <n v="640.5"/>
  </r>
  <r>
    <x v="16"/>
    <x v="7"/>
    <x v="0"/>
    <n v="1.97037"/>
    <n v="1.93797"/>
    <n v="2.0020199999999999"/>
    <n v="1.9699949999999999"/>
    <n v="640.5"/>
  </r>
  <r>
    <x v="16"/>
    <x v="7"/>
    <x v="0"/>
    <n v="1.97037"/>
    <n v="1.93797"/>
    <n v="2.0020199999999999"/>
    <n v="1.9699949999999999"/>
    <n v="640.5"/>
  </r>
  <r>
    <x v="16"/>
    <x v="7"/>
    <x v="0"/>
    <n v="1.97037"/>
    <n v="1.93797"/>
    <n v="2.0020199999999999"/>
    <n v="1.9699949999999999"/>
    <n v="640.5"/>
  </r>
  <r>
    <x v="16"/>
    <x v="7"/>
    <x v="10"/>
    <n v="0.91329000000000005"/>
    <n v="0.88697000000000004"/>
    <n v="0.91500000000000004"/>
    <n v="0.90098500000000004"/>
    <n v="280.3"/>
  </r>
  <r>
    <x v="16"/>
    <x v="7"/>
    <x v="10"/>
    <n v="0.91329000000000005"/>
    <n v="0.88697000000000004"/>
    <n v="0.91500000000000004"/>
    <n v="0.90098500000000004"/>
    <n v="280.3"/>
  </r>
  <r>
    <x v="16"/>
    <x v="7"/>
    <x v="10"/>
    <n v="0.91329000000000005"/>
    <n v="0.88697000000000004"/>
    <n v="0.91500000000000004"/>
    <n v="0.90098500000000004"/>
    <n v="280.3"/>
  </r>
  <r>
    <x v="16"/>
    <x v="7"/>
    <x v="10"/>
    <n v="0.91329000000000005"/>
    <n v="0.88697000000000004"/>
    <n v="0.91500000000000004"/>
    <n v="0.90098500000000004"/>
    <n v="280.3"/>
  </r>
  <r>
    <x v="16"/>
    <x v="7"/>
    <x v="10"/>
    <n v="0.91329000000000005"/>
    <n v="0.88697000000000004"/>
    <n v="0.91500000000000004"/>
    <n v="0.90098500000000004"/>
    <n v="280.3"/>
  </r>
  <r>
    <x v="16"/>
    <x v="7"/>
    <x v="10"/>
    <n v="0.91329000000000005"/>
    <n v="0.88697000000000004"/>
    <n v="0.91500000000000004"/>
    <n v="0.90098500000000004"/>
    <n v="280.3"/>
  </r>
  <r>
    <x v="16"/>
    <x v="7"/>
    <x v="10"/>
    <n v="0.91329000000000005"/>
    <n v="0.88697000000000004"/>
    <n v="0.91500000000000004"/>
    <n v="0.90098500000000004"/>
    <n v="280.3"/>
  </r>
  <r>
    <x v="16"/>
    <x v="7"/>
    <x v="10"/>
    <n v="0.91329000000000005"/>
    <n v="0.88697000000000004"/>
    <n v="0.91500000000000004"/>
    <n v="0.90098500000000004"/>
    <n v="280.3"/>
  </r>
  <r>
    <x v="16"/>
    <x v="7"/>
    <x v="10"/>
    <n v="0.91329000000000005"/>
    <n v="0.88697000000000004"/>
    <n v="0.91500000000000004"/>
    <n v="0.90098500000000004"/>
    <n v="280.3"/>
  </r>
  <r>
    <x v="16"/>
    <x v="7"/>
    <x v="10"/>
    <n v="0.91329000000000005"/>
    <n v="0.88697000000000004"/>
    <n v="0.91500000000000004"/>
    <n v="0.90098500000000004"/>
    <n v="280.3"/>
  </r>
  <r>
    <x v="16"/>
    <x v="7"/>
    <x v="10"/>
    <n v="0.91329000000000005"/>
    <n v="0.88697000000000004"/>
    <n v="0.91500000000000004"/>
    <n v="0.90098500000000004"/>
    <n v="280.3"/>
  </r>
  <r>
    <x v="16"/>
    <x v="7"/>
    <x v="10"/>
    <n v="0.91329000000000005"/>
    <n v="0.88697000000000004"/>
    <n v="0.91500000000000004"/>
    <n v="0.90098500000000004"/>
    <n v="280.3"/>
  </r>
  <r>
    <x v="16"/>
    <x v="7"/>
    <x v="10"/>
    <n v="0.91329000000000005"/>
    <n v="0.88697000000000004"/>
    <n v="0.91500000000000004"/>
    <n v="0.90098500000000004"/>
    <n v="280.3"/>
  </r>
  <r>
    <x v="16"/>
    <x v="7"/>
    <x v="10"/>
    <n v="0.91329000000000005"/>
    <n v="0.88697000000000004"/>
    <n v="0.91500000000000004"/>
    <n v="0.90098500000000004"/>
    <n v="280.3"/>
  </r>
  <r>
    <x v="16"/>
    <x v="7"/>
    <x v="10"/>
    <n v="0.91329000000000005"/>
    <n v="0.88697000000000004"/>
    <n v="0.91500000000000004"/>
    <n v="0.90098500000000004"/>
    <n v="280.3"/>
  </r>
  <r>
    <x v="16"/>
    <x v="7"/>
    <x v="10"/>
    <n v="0.91329000000000005"/>
    <n v="0.88697000000000004"/>
    <n v="0.91500000000000004"/>
    <n v="0.90098500000000004"/>
    <n v="280.3"/>
  </r>
  <r>
    <x v="16"/>
    <x v="7"/>
    <x v="10"/>
    <n v="0.91329000000000005"/>
    <n v="0.88697000000000004"/>
    <n v="0.91500000000000004"/>
    <n v="0.90098500000000004"/>
    <n v="280.3"/>
  </r>
  <r>
    <x v="16"/>
    <x v="8"/>
    <x v="0"/>
    <n v="1.98454"/>
    <n v="1.93797"/>
    <n v="2.0020199999999999"/>
    <n v="1.9699949999999999"/>
    <n v="640.5"/>
  </r>
  <r>
    <x v="16"/>
    <x v="8"/>
    <x v="0"/>
    <n v="1.98454"/>
    <n v="1.93797"/>
    <n v="2.0020199999999999"/>
    <n v="1.9699949999999999"/>
    <n v="640.5"/>
  </r>
  <r>
    <x v="16"/>
    <x v="8"/>
    <x v="0"/>
    <n v="1.98454"/>
    <n v="1.93797"/>
    <n v="2.0020199999999999"/>
    <n v="1.9699949999999999"/>
    <n v="640.5"/>
  </r>
  <r>
    <x v="16"/>
    <x v="8"/>
    <x v="0"/>
    <n v="1.98454"/>
    <n v="1.93797"/>
    <n v="2.0020199999999999"/>
    <n v="1.9699949999999999"/>
    <n v="640.5"/>
  </r>
  <r>
    <x v="16"/>
    <x v="8"/>
    <x v="0"/>
    <n v="1.98454"/>
    <n v="1.93797"/>
    <n v="2.0020199999999999"/>
    <n v="1.9699949999999999"/>
    <n v="640.5"/>
  </r>
  <r>
    <x v="16"/>
    <x v="8"/>
    <x v="0"/>
    <n v="1.98454"/>
    <n v="1.93797"/>
    <n v="2.0020199999999999"/>
    <n v="1.9699949999999999"/>
    <n v="640.5"/>
  </r>
  <r>
    <x v="16"/>
    <x v="8"/>
    <x v="0"/>
    <n v="1.98454"/>
    <n v="1.93797"/>
    <n v="2.0020199999999999"/>
    <n v="1.9699949999999999"/>
    <n v="640.5"/>
  </r>
  <r>
    <x v="16"/>
    <x v="8"/>
    <x v="0"/>
    <n v="1.98454"/>
    <n v="1.93797"/>
    <n v="2.0020199999999999"/>
    <n v="1.9699949999999999"/>
    <n v="640.5"/>
  </r>
  <r>
    <x v="16"/>
    <x v="8"/>
    <x v="0"/>
    <n v="1.98454"/>
    <n v="1.93797"/>
    <n v="2.0020199999999999"/>
    <n v="1.9699949999999999"/>
    <n v="640.5"/>
  </r>
  <r>
    <x v="16"/>
    <x v="8"/>
    <x v="0"/>
    <n v="1.98454"/>
    <n v="1.93797"/>
    <n v="2.0020199999999999"/>
    <n v="1.9699949999999999"/>
    <n v="640.5"/>
  </r>
  <r>
    <x v="16"/>
    <x v="8"/>
    <x v="0"/>
    <n v="1.98454"/>
    <n v="1.93797"/>
    <n v="2.0020199999999999"/>
    <n v="1.9699949999999999"/>
    <n v="640.5"/>
  </r>
  <r>
    <x v="16"/>
    <x v="8"/>
    <x v="0"/>
    <n v="1.98454"/>
    <n v="1.93797"/>
    <n v="2.0020199999999999"/>
    <n v="1.9699949999999999"/>
    <n v="640.5"/>
  </r>
  <r>
    <x v="16"/>
    <x v="8"/>
    <x v="0"/>
    <n v="1.98454"/>
    <n v="1.93797"/>
    <n v="2.0020199999999999"/>
    <n v="1.9699949999999999"/>
    <n v="640.5"/>
  </r>
  <r>
    <x v="16"/>
    <x v="8"/>
    <x v="0"/>
    <n v="1.98454"/>
    <n v="1.93797"/>
    <n v="2.0020199999999999"/>
    <n v="1.9699949999999999"/>
    <n v="640.5"/>
  </r>
  <r>
    <x v="16"/>
    <x v="8"/>
    <x v="0"/>
    <n v="1.98454"/>
    <n v="1.93797"/>
    <n v="2.0020199999999999"/>
    <n v="1.9699949999999999"/>
    <n v="640.5"/>
  </r>
  <r>
    <x v="16"/>
    <x v="8"/>
    <x v="0"/>
    <n v="1.98454"/>
    <n v="1.93797"/>
    <n v="2.0020199999999999"/>
    <n v="1.9699949999999999"/>
    <n v="640.5"/>
  </r>
  <r>
    <x v="16"/>
    <x v="8"/>
    <x v="0"/>
    <n v="1.98454"/>
    <n v="1.93797"/>
    <n v="2.0020199999999999"/>
    <n v="1.9699949999999999"/>
    <n v="640.5"/>
  </r>
  <r>
    <x v="16"/>
    <x v="8"/>
    <x v="0"/>
    <n v="1.98454"/>
    <n v="1.93797"/>
    <n v="2.0020199999999999"/>
    <n v="1.9699949999999999"/>
    <n v="640.5"/>
  </r>
  <r>
    <x v="16"/>
    <x v="8"/>
    <x v="0"/>
    <n v="1.98454"/>
    <n v="1.93797"/>
    <n v="2.0020199999999999"/>
    <n v="1.9699949999999999"/>
    <n v="640.5"/>
  </r>
  <r>
    <x v="16"/>
    <x v="8"/>
    <x v="0"/>
    <n v="1.98454"/>
    <n v="1.93797"/>
    <n v="2.0020199999999999"/>
    <n v="1.9699949999999999"/>
    <n v="640.5"/>
  </r>
  <r>
    <x v="16"/>
    <x v="8"/>
    <x v="0"/>
    <n v="1.98454"/>
    <n v="1.93797"/>
    <n v="2.0020199999999999"/>
    <n v="1.9699949999999999"/>
    <n v="640.5"/>
  </r>
  <r>
    <x v="16"/>
    <x v="8"/>
    <x v="10"/>
    <n v="0.91803000000000001"/>
    <n v="0.88697000000000004"/>
    <n v="0.91774"/>
    <n v="0.90235500000000002"/>
    <n v="307.7"/>
  </r>
  <r>
    <x v="16"/>
    <x v="8"/>
    <x v="10"/>
    <n v="0.91803000000000001"/>
    <n v="0.88697000000000004"/>
    <n v="0.91774"/>
    <n v="0.90235500000000002"/>
    <n v="307.7"/>
  </r>
  <r>
    <x v="16"/>
    <x v="8"/>
    <x v="10"/>
    <n v="0.91803000000000001"/>
    <n v="0.88697000000000004"/>
    <n v="0.91774"/>
    <n v="0.90235500000000002"/>
    <n v="307.7"/>
  </r>
  <r>
    <x v="16"/>
    <x v="8"/>
    <x v="10"/>
    <n v="0.91803000000000001"/>
    <n v="0.88697000000000004"/>
    <n v="0.91774"/>
    <n v="0.90235500000000002"/>
    <n v="307.7"/>
  </r>
  <r>
    <x v="16"/>
    <x v="8"/>
    <x v="10"/>
    <n v="0.91803000000000001"/>
    <n v="0.88697000000000004"/>
    <n v="0.91774"/>
    <n v="0.90235500000000002"/>
    <n v="307.7"/>
  </r>
  <r>
    <x v="16"/>
    <x v="8"/>
    <x v="10"/>
    <n v="0.91803000000000001"/>
    <n v="0.88697000000000004"/>
    <n v="0.91774"/>
    <n v="0.90235500000000002"/>
    <n v="307.7"/>
  </r>
  <r>
    <x v="16"/>
    <x v="8"/>
    <x v="10"/>
    <n v="0.91803000000000001"/>
    <n v="0.88697000000000004"/>
    <n v="0.91774"/>
    <n v="0.90235500000000002"/>
    <n v="307.7"/>
  </r>
  <r>
    <x v="16"/>
    <x v="8"/>
    <x v="10"/>
    <n v="0.91803000000000001"/>
    <n v="0.88697000000000004"/>
    <n v="0.91774"/>
    <n v="0.90235500000000002"/>
    <n v="307.7"/>
  </r>
  <r>
    <x v="16"/>
    <x v="8"/>
    <x v="10"/>
    <n v="0.91803000000000001"/>
    <n v="0.88697000000000004"/>
    <n v="0.91774"/>
    <n v="0.90235500000000002"/>
    <n v="307.7"/>
  </r>
  <r>
    <x v="16"/>
    <x v="8"/>
    <x v="10"/>
    <n v="0.91803000000000001"/>
    <n v="0.88697000000000004"/>
    <n v="0.91774"/>
    <n v="0.90235500000000002"/>
    <n v="307.7"/>
  </r>
  <r>
    <x v="16"/>
    <x v="8"/>
    <x v="10"/>
    <n v="0.91803000000000001"/>
    <n v="0.88697000000000004"/>
    <n v="0.91774"/>
    <n v="0.90235500000000002"/>
    <n v="307.7"/>
  </r>
  <r>
    <x v="16"/>
    <x v="8"/>
    <x v="10"/>
    <n v="0.91803000000000001"/>
    <n v="0.88697000000000004"/>
    <n v="0.91774"/>
    <n v="0.90235500000000002"/>
    <n v="307.7"/>
  </r>
  <r>
    <x v="16"/>
    <x v="8"/>
    <x v="10"/>
    <n v="0.91803000000000001"/>
    <n v="0.88697000000000004"/>
    <n v="0.91774"/>
    <n v="0.90235500000000002"/>
    <n v="307.7"/>
  </r>
  <r>
    <x v="16"/>
    <x v="8"/>
    <x v="10"/>
    <n v="0.91803000000000001"/>
    <n v="0.88697000000000004"/>
    <n v="0.91774"/>
    <n v="0.90235500000000002"/>
    <n v="307.7"/>
  </r>
  <r>
    <x v="16"/>
    <x v="8"/>
    <x v="10"/>
    <n v="0.91803000000000001"/>
    <n v="0.88697000000000004"/>
    <n v="0.91774"/>
    <n v="0.90235500000000002"/>
    <n v="307.7"/>
  </r>
  <r>
    <x v="16"/>
    <x v="8"/>
    <x v="10"/>
    <n v="0.91803000000000001"/>
    <n v="0.88697000000000004"/>
    <n v="0.91774"/>
    <n v="0.90235500000000002"/>
    <n v="307.7"/>
  </r>
  <r>
    <x v="16"/>
    <x v="8"/>
    <x v="10"/>
    <n v="0.91803000000000001"/>
    <n v="0.88697000000000004"/>
    <n v="0.91774"/>
    <n v="0.90235500000000002"/>
    <n v="307.7"/>
  </r>
  <r>
    <x v="16"/>
    <x v="8"/>
    <x v="10"/>
    <n v="0.91803000000000001"/>
    <n v="0.88697000000000004"/>
    <n v="0.91774"/>
    <n v="0.90235500000000002"/>
    <n v="307.7"/>
  </r>
  <r>
    <x v="16"/>
    <x v="8"/>
    <x v="10"/>
    <n v="0.91803000000000001"/>
    <n v="0.88697000000000004"/>
    <n v="0.91774"/>
    <n v="0.90235500000000002"/>
    <n v="307.7"/>
  </r>
  <r>
    <x v="16"/>
    <x v="9"/>
    <x v="0"/>
    <n v="1.9586699999999999"/>
    <n v="1.93797"/>
    <n v="2.0020199999999999"/>
    <n v="1.9699949999999999"/>
    <n v="640.5"/>
  </r>
  <r>
    <x v="16"/>
    <x v="9"/>
    <x v="0"/>
    <n v="1.9586699999999999"/>
    <n v="1.93797"/>
    <n v="2.0020199999999999"/>
    <n v="1.9699949999999999"/>
    <n v="640.5"/>
  </r>
  <r>
    <x v="16"/>
    <x v="9"/>
    <x v="0"/>
    <n v="1.9586699999999999"/>
    <n v="1.93797"/>
    <n v="2.0020199999999999"/>
    <n v="1.9699949999999999"/>
    <n v="640.5"/>
  </r>
  <r>
    <x v="16"/>
    <x v="9"/>
    <x v="0"/>
    <n v="1.9586699999999999"/>
    <n v="1.93797"/>
    <n v="2.0020199999999999"/>
    <n v="1.9699949999999999"/>
    <n v="640.5"/>
  </r>
  <r>
    <x v="16"/>
    <x v="9"/>
    <x v="0"/>
    <n v="1.9586699999999999"/>
    <n v="1.93797"/>
    <n v="2.0020199999999999"/>
    <n v="1.9699949999999999"/>
    <n v="640.5"/>
  </r>
  <r>
    <x v="16"/>
    <x v="9"/>
    <x v="0"/>
    <n v="1.9586699999999999"/>
    <n v="1.93797"/>
    <n v="2.0020199999999999"/>
    <n v="1.9699949999999999"/>
    <n v="640.5"/>
  </r>
  <r>
    <x v="16"/>
    <x v="9"/>
    <x v="0"/>
    <n v="1.9586699999999999"/>
    <n v="1.93797"/>
    <n v="2.0020199999999999"/>
    <n v="1.9699949999999999"/>
    <n v="640.5"/>
  </r>
  <r>
    <x v="16"/>
    <x v="9"/>
    <x v="0"/>
    <n v="1.9586699999999999"/>
    <n v="1.93797"/>
    <n v="2.0020199999999999"/>
    <n v="1.9699949999999999"/>
    <n v="640.5"/>
  </r>
  <r>
    <x v="16"/>
    <x v="9"/>
    <x v="0"/>
    <n v="1.9586699999999999"/>
    <n v="1.93797"/>
    <n v="2.0020199999999999"/>
    <n v="1.9699949999999999"/>
    <n v="640.5"/>
  </r>
  <r>
    <x v="16"/>
    <x v="9"/>
    <x v="0"/>
    <n v="1.9586699999999999"/>
    <n v="1.93797"/>
    <n v="2.0020199999999999"/>
    <n v="1.9699949999999999"/>
    <n v="640.5"/>
  </r>
  <r>
    <x v="16"/>
    <x v="9"/>
    <x v="0"/>
    <n v="1.9586699999999999"/>
    <n v="1.93797"/>
    <n v="2.0020199999999999"/>
    <n v="1.9699949999999999"/>
    <n v="640.5"/>
  </r>
  <r>
    <x v="16"/>
    <x v="9"/>
    <x v="0"/>
    <n v="1.9586699999999999"/>
    <n v="1.93797"/>
    <n v="2.0020199999999999"/>
    <n v="1.9699949999999999"/>
    <n v="640.5"/>
  </r>
  <r>
    <x v="16"/>
    <x v="9"/>
    <x v="0"/>
    <n v="1.9586699999999999"/>
    <n v="1.93797"/>
    <n v="2.0020199999999999"/>
    <n v="1.9699949999999999"/>
    <n v="640.5"/>
  </r>
  <r>
    <x v="16"/>
    <x v="9"/>
    <x v="0"/>
    <n v="1.9586699999999999"/>
    <n v="1.93797"/>
    <n v="2.0020199999999999"/>
    <n v="1.9699949999999999"/>
    <n v="640.5"/>
  </r>
  <r>
    <x v="16"/>
    <x v="9"/>
    <x v="0"/>
    <n v="1.9586699999999999"/>
    <n v="1.93797"/>
    <n v="2.0020199999999999"/>
    <n v="1.9699949999999999"/>
    <n v="640.5"/>
  </r>
  <r>
    <x v="16"/>
    <x v="9"/>
    <x v="0"/>
    <n v="1.9586699999999999"/>
    <n v="1.93797"/>
    <n v="2.0020199999999999"/>
    <n v="1.9699949999999999"/>
    <n v="640.5"/>
  </r>
  <r>
    <x v="16"/>
    <x v="9"/>
    <x v="0"/>
    <n v="1.9586699999999999"/>
    <n v="1.93797"/>
    <n v="2.0020199999999999"/>
    <n v="1.9699949999999999"/>
    <n v="640.5"/>
  </r>
  <r>
    <x v="16"/>
    <x v="9"/>
    <x v="0"/>
    <n v="1.9586699999999999"/>
    <n v="1.93797"/>
    <n v="2.0020199999999999"/>
    <n v="1.9699949999999999"/>
    <n v="640.5"/>
  </r>
  <r>
    <x v="16"/>
    <x v="9"/>
    <x v="0"/>
    <n v="1.9586699999999999"/>
    <n v="1.93797"/>
    <n v="2.0020199999999999"/>
    <n v="1.9699949999999999"/>
    <n v="640.5"/>
  </r>
  <r>
    <x v="16"/>
    <x v="9"/>
    <x v="0"/>
    <n v="1.9586699999999999"/>
    <n v="1.93797"/>
    <n v="2.0020199999999999"/>
    <n v="1.9699949999999999"/>
    <n v="640.5"/>
  </r>
  <r>
    <x v="16"/>
    <x v="9"/>
    <x v="0"/>
    <n v="1.9586699999999999"/>
    <n v="1.93797"/>
    <n v="2.0020199999999999"/>
    <n v="1.9699949999999999"/>
    <n v="640.5"/>
  </r>
  <r>
    <x v="16"/>
    <x v="9"/>
    <x v="0"/>
    <n v="1.9586699999999999"/>
    <n v="1.93797"/>
    <n v="2.0020199999999999"/>
    <n v="1.9699949999999999"/>
    <n v="640.5"/>
  </r>
  <r>
    <x v="16"/>
    <x v="9"/>
    <x v="10"/>
    <n v="0.93069000000000002"/>
    <n v="0.88697000000000004"/>
    <n v="0.93300000000000005"/>
    <n v="0.90998500000000004"/>
    <n v="460.3"/>
  </r>
  <r>
    <x v="16"/>
    <x v="9"/>
    <x v="10"/>
    <n v="0.93069000000000002"/>
    <n v="0.88697000000000004"/>
    <n v="0.93300000000000005"/>
    <n v="0.90998500000000004"/>
    <n v="460.3"/>
  </r>
  <r>
    <x v="16"/>
    <x v="9"/>
    <x v="10"/>
    <n v="0.93069000000000002"/>
    <n v="0.88697000000000004"/>
    <n v="0.93300000000000005"/>
    <n v="0.90998500000000004"/>
    <n v="460.3"/>
  </r>
  <r>
    <x v="16"/>
    <x v="9"/>
    <x v="10"/>
    <n v="0.93069000000000002"/>
    <n v="0.88697000000000004"/>
    <n v="0.93300000000000005"/>
    <n v="0.90998500000000004"/>
    <n v="460.3"/>
  </r>
  <r>
    <x v="16"/>
    <x v="9"/>
    <x v="10"/>
    <n v="0.93069000000000002"/>
    <n v="0.88697000000000004"/>
    <n v="0.93300000000000005"/>
    <n v="0.90998500000000004"/>
    <n v="460.3"/>
  </r>
  <r>
    <x v="16"/>
    <x v="9"/>
    <x v="10"/>
    <n v="0.93069000000000002"/>
    <n v="0.88697000000000004"/>
    <n v="0.93300000000000005"/>
    <n v="0.90998500000000004"/>
    <n v="460.3"/>
  </r>
  <r>
    <x v="16"/>
    <x v="9"/>
    <x v="10"/>
    <n v="0.93069000000000002"/>
    <n v="0.88697000000000004"/>
    <n v="0.93300000000000005"/>
    <n v="0.90998500000000004"/>
    <n v="460.3"/>
  </r>
  <r>
    <x v="16"/>
    <x v="9"/>
    <x v="10"/>
    <n v="0.93069000000000002"/>
    <n v="0.88697000000000004"/>
    <n v="0.93300000000000005"/>
    <n v="0.90998500000000004"/>
    <n v="460.3"/>
  </r>
  <r>
    <x v="16"/>
    <x v="9"/>
    <x v="10"/>
    <n v="0.93069000000000002"/>
    <n v="0.88697000000000004"/>
    <n v="0.93300000000000005"/>
    <n v="0.90998500000000004"/>
    <n v="460.3"/>
  </r>
  <r>
    <x v="16"/>
    <x v="9"/>
    <x v="10"/>
    <n v="0.93069000000000002"/>
    <n v="0.88697000000000004"/>
    <n v="0.93300000000000005"/>
    <n v="0.90998500000000004"/>
    <n v="460.3"/>
  </r>
  <r>
    <x v="16"/>
    <x v="9"/>
    <x v="10"/>
    <n v="0.93069000000000002"/>
    <n v="0.88697000000000004"/>
    <n v="0.93300000000000005"/>
    <n v="0.90998500000000004"/>
    <n v="460.3"/>
  </r>
  <r>
    <x v="16"/>
    <x v="9"/>
    <x v="10"/>
    <n v="0.93069000000000002"/>
    <n v="0.88697000000000004"/>
    <n v="0.93300000000000005"/>
    <n v="0.90998500000000004"/>
    <n v="460.3"/>
  </r>
  <r>
    <x v="16"/>
    <x v="9"/>
    <x v="10"/>
    <n v="0.93069000000000002"/>
    <n v="0.88697000000000004"/>
    <n v="0.93300000000000005"/>
    <n v="0.90998500000000004"/>
    <n v="460.3"/>
  </r>
  <r>
    <x v="16"/>
    <x v="9"/>
    <x v="10"/>
    <n v="0.93069000000000002"/>
    <n v="0.88697000000000004"/>
    <n v="0.93300000000000005"/>
    <n v="0.90998500000000004"/>
    <n v="460.3"/>
  </r>
  <r>
    <x v="16"/>
    <x v="9"/>
    <x v="10"/>
    <n v="0.93069000000000002"/>
    <n v="0.88697000000000004"/>
    <n v="0.93300000000000005"/>
    <n v="0.90998500000000004"/>
    <n v="460.3"/>
  </r>
  <r>
    <x v="16"/>
    <x v="9"/>
    <x v="10"/>
    <n v="0.93069000000000002"/>
    <n v="0.88697000000000004"/>
    <n v="0.93300000000000005"/>
    <n v="0.90998500000000004"/>
    <n v="460.3"/>
  </r>
  <r>
    <x v="16"/>
    <x v="9"/>
    <x v="10"/>
    <n v="0.93069000000000002"/>
    <n v="0.88697000000000004"/>
    <n v="0.93300000000000005"/>
    <n v="0.90998500000000004"/>
    <n v="460.3"/>
  </r>
  <r>
    <x v="16"/>
    <x v="9"/>
    <x v="10"/>
    <n v="0.93069000000000002"/>
    <n v="0.88697000000000004"/>
    <n v="0.93300000000000005"/>
    <n v="0.90998500000000004"/>
    <n v="460.3"/>
  </r>
  <r>
    <x v="16"/>
    <x v="9"/>
    <x v="10"/>
    <n v="0.93069000000000002"/>
    <n v="0.88697000000000004"/>
    <n v="0.93300000000000005"/>
    <n v="0.90998500000000004"/>
    <n v="460.3"/>
  </r>
  <r>
    <x v="16"/>
    <x v="9"/>
    <x v="10"/>
    <n v="0.93069000000000002"/>
    <n v="0.88697000000000004"/>
    <n v="0.93300000000000005"/>
    <n v="0.90998500000000004"/>
    <n v="460.3"/>
  </r>
  <r>
    <x v="16"/>
    <x v="9"/>
    <x v="10"/>
    <n v="0.93069000000000002"/>
    <n v="0.88697000000000004"/>
    <n v="0.93300000000000005"/>
    <n v="0.90998500000000004"/>
    <n v="460.3"/>
  </r>
  <r>
    <x v="16"/>
    <x v="9"/>
    <x v="10"/>
    <n v="0.93069000000000002"/>
    <n v="0.88697000000000004"/>
    <n v="0.93300000000000005"/>
    <n v="0.90998500000000004"/>
    <n v="460.3"/>
  </r>
  <r>
    <x v="16"/>
    <x v="9"/>
    <x v="10"/>
    <n v="0.93069000000000002"/>
    <n v="0.88697000000000004"/>
    <n v="0.93300000000000005"/>
    <n v="0.90998500000000004"/>
    <n v="460.3"/>
  </r>
  <r>
    <x v="16"/>
    <x v="9"/>
    <x v="10"/>
    <n v="0.93069000000000002"/>
    <n v="0.88697000000000004"/>
    <n v="0.93300000000000005"/>
    <n v="0.90998500000000004"/>
    <n v="460.3"/>
  </r>
  <r>
    <x v="16"/>
    <x v="9"/>
    <x v="10"/>
    <n v="0.93069000000000002"/>
    <n v="0.88697000000000004"/>
    <n v="0.93300000000000005"/>
    <n v="0.90998500000000004"/>
    <n v="460.3"/>
  </r>
  <r>
    <x v="16"/>
    <x v="9"/>
    <x v="10"/>
    <n v="0.93069000000000002"/>
    <n v="0.88697000000000004"/>
    <n v="0.93300000000000005"/>
    <n v="0.90998500000000004"/>
    <n v="460.3"/>
  </r>
  <r>
    <x v="16"/>
    <x v="10"/>
    <x v="0"/>
    <n v="1.9958499999999999"/>
    <n v="1.93797"/>
    <n v="2.0020199999999999"/>
    <n v="1.9699949999999999"/>
    <n v="640.5"/>
  </r>
  <r>
    <x v="16"/>
    <x v="10"/>
    <x v="0"/>
    <n v="1.9958499999999999"/>
    <n v="1.93797"/>
    <n v="2.0020199999999999"/>
    <n v="1.9699949999999999"/>
    <n v="640.5"/>
  </r>
  <r>
    <x v="16"/>
    <x v="10"/>
    <x v="0"/>
    <n v="1.9958499999999999"/>
    <n v="1.93797"/>
    <n v="2.0020199999999999"/>
    <n v="1.9699949999999999"/>
    <n v="640.5"/>
  </r>
  <r>
    <x v="16"/>
    <x v="10"/>
    <x v="0"/>
    <n v="1.9958499999999999"/>
    <n v="1.93797"/>
    <n v="2.0020199999999999"/>
    <n v="1.9699949999999999"/>
    <n v="640.5"/>
  </r>
  <r>
    <x v="16"/>
    <x v="10"/>
    <x v="0"/>
    <n v="1.9958499999999999"/>
    <n v="1.93797"/>
    <n v="2.0020199999999999"/>
    <n v="1.9699949999999999"/>
    <n v="640.5"/>
  </r>
  <r>
    <x v="16"/>
    <x v="10"/>
    <x v="0"/>
    <n v="1.9958499999999999"/>
    <n v="1.93797"/>
    <n v="2.0020199999999999"/>
    <n v="1.9699949999999999"/>
    <n v="640.5"/>
  </r>
  <r>
    <x v="16"/>
    <x v="10"/>
    <x v="0"/>
    <n v="1.9958499999999999"/>
    <n v="1.93797"/>
    <n v="2.0020199999999999"/>
    <n v="1.9699949999999999"/>
    <n v="640.5"/>
  </r>
  <r>
    <x v="16"/>
    <x v="10"/>
    <x v="0"/>
    <n v="1.9958499999999999"/>
    <n v="1.93797"/>
    <n v="2.0020199999999999"/>
    <n v="1.9699949999999999"/>
    <n v="640.5"/>
  </r>
  <r>
    <x v="16"/>
    <x v="10"/>
    <x v="0"/>
    <n v="1.9958499999999999"/>
    <n v="1.93797"/>
    <n v="2.0020199999999999"/>
    <n v="1.9699949999999999"/>
    <n v="640.5"/>
  </r>
  <r>
    <x v="16"/>
    <x v="10"/>
    <x v="0"/>
    <n v="1.9958499999999999"/>
    <n v="1.93797"/>
    <n v="2.0020199999999999"/>
    <n v="1.9699949999999999"/>
    <n v="640.5"/>
  </r>
  <r>
    <x v="16"/>
    <x v="10"/>
    <x v="0"/>
    <n v="1.9958499999999999"/>
    <n v="1.93797"/>
    <n v="2.0020199999999999"/>
    <n v="1.9699949999999999"/>
    <n v="640.5"/>
  </r>
  <r>
    <x v="16"/>
    <x v="10"/>
    <x v="0"/>
    <n v="1.9958499999999999"/>
    <n v="1.93797"/>
    <n v="2.0020199999999999"/>
    <n v="1.9699949999999999"/>
    <n v="640.5"/>
  </r>
  <r>
    <x v="16"/>
    <x v="10"/>
    <x v="0"/>
    <n v="1.9958499999999999"/>
    <n v="1.93797"/>
    <n v="2.0020199999999999"/>
    <n v="1.9699949999999999"/>
    <n v="640.5"/>
  </r>
  <r>
    <x v="16"/>
    <x v="10"/>
    <x v="0"/>
    <n v="1.9958499999999999"/>
    <n v="1.93797"/>
    <n v="2.0020199999999999"/>
    <n v="1.9699949999999999"/>
    <n v="640.5"/>
  </r>
  <r>
    <x v="16"/>
    <x v="10"/>
    <x v="0"/>
    <n v="1.9958499999999999"/>
    <n v="1.93797"/>
    <n v="2.0020199999999999"/>
    <n v="1.9699949999999999"/>
    <n v="640.5"/>
  </r>
  <r>
    <x v="16"/>
    <x v="10"/>
    <x v="0"/>
    <n v="1.9958499999999999"/>
    <n v="1.93797"/>
    <n v="2.0020199999999999"/>
    <n v="1.9699949999999999"/>
    <n v="640.5"/>
  </r>
  <r>
    <x v="16"/>
    <x v="10"/>
    <x v="0"/>
    <n v="1.9958499999999999"/>
    <n v="1.93797"/>
    <n v="2.0020199999999999"/>
    <n v="1.9699949999999999"/>
    <n v="640.5"/>
  </r>
  <r>
    <x v="16"/>
    <x v="10"/>
    <x v="0"/>
    <n v="1.9958499999999999"/>
    <n v="1.93797"/>
    <n v="2.0020199999999999"/>
    <n v="1.9699949999999999"/>
    <n v="640.5"/>
  </r>
  <r>
    <x v="16"/>
    <x v="10"/>
    <x v="0"/>
    <n v="1.9958499999999999"/>
    <n v="1.93797"/>
    <n v="2.0020199999999999"/>
    <n v="1.9699949999999999"/>
    <n v="640.5"/>
  </r>
  <r>
    <x v="16"/>
    <x v="10"/>
    <x v="0"/>
    <n v="1.9958499999999999"/>
    <n v="1.93797"/>
    <n v="2.0020199999999999"/>
    <n v="1.9699949999999999"/>
    <n v="640.5"/>
  </r>
  <r>
    <x v="16"/>
    <x v="10"/>
    <x v="0"/>
    <n v="1.9958499999999999"/>
    <n v="1.93797"/>
    <n v="2.0020199999999999"/>
    <n v="1.9699949999999999"/>
    <n v="640.5"/>
  </r>
  <r>
    <x v="16"/>
    <x v="10"/>
    <x v="0"/>
    <n v="1.9958499999999999"/>
    <n v="1.93797"/>
    <n v="2.0020199999999999"/>
    <n v="1.9699949999999999"/>
    <n v="640.5"/>
  </r>
  <r>
    <x v="16"/>
    <x v="10"/>
    <x v="0"/>
    <n v="1.9958499999999999"/>
    <n v="1.93797"/>
    <n v="2.0020199999999999"/>
    <n v="1.9699949999999999"/>
    <n v="640.5"/>
  </r>
  <r>
    <x v="16"/>
    <x v="10"/>
    <x v="0"/>
    <n v="1.9958499999999999"/>
    <n v="1.93797"/>
    <n v="2.0020199999999999"/>
    <n v="1.9699949999999999"/>
    <n v="640.5"/>
  </r>
  <r>
    <x v="16"/>
    <x v="10"/>
    <x v="0"/>
    <n v="1.9958499999999999"/>
    <n v="1.93797"/>
    <n v="2.0020199999999999"/>
    <n v="1.9699949999999999"/>
    <n v="640.5"/>
  </r>
  <r>
    <x v="16"/>
    <x v="10"/>
    <x v="10"/>
    <n v="0.93269999999999997"/>
    <n v="0.88697000000000004"/>
    <n v="0.93908000000000003"/>
    <n v="0.91302499999999998"/>
    <n v="521.1"/>
  </r>
  <r>
    <x v="16"/>
    <x v="10"/>
    <x v="10"/>
    <n v="0.93269999999999997"/>
    <n v="0.88697000000000004"/>
    <n v="0.93908000000000003"/>
    <n v="0.91302499999999998"/>
    <n v="521.1"/>
  </r>
  <r>
    <x v="16"/>
    <x v="10"/>
    <x v="10"/>
    <n v="0.93269999999999997"/>
    <n v="0.88697000000000004"/>
    <n v="0.93908000000000003"/>
    <n v="0.91302499999999998"/>
    <n v="521.1"/>
  </r>
  <r>
    <x v="16"/>
    <x v="10"/>
    <x v="10"/>
    <n v="0.93269999999999997"/>
    <n v="0.88697000000000004"/>
    <n v="0.93908000000000003"/>
    <n v="0.91302499999999998"/>
    <n v="521.1"/>
  </r>
  <r>
    <x v="16"/>
    <x v="10"/>
    <x v="10"/>
    <n v="0.93269999999999997"/>
    <n v="0.88697000000000004"/>
    <n v="0.93908000000000003"/>
    <n v="0.91302499999999998"/>
    <n v="521.1"/>
  </r>
  <r>
    <x v="16"/>
    <x v="10"/>
    <x v="10"/>
    <n v="0.93269999999999997"/>
    <n v="0.88697000000000004"/>
    <n v="0.93908000000000003"/>
    <n v="0.91302499999999998"/>
    <n v="521.1"/>
  </r>
  <r>
    <x v="16"/>
    <x v="10"/>
    <x v="10"/>
    <n v="0.93269999999999997"/>
    <n v="0.88697000000000004"/>
    <n v="0.93908000000000003"/>
    <n v="0.91302499999999998"/>
    <n v="521.1"/>
  </r>
  <r>
    <x v="16"/>
    <x v="10"/>
    <x v="10"/>
    <n v="0.93269999999999997"/>
    <n v="0.88697000000000004"/>
    <n v="0.93908000000000003"/>
    <n v="0.91302499999999998"/>
    <n v="521.1"/>
  </r>
  <r>
    <x v="16"/>
    <x v="10"/>
    <x v="10"/>
    <n v="0.93269999999999997"/>
    <n v="0.88697000000000004"/>
    <n v="0.93908000000000003"/>
    <n v="0.91302499999999998"/>
    <n v="521.1"/>
  </r>
  <r>
    <x v="16"/>
    <x v="10"/>
    <x v="10"/>
    <n v="0.93269999999999997"/>
    <n v="0.88697000000000004"/>
    <n v="0.93908000000000003"/>
    <n v="0.91302499999999998"/>
    <n v="521.1"/>
  </r>
  <r>
    <x v="16"/>
    <x v="10"/>
    <x v="10"/>
    <n v="0.93269999999999997"/>
    <n v="0.88697000000000004"/>
    <n v="0.93908000000000003"/>
    <n v="0.91302499999999998"/>
    <n v="521.1"/>
  </r>
  <r>
    <x v="16"/>
    <x v="10"/>
    <x v="10"/>
    <n v="0.93269999999999997"/>
    <n v="0.88697000000000004"/>
    <n v="0.93908000000000003"/>
    <n v="0.91302499999999998"/>
    <n v="521.1"/>
  </r>
  <r>
    <x v="16"/>
    <x v="10"/>
    <x v="10"/>
    <n v="0.93269999999999997"/>
    <n v="0.88697000000000004"/>
    <n v="0.93908000000000003"/>
    <n v="0.91302499999999998"/>
    <n v="521.1"/>
  </r>
  <r>
    <x v="16"/>
    <x v="10"/>
    <x v="10"/>
    <n v="0.93269999999999997"/>
    <n v="0.88697000000000004"/>
    <n v="0.93908000000000003"/>
    <n v="0.91302499999999998"/>
    <n v="521.1"/>
  </r>
  <r>
    <x v="16"/>
    <x v="10"/>
    <x v="10"/>
    <n v="0.93269999999999997"/>
    <n v="0.88697000000000004"/>
    <n v="0.93908000000000003"/>
    <n v="0.91302499999999998"/>
    <n v="521.1"/>
  </r>
  <r>
    <x v="16"/>
    <x v="10"/>
    <x v="10"/>
    <n v="0.93269999999999997"/>
    <n v="0.88697000000000004"/>
    <n v="0.93908000000000003"/>
    <n v="0.91302499999999998"/>
    <n v="521.1"/>
  </r>
  <r>
    <x v="16"/>
    <x v="10"/>
    <x v="10"/>
    <n v="0.93269999999999997"/>
    <n v="0.88697000000000004"/>
    <n v="0.93908000000000003"/>
    <n v="0.91302499999999998"/>
    <n v="521.1"/>
  </r>
  <r>
    <x v="16"/>
    <x v="10"/>
    <x v="10"/>
    <n v="0.93269999999999997"/>
    <n v="0.88697000000000004"/>
    <n v="0.93908000000000003"/>
    <n v="0.91302499999999998"/>
    <n v="521.1"/>
  </r>
  <r>
    <x v="16"/>
    <x v="10"/>
    <x v="10"/>
    <n v="0.93269999999999997"/>
    <n v="0.88697000000000004"/>
    <n v="0.93908000000000003"/>
    <n v="0.91302499999999998"/>
    <n v="521.1"/>
  </r>
  <r>
    <x v="16"/>
    <x v="10"/>
    <x v="10"/>
    <n v="0.93269999999999997"/>
    <n v="0.88697000000000004"/>
    <n v="0.93908000000000003"/>
    <n v="0.91302499999999998"/>
    <n v="521.1"/>
  </r>
  <r>
    <x v="16"/>
    <x v="10"/>
    <x v="10"/>
    <n v="0.93269999999999997"/>
    <n v="0.88697000000000004"/>
    <n v="0.93908000000000003"/>
    <n v="0.91302499999999998"/>
    <n v="521.1"/>
  </r>
  <r>
    <x v="16"/>
    <x v="10"/>
    <x v="10"/>
    <n v="0.93269999999999997"/>
    <n v="0.88697000000000004"/>
    <n v="0.93908000000000003"/>
    <n v="0.91302499999999998"/>
    <n v="521.1"/>
  </r>
  <r>
    <x v="16"/>
    <x v="10"/>
    <x v="10"/>
    <n v="0.93269999999999997"/>
    <n v="0.88697000000000004"/>
    <n v="0.93908000000000003"/>
    <n v="0.91302499999999998"/>
    <n v="521.1"/>
  </r>
  <r>
    <x v="16"/>
    <x v="10"/>
    <x v="10"/>
    <n v="0.93269999999999997"/>
    <n v="0.88697000000000004"/>
    <n v="0.93908000000000003"/>
    <n v="0.91302499999999998"/>
    <n v="521.1"/>
  </r>
  <r>
    <x v="16"/>
    <x v="10"/>
    <x v="10"/>
    <n v="0.93269999999999997"/>
    <n v="0.88697000000000004"/>
    <n v="0.93908000000000003"/>
    <n v="0.91302499999999998"/>
    <n v="521.1"/>
  </r>
  <r>
    <x v="16"/>
    <x v="10"/>
    <x v="10"/>
    <n v="0.93269999999999997"/>
    <n v="0.88697000000000004"/>
    <n v="0.93908000000000003"/>
    <n v="0.91302499999999998"/>
    <n v="521.1"/>
  </r>
  <r>
    <x v="16"/>
    <x v="10"/>
    <x v="10"/>
    <n v="0.93269999999999997"/>
    <n v="0.88697000000000004"/>
    <n v="0.93908000000000003"/>
    <n v="0.91302499999999998"/>
    <n v="521.1"/>
  </r>
  <r>
    <x v="16"/>
    <x v="10"/>
    <x v="10"/>
    <n v="0.93269999999999997"/>
    <n v="0.88697000000000004"/>
    <n v="0.93908000000000003"/>
    <n v="0.91302499999999998"/>
    <n v="521.1"/>
  </r>
  <r>
    <x v="16"/>
    <x v="10"/>
    <x v="10"/>
    <n v="0.93269999999999997"/>
    <n v="0.88697000000000004"/>
    <n v="0.93908000000000003"/>
    <n v="0.91302499999999998"/>
    <n v="521.1"/>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0"/>
    <n v="2.00278"/>
    <n v="1.93797"/>
    <n v="2.03417"/>
    <n v="1.98607"/>
    <n v="962"/>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1"/>
    <x v="10"/>
    <n v="0.94052000000000002"/>
    <n v="0.88697000000000004"/>
    <n v="0.94310000000000005"/>
    <n v="0.91503500000000004"/>
    <n v="561.29999999999995"/>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0"/>
    <n v="2.06318"/>
    <n v="1.93797"/>
    <n v="2.0701999999999998"/>
    <n v="2.0040849999999999"/>
    <n v="1322.3"/>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2"/>
    <x v="10"/>
    <n v="0.95113000000000003"/>
    <n v="0.88697000000000004"/>
    <n v="0.95101000000000002"/>
    <n v="0.91898999999999997"/>
    <n v="640.4"/>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0"/>
    <n v="2.0533700000000001"/>
    <n v="1.93797"/>
    <n v="2.1067399999999998"/>
    <n v="2.0223550000000001"/>
    <n v="1687.7"/>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3"/>
    <x v="10"/>
    <n v="0.96713000000000005"/>
    <n v="0.88697000000000004"/>
    <n v="0.96699999999999997"/>
    <n v="0.92698499999999995"/>
    <n v="800.3"/>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0"/>
    <n v="2.0558900000000002"/>
    <n v="1.93797"/>
    <n v="2.1067399999999998"/>
    <n v="2.0223550000000001"/>
    <n v="1687.7"/>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4"/>
    <x v="10"/>
    <n v="0.95687999999999995"/>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0"/>
    <n v="2.0294599999999998"/>
    <n v="1.93797"/>
    <n v="2.1067399999999998"/>
    <n v="2.0223550000000001"/>
    <n v="1687.7"/>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5"/>
    <x v="10"/>
    <n v="0.94555999999999996"/>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0"/>
    <n v="2.0467200000000001"/>
    <n v="1.93797"/>
    <n v="2.1067399999999998"/>
    <n v="2.0223550000000001"/>
    <n v="1687.7"/>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6"/>
    <x v="10"/>
    <n v="0.95147999999999999"/>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0"/>
    <n v="2.0505"/>
    <n v="1.93797"/>
    <n v="2.1067399999999998"/>
    <n v="2.0223550000000001"/>
    <n v="1687.7"/>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7"/>
    <x v="10"/>
    <n v="0.96225000000000005"/>
    <n v="0.88697000000000004"/>
    <n v="0.96899000000000002"/>
    <n v="0.92798000000000003"/>
    <n v="820.2"/>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0"/>
    <n v="2.04481"/>
    <n v="1.93797"/>
    <n v="2.1067399999999998"/>
    <n v="2.0223550000000001"/>
    <n v="1687.7"/>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8"/>
    <x v="10"/>
    <n v="0.96567000000000003"/>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0"/>
    <n v="1.9801299999999999"/>
    <n v="1.93797"/>
    <n v="2.1067399999999998"/>
    <n v="2.0223550000000001"/>
    <n v="1687.7"/>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19"/>
    <x v="10"/>
    <n v="0.95875999999999995"/>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0"/>
    <n v="1.9839800000000001"/>
    <n v="1.93797"/>
    <n v="2.1067399999999998"/>
    <n v="2.0223550000000001"/>
    <n v="1687.7"/>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0"/>
    <x v="10"/>
    <n v="0.96953"/>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0"/>
    <n v="1.99255"/>
    <n v="1.93797"/>
    <n v="2.1067399999999998"/>
    <n v="2.0223550000000001"/>
    <n v="1687.7"/>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1"/>
    <x v="10"/>
    <n v="0.96511000000000002"/>
    <n v="0.88697000000000004"/>
    <n v="0.97299999999999998"/>
    <n v="0.92998499999999995"/>
    <n v="860.3"/>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0"/>
    <n v="2.0185"/>
    <n v="1.93797"/>
    <n v="2.1067399999999998"/>
    <n v="2.0223550000000001"/>
    <n v="1687.7"/>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2"/>
    <x v="10"/>
    <n v="0.97874000000000005"/>
    <n v="0.88697000000000004"/>
    <n v="0.97928000000000004"/>
    <n v="0.93312499999999998"/>
    <n v="923.1"/>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r>
    <x v="16"/>
    <x v="23"/>
    <x v="0"/>
    <n v="2.0339100000000001"/>
    <n v="1.93797"/>
    <n v="2.1067399999999998"/>
    <n v="2.0223550000000001"/>
    <n v="1687.7"/>
  </r>
</pivotCacheRecords>
</file>

<file path=xl/pivotCache/pivotCacheRecords2.xml><?xml version="1.0" encoding="utf-8"?>
<pivotCacheRecords xmlns="http://schemas.openxmlformats.org/spreadsheetml/2006/main" xmlns:r="http://schemas.openxmlformats.org/officeDocument/2006/relationships" count="25">
  <r>
    <x v="0"/>
    <x v="0"/>
    <x v="0"/>
    <x v="0"/>
    <x v="0"/>
    <x v="0"/>
  </r>
  <r>
    <x v="0"/>
    <x v="1"/>
    <x v="1"/>
    <x v="1"/>
    <x v="1"/>
    <x v="1"/>
  </r>
  <r>
    <x v="1"/>
    <x v="2"/>
    <x v="2"/>
    <x v="2"/>
    <x v="2"/>
    <x v="2"/>
  </r>
  <r>
    <x v="2"/>
    <x v="3"/>
    <x v="3"/>
    <x v="3"/>
    <x v="3"/>
    <x v="3"/>
  </r>
  <r>
    <x v="2"/>
    <x v="4"/>
    <x v="4"/>
    <x v="4"/>
    <x v="4"/>
    <x v="4"/>
  </r>
  <r>
    <x v="3"/>
    <x v="5"/>
    <x v="5"/>
    <x v="5"/>
    <x v="5"/>
    <x v="5"/>
  </r>
  <r>
    <x v="3"/>
    <x v="4"/>
    <x v="6"/>
    <x v="6"/>
    <x v="6"/>
    <x v="4"/>
  </r>
  <r>
    <x v="4"/>
    <x v="6"/>
    <x v="7"/>
    <x v="7"/>
    <x v="7"/>
    <x v="6"/>
  </r>
  <r>
    <x v="4"/>
    <x v="5"/>
    <x v="8"/>
    <x v="8"/>
    <x v="8"/>
    <x v="7"/>
  </r>
  <r>
    <x v="4"/>
    <x v="7"/>
    <x v="9"/>
    <x v="9"/>
    <x v="9"/>
    <x v="8"/>
  </r>
  <r>
    <x v="5"/>
    <x v="8"/>
    <x v="10"/>
    <x v="10"/>
    <x v="10"/>
    <x v="9"/>
  </r>
  <r>
    <x v="5"/>
    <x v="2"/>
    <x v="11"/>
    <x v="11"/>
    <x v="11"/>
    <x v="10"/>
  </r>
  <r>
    <x v="5"/>
    <x v="7"/>
    <x v="12"/>
    <x v="12"/>
    <x v="12"/>
    <x v="11"/>
  </r>
  <r>
    <x v="5"/>
    <x v="9"/>
    <x v="13"/>
    <x v="13"/>
    <x v="13"/>
    <x v="12"/>
  </r>
  <r>
    <x v="6"/>
    <x v="8"/>
    <x v="14"/>
    <x v="14"/>
    <x v="14"/>
    <x v="9"/>
  </r>
  <r>
    <x v="6"/>
    <x v="6"/>
    <x v="15"/>
    <x v="15"/>
    <x v="15"/>
    <x v="13"/>
  </r>
  <r>
    <x v="6"/>
    <x v="2"/>
    <x v="16"/>
    <x v="16"/>
    <x v="16"/>
    <x v="10"/>
  </r>
  <r>
    <x v="7"/>
    <x v="5"/>
    <x v="17"/>
    <x v="17"/>
    <x v="17"/>
    <x v="5"/>
  </r>
  <r>
    <x v="7"/>
    <x v="7"/>
    <x v="18"/>
    <x v="9"/>
    <x v="9"/>
    <x v="14"/>
  </r>
  <r>
    <x v="7"/>
    <x v="10"/>
    <x v="19"/>
    <x v="18"/>
    <x v="18"/>
    <x v="15"/>
  </r>
  <r>
    <x v="8"/>
    <x v="11"/>
    <x v="20"/>
    <x v="19"/>
    <x v="19"/>
    <x v="16"/>
  </r>
  <r>
    <x v="8"/>
    <x v="7"/>
    <x v="21"/>
    <x v="9"/>
    <x v="12"/>
    <x v="17"/>
  </r>
  <r>
    <x v="8"/>
    <x v="9"/>
    <x v="22"/>
    <x v="20"/>
    <x v="13"/>
    <x v="18"/>
  </r>
  <r>
    <x v="8"/>
    <x v="12"/>
    <x v="23"/>
    <x v="21"/>
    <x v="20"/>
    <x v="19"/>
  </r>
  <r>
    <x v="9"/>
    <x v="5"/>
    <x v="24"/>
    <x v="22"/>
    <x v="21"/>
    <x v="20"/>
  </r>
</pivotCacheRecords>
</file>

<file path=xl/pivotCache/pivotCacheRecords3.xml><?xml version="1.0" encoding="utf-8"?>
<pivotCacheRecords xmlns="http://schemas.openxmlformats.org/spreadsheetml/2006/main" xmlns:r="http://schemas.openxmlformats.org/officeDocument/2006/relationships" count="3745">
  <r>
    <x v="0"/>
    <x v="0"/>
    <x v="0"/>
    <n v="0"/>
    <n v="-5.66"/>
  </r>
  <r>
    <x v="0"/>
    <x v="0"/>
    <x v="1"/>
    <n v="0"/>
    <n v="-15.17"/>
  </r>
  <r>
    <x v="0"/>
    <x v="0"/>
    <x v="1"/>
    <n v="3.11"/>
    <n v="0"/>
  </r>
  <r>
    <x v="0"/>
    <x v="1"/>
    <x v="2"/>
    <n v="0"/>
    <n v="-53.11"/>
  </r>
  <r>
    <x v="0"/>
    <x v="1"/>
    <x v="0"/>
    <n v="0"/>
    <n v="-177.59"/>
  </r>
  <r>
    <x v="0"/>
    <x v="1"/>
    <x v="1"/>
    <n v="0"/>
    <n v="-158.80000000000001"/>
  </r>
  <r>
    <x v="0"/>
    <x v="1"/>
    <x v="3"/>
    <n v="0"/>
    <n v="-17.829999999999998"/>
  </r>
  <r>
    <x v="0"/>
    <x v="1"/>
    <x v="3"/>
    <n v="19.82"/>
    <n v="0"/>
  </r>
  <r>
    <x v="0"/>
    <x v="1"/>
    <x v="1"/>
    <n v="62.18"/>
    <n v="0"/>
  </r>
  <r>
    <x v="0"/>
    <x v="1"/>
    <x v="0"/>
    <n v="127.14"/>
    <n v="0"/>
  </r>
  <r>
    <x v="0"/>
    <x v="1"/>
    <x v="2"/>
    <n v="26.11"/>
    <n v="0"/>
  </r>
  <r>
    <x v="0"/>
    <x v="2"/>
    <x v="3"/>
    <n v="0"/>
    <n v="-73.78"/>
  </r>
  <r>
    <x v="0"/>
    <x v="2"/>
    <x v="2"/>
    <n v="0"/>
    <n v="-56.46"/>
  </r>
  <r>
    <x v="0"/>
    <x v="2"/>
    <x v="1"/>
    <n v="0"/>
    <n v="-169.31"/>
  </r>
  <r>
    <x v="0"/>
    <x v="2"/>
    <x v="0"/>
    <n v="0"/>
    <n v="-261.95"/>
  </r>
  <r>
    <x v="0"/>
    <x v="2"/>
    <x v="0"/>
    <n v="101.23"/>
    <n v="0"/>
  </r>
  <r>
    <x v="0"/>
    <x v="2"/>
    <x v="1"/>
    <n v="77.8"/>
    <n v="0"/>
  </r>
  <r>
    <x v="0"/>
    <x v="2"/>
    <x v="3"/>
    <n v="20.100000000000001"/>
    <n v="0"/>
  </r>
  <r>
    <x v="0"/>
    <x v="2"/>
    <x v="2"/>
    <n v="21.97"/>
    <n v="0"/>
  </r>
  <r>
    <x v="0"/>
    <x v="3"/>
    <x v="3"/>
    <n v="0"/>
    <n v="-191.73"/>
  </r>
  <r>
    <x v="0"/>
    <x v="3"/>
    <x v="1"/>
    <n v="0"/>
    <n v="-381.19"/>
  </r>
  <r>
    <x v="0"/>
    <x v="3"/>
    <x v="1"/>
    <n v="58.79"/>
    <n v="0"/>
  </r>
  <r>
    <x v="0"/>
    <x v="3"/>
    <x v="0"/>
    <n v="0"/>
    <n v="-566.79999999999995"/>
  </r>
  <r>
    <x v="0"/>
    <x v="3"/>
    <x v="2"/>
    <n v="0"/>
    <n v="-44.52"/>
  </r>
  <r>
    <x v="0"/>
    <x v="3"/>
    <x v="0"/>
    <n v="143.91"/>
    <n v="0"/>
  </r>
  <r>
    <x v="0"/>
    <x v="3"/>
    <x v="2"/>
    <n v="8.82"/>
    <n v="0"/>
  </r>
  <r>
    <x v="0"/>
    <x v="3"/>
    <x v="3"/>
    <n v="33.56"/>
    <n v="0"/>
  </r>
  <r>
    <x v="0"/>
    <x v="4"/>
    <x v="3"/>
    <n v="0"/>
    <n v="-217.81"/>
  </r>
  <r>
    <x v="0"/>
    <x v="4"/>
    <x v="0"/>
    <n v="0"/>
    <n v="-483.42"/>
  </r>
  <r>
    <x v="0"/>
    <x v="4"/>
    <x v="1"/>
    <n v="0"/>
    <n v="-426.85"/>
  </r>
  <r>
    <x v="0"/>
    <x v="4"/>
    <x v="2"/>
    <n v="0"/>
    <n v="-139.94999999999999"/>
  </r>
  <r>
    <x v="0"/>
    <x v="4"/>
    <x v="1"/>
    <n v="51.53"/>
    <n v="0"/>
  </r>
  <r>
    <x v="0"/>
    <x v="4"/>
    <x v="2"/>
    <n v="52.37"/>
    <n v="0"/>
  </r>
  <r>
    <x v="0"/>
    <x v="4"/>
    <x v="3"/>
    <n v="40.729999999999997"/>
    <n v="0"/>
  </r>
  <r>
    <x v="0"/>
    <x v="4"/>
    <x v="0"/>
    <n v="105.07"/>
    <n v="0"/>
  </r>
  <r>
    <x v="0"/>
    <x v="5"/>
    <x v="0"/>
    <n v="0"/>
    <n v="-602.55999999999995"/>
  </r>
  <r>
    <x v="0"/>
    <x v="5"/>
    <x v="2"/>
    <n v="0"/>
    <n v="-113.59"/>
  </r>
  <r>
    <x v="0"/>
    <x v="5"/>
    <x v="1"/>
    <n v="0"/>
    <n v="-477.2"/>
  </r>
  <r>
    <x v="0"/>
    <x v="5"/>
    <x v="3"/>
    <n v="0"/>
    <n v="-252.84"/>
  </r>
  <r>
    <x v="0"/>
    <x v="5"/>
    <x v="0"/>
    <n v="140.47999999999999"/>
    <n v="0"/>
  </r>
  <r>
    <x v="0"/>
    <x v="5"/>
    <x v="2"/>
    <n v="75.23"/>
    <n v="0"/>
  </r>
  <r>
    <x v="0"/>
    <x v="5"/>
    <x v="3"/>
    <n v="53.77"/>
    <n v="0"/>
  </r>
  <r>
    <x v="0"/>
    <x v="5"/>
    <x v="1"/>
    <n v="64.69"/>
    <n v="0"/>
  </r>
  <r>
    <x v="0"/>
    <x v="6"/>
    <x v="1"/>
    <n v="0"/>
    <n v="-399.63"/>
  </r>
  <r>
    <x v="0"/>
    <x v="6"/>
    <x v="3"/>
    <n v="0"/>
    <n v="-173.54"/>
  </r>
  <r>
    <x v="0"/>
    <x v="6"/>
    <x v="1"/>
    <n v="60.69"/>
    <n v="0"/>
  </r>
  <r>
    <x v="0"/>
    <x v="6"/>
    <x v="0"/>
    <n v="123.81"/>
    <n v="0"/>
  </r>
  <r>
    <x v="0"/>
    <x v="6"/>
    <x v="2"/>
    <n v="30.76"/>
    <n v="0"/>
  </r>
  <r>
    <x v="0"/>
    <x v="6"/>
    <x v="3"/>
    <n v="60.49"/>
    <n v="0"/>
  </r>
  <r>
    <x v="0"/>
    <x v="7"/>
    <x v="2"/>
    <n v="0"/>
    <n v="-457.18"/>
  </r>
  <r>
    <x v="0"/>
    <x v="7"/>
    <x v="1"/>
    <n v="0"/>
    <n v="-567.51"/>
  </r>
  <r>
    <x v="0"/>
    <x v="7"/>
    <x v="0"/>
    <n v="0"/>
    <n v="-596.25"/>
  </r>
  <r>
    <x v="0"/>
    <x v="7"/>
    <x v="1"/>
    <n v="65.83"/>
    <n v="0"/>
  </r>
  <r>
    <x v="0"/>
    <x v="7"/>
    <x v="0"/>
    <n v="150.05000000000001"/>
    <n v="0"/>
  </r>
  <r>
    <x v="0"/>
    <x v="7"/>
    <x v="3"/>
    <n v="0"/>
    <n v="-672.59"/>
  </r>
  <r>
    <x v="0"/>
    <x v="7"/>
    <x v="3"/>
    <n v="47.89"/>
    <n v="0"/>
  </r>
  <r>
    <x v="0"/>
    <x v="7"/>
    <x v="2"/>
    <n v="48.2"/>
    <n v="0"/>
  </r>
  <r>
    <x v="0"/>
    <x v="8"/>
    <x v="0"/>
    <n v="0"/>
    <n v="-659.02"/>
  </r>
  <r>
    <x v="0"/>
    <x v="8"/>
    <x v="1"/>
    <n v="0"/>
    <n v="-477.94"/>
  </r>
  <r>
    <x v="0"/>
    <x v="8"/>
    <x v="2"/>
    <n v="0"/>
    <n v="-499.53"/>
  </r>
  <r>
    <x v="0"/>
    <x v="8"/>
    <x v="3"/>
    <n v="0"/>
    <n v="-1064.6300000000001"/>
  </r>
  <r>
    <x v="0"/>
    <x v="8"/>
    <x v="3"/>
    <n v="53.1"/>
    <n v="0"/>
  </r>
  <r>
    <x v="0"/>
    <x v="8"/>
    <x v="2"/>
    <n v="37.69"/>
    <n v="0"/>
  </r>
  <r>
    <x v="0"/>
    <x v="8"/>
    <x v="0"/>
    <n v="103.67"/>
    <n v="0"/>
  </r>
  <r>
    <x v="0"/>
    <x v="8"/>
    <x v="1"/>
    <n v="48.29"/>
    <n v="0"/>
  </r>
  <r>
    <x v="0"/>
    <x v="9"/>
    <x v="0"/>
    <n v="0"/>
    <n v="-699.48"/>
  </r>
  <r>
    <x v="0"/>
    <x v="9"/>
    <x v="1"/>
    <n v="0"/>
    <n v="-685.92"/>
  </r>
  <r>
    <x v="0"/>
    <x v="9"/>
    <x v="3"/>
    <n v="0"/>
    <n v="-1997.07"/>
  </r>
  <r>
    <x v="0"/>
    <x v="9"/>
    <x v="2"/>
    <n v="0"/>
    <n v="-913.95"/>
  </r>
  <r>
    <x v="0"/>
    <x v="9"/>
    <x v="3"/>
    <n v="75.88"/>
    <n v="0"/>
  </r>
  <r>
    <x v="0"/>
    <x v="9"/>
    <x v="0"/>
    <n v="131.15"/>
    <n v="0"/>
  </r>
  <r>
    <x v="0"/>
    <x v="9"/>
    <x v="2"/>
    <n v="90.84"/>
    <n v="0"/>
  </r>
  <r>
    <x v="0"/>
    <x v="9"/>
    <x v="1"/>
    <n v="70.45"/>
    <n v="0"/>
  </r>
  <r>
    <x v="0"/>
    <x v="10"/>
    <x v="0"/>
    <n v="0"/>
    <n v="-997.41"/>
  </r>
  <r>
    <x v="0"/>
    <x v="10"/>
    <x v="3"/>
    <n v="0"/>
    <n v="-1983.49"/>
  </r>
  <r>
    <x v="0"/>
    <x v="10"/>
    <x v="3"/>
    <n v="83.83"/>
    <n v="0"/>
  </r>
  <r>
    <x v="0"/>
    <x v="10"/>
    <x v="2"/>
    <n v="0"/>
    <n v="-2133.79"/>
  </r>
  <r>
    <x v="0"/>
    <x v="10"/>
    <x v="1"/>
    <n v="0"/>
    <n v="-459.98"/>
  </r>
  <r>
    <x v="0"/>
    <x v="10"/>
    <x v="2"/>
    <n v="88.28"/>
    <n v="0"/>
  </r>
  <r>
    <x v="0"/>
    <x v="10"/>
    <x v="1"/>
    <n v="77.44"/>
    <n v="0"/>
  </r>
  <r>
    <x v="0"/>
    <x v="10"/>
    <x v="0"/>
    <n v="386.69"/>
    <n v="0"/>
  </r>
  <r>
    <x v="0"/>
    <x v="11"/>
    <x v="1"/>
    <n v="0"/>
    <n v="-1497.18"/>
  </r>
  <r>
    <x v="0"/>
    <x v="11"/>
    <x v="2"/>
    <n v="0"/>
    <n v="-3399.23"/>
  </r>
  <r>
    <x v="0"/>
    <x v="11"/>
    <x v="0"/>
    <n v="0"/>
    <n v="-1130.4000000000001"/>
  </r>
  <r>
    <x v="0"/>
    <x v="11"/>
    <x v="0"/>
    <n v="133.21"/>
    <n v="0"/>
  </r>
  <r>
    <x v="0"/>
    <x v="11"/>
    <x v="3"/>
    <n v="0"/>
    <n v="-2751.22"/>
  </r>
  <r>
    <x v="0"/>
    <x v="11"/>
    <x v="3"/>
    <n v="91.34"/>
    <n v="0"/>
  </r>
  <r>
    <x v="0"/>
    <x v="11"/>
    <x v="1"/>
    <n v="53.18"/>
    <n v="0"/>
  </r>
  <r>
    <x v="0"/>
    <x v="11"/>
    <x v="2"/>
    <n v="60.67"/>
    <n v="0"/>
  </r>
  <r>
    <x v="0"/>
    <x v="12"/>
    <x v="2"/>
    <n v="0"/>
    <n v="-3611"/>
  </r>
  <r>
    <x v="0"/>
    <x v="12"/>
    <x v="1"/>
    <n v="0"/>
    <n v="-1523.26"/>
  </r>
  <r>
    <x v="0"/>
    <x v="12"/>
    <x v="0"/>
    <n v="0"/>
    <n v="-2959.82"/>
  </r>
  <r>
    <x v="0"/>
    <x v="12"/>
    <x v="1"/>
    <n v="3.15"/>
    <n v="0"/>
  </r>
  <r>
    <x v="0"/>
    <x v="12"/>
    <x v="0"/>
    <n v="16.97"/>
    <n v="0"/>
  </r>
  <r>
    <x v="0"/>
    <x v="12"/>
    <x v="2"/>
    <n v="0"/>
    <n v="0"/>
  </r>
  <r>
    <x v="0"/>
    <x v="12"/>
    <x v="3"/>
    <n v="0"/>
    <n v="-3683.41"/>
  </r>
  <r>
    <x v="0"/>
    <x v="12"/>
    <x v="3"/>
    <n v="7.09"/>
    <n v="0"/>
  </r>
  <r>
    <x v="0"/>
    <x v="13"/>
    <x v="0"/>
    <n v="0"/>
    <n v="-2621.92"/>
  </r>
  <r>
    <x v="0"/>
    <x v="13"/>
    <x v="2"/>
    <n v="0"/>
    <n v="-4020.72"/>
  </r>
  <r>
    <x v="0"/>
    <x v="13"/>
    <x v="1"/>
    <n v="0"/>
    <n v="-1638.9"/>
  </r>
  <r>
    <x v="0"/>
    <x v="13"/>
    <x v="3"/>
    <n v="0"/>
    <n v="-4780.83"/>
  </r>
  <r>
    <x v="0"/>
    <x v="13"/>
    <x v="3"/>
    <n v="0"/>
    <n v="0"/>
  </r>
  <r>
    <x v="0"/>
    <x v="13"/>
    <x v="0"/>
    <n v="0"/>
    <n v="0"/>
  </r>
  <r>
    <x v="0"/>
    <x v="13"/>
    <x v="2"/>
    <n v="0"/>
    <n v="0"/>
  </r>
  <r>
    <x v="0"/>
    <x v="13"/>
    <x v="1"/>
    <n v="0"/>
    <n v="0"/>
  </r>
  <r>
    <x v="0"/>
    <x v="14"/>
    <x v="0"/>
    <n v="0"/>
    <n v="-2888.14"/>
  </r>
  <r>
    <x v="0"/>
    <x v="14"/>
    <x v="3"/>
    <n v="0"/>
    <n v="-4047.81"/>
  </r>
  <r>
    <x v="0"/>
    <x v="14"/>
    <x v="1"/>
    <n v="0"/>
    <n v="-1840.67"/>
  </r>
  <r>
    <x v="0"/>
    <x v="14"/>
    <x v="2"/>
    <n v="0"/>
    <n v="-2352.4299999999998"/>
  </r>
  <r>
    <x v="0"/>
    <x v="14"/>
    <x v="3"/>
    <n v="0"/>
    <n v="0"/>
  </r>
  <r>
    <x v="0"/>
    <x v="14"/>
    <x v="1"/>
    <n v="53.92"/>
    <n v="0"/>
  </r>
  <r>
    <x v="0"/>
    <x v="14"/>
    <x v="2"/>
    <n v="-92.54"/>
    <n v="0"/>
  </r>
  <r>
    <x v="0"/>
    <x v="14"/>
    <x v="0"/>
    <n v="240.62"/>
    <n v="0"/>
  </r>
  <r>
    <x v="0"/>
    <x v="15"/>
    <x v="3"/>
    <n v="0"/>
    <n v="-3313.5"/>
  </r>
  <r>
    <x v="0"/>
    <x v="15"/>
    <x v="1"/>
    <n v="163.21"/>
    <n v="0"/>
  </r>
  <r>
    <x v="0"/>
    <x v="15"/>
    <x v="0"/>
    <n v="427.14"/>
    <n v="0"/>
  </r>
  <r>
    <x v="0"/>
    <x v="15"/>
    <x v="0"/>
    <n v="0"/>
    <n v="-2166.37"/>
  </r>
  <r>
    <x v="0"/>
    <x v="15"/>
    <x v="3"/>
    <n v="183.45"/>
    <n v="0"/>
  </r>
  <r>
    <x v="0"/>
    <x v="15"/>
    <x v="2"/>
    <n v="232.09"/>
    <n v="0"/>
  </r>
  <r>
    <x v="0"/>
    <x v="15"/>
    <x v="1"/>
    <n v="0"/>
    <n v="-1070.3900000000001"/>
  </r>
  <r>
    <x v="0"/>
    <x v="15"/>
    <x v="2"/>
    <n v="0"/>
    <n v="-1858.68"/>
  </r>
  <r>
    <x v="0"/>
    <x v="16"/>
    <x v="2"/>
    <n v="71.17"/>
    <n v="0"/>
  </r>
  <r>
    <x v="0"/>
    <x v="16"/>
    <x v="3"/>
    <n v="71.430000000000007"/>
    <n v="0"/>
  </r>
  <r>
    <x v="0"/>
    <x v="16"/>
    <x v="1"/>
    <n v="85.93"/>
    <n v="0"/>
  </r>
  <r>
    <x v="0"/>
    <x v="16"/>
    <x v="1"/>
    <n v="0"/>
    <n v="-988.39"/>
  </r>
  <r>
    <x v="0"/>
    <x v="16"/>
    <x v="0"/>
    <n v="162.55000000000001"/>
    <n v="0"/>
  </r>
  <r>
    <x v="0"/>
    <x v="16"/>
    <x v="0"/>
    <n v="0"/>
    <n v="-2836.62"/>
  </r>
  <r>
    <x v="0"/>
    <x v="16"/>
    <x v="3"/>
    <n v="0"/>
    <n v="-3941.09"/>
  </r>
  <r>
    <x v="0"/>
    <x v="16"/>
    <x v="2"/>
    <n v="0"/>
    <n v="-2660.81"/>
  </r>
  <r>
    <x v="0"/>
    <x v="17"/>
    <x v="2"/>
    <n v="0"/>
    <n v="-5450.81"/>
  </r>
  <r>
    <x v="0"/>
    <x v="17"/>
    <x v="0"/>
    <n v="114.21"/>
    <n v="0"/>
  </r>
  <r>
    <x v="0"/>
    <x v="17"/>
    <x v="0"/>
    <n v="0"/>
    <n v="-3026.35"/>
  </r>
  <r>
    <x v="0"/>
    <x v="17"/>
    <x v="1"/>
    <n v="0"/>
    <n v="-788.26"/>
  </r>
  <r>
    <x v="0"/>
    <x v="17"/>
    <x v="3"/>
    <n v="0"/>
    <n v="-5075.3900000000003"/>
  </r>
  <r>
    <x v="0"/>
    <x v="17"/>
    <x v="2"/>
    <n v="9.7899999999999991"/>
    <n v="0"/>
  </r>
  <r>
    <x v="0"/>
    <x v="17"/>
    <x v="3"/>
    <n v="14.13"/>
    <n v="0"/>
  </r>
  <r>
    <x v="0"/>
    <x v="17"/>
    <x v="1"/>
    <n v="34.159999999999997"/>
    <n v="0"/>
  </r>
  <r>
    <x v="0"/>
    <x v="18"/>
    <x v="1"/>
    <n v="12.87"/>
    <n v="0"/>
  </r>
  <r>
    <x v="0"/>
    <x v="18"/>
    <x v="0"/>
    <n v="0"/>
    <n v="-2726.86"/>
  </r>
  <r>
    <x v="0"/>
    <x v="18"/>
    <x v="2"/>
    <n v="0"/>
    <n v="0"/>
  </r>
  <r>
    <x v="0"/>
    <x v="18"/>
    <x v="2"/>
    <n v="0"/>
    <n v="-6899.98"/>
  </r>
  <r>
    <x v="0"/>
    <x v="18"/>
    <x v="3"/>
    <n v="0"/>
    <n v="-5618.79"/>
  </r>
  <r>
    <x v="0"/>
    <x v="18"/>
    <x v="0"/>
    <n v="0"/>
    <n v="0"/>
  </r>
  <r>
    <x v="0"/>
    <x v="18"/>
    <x v="1"/>
    <n v="0"/>
    <n v="-1306.05"/>
  </r>
  <r>
    <x v="0"/>
    <x v="18"/>
    <x v="3"/>
    <n v="0"/>
    <n v="0"/>
  </r>
  <r>
    <x v="0"/>
    <x v="19"/>
    <x v="3"/>
    <n v="0"/>
    <n v="0"/>
  </r>
  <r>
    <x v="0"/>
    <x v="19"/>
    <x v="1"/>
    <n v="0"/>
    <n v="-897.85"/>
  </r>
  <r>
    <x v="0"/>
    <x v="19"/>
    <x v="0"/>
    <n v="-2651.35"/>
    <n v="0"/>
  </r>
  <r>
    <x v="0"/>
    <x v="19"/>
    <x v="3"/>
    <n v="0"/>
    <n v="-5066.7"/>
  </r>
  <r>
    <x v="0"/>
    <x v="19"/>
    <x v="2"/>
    <n v="0"/>
    <n v="-7874.18"/>
  </r>
  <r>
    <x v="0"/>
    <x v="19"/>
    <x v="2"/>
    <n v="0"/>
    <n v="0"/>
  </r>
  <r>
    <x v="0"/>
    <x v="19"/>
    <x v="1"/>
    <n v="0"/>
    <n v="0"/>
  </r>
  <r>
    <x v="0"/>
    <x v="20"/>
    <x v="1"/>
    <n v="0"/>
    <n v="0"/>
  </r>
  <r>
    <x v="0"/>
    <x v="20"/>
    <x v="1"/>
    <n v="0"/>
    <n v="-1484.2"/>
  </r>
  <r>
    <x v="0"/>
    <x v="20"/>
    <x v="2"/>
    <n v="0"/>
    <n v="-8856.82"/>
  </r>
  <r>
    <x v="0"/>
    <x v="20"/>
    <x v="3"/>
    <n v="0"/>
    <n v="-6133.76"/>
  </r>
  <r>
    <x v="0"/>
    <x v="20"/>
    <x v="3"/>
    <n v="0"/>
    <n v="0"/>
  </r>
  <r>
    <x v="0"/>
    <x v="21"/>
    <x v="2"/>
    <n v="0"/>
    <n v="-8290.23"/>
  </r>
  <r>
    <x v="0"/>
    <x v="21"/>
    <x v="3"/>
    <n v="0"/>
    <n v="-5668.23"/>
  </r>
  <r>
    <x v="0"/>
    <x v="21"/>
    <x v="2"/>
    <n v="-1048.22"/>
    <n v="0"/>
  </r>
  <r>
    <x v="0"/>
    <x v="21"/>
    <x v="1"/>
    <n v="-1812.28"/>
    <n v="0"/>
  </r>
  <r>
    <x v="0"/>
    <x v="22"/>
    <x v="3"/>
    <n v="-6669.37"/>
    <n v="0"/>
  </r>
  <r>
    <x v="0"/>
    <x v="22"/>
    <x v="2"/>
    <n v="-8635.2900000000009"/>
    <n v="0"/>
  </r>
  <r>
    <x v="0"/>
    <x v="22"/>
    <x v="3"/>
    <n v="0"/>
    <n v="-3127.63"/>
  </r>
  <r>
    <x v="1"/>
    <x v="15"/>
    <x v="4"/>
    <n v="0"/>
    <n v="-143.71"/>
  </r>
  <r>
    <x v="1"/>
    <x v="15"/>
    <x v="5"/>
    <n v="281.27"/>
    <n v="0"/>
  </r>
  <r>
    <x v="1"/>
    <x v="15"/>
    <x v="4"/>
    <n v="117.4"/>
    <n v="0"/>
  </r>
  <r>
    <x v="1"/>
    <x v="15"/>
    <x v="5"/>
    <n v="0"/>
    <n v="-259.77999999999997"/>
  </r>
  <r>
    <x v="1"/>
    <x v="16"/>
    <x v="4"/>
    <n v="0"/>
    <n v="-165.82"/>
  </r>
  <r>
    <x v="1"/>
    <x v="16"/>
    <x v="5"/>
    <n v="212.09"/>
    <n v="0"/>
  </r>
  <r>
    <x v="1"/>
    <x v="16"/>
    <x v="5"/>
    <n v="0"/>
    <n v="-883.6"/>
  </r>
  <r>
    <x v="1"/>
    <x v="16"/>
    <x v="4"/>
    <n v="65.59"/>
    <n v="0"/>
  </r>
  <r>
    <x v="1"/>
    <x v="17"/>
    <x v="4"/>
    <n v="109.3"/>
    <n v="0"/>
  </r>
  <r>
    <x v="1"/>
    <x v="17"/>
    <x v="5"/>
    <n v="0"/>
    <n v="-3542.73"/>
  </r>
  <r>
    <x v="1"/>
    <x v="17"/>
    <x v="5"/>
    <n v="58.15"/>
    <n v="0"/>
  </r>
  <r>
    <x v="1"/>
    <x v="17"/>
    <x v="4"/>
    <n v="0"/>
    <n v="-159.36000000000001"/>
  </r>
  <r>
    <x v="1"/>
    <x v="18"/>
    <x v="4"/>
    <n v="113.51"/>
    <n v="0"/>
  </r>
  <r>
    <x v="1"/>
    <x v="18"/>
    <x v="5"/>
    <n v="263.64"/>
    <n v="0"/>
  </r>
  <r>
    <x v="1"/>
    <x v="18"/>
    <x v="5"/>
    <n v="0"/>
    <n v="-3791.74"/>
  </r>
  <r>
    <x v="1"/>
    <x v="18"/>
    <x v="4"/>
    <n v="0"/>
    <n v="-315.35000000000002"/>
  </r>
  <r>
    <x v="1"/>
    <x v="19"/>
    <x v="4"/>
    <n v="101.23"/>
    <n v="0"/>
  </r>
  <r>
    <x v="1"/>
    <x v="19"/>
    <x v="5"/>
    <n v="188.21"/>
    <n v="0"/>
  </r>
  <r>
    <x v="1"/>
    <x v="19"/>
    <x v="5"/>
    <n v="0"/>
    <n v="-6992.87"/>
  </r>
  <r>
    <x v="1"/>
    <x v="19"/>
    <x v="4"/>
    <n v="0"/>
    <n v="-757.78"/>
  </r>
  <r>
    <x v="1"/>
    <x v="20"/>
    <x v="5"/>
    <n v="0"/>
    <n v="-7629.96"/>
  </r>
  <r>
    <x v="1"/>
    <x v="20"/>
    <x v="5"/>
    <n v="266.2"/>
    <n v="0"/>
  </r>
  <r>
    <x v="1"/>
    <x v="20"/>
    <x v="4"/>
    <n v="96.22"/>
    <n v="0"/>
  </r>
  <r>
    <x v="1"/>
    <x v="20"/>
    <x v="4"/>
    <n v="0"/>
    <n v="-819.46"/>
  </r>
  <r>
    <x v="1"/>
    <x v="21"/>
    <x v="5"/>
    <n v="161.33000000000001"/>
    <n v="0"/>
  </r>
  <r>
    <x v="1"/>
    <x v="21"/>
    <x v="4"/>
    <n v="0"/>
    <n v="-840.49"/>
  </r>
  <r>
    <x v="1"/>
    <x v="21"/>
    <x v="4"/>
    <n v="91.74"/>
    <n v="0"/>
  </r>
  <r>
    <x v="1"/>
    <x v="21"/>
    <x v="5"/>
    <n v="0"/>
    <n v="-6343.66"/>
  </r>
  <r>
    <x v="1"/>
    <x v="22"/>
    <x v="4"/>
    <n v="130.31"/>
    <n v="0"/>
  </r>
  <r>
    <x v="1"/>
    <x v="22"/>
    <x v="5"/>
    <n v="256.38"/>
    <n v="0"/>
  </r>
  <r>
    <x v="1"/>
    <x v="22"/>
    <x v="5"/>
    <n v="0"/>
    <n v="-6352.26"/>
  </r>
  <r>
    <x v="1"/>
    <x v="22"/>
    <x v="4"/>
    <n v="0"/>
    <n v="-1067.82"/>
  </r>
  <r>
    <x v="1"/>
    <x v="23"/>
    <x v="5"/>
    <n v="0"/>
    <n v="-4565.07"/>
  </r>
  <r>
    <x v="1"/>
    <x v="23"/>
    <x v="5"/>
    <n v="258.41000000000003"/>
    <n v="0"/>
  </r>
  <r>
    <x v="1"/>
    <x v="23"/>
    <x v="4"/>
    <n v="0"/>
    <n v="-734.06"/>
  </r>
  <r>
    <x v="1"/>
    <x v="23"/>
    <x v="4"/>
    <n v="121.65"/>
    <n v="0"/>
  </r>
  <r>
    <x v="1"/>
    <x v="24"/>
    <x v="5"/>
    <n v="0"/>
    <n v="-1578.54"/>
  </r>
  <r>
    <x v="1"/>
    <x v="24"/>
    <x v="5"/>
    <n v="51.42"/>
    <n v="0"/>
  </r>
  <r>
    <x v="1"/>
    <x v="24"/>
    <x v="4"/>
    <n v="43.07"/>
    <n v="0"/>
  </r>
  <r>
    <x v="2"/>
    <x v="25"/>
    <x v="3"/>
    <n v="246.65"/>
    <n v="0"/>
  </r>
  <r>
    <x v="2"/>
    <x v="25"/>
    <x v="6"/>
    <n v="130.25"/>
    <n v="0"/>
  </r>
  <r>
    <x v="2"/>
    <x v="25"/>
    <x v="7"/>
    <n v="466.21"/>
    <n v="0"/>
  </r>
  <r>
    <x v="2"/>
    <x v="25"/>
    <x v="2"/>
    <n v="562.94000000000005"/>
    <n v="0"/>
  </r>
  <r>
    <x v="2"/>
    <x v="26"/>
    <x v="6"/>
    <n v="66.900000000000006"/>
    <n v="0"/>
  </r>
  <r>
    <x v="2"/>
    <x v="26"/>
    <x v="3"/>
    <n v="253.38"/>
    <n v="0"/>
  </r>
  <r>
    <x v="2"/>
    <x v="26"/>
    <x v="7"/>
    <n v="258.67"/>
    <n v="0"/>
  </r>
  <r>
    <x v="2"/>
    <x v="26"/>
    <x v="2"/>
    <n v="232.65"/>
    <n v="0"/>
  </r>
  <r>
    <x v="2"/>
    <x v="27"/>
    <x v="6"/>
    <n v="83.32"/>
    <n v="0"/>
  </r>
  <r>
    <x v="2"/>
    <x v="27"/>
    <x v="2"/>
    <n v="263.5"/>
    <n v="0"/>
  </r>
  <r>
    <x v="2"/>
    <x v="27"/>
    <x v="3"/>
    <n v="283.57"/>
    <n v="0"/>
  </r>
  <r>
    <x v="2"/>
    <x v="27"/>
    <x v="7"/>
    <n v="211.61"/>
    <n v="0"/>
  </r>
  <r>
    <x v="2"/>
    <x v="28"/>
    <x v="3"/>
    <n v="169.79"/>
    <n v="0"/>
  </r>
  <r>
    <x v="2"/>
    <x v="28"/>
    <x v="2"/>
    <n v="223.05"/>
    <n v="0"/>
  </r>
  <r>
    <x v="2"/>
    <x v="28"/>
    <x v="7"/>
    <n v="226.33"/>
    <n v="0"/>
  </r>
  <r>
    <x v="2"/>
    <x v="28"/>
    <x v="6"/>
    <n v="55.91"/>
    <n v="0"/>
  </r>
  <r>
    <x v="2"/>
    <x v="29"/>
    <x v="7"/>
    <n v="313.63"/>
    <n v="0"/>
  </r>
  <r>
    <x v="2"/>
    <x v="29"/>
    <x v="6"/>
    <n v="110.18"/>
    <n v="0"/>
  </r>
  <r>
    <x v="2"/>
    <x v="29"/>
    <x v="3"/>
    <n v="166.29"/>
    <n v="0"/>
  </r>
  <r>
    <x v="2"/>
    <x v="29"/>
    <x v="2"/>
    <n v="289.93"/>
    <n v="0"/>
  </r>
  <r>
    <x v="2"/>
    <x v="30"/>
    <x v="6"/>
    <n v="215.01"/>
    <n v="0"/>
  </r>
  <r>
    <x v="2"/>
    <x v="30"/>
    <x v="7"/>
    <n v="351.56"/>
    <n v="0"/>
  </r>
  <r>
    <x v="2"/>
    <x v="30"/>
    <x v="2"/>
    <n v="667.67"/>
    <n v="0"/>
  </r>
  <r>
    <x v="2"/>
    <x v="30"/>
    <x v="3"/>
    <n v="227.73"/>
    <n v="0"/>
  </r>
  <r>
    <x v="2"/>
    <x v="31"/>
    <x v="7"/>
    <n v="295.31"/>
    <n v="0"/>
  </r>
  <r>
    <x v="2"/>
    <x v="31"/>
    <x v="6"/>
    <n v="175.76"/>
    <n v="0"/>
  </r>
  <r>
    <x v="2"/>
    <x v="31"/>
    <x v="3"/>
    <n v="178.18"/>
    <n v="0"/>
  </r>
  <r>
    <x v="2"/>
    <x v="31"/>
    <x v="2"/>
    <n v="538.62"/>
    <n v="0"/>
  </r>
  <r>
    <x v="2"/>
    <x v="32"/>
    <x v="6"/>
    <n v="247.82"/>
    <n v="0"/>
  </r>
  <r>
    <x v="2"/>
    <x v="32"/>
    <x v="7"/>
    <n v="531.74"/>
    <n v="0"/>
  </r>
  <r>
    <x v="2"/>
    <x v="32"/>
    <x v="3"/>
    <n v="211.79"/>
    <n v="0"/>
  </r>
  <r>
    <x v="2"/>
    <x v="32"/>
    <x v="2"/>
    <n v="1082.74"/>
    <n v="0"/>
  </r>
  <r>
    <x v="2"/>
    <x v="33"/>
    <x v="7"/>
    <n v="511.49"/>
    <n v="0"/>
  </r>
  <r>
    <x v="2"/>
    <x v="33"/>
    <x v="6"/>
    <n v="187.73"/>
    <n v="0"/>
  </r>
  <r>
    <x v="2"/>
    <x v="33"/>
    <x v="3"/>
    <n v="302.76"/>
    <n v="0"/>
  </r>
  <r>
    <x v="2"/>
    <x v="33"/>
    <x v="2"/>
    <n v="1219.56"/>
    <n v="0"/>
  </r>
  <r>
    <x v="2"/>
    <x v="34"/>
    <x v="7"/>
    <n v="430.41"/>
    <n v="0"/>
  </r>
  <r>
    <x v="2"/>
    <x v="34"/>
    <x v="3"/>
    <n v="203.61"/>
    <n v="0"/>
  </r>
  <r>
    <x v="2"/>
    <x v="34"/>
    <x v="2"/>
    <n v="718.43"/>
    <n v="0"/>
  </r>
  <r>
    <x v="2"/>
    <x v="34"/>
    <x v="6"/>
    <n v="160.66999999999999"/>
    <n v="0"/>
  </r>
  <r>
    <x v="2"/>
    <x v="35"/>
    <x v="3"/>
    <n v="179.03"/>
    <n v="0"/>
  </r>
  <r>
    <x v="2"/>
    <x v="35"/>
    <x v="2"/>
    <n v="399.95"/>
    <n v="0"/>
  </r>
  <r>
    <x v="2"/>
    <x v="35"/>
    <x v="7"/>
    <n v="430.4"/>
    <n v="0"/>
  </r>
  <r>
    <x v="2"/>
    <x v="35"/>
    <x v="6"/>
    <n v="284.95999999999998"/>
    <n v="0"/>
  </r>
  <r>
    <x v="2"/>
    <x v="36"/>
    <x v="3"/>
    <n v="137.02000000000001"/>
    <n v="0"/>
  </r>
  <r>
    <x v="2"/>
    <x v="36"/>
    <x v="7"/>
    <n v="285.70999999999998"/>
    <n v="0"/>
  </r>
  <r>
    <x v="2"/>
    <x v="36"/>
    <x v="2"/>
    <n v="284.63"/>
    <n v="0"/>
  </r>
  <r>
    <x v="2"/>
    <x v="36"/>
    <x v="6"/>
    <n v="227.13"/>
    <n v="0"/>
  </r>
  <r>
    <x v="2"/>
    <x v="37"/>
    <x v="7"/>
    <n v="501.5"/>
    <n v="0"/>
  </r>
  <r>
    <x v="2"/>
    <x v="37"/>
    <x v="6"/>
    <n v="338.66"/>
    <n v="0"/>
  </r>
  <r>
    <x v="2"/>
    <x v="37"/>
    <x v="2"/>
    <n v="554.74"/>
    <n v="0"/>
  </r>
  <r>
    <x v="2"/>
    <x v="37"/>
    <x v="3"/>
    <n v="386.7"/>
    <n v="0"/>
  </r>
  <r>
    <x v="2"/>
    <x v="38"/>
    <x v="2"/>
    <n v="308.93"/>
    <n v="0"/>
  </r>
  <r>
    <x v="2"/>
    <x v="38"/>
    <x v="3"/>
    <n v="218.19"/>
    <n v="0"/>
  </r>
  <r>
    <x v="2"/>
    <x v="38"/>
    <x v="7"/>
    <n v="277.77"/>
    <n v="0"/>
  </r>
  <r>
    <x v="2"/>
    <x v="38"/>
    <x v="6"/>
    <n v="139.81"/>
    <n v="0"/>
  </r>
  <r>
    <x v="2"/>
    <x v="39"/>
    <x v="7"/>
    <n v="210.48"/>
    <n v="0"/>
  </r>
  <r>
    <x v="2"/>
    <x v="39"/>
    <x v="3"/>
    <n v="85.76"/>
    <n v="0"/>
  </r>
  <r>
    <x v="2"/>
    <x v="39"/>
    <x v="6"/>
    <n v="117.26"/>
    <n v="0"/>
  </r>
  <r>
    <x v="2"/>
    <x v="39"/>
    <x v="2"/>
    <n v="288.18"/>
    <n v="0"/>
  </r>
  <r>
    <x v="2"/>
    <x v="40"/>
    <x v="3"/>
    <n v="187.68"/>
    <n v="0"/>
  </r>
  <r>
    <x v="2"/>
    <x v="40"/>
    <x v="2"/>
    <n v="348.88"/>
    <n v="0"/>
  </r>
  <r>
    <x v="2"/>
    <x v="40"/>
    <x v="6"/>
    <n v="136.74"/>
    <n v="0"/>
  </r>
  <r>
    <x v="2"/>
    <x v="40"/>
    <x v="7"/>
    <n v="268.93"/>
    <n v="0"/>
  </r>
  <r>
    <x v="2"/>
    <x v="41"/>
    <x v="2"/>
    <n v="308.88"/>
    <n v="0"/>
  </r>
  <r>
    <x v="2"/>
    <x v="41"/>
    <x v="3"/>
    <n v="64.41"/>
    <n v="0"/>
  </r>
  <r>
    <x v="2"/>
    <x v="41"/>
    <x v="7"/>
    <n v="265.04000000000002"/>
    <n v="0"/>
  </r>
  <r>
    <x v="2"/>
    <x v="41"/>
    <x v="6"/>
    <n v="129.52000000000001"/>
    <n v="0"/>
  </r>
  <r>
    <x v="2"/>
    <x v="42"/>
    <x v="7"/>
    <n v="231.65"/>
    <n v="0"/>
  </r>
  <r>
    <x v="2"/>
    <x v="42"/>
    <x v="6"/>
    <n v="85.79"/>
    <n v="0"/>
  </r>
  <r>
    <x v="2"/>
    <x v="42"/>
    <x v="2"/>
    <n v="335.07"/>
    <n v="0"/>
  </r>
  <r>
    <x v="2"/>
    <x v="42"/>
    <x v="3"/>
    <n v="140.69999999999999"/>
    <n v="0"/>
  </r>
  <r>
    <x v="2"/>
    <x v="43"/>
    <x v="3"/>
    <n v="145.04"/>
    <n v="0"/>
  </r>
  <r>
    <x v="2"/>
    <x v="43"/>
    <x v="7"/>
    <n v="338.15"/>
    <n v="0"/>
  </r>
  <r>
    <x v="2"/>
    <x v="43"/>
    <x v="2"/>
    <n v="254.27"/>
    <n v="0"/>
  </r>
  <r>
    <x v="2"/>
    <x v="43"/>
    <x v="6"/>
    <n v="75.36"/>
    <n v="0"/>
  </r>
  <r>
    <x v="2"/>
    <x v="44"/>
    <x v="3"/>
    <n v="113.32"/>
    <n v="0"/>
  </r>
  <r>
    <x v="2"/>
    <x v="44"/>
    <x v="2"/>
    <n v="193.12"/>
    <n v="0"/>
  </r>
  <r>
    <x v="2"/>
    <x v="44"/>
    <x v="6"/>
    <n v="60.78"/>
    <n v="0"/>
  </r>
  <r>
    <x v="2"/>
    <x v="44"/>
    <x v="7"/>
    <n v="236.02"/>
    <n v="0"/>
  </r>
  <r>
    <x v="2"/>
    <x v="45"/>
    <x v="6"/>
    <n v="250.71"/>
    <n v="0"/>
  </r>
  <r>
    <x v="2"/>
    <x v="45"/>
    <x v="2"/>
    <n v="313.66000000000003"/>
    <n v="0"/>
  </r>
  <r>
    <x v="2"/>
    <x v="45"/>
    <x v="7"/>
    <n v="322.88"/>
    <n v="0"/>
  </r>
  <r>
    <x v="2"/>
    <x v="45"/>
    <x v="3"/>
    <n v="174.43"/>
    <n v="0"/>
  </r>
  <r>
    <x v="2"/>
    <x v="46"/>
    <x v="3"/>
    <n v="231.75"/>
    <n v="0"/>
  </r>
  <r>
    <x v="2"/>
    <x v="46"/>
    <x v="2"/>
    <n v="424.19"/>
    <n v="0"/>
  </r>
  <r>
    <x v="2"/>
    <x v="46"/>
    <x v="6"/>
    <n v="101.82"/>
    <n v="0"/>
  </r>
  <r>
    <x v="2"/>
    <x v="46"/>
    <x v="7"/>
    <n v="412.96"/>
    <n v="0"/>
  </r>
  <r>
    <x v="2"/>
    <x v="47"/>
    <x v="3"/>
    <n v="234.6"/>
    <n v="0"/>
  </r>
  <r>
    <x v="2"/>
    <x v="47"/>
    <x v="7"/>
    <n v="634.08000000000004"/>
    <n v="0"/>
  </r>
  <r>
    <x v="2"/>
    <x v="47"/>
    <x v="6"/>
    <n v="214.88"/>
    <n v="0"/>
  </r>
  <r>
    <x v="2"/>
    <x v="47"/>
    <x v="2"/>
    <n v="515.23"/>
    <n v="0"/>
  </r>
  <r>
    <x v="2"/>
    <x v="48"/>
    <x v="7"/>
    <n v="259.54000000000002"/>
    <n v="0"/>
  </r>
  <r>
    <x v="2"/>
    <x v="48"/>
    <x v="6"/>
    <n v="66.099999999999994"/>
    <n v="0"/>
  </r>
  <r>
    <x v="2"/>
    <x v="48"/>
    <x v="3"/>
    <n v="103.19"/>
    <n v="0"/>
  </r>
  <r>
    <x v="2"/>
    <x v="48"/>
    <x v="2"/>
    <n v="355.92"/>
    <n v="0"/>
  </r>
  <r>
    <x v="2"/>
    <x v="49"/>
    <x v="2"/>
    <n v="491.92"/>
    <n v="0"/>
  </r>
  <r>
    <x v="2"/>
    <x v="49"/>
    <x v="6"/>
    <n v="110.16"/>
    <n v="0"/>
  </r>
  <r>
    <x v="2"/>
    <x v="49"/>
    <x v="7"/>
    <n v="381.25"/>
    <n v="0"/>
  </r>
  <r>
    <x v="2"/>
    <x v="49"/>
    <x v="3"/>
    <n v="260.45"/>
    <n v="0"/>
  </r>
  <r>
    <x v="2"/>
    <x v="50"/>
    <x v="2"/>
    <n v="291.98"/>
    <n v="0"/>
  </r>
  <r>
    <x v="2"/>
    <x v="50"/>
    <x v="3"/>
    <n v="209.13"/>
    <n v="0"/>
  </r>
  <r>
    <x v="2"/>
    <x v="50"/>
    <x v="7"/>
    <n v="354.64"/>
    <n v="0"/>
  </r>
  <r>
    <x v="2"/>
    <x v="50"/>
    <x v="6"/>
    <n v="112.79"/>
    <n v="0"/>
  </r>
  <r>
    <x v="2"/>
    <x v="51"/>
    <x v="6"/>
    <n v="91.41"/>
    <n v="0"/>
  </r>
  <r>
    <x v="2"/>
    <x v="51"/>
    <x v="7"/>
    <n v="387.78"/>
    <n v="0"/>
  </r>
  <r>
    <x v="2"/>
    <x v="51"/>
    <x v="2"/>
    <n v="292.93"/>
    <n v="0"/>
  </r>
  <r>
    <x v="2"/>
    <x v="51"/>
    <x v="3"/>
    <n v="270.2"/>
    <n v="0"/>
  </r>
  <r>
    <x v="2"/>
    <x v="52"/>
    <x v="6"/>
    <n v="79.44"/>
    <n v="0"/>
  </r>
  <r>
    <x v="2"/>
    <x v="52"/>
    <x v="2"/>
    <n v="230.53"/>
    <n v="0"/>
  </r>
  <r>
    <x v="2"/>
    <x v="52"/>
    <x v="3"/>
    <n v="238.85"/>
    <n v="0"/>
  </r>
  <r>
    <x v="2"/>
    <x v="52"/>
    <x v="7"/>
    <n v="433.81"/>
    <n v="0"/>
  </r>
  <r>
    <x v="2"/>
    <x v="53"/>
    <x v="6"/>
    <n v="64.44"/>
    <n v="0"/>
  </r>
  <r>
    <x v="2"/>
    <x v="53"/>
    <x v="7"/>
    <n v="380.98"/>
    <n v="0"/>
  </r>
  <r>
    <x v="2"/>
    <x v="53"/>
    <x v="2"/>
    <n v="173.66"/>
    <n v="0"/>
  </r>
  <r>
    <x v="2"/>
    <x v="53"/>
    <x v="3"/>
    <n v="253.71"/>
    <n v="0"/>
  </r>
  <r>
    <x v="2"/>
    <x v="54"/>
    <x v="2"/>
    <n v="409.81"/>
    <n v="0"/>
  </r>
  <r>
    <x v="2"/>
    <x v="54"/>
    <x v="7"/>
    <n v="426.53"/>
    <n v="0"/>
  </r>
  <r>
    <x v="2"/>
    <x v="54"/>
    <x v="6"/>
    <n v="116.99"/>
    <n v="0"/>
  </r>
  <r>
    <x v="2"/>
    <x v="54"/>
    <x v="3"/>
    <n v="488.14"/>
    <n v="0"/>
  </r>
  <r>
    <x v="2"/>
    <x v="55"/>
    <x v="2"/>
    <n v="191.96"/>
    <n v="0"/>
  </r>
  <r>
    <x v="2"/>
    <x v="55"/>
    <x v="6"/>
    <n v="105.9"/>
    <n v="0"/>
  </r>
  <r>
    <x v="2"/>
    <x v="55"/>
    <x v="3"/>
    <n v="210.88"/>
    <n v="0"/>
  </r>
  <r>
    <x v="2"/>
    <x v="55"/>
    <x v="7"/>
    <n v="472.03"/>
    <n v="0"/>
  </r>
  <r>
    <x v="2"/>
    <x v="56"/>
    <x v="7"/>
    <n v="389.41"/>
    <n v="0"/>
  </r>
  <r>
    <x v="2"/>
    <x v="56"/>
    <x v="3"/>
    <n v="202.8"/>
    <n v="0"/>
  </r>
  <r>
    <x v="2"/>
    <x v="56"/>
    <x v="6"/>
    <n v="160.57"/>
    <n v="0"/>
  </r>
  <r>
    <x v="2"/>
    <x v="56"/>
    <x v="2"/>
    <n v="215.61"/>
    <n v="0"/>
  </r>
  <r>
    <x v="2"/>
    <x v="57"/>
    <x v="3"/>
    <n v="93.32"/>
    <n v="0"/>
  </r>
  <r>
    <x v="2"/>
    <x v="57"/>
    <x v="6"/>
    <n v="79.260000000000005"/>
    <n v="0"/>
  </r>
  <r>
    <x v="2"/>
    <x v="57"/>
    <x v="7"/>
    <n v="326.36"/>
    <n v="0"/>
  </r>
  <r>
    <x v="2"/>
    <x v="57"/>
    <x v="2"/>
    <n v="-82.82"/>
    <n v="0"/>
  </r>
  <r>
    <x v="2"/>
    <x v="58"/>
    <x v="2"/>
    <n v="518.96"/>
    <n v="0"/>
  </r>
  <r>
    <x v="2"/>
    <x v="58"/>
    <x v="7"/>
    <n v="463.71"/>
    <n v="0"/>
  </r>
  <r>
    <x v="2"/>
    <x v="58"/>
    <x v="3"/>
    <n v="272.25"/>
    <n v="0"/>
  </r>
  <r>
    <x v="2"/>
    <x v="58"/>
    <x v="6"/>
    <n v="240.17"/>
    <n v="0"/>
  </r>
  <r>
    <x v="2"/>
    <x v="59"/>
    <x v="7"/>
    <n v="429.82"/>
    <n v="0"/>
  </r>
  <r>
    <x v="2"/>
    <x v="59"/>
    <x v="2"/>
    <n v="260.22000000000003"/>
    <n v="0"/>
  </r>
  <r>
    <x v="2"/>
    <x v="59"/>
    <x v="3"/>
    <n v="92.63"/>
    <n v="0"/>
  </r>
  <r>
    <x v="2"/>
    <x v="59"/>
    <x v="6"/>
    <n v="783.64"/>
    <n v="0"/>
  </r>
  <r>
    <x v="2"/>
    <x v="60"/>
    <x v="7"/>
    <n v="578.99"/>
    <n v="0"/>
  </r>
  <r>
    <x v="2"/>
    <x v="60"/>
    <x v="6"/>
    <n v="229.07"/>
    <n v="0"/>
  </r>
  <r>
    <x v="2"/>
    <x v="60"/>
    <x v="2"/>
    <n v="356.2"/>
    <n v="0"/>
  </r>
  <r>
    <x v="2"/>
    <x v="60"/>
    <x v="3"/>
    <n v="274.86"/>
    <n v="0"/>
  </r>
  <r>
    <x v="2"/>
    <x v="61"/>
    <x v="3"/>
    <n v="135.72999999999999"/>
    <n v="0"/>
  </r>
  <r>
    <x v="2"/>
    <x v="61"/>
    <x v="2"/>
    <n v="120.55"/>
    <n v="0"/>
  </r>
  <r>
    <x v="2"/>
    <x v="61"/>
    <x v="7"/>
    <n v="67.239999999999995"/>
    <n v="0"/>
  </r>
  <r>
    <x v="2"/>
    <x v="61"/>
    <x v="6"/>
    <n v="92.18"/>
    <n v="0"/>
  </r>
  <r>
    <x v="2"/>
    <x v="62"/>
    <x v="2"/>
    <n v="32.880000000000003"/>
    <n v="0"/>
  </r>
  <r>
    <x v="2"/>
    <x v="62"/>
    <x v="6"/>
    <n v="19.93"/>
    <n v="0"/>
  </r>
  <r>
    <x v="2"/>
    <x v="62"/>
    <x v="3"/>
    <n v="52"/>
    <n v="0"/>
  </r>
  <r>
    <x v="2"/>
    <x v="62"/>
    <x v="7"/>
    <n v="51.68"/>
    <n v="0"/>
  </r>
  <r>
    <x v="2"/>
    <x v="63"/>
    <x v="3"/>
    <n v="136.77000000000001"/>
    <n v="0"/>
  </r>
  <r>
    <x v="2"/>
    <x v="63"/>
    <x v="7"/>
    <n v="200.16"/>
    <n v="0"/>
  </r>
  <r>
    <x v="2"/>
    <x v="63"/>
    <x v="2"/>
    <n v="175.5"/>
    <n v="0"/>
  </r>
  <r>
    <x v="2"/>
    <x v="63"/>
    <x v="6"/>
    <n v="130.18"/>
    <n v="0"/>
  </r>
  <r>
    <x v="2"/>
    <x v="64"/>
    <x v="6"/>
    <n v="48.9"/>
    <n v="0"/>
  </r>
  <r>
    <x v="2"/>
    <x v="64"/>
    <x v="3"/>
    <n v="167.24"/>
    <n v="0"/>
  </r>
  <r>
    <x v="2"/>
    <x v="64"/>
    <x v="2"/>
    <n v="286.52999999999997"/>
    <n v="0"/>
  </r>
  <r>
    <x v="2"/>
    <x v="64"/>
    <x v="7"/>
    <n v="182.77"/>
    <n v="0"/>
  </r>
  <r>
    <x v="2"/>
    <x v="65"/>
    <x v="2"/>
    <n v="175.54"/>
    <n v="0"/>
  </r>
  <r>
    <x v="2"/>
    <x v="65"/>
    <x v="3"/>
    <n v="117.47"/>
    <n v="0"/>
  </r>
  <r>
    <x v="2"/>
    <x v="65"/>
    <x v="7"/>
    <n v="334.51"/>
    <n v="0"/>
  </r>
  <r>
    <x v="2"/>
    <x v="65"/>
    <x v="6"/>
    <n v="-3270.58"/>
    <n v="0"/>
  </r>
  <r>
    <x v="2"/>
    <x v="66"/>
    <x v="3"/>
    <n v="229.03"/>
    <n v="0"/>
  </r>
  <r>
    <x v="2"/>
    <x v="66"/>
    <x v="7"/>
    <n v="532.79999999999995"/>
    <n v="0"/>
  </r>
  <r>
    <x v="2"/>
    <x v="66"/>
    <x v="2"/>
    <n v="509.2"/>
    <n v="0"/>
  </r>
  <r>
    <x v="2"/>
    <x v="67"/>
    <x v="3"/>
    <n v="255.38"/>
    <n v="0"/>
  </r>
  <r>
    <x v="2"/>
    <x v="67"/>
    <x v="7"/>
    <n v="302.58"/>
    <n v="0"/>
  </r>
  <r>
    <x v="2"/>
    <x v="67"/>
    <x v="2"/>
    <n v="475.78"/>
    <n v="0"/>
  </r>
  <r>
    <x v="2"/>
    <x v="68"/>
    <x v="7"/>
    <n v="423.05"/>
    <n v="0"/>
  </r>
  <r>
    <x v="2"/>
    <x v="68"/>
    <x v="2"/>
    <n v="524.73"/>
    <n v="0"/>
  </r>
  <r>
    <x v="2"/>
    <x v="68"/>
    <x v="3"/>
    <n v="207.27"/>
    <n v="0"/>
  </r>
  <r>
    <x v="2"/>
    <x v="69"/>
    <x v="3"/>
    <n v="184.66"/>
    <n v="0"/>
  </r>
  <r>
    <x v="2"/>
    <x v="69"/>
    <x v="2"/>
    <n v="263.49"/>
    <n v="0"/>
  </r>
  <r>
    <x v="2"/>
    <x v="69"/>
    <x v="7"/>
    <n v="278.3"/>
    <n v="0"/>
  </r>
  <r>
    <x v="2"/>
    <x v="70"/>
    <x v="7"/>
    <n v="187.67"/>
    <n v="0"/>
  </r>
  <r>
    <x v="2"/>
    <x v="70"/>
    <x v="3"/>
    <n v="107.96"/>
    <n v="0"/>
  </r>
  <r>
    <x v="2"/>
    <x v="70"/>
    <x v="2"/>
    <n v="285.39999999999998"/>
    <n v="0"/>
  </r>
  <r>
    <x v="2"/>
    <x v="71"/>
    <x v="3"/>
    <n v="163.06"/>
    <n v="0"/>
  </r>
  <r>
    <x v="2"/>
    <x v="71"/>
    <x v="2"/>
    <n v="248.55"/>
    <n v="0"/>
  </r>
  <r>
    <x v="2"/>
    <x v="71"/>
    <x v="6"/>
    <n v="-10.9"/>
    <n v="0"/>
  </r>
  <r>
    <x v="2"/>
    <x v="71"/>
    <x v="7"/>
    <n v="226.12"/>
    <n v="0"/>
  </r>
  <r>
    <x v="2"/>
    <x v="72"/>
    <x v="3"/>
    <n v="278.60000000000002"/>
    <n v="0"/>
  </r>
  <r>
    <x v="2"/>
    <x v="72"/>
    <x v="2"/>
    <n v="155.83000000000001"/>
    <n v="0"/>
  </r>
  <r>
    <x v="2"/>
    <x v="72"/>
    <x v="7"/>
    <n v="371.26"/>
    <n v="0"/>
  </r>
  <r>
    <x v="2"/>
    <x v="73"/>
    <x v="3"/>
    <n v="103.78"/>
    <n v="0"/>
  </r>
  <r>
    <x v="2"/>
    <x v="73"/>
    <x v="2"/>
    <n v="162.4"/>
    <n v="0"/>
  </r>
  <r>
    <x v="2"/>
    <x v="73"/>
    <x v="7"/>
    <n v="370.1"/>
    <n v="0"/>
  </r>
  <r>
    <x v="2"/>
    <x v="74"/>
    <x v="2"/>
    <n v="124.61"/>
    <n v="0"/>
  </r>
  <r>
    <x v="2"/>
    <x v="74"/>
    <x v="3"/>
    <n v="102.94"/>
    <n v="0"/>
  </r>
  <r>
    <x v="2"/>
    <x v="74"/>
    <x v="7"/>
    <n v="-11651.5"/>
    <n v="0"/>
  </r>
  <r>
    <x v="2"/>
    <x v="75"/>
    <x v="2"/>
    <n v="167.38"/>
    <n v="0"/>
  </r>
  <r>
    <x v="2"/>
    <x v="75"/>
    <x v="3"/>
    <n v="225.99"/>
    <n v="0"/>
  </r>
  <r>
    <x v="2"/>
    <x v="76"/>
    <x v="3"/>
    <n v="-8669.77"/>
    <n v="0"/>
  </r>
  <r>
    <x v="2"/>
    <x v="76"/>
    <x v="6"/>
    <n v="-10750"/>
    <n v="0"/>
  </r>
  <r>
    <x v="2"/>
    <x v="76"/>
    <x v="2"/>
    <n v="-11450.17"/>
    <n v="0"/>
  </r>
  <r>
    <x v="2"/>
    <x v="77"/>
    <x v="4"/>
    <n v="0"/>
    <n v="0"/>
  </r>
  <r>
    <x v="2"/>
    <x v="77"/>
    <x v="7"/>
    <n v="-251.17"/>
    <n v="0"/>
  </r>
  <r>
    <x v="2"/>
    <x v="77"/>
    <x v="6"/>
    <n v="-150.21"/>
    <n v="0"/>
  </r>
  <r>
    <x v="2"/>
    <x v="78"/>
    <x v="7"/>
    <n v="-201.16"/>
    <n v="0"/>
  </r>
  <r>
    <x v="2"/>
    <x v="79"/>
    <x v="8"/>
    <n v="0"/>
    <n v="0"/>
  </r>
  <r>
    <x v="2"/>
    <x v="79"/>
    <x v="7"/>
    <n v="162.05000000000001"/>
    <n v="0"/>
  </r>
  <r>
    <x v="2"/>
    <x v="80"/>
    <x v="9"/>
    <n v="0"/>
    <n v="0"/>
  </r>
  <r>
    <x v="2"/>
    <x v="80"/>
    <x v="10"/>
    <n v="-1.08"/>
    <n v="0"/>
  </r>
  <r>
    <x v="2"/>
    <x v="80"/>
    <x v="11"/>
    <n v="0"/>
    <n v="0"/>
  </r>
  <r>
    <x v="2"/>
    <x v="80"/>
    <x v="8"/>
    <n v="293.97000000000003"/>
    <n v="0"/>
  </r>
  <r>
    <x v="2"/>
    <x v="80"/>
    <x v="6"/>
    <n v="152.13999999999999"/>
    <n v="0"/>
  </r>
  <r>
    <x v="2"/>
    <x v="81"/>
    <x v="12"/>
    <n v="550.29"/>
    <n v="0"/>
  </r>
  <r>
    <x v="2"/>
    <x v="81"/>
    <x v="6"/>
    <n v="-58.94"/>
    <n v="0"/>
  </r>
  <r>
    <x v="2"/>
    <x v="81"/>
    <x v="3"/>
    <n v="0"/>
    <n v="0"/>
  </r>
  <r>
    <x v="2"/>
    <x v="81"/>
    <x v="13"/>
    <n v="34.01"/>
    <n v="0"/>
  </r>
  <r>
    <x v="2"/>
    <x v="81"/>
    <x v="7"/>
    <n v="-280.38"/>
    <n v="0"/>
  </r>
  <r>
    <x v="2"/>
    <x v="81"/>
    <x v="4"/>
    <n v="0"/>
    <n v="0"/>
  </r>
  <r>
    <x v="2"/>
    <x v="82"/>
    <x v="4"/>
    <n v="393.29"/>
    <n v="0"/>
  </r>
  <r>
    <x v="2"/>
    <x v="82"/>
    <x v="2"/>
    <n v="205.2"/>
    <n v="0"/>
  </r>
  <r>
    <x v="2"/>
    <x v="82"/>
    <x v="9"/>
    <n v="74.73"/>
    <n v="0"/>
  </r>
  <r>
    <x v="2"/>
    <x v="83"/>
    <x v="12"/>
    <n v="-459.88"/>
    <n v="0"/>
  </r>
  <r>
    <x v="2"/>
    <x v="83"/>
    <x v="2"/>
    <n v="0"/>
    <n v="0"/>
  </r>
  <r>
    <x v="2"/>
    <x v="84"/>
    <x v="14"/>
    <n v="454.39"/>
    <n v="0"/>
  </r>
  <r>
    <x v="2"/>
    <x v="84"/>
    <x v="15"/>
    <n v="843.49"/>
    <n v="0"/>
  </r>
  <r>
    <x v="2"/>
    <x v="85"/>
    <x v="7"/>
    <n v="-569.71"/>
    <n v="0"/>
  </r>
  <r>
    <x v="2"/>
    <x v="85"/>
    <x v="2"/>
    <n v="0"/>
    <n v="0"/>
  </r>
  <r>
    <x v="2"/>
    <x v="85"/>
    <x v="7"/>
    <n v="0"/>
    <n v="-357.51"/>
  </r>
  <r>
    <x v="2"/>
    <x v="86"/>
    <x v="16"/>
    <n v="317.52999999999997"/>
    <n v="0"/>
  </r>
  <r>
    <x v="2"/>
    <x v="86"/>
    <x v="11"/>
    <n v="0"/>
    <n v="87.13"/>
  </r>
  <r>
    <x v="2"/>
    <x v="87"/>
    <x v="17"/>
    <n v="76.8"/>
    <n v="0"/>
  </r>
  <r>
    <x v="2"/>
    <x v="87"/>
    <x v="18"/>
    <n v="222.47"/>
    <n v="0"/>
  </r>
  <r>
    <x v="2"/>
    <x v="87"/>
    <x v="19"/>
    <n v="0"/>
    <n v="0"/>
  </r>
  <r>
    <x v="2"/>
    <x v="87"/>
    <x v="11"/>
    <n v="163.03"/>
    <n v="0"/>
  </r>
  <r>
    <x v="2"/>
    <x v="87"/>
    <x v="18"/>
    <n v="0"/>
    <n v="219.7"/>
  </r>
  <r>
    <x v="2"/>
    <x v="0"/>
    <x v="19"/>
    <n v="383.9"/>
    <n v="0"/>
  </r>
  <r>
    <x v="2"/>
    <x v="0"/>
    <x v="5"/>
    <n v="-590.88"/>
    <n v="0"/>
  </r>
  <r>
    <x v="2"/>
    <x v="0"/>
    <x v="15"/>
    <n v="0"/>
    <n v="0"/>
  </r>
  <r>
    <x v="2"/>
    <x v="0"/>
    <x v="20"/>
    <n v="0"/>
    <n v="0"/>
  </r>
  <r>
    <x v="2"/>
    <x v="0"/>
    <x v="5"/>
    <n v="0"/>
    <n v="-399.66"/>
  </r>
  <r>
    <x v="2"/>
    <x v="1"/>
    <x v="7"/>
    <n v="274.92"/>
    <n v="0"/>
  </r>
  <r>
    <x v="2"/>
    <x v="1"/>
    <x v="7"/>
    <n v="0"/>
    <n v="292.52"/>
  </r>
  <r>
    <x v="2"/>
    <x v="3"/>
    <x v="3"/>
    <n v="-327.39999999999998"/>
    <n v="0"/>
  </r>
  <r>
    <x v="2"/>
    <x v="4"/>
    <x v="18"/>
    <n v="-126.54"/>
    <n v="0"/>
  </r>
  <r>
    <x v="2"/>
    <x v="4"/>
    <x v="18"/>
    <n v="0"/>
    <n v="-110.6"/>
  </r>
  <r>
    <x v="2"/>
    <x v="8"/>
    <x v="0"/>
    <n v="751.52"/>
    <n v="0"/>
  </r>
  <r>
    <x v="2"/>
    <x v="8"/>
    <x v="0"/>
    <n v="0"/>
    <n v="-241.04"/>
  </r>
  <r>
    <x v="2"/>
    <x v="9"/>
    <x v="0"/>
    <n v="704.69"/>
    <n v="0"/>
  </r>
  <r>
    <x v="2"/>
    <x v="9"/>
    <x v="0"/>
    <n v="0"/>
    <n v="-1749.41"/>
  </r>
  <r>
    <x v="2"/>
    <x v="10"/>
    <x v="0"/>
    <n v="1888.24"/>
    <n v="0"/>
  </r>
  <r>
    <x v="2"/>
    <x v="10"/>
    <x v="0"/>
    <n v="0"/>
    <n v="-6380.65"/>
  </r>
  <r>
    <x v="2"/>
    <x v="11"/>
    <x v="0"/>
    <n v="2277.4499999999998"/>
    <n v="0"/>
  </r>
  <r>
    <x v="2"/>
    <x v="11"/>
    <x v="0"/>
    <n v="0"/>
    <n v="-9563.2199999999993"/>
  </r>
  <r>
    <x v="2"/>
    <x v="12"/>
    <x v="0"/>
    <n v="-11364.58"/>
    <n v="0"/>
  </r>
  <r>
    <x v="2"/>
    <x v="12"/>
    <x v="0"/>
    <n v="0"/>
    <n v="-9367.66"/>
  </r>
  <r>
    <x v="2"/>
    <x v="13"/>
    <x v="0"/>
    <n v="-10117.709999999999"/>
    <n v="0"/>
  </r>
  <r>
    <x v="2"/>
    <x v="13"/>
    <x v="0"/>
    <n v="0"/>
    <n v="-686.69"/>
  </r>
  <r>
    <x v="2"/>
    <x v="14"/>
    <x v="0"/>
    <n v="1016.08"/>
    <n v="0"/>
  </r>
  <r>
    <x v="2"/>
    <x v="14"/>
    <x v="0"/>
    <n v="0"/>
    <n v="-1433.69"/>
  </r>
  <r>
    <x v="2"/>
    <x v="15"/>
    <x v="0"/>
    <n v="804.41"/>
    <n v="0"/>
  </r>
  <r>
    <x v="2"/>
    <x v="15"/>
    <x v="0"/>
    <n v="0"/>
    <n v="-2038.5"/>
  </r>
  <r>
    <x v="2"/>
    <x v="16"/>
    <x v="0"/>
    <n v="321.81"/>
    <n v="0"/>
  </r>
  <r>
    <x v="2"/>
    <x v="16"/>
    <x v="0"/>
    <n v="0"/>
    <n v="-2144.09"/>
  </r>
  <r>
    <x v="2"/>
    <x v="17"/>
    <x v="0"/>
    <n v="0"/>
    <n v="-2193.5100000000002"/>
  </r>
  <r>
    <x v="2"/>
    <x v="17"/>
    <x v="0"/>
    <n v="361.81"/>
    <n v="0"/>
  </r>
  <r>
    <x v="2"/>
    <x v="18"/>
    <x v="0"/>
    <n v="0"/>
    <n v="-2659.73"/>
  </r>
  <r>
    <x v="2"/>
    <x v="18"/>
    <x v="0"/>
    <n v="412.72"/>
    <n v="0"/>
  </r>
  <r>
    <x v="2"/>
    <x v="19"/>
    <x v="0"/>
    <n v="-2666.94"/>
    <n v="0"/>
  </r>
  <r>
    <x v="2"/>
    <x v="19"/>
    <x v="0"/>
    <n v="0"/>
    <n v="-1338.84"/>
  </r>
  <r>
    <x v="2"/>
    <x v="20"/>
    <x v="0"/>
    <n v="-949.98"/>
    <n v="0"/>
  </r>
  <r>
    <x v="2"/>
    <x v="20"/>
    <x v="0"/>
    <n v="0"/>
    <n v="-485.76"/>
  </r>
  <r>
    <x v="2"/>
    <x v="21"/>
    <x v="0"/>
    <n v="260.45999999999998"/>
    <n v="0"/>
  </r>
  <r>
    <x v="2"/>
    <x v="21"/>
    <x v="0"/>
    <n v="0"/>
    <n v="-427.21"/>
  </r>
  <r>
    <x v="2"/>
    <x v="22"/>
    <x v="0"/>
    <n v="0"/>
    <n v="-1042.1099999999999"/>
  </r>
  <r>
    <x v="2"/>
    <x v="22"/>
    <x v="0"/>
    <n v="-432.99"/>
    <n v="0"/>
  </r>
  <r>
    <x v="3"/>
    <x v="51"/>
    <x v="20"/>
    <n v="0"/>
    <n v="-15.67"/>
  </r>
  <r>
    <x v="3"/>
    <x v="51"/>
    <x v="21"/>
    <n v="0"/>
    <n v="-19.13"/>
  </r>
  <r>
    <x v="3"/>
    <x v="51"/>
    <x v="20"/>
    <n v="14.05"/>
    <n v="0"/>
  </r>
  <r>
    <x v="3"/>
    <x v="51"/>
    <x v="2"/>
    <n v="97.31"/>
    <n v="0"/>
  </r>
  <r>
    <x v="3"/>
    <x v="51"/>
    <x v="2"/>
    <n v="0"/>
    <n v="-218"/>
  </r>
  <r>
    <x v="3"/>
    <x v="51"/>
    <x v="21"/>
    <n v="12.77"/>
    <n v="0"/>
  </r>
  <r>
    <x v="3"/>
    <x v="51"/>
    <x v="0"/>
    <n v="86.73"/>
    <n v="0"/>
  </r>
  <r>
    <x v="3"/>
    <x v="52"/>
    <x v="20"/>
    <n v="81.739999999999995"/>
    <n v="0"/>
  </r>
  <r>
    <x v="3"/>
    <x v="52"/>
    <x v="20"/>
    <n v="0"/>
    <n v="-151.26"/>
  </r>
  <r>
    <x v="3"/>
    <x v="52"/>
    <x v="2"/>
    <n v="0"/>
    <n v="-358.6"/>
  </r>
  <r>
    <x v="3"/>
    <x v="52"/>
    <x v="21"/>
    <n v="0"/>
    <n v="-154.76"/>
  </r>
  <r>
    <x v="3"/>
    <x v="52"/>
    <x v="2"/>
    <n v="176.15"/>
    <n v="0"/>
  </r>
  <r>
    <x v="3"/>
    <x v="53"/>
    <x v="2"/>
    <n v="0"/>
    <n v="-387.19"/>
  </r>
  <r>
    <x v="3"/>
    <x v="53"/>
    <x v="2"/>
    <n v="130.32"/>
    <n v="0"/>
  </r>
  <r>
    <x v="3"/>
    <x v="53"/>
    <x v="20"/>
    <n v="109.78"/>
    <n v="0"/>
  </r>
  <r>
    <x v="3"/>
    <x v="53"/>
    <x v="21"/>
    <n v="0"/>
    <n v="-80.77"/>
  </r>
  <r>
    <x v="3"/>
    <x v="53"/>
    <x v="20"/>
    <n v="0"/>
    <n v="-270.62"/>
  </r>
  <r>
    <x v="3"/>
    <x v="54"/>
    <x v="2"/>
    <n v="0"/>
    <n v="-589.82000000000005"/>
  </r>
  <r>
    <x v="3"/>
    <x v="54"/>
    <x v="21"/>
    <n v="0"/>
    <n v="-50.87"/>
  </r>
  <r>
    <x v="3"/>
    <x v="54"/>
    <x v="20"/>
    <n v="0"/>
    <n v="-1152.5"/>
  </r>
  <r>
    <x v="3"/>
    <x v="54"/>
    <x v="2"/>
    <n v="312.32"/>
    <n v="0"/>
  </r>
  <r>
    <x v="3"/>
    <x v="54"/>
    <x v="20"/>
    <n v="160.80000000000001"/>
    <n v="0"/>
  </r>
  <r>
    <x v="3"/>
    <x v="55"/>
    <x v="20"/>
    <n v="194.19"/>
    <n v="0"/>
  </r>
  <r>
    <x v="3"/>
    <x v="55"/>
    <x v="2"/>
    <n v="175.46"/>
    <n v="0"/>
  </r>
  <r>
    <x v="3"/>
    <x v="55"/>
    <x v="21"/>
    <n v="0"/>
    <n v="-37.590000000000003"/>
  </r>
  <r>
    <x v="3"/>
    <x v="55"/>
    <x v="20"/>
    <n v="0"/>
    <n v="-1005.12"/>
  </r>
  <r>
    <x v="3"/>
    <x v="55"/>
    <x v="2"/>
    <n v="0"/>
    <n v="-1243.4000000000001"/>
  </r>
  <r>
    <x v="3"/>
    <x v="56"/>
    <x v="2"/>
    <n v="177.75"/>
    <n v="0"/>
  </r>
  <r>
    <x v="3"/>
    <x v="56"/>
    <x v="20"/>
    <n v="0"/>
    <n v="-1129.02"/>
  </r>
  <r>
    <x v="3"/>
    <x v="56"/>
    <x v="20"/>
    <n v="117.66"/>
    <n v="0"/>
  </r>
  <r>
    <x v="3"/>
    <x v="56"/>
    <x v="2"/>
    <n v="0"/>
    <n v="-2131.69"/>
  </r>
  <r>
    <x v="3"/>
    <x v="56"/>
    <x v="21"/>
    <n v="0"/>
    <n v="-132.06"/>
  </r>
  <r>
    <x v="3"/>
    <x v="57"/>
    <x v="20"/>
    <n v="97.75"/>
    <n v="0"/>
  </r>
  <r>
    <x v="3"/>
    <x v="57"/>
    <x v="21"/>
    <n v="0"/>
    <n v="-164.54"/>
  </r>
  <r>
    <x v="3"/>
    <x v="57"/>
    <x v="2"/>
    <n v="171.17"/>
    <n v="0"/>
  </r>
  <r>
    <x v="3"/>
    <x v="57"/>
    <x v="2"/>
    <n v="0"/>
    <n v="-3385.26"/>
  </r>
  <r>
    <x v="3"/>
    <x v="57"/>
    <x v="20"/>
    <n v="0"/>
    <n v="-1618.87"/>
  </r>
  <r>
    <x v="3"/>
    <x v="58"/>
    <x v="2"/>
    <n v="392.77"/>
    <n v="0"/>
  </r>
  <r>
    <x v="3"/>
    <x v="58"/>
    <x v="20"/>
    <n v="0"/>
    <n v="-1169.8699999999999"/>
  </r>
  <r>
    <x v="3"/>
    <x v="58"/>
    <x v="2"/>
    <n v="0"/>
    <n v="-3935.53"/>
  </r>
  <r>
    <x v="3"/>
    <x v="58"/>
    <x v="20"/>
    <n v="194.58"/>
    <n v="0"/>
  </r>
  <r>
    <x v="3"/>
    <x v="58"/>
    <x v="21"/>
    <n v="0"/>
    <n v="-148.76"/>
  </r>
  <r>
    <x v="3"/>
    <x v="59"/>
    <x v="20"/>
    <n v="83.23"/>
    <n v="0"/>
  </r>
  <r>
    <x v="3"/>
    <x v="59"/>
    <x v="21"/>
    <n v="0"/>
    <n v="-165.55"/>
  </r>
  <r>
    <x v="3"/>
    <x v="59"/>
    <x v="2"/>
    <n v="0"/>
    <n v="-4390.3999999999996"/>
  </r>
  <r>
    <x v="3"/>
    <x v="59"/>
    <x v="20"/>
    <n v="0"/>
    <n v="-1124.8399999999999"/>
  </r>
  <r>
    <x v="3"/>
    <x v="59"/>
    <x v="2"/>
    <n v="199.93"/>
    <n v="0"/>
  </r>
  <r>
    <x v="3"/>
    <x v="60"/>
    <x v="20"/>
    <n v="172.42"/>
    <n v="0"/>
  </r>
  <r>
    <x v="3"/>
    <x v="60"/>
    <x v="2"/>
    <n v="267.16000000000003"/>
    <n v="0"/>
  </r>
  <r>
    <x v="3"/>
    <x v="60"/>
    <x v="20"/>
    <n v="0"/>
    <n v="-1232.4000000000001"/>
  </r>
  <r>
    <x v="3"/>
    <x v="60"/>
    <x v="2"/>
    <n v="0"/>
    <n v="-5605.83"/>
  </r>
  <r>
    <x v="3"/>
    <x v="60"/>
    <x v="21"/>
    <n v="0"/>
    <n v="-166.76"/>
  </r>
  <r>
    <x v="3"/>
    <x v="61"/>
    <x v="20"/>
    <n v="98.11"/>
    <n v="0"/>
  </r>
  <r>
    <x v="3"/>
    <x v="61"/>
    <x v="2"/>
    <n v="90.43"/>
    <n v="0"/>
  </r>
  <r>
    <x v="3"/>
    <x v="62"/>
    <x v="2"/>
    <n v="41.21"/>
    <n v="0"/>
  </r>
  <r>
    <x v="3"/>
    <x v="62"/>
    <x v="20"/>
    <n v="70.75"/>
    <n v="0"/>
  </r>
  <r>
    <x v="3"/>
    <x v="63"/>
    <x v="2"/>
    <n v="0"/>
    <n v="-6811.76"/>
  </r>
  <r>
    <x v="3"/>
    <x v="63"/>
    <x v="20"/>
    <n v="0"/>
    <n v="-1937.49"/>
  </r>
  <r>
    <x v="3"/>
    <x v="63"/>
    <x v="21"/>
    <n v="0"/>
    <n v="-94.9"/>
  </r>
  <r>
    <x v="3"/>
    <x v="63"/>
    <x v="20"/>
    <n v="55.41"/>
    <n v="0"/>
  </r>
  <r>
    <x v="3"/>
    <x v="63"/>
    <x v="2"/>
    <n v="130.94"/>
    <n v="0"/>
  </r>
  <r>
    <x v="3"/>
    <x v="64"/>
    <x v="21"/>
    <n v="0"/>
    <n v="-91.93"/>
  </r>
  <r>
    <x v="3"/>
    <x v="64"/>
    <x v="20"/>
    <n v="124.53"/>
    <n v="0"/>
  </r>
  <r>
    <x v="3"/>
    <x v="64"/>
    <x v="2"/>
    <n v="274.29000000000002"/>
    <n v="0"/>
  </r>
  <r>
    <x v="3"/>
    <x v="64"/>
    <x v="20"/>
    <n v="0"/>
    <n v="-1790.7"/>
  </r>
  <r>
    <x v="3"/>
    <x v="64"/>
    <x v="2"/>
    <n v="0"/>
    <n v="-5866.81"/>
  </r>
  <r>
    <x v="3"/>
    <x v="65"/>
    <x v="21"/>
    <n v="0"/>
    <n v="-75.72"/>
  </r>
  <r>
    <x v="3"/>
    <x v="65"/>
    <x v="2"/>
    <n v="139.97"/>
    <n v="0"/>
  </r>
  <r>
    <x v="3"/>
    <x v="65"/>
    <x v="2"/>
    <n v="0"/>
    <n v="-6122.46"/>
  </r>
  <r>
    <x v="3"/>
    <x v="65"/>
    <x v="20"/>
    <n v="0"/>
    <n v="-2327.19"/>
  </r>
  <r>
    <x v="3"/>
    <x v="65"/>
    <x v="20"/>
    <n v="154.5"/>
    <n v="0"/>
  </r>
  <r>
    <x v="3"/>
    <x v="66"/>
    <x v="20"/>
    <n v="0"/>
    <n v="-2034.3"/>
  </r>
  <r>
    <x v="3"/>
    <x v="66"/>
    <x v="20"/>
    <n v="169.33"/>
    <n v="0"/>
  </r>
  <r>
    <x v="3"/>
    <x v="66"/>
    <x v="2"/>
    <n v="0"/>
    <n v="-4318.2700000000004"/>
  </r>
  <r>
    <x v="3"/>
    <x v="66"/>
    <x v="21"/>
    <n v="0"/>
    <n v="-160.91999999999999"/>
  </r>
  <r>
    <x v="3"/>
    <x v="66"/>
    <x v="2"/>
    <n v="388.74"/>
    <n v="0"/>
  </r>
  <r>
    <x v="3"/>
    <x v="67"/>
    <x v="21"/>
    <n v="0"/>
    <n v="-168.31"/>
  </r>
  <r>
    <x v="3"/>
    <x v="67"/>
    <x v="20"/>
    <n v="171.58"/>
    <n v="0"/>
  </r>
  <r>
    <x v="3"/>
    <x v="67"/>
    <x v="2"/>
    <n v="0"/>
    <n v="-4298.4799999999996"/>
  </r>
  <r>
    <x v="3"/>
    <x v="67"/>
    <x v="2"/>
    <n v="349.1"/>
    <n v="0"/>
  </r>
  <r>
    <x v="3"/>
    <x v="67"/>
    <x v="20"/>
    <n v="0"/>
    <n v="-2972.54"/>
  </r>
  <r>
    <x v="3"/>
    <x v="68"/>
    <x v="21"/>
    <n v="0"/>
    <n v="-106.84"/>
  </r>
  <r>
    <x v="3"/>
    <x v="68"/>
    <x v="2"/>
    <n v="0"/>
    <n v="-4364.59"/>
  </r>
  <r>
    <x v="3"/>
    <x v="68"/>
    <x v="2"/>
    <n v="393.43"/>
    <n v="0"/>
  </r>
  <r>
    <x v="3"/>
    <x v="68"/>
    <x v="20"/>
    <n v="0"/>
    <n v="-1980.6"/>
  </r>
  <r>
    <x v="3"/>
    <x v="68"/>
    <x v="20"/>
    <n v="233.67"/>
    <n v="0"/>
  </r>
  <r>
    <x v="3"/>
    <x v="69"/>
    <x v="20"/>
    <n v="0"/>
    <n v="-3380.91"/>
  </r>
  <r>
    <x v="3"/>
    <x v="69"/>
    <x v="21"/>
    <n v="0"/>
    <n v="-94.19"/>
  </r>
  <r>
    <x v="3"/>
    <x v="69"/>
    <x v="2"/>
    <n v="0"/>
    <n v="-4151.4799999999996"/>
  </r>
  <r>
    <x v="3"/>
    <x v="69"/>
    <x v="20"/>
    <n v="142.81"/>
    <n v="0"/>
  </r>
  <r>
    <x v="3"/>
    <x v="69"/>
    <x v="2"/>
    <n v="197.65"/>
    <n v="0"/>
  </r>
  <r>
    <x v="3"/>
    <x v="70"/>
    <x v="21"/>
    <n v="0"/>
    <n v="-152.78"/>
  </r>
  <r>
    <x v="3"/>
    <x v="70"/>
    <x v="2"/>
    <n v="0"/>
    <n v="-4455.42"/>
  </r>
  <r>
    <x v="3"/>
    <x v="70"/>
    <x v="2"/>
    <n v="214.16"/>
    <n v="0"/>
  </r>
  <r>
    <x v="3"/>
    <x v="70"/>
    <x v="20"/>
    <n v="0"/>
    <n v="-2406.79"/>
  </r>
  <r>
    <x v="3"/>
    <x v="70"/>
    <x v="20"/>
    <n v="200.71"/>
    <n v="0"/>
  </r>
  <r>
    <x v="3"/>
    <x v="71"/>
    <x v="2"/>
    <n v="0"/>
    <n v="-4152.45"/>
  </r>
  <r>
    <x v="3"/>
    <x v="71"/>
    <x v="20"/>
    <n v="159.68"/>
    <n v="0"/>
  </r>
  <r>
    <x v="3"/>
    <x v="71"/>
    <x v="20"/>
    <n v="0"/>
    <n v="-2644.86"/>
  </r>
  <r>
    <x v="3"/>
    <x v="71"/>
    <x v="2"/>
    <n v="186.4"/>
    <n v="0"/>
  </r>
  <r>
    <x v="3"/>
    <x v="71"/>
    <x v="21"/>
    <n v="0"/>
    <n v="-139.51"/>
  </r>
  <r>
    <x v="3"/>
    <x v="72"/>
    <x v="20"/>
    <n v="108.69"/>
    <n v="0"/>
  </r>
  <r>
    <x v="3"/>
    <x v="72"/>
    <x v="20"/>
    <n v="0"/>
    <n v="-2332.84"/>
  </r>
  <r>
    <x v="3"/>
    <x v="72"/>
    <x v="2"/>
    <n v="0"/>
    <n v="-4992.4799999999996"/>
  </r>
  <r>
    <x v="3"/>
    <x v="72"/>
    <x v="2"/>
    <n v="144.05000000000001"/>
    <n v="0"/>
  </r>
  <r>
    <x v="3"/>
    <x v="72"/>
    <x v="21"/>
    <n v="0"/>
    <n v="-112.09"/>
  </r>
  <r>
    <x v="3"/>
    <x v="73"/>
    <x v="2"/>
    <n v="196.37"/>
    <n v="0"/>
  </r>
  <r>
    <x v="3"/>
    <x v="73"/>
    <x v="20"/>
    <n v="0"/>
    <n v="-2240.1"/>
  </r>
  <r>
    <x v="3"/>
    <x v="73"/>
    <x v="2"/>
    <n v="0"/>
    <n v="-4100.1499999999996"/>
  </r>
  <r>
    <x v="3"/>
    <x v="73"/>
    <x v="21"/>
    <n v="0"/>
    <n v="-102.2"/>
  </r>
  <r>
    <x v="3"/>
    <x v="73"/>
    <x v="20"/>
    <n v="64.13"/>
    <n v="0"/>
  </r>
  <r>
    <x v="3"/>
    <x v="74"/>
    <x v="2"/>
    <n v="153.01"/>
    <n v="0"/>
  </r>
  <r>
    <x v="3"/>
    <x v="74"/>
    <x v="21"/>
    <n v="0"/>
    <n v="-55.38"/>
  </r>
  <r>
    <x v="3"/>
    <x v="74"/>
    <x v="20"/>
    <n v="0"/>
    <n v="-2249.38"/>
  </r>
  <r>
    <x v="3"/>
    <x v="74"/>
    <x v="20"/>
    <n v="43.21"/>
    <n v="0"/>
  </r>
  <r>
    <x v="3"/>
    <x v="74"/>
    <x v="2"/>
    <n v="0"/>
    <n v="-4395.49"/>
  </r>
  <r>
    <x v="3"/>
    <x v="75"/>
    <x v="20"/>
    <n v="144.72"/>
    <n v="0"/>
  </r>
  <r>
    <x v="3"/>
    <x v="75"/>
    <x v="2"/>
    <n v="124.42"/>
    <n v="0"/>
  </r>
  <r>
    <x v="3"/>
    <x v="75"/>
    <x v="21"/>
    <n v="44.53"/>
    <n v="0"/>
  </r>
  <r>
    <x v="3"/>
    <x v="75"/>
    <x v="20"/>
    <n v="0"/>
    <n v="-2517.62"/>
  </r>
  <r>
    <x v="3"/>
    <x v="75"/>
    <x v="2"/>
    <n v="0"/>
    <n v="-4737.3900000000003"/>
  </r>
  <r>
    <x v="3"/>
    <x v="76"/>
    <x v="2"/>
    <n v="165.82"/>
    <n v="0"/>
  </r>
  <r>
    <x v="3"/>
    <x v="76"/>
    <x v="20"/>
    <n v="134"/>
    <n v="0"/>
  </r>
  <r>
    <x v="3"/>
    <x v="76"/>
    <x v="2"/>
    <n v="0"/>
    <n v="-5155.76"/>
  </r>
  <r>
    <x v="3"/>
    <x v="76"/>
    <x v="20"/>
    <n v="0"/>
    <n v="-2591.83"/>
  </r>
  <r>
    <x v="3"/>
    <x v="88"/>
    <x v="2"/>
    <n v="219.39"/>
    <n v="0"/>
  </r>
  <r>
    <x v="3"/>
    <x v="88"/>
    <x v="20"/>
    <n v="105.53"/>
    <n v="0"/>
  </r>
  <r>
    <x v="3"/>
    <x v="88"/>
    <x v="2"/>
    <n v="0"/>
    <n v="-4201.1499999999996"/>
  </r>
  <r>
    <x v="3"/>
    <x v="88"/>
    <x v="20"/>
    <n v="0"/>
    <n v="-2394.33"/>
  </r>
  <r>
    <x v="3"/>
    <x v="77"/>
    <x v="20"/>
    <n v="0"/>
    <n v="-2959.18"/>
  </r>
  <r>
    <x v="3"/>
    <x v="77"/>
    <x v="2"/>
    <n v="83.69"/>
    <n v="0"/>
  </r>
  <r>
    <x v="3"/>
    <x v="77"/>
    <x v="2"/>
    <n v="0"/>
    <n v="-4555.17"/>
  </r>
  <r>
    <x v="3"/>
    <x v="77"/>
    <x v="20"/>
    <n v="100.81"/>
    <n v="0"/>
  </r>
  <r>
    <x v="3"/>
    <x v="78"/>
    <x v="20"/>
    <n v="82.07"/>
    <n v="0"/>
  </r>
  <r>
    <x v="3"/>
    <x v="78"/>
    <x v="2"/>
    <n v="82.9"/>
    <n v="0"/>
  </r>
  <r>
    <x v="3"/>
    <x v="78"/>
    <x v="2"/>
    <n v="0"/>
    <n v="-4450.88"/>
  </r>
  <r>
    <x v="3"/>
    <x v="78"/>
    <x v="20"/>
    <n v="0"/>
    <n v="-2884.89"/>
  </r>
  <r>
    <x v="3"/>
    <x v="79"/>
    <x v="2"/>
    <n v="210.52"/>
    <n v="0"/>
  </r>
  <r>
    <x v="3"/>
    <x v="79"/>
    <x v="20"/>
    <n v="74.83"/>
    <n v="0"/>
  </r>
  <r>
    <x v="3"/>
    <x v="79"/>
    <x v="2"/>
    <n v="0"/>
    <n v="-4461.22"/>
  </r>
  <r>
    <x v="3"/>
    <x v="79"/>
    <x v="20"/>
    <n v="0"/>
    <n v="-3055.58"/>
  </r>
  <r>
    <x v="3"/>
    <x v="80"/>
    <x v="2"/>
    <n v="0"/>
    <n v="-4381.53"/>
  </r>
  <r>
    <x v="3"/>
    <x v="80"/>
    <x v="20"/>
    <n v="80.19"/>
    <n v="0"/>
  </r>
  <r>
    <x v="3"/>
    <x v="80"/>
    <x v="2"/>
    <n v="62.78"/>
    <n v="0"/>
  </r>
  <r>
    <x v="3"/>
    <x v="80"/>
    <x v="20"/>
    <n v="0"/>
    <n v="-3829.93"/>
  </r>
  <r>
    <x v="3"/>
    <x v="81"/>
    <x v="20"/>
    <n v="91.19"/>
    <n v="0"/>
  </r>
  <r>
    <x v="3"/>
    <x v="81"/>
    <x v="20"/>
    <n v="0"/>
    <n v="-4220.75"/>
  </r>
  <r>
    <x v="3"/>
    <x v="81"/>
    <x v="2"/>
    <n v="0"/>
    <n v="-4361"/>
  </r>
  <r>
    <x v="3"/>
    <x v="81"/>
    <x v="2"/>
    <n v="89.44"/>
    <n v="0"/>
  </r>
  <r>
    <x v="3"/>
    <x v="82"/>
    <x v="20"/>
    <n v="0"/>
    <n v="-5171.38"/>
  </r>
  <r>
    <x v="3"/>
    <x v="82"/>
    <x v="20"/>
    <n v="42.82"/>
    <n v="0"/>
  </r>
  <r>
    <x v="3"/>
    <x v="82"/>
    <x v="2"/>
    <n v="0"/>
    <n v="-4491.4799999999996"/>
  </r>
  <r>
    <x v="3"/>
    <x v="82"/>
    <x v="2"/>
    <n v="87.92"/>
    <n v="0"/>
  </r>
  <r>
    <x v="3"/>
    <x v="83"/>
    <x v="2"/>
    <n v="50.51"/>
    <n v="0"/>
  </r>
  <r>
    <x v="3"/>
    <x v="83"/>
    <x v="20"/>
    <n v="27.41"/>
    <n v="0"/>
  </r>
  <r>
    <x v="3"/>
    <x v="83"/>
    <x v="2"/>
    <n v="0"/>
    <n v="-4469.25"/>
  </r>
  <r>
    <x v="3"/>
    <x v="83"/>
    <x v="20"/>
    <n v="0"/>
    <n v="-4266.3100000000004"/>
  </r>
  <r>
    <x v="3"/>
    <x v="84"/>
    <x v="20"/>
    <n v="101.26"/>
    <n v="0"/>
  </r>
  <r>
    <x v="3"/>
    <x v="84"/>
    <x v="2"/>
    <n v="62.51"/>
    <n v="0"/>
  </r>
  <r>
    <x v="3"/>
    <x v="84"/>
    <x v="20"/>
    <n v="0"/>
    <n v="-4766.79"/>
  </r>
  <r>
    <x v="3"/>
    <x v="84"/>
    <x v="2"/>
    <n v="0"/>
    <n v="-4762.55"/>
  </r>
  <r>
    <x v="3"/>
    <x v="85"/>
    <x v="20"/>
    <n v="133.30000000000001"/>
    <n v="0"/>
  </r>
  <r>
    <x v="3"/>
    <x v="85"/>
    <x v="2"/>
    <n v="40.69"/>
    <n v="0"/>
  </r>
  <r>
    <x v="3"/>
    <x v="85"/>
    <x v="2"/>
    <n v="0"/>
    <n v="-4624.41"/>
  </r>
  <r>
    <x v="3"/>
    <x v="85"/>
    <x v="20"/>
    <n v="0"/>
    <n v="-8490.9599999999991"/>
  </r>
  <r>
    <x v="3"/>
    <x v="86"/>
    <x v="20"/>
    <n v="88.58"/>
    <n v="0"/>
  </r>
  <r>
    <x v="3"/>
    <x v="86"/>
    <x v="2"/>
    <n v="70.05"/>
    <n v="0"/>
  </r>
  <r>
    <x v="3"/>
    <x v="86"/>
    <x v="20"/>
    <n v="0"/>
    <n v="-8285.4699999999993"/>
  </r>
  <r>
    <x v="3"/>
    <x v="86"/>
    <x v="2"/>
    <n v="0"/>
    <n v="-4634.3"/>
  </r>
  <r>
    <x v="3"/>
    <x v="87"/>
    <x v="20"/>
    <n v="43.9"/>
    <n v="0"/>
  </r>
  <r>
    <x v="3"/>
    <x v="87"/>
    <x v="2"/>
    <n v="19.22"/>
    <n v="0"/>
  </r>
  <r>
    <x v="3"/>
    <x v="87"/>
    <x v="20"/>
    <n v="0"/>
    <n v="-7898.85"/>
  </r>
  <r>
    <x v="3"/>
    <x v="87"/>
    <x v="2"/>
    <n v="0"/>
    <n v="-4550.3999999999996"/>
  </r>
  <r>
    <x v="3"/>
    <x v="0"/>
    <x v="2"/>
    <n v="47.47"/>
    <n v="0"/>
  </r>
  <r>
    <x v="3"/>
    <x v="0"/>
    <x v="20"/>
    <n v="72.66"/>
    <n v="0"/>
  </r>
  <r>
    <x v="3"/>
    <x v="0"/>
    <x v="2"/>
    <n v="0"/>
    <n v="-4743.3900000000003"/>
  </r>
  <r>
    <x v="3"/>
    <x v="0"/>
    <x v="20"/>
    <n v="0"/>
    <n v="-11034.28"/>
  </r>
  <r>
    <x v="3"/>
    <x v="1"/>
    <x v="20"/>
    <n v="44.52"/>
    <n v="0"/>
  </r>
  <r>
    <x v="3"/>
    <x v="1"/>
    <x v="2"/>
    <n v="58.47"/>
    <n v="0"/>
  </r>
  <r>
    <x v="3"/>
    <x v="1"/>
    <x v="20"/>
    <n v="0"/>
    <n v="-9730.8700000000008"/>
  </r>
  <r>
    <x v="3"/>
    <x v="1"/>
    <x v="2"/>
    <n v="0"/>
    <n v="-4598.24"/>
  </r>
  <r>
    <x v="3"/>
    <x v="2"/>
    <x v="2"/>
    <n v="42.42"/>
    <n v="0"/>
  </r>
  <r>
    <x v="3"/>
    <x v="2"/>
    <x v="2"/>
    <n v="0"/>
    <n v="-4604.57"/>
  </r>
  <r>
    <x v="3"/>
    <x v="2"/>
    <x v="20"/>
    <n v="59.74"/>
    <n v="0"/>
  </r>
  <r>
    <x v="3"/>
    <x v="2"/>
    <x v="20"/>
    <n v="0"/>
    <n v="-11352.41"/>
  </r>
  <r>
    <x v="3"/>
    <x v="3"/>
    <x v="20"/>
    <n v="44.84"/>
    <n v="0"/>
  </r>
  <r>
    <x v="3"/>
    <x v="3"/>
    <x v="2"/>
    <n v="-4620.58"/>
    <n v="0"/>
  </r>
  <r>
    <x v="3"/>
    <x v="3"/>
    <x v="20"/>
    <n v="0"/>
    <n v="-11882.74"/>
  </r>
  <r>
    <x v="3"/>
    <x v="4"/>
    <x v="20"/>
    <n v="31.76"/>
    <n v="0"/>
  </r>
  <r>
    <x v="3"/>
    <x v="4"/>
    <x v="20"/>
    <n v="0"/>
    <n v="-9002.89"/>
  </r>
  <r>
    <x v="3"/>
    <x v="5"/>
    <x v="20"/>
    <n v="89.38"/>
    <n v="0"/>
  </r>
  <r>
    <x v="3"/>
    <x v="5"/>
    <x v="20"/>
    <n v="0"/>
    <n v="-8361.07"/>
  </r>
  <r>
    <x v="3"/>
    <x v="6"/>
    <x v="20"/>
    <n v="72.569999999999993"/>
    <n v="0"/>
  </r>
  <r>
    <x v="3"/>
    <x v="6"/>
    <x v="20"/>
    <n v="0"/>
    <n v="-7033.79"/>
  </r>
  <r>
    <x v="3"/>
    <x v="7"/>
    <x v="20"/>
    <n v="97.06"/>
    <n v="0"/>
  </r>
  <r>
    <x v="3"/>
    <x v="7"/>
    <x v="20"/>
    <n v="0"/>
    <n v="-8767.7000000000007"/>
  </r>
  <r>
    <x v="3"/>
    <x v="8"/>
    <x v="20"/>
    <n v="89.6"/>
    <n v="0"/>
  </r>
  <r>
    <x v="3"/>
    <x v="8"/>
    <x v="20"/>
    <n v="0"/>
    <n v="-11991.5"/>
  </r>
  <r>
    <x v="3"/>
    <x v="9"/>
    <x v="20"/>
    <n v="133.66999999999999"/>
    <n v="0"/>
  </r>
  <r>
    <x v="3"/>
    <x v="9"/>
    <x v="20"/>
    <n v="0"/>
    <n v="-11140.94"/>
  </r>
  <r>
    <x v="3"/>
    <x v="10"/>
    <x v="20"/>
    <n v="354.62"/>
    <n v="0"/>
  </r>
  <r>
    <x v="3"/>
    <x v="10"/>
    <x v="20"/>
    <n v="0"/>
    <n v="-9669.6"/>
  </r>
  <r>
    <x v="3"/>
    <x v="11"/>
    <x v="20"/>
    <n v="314.56"/>
    <n v="0"/>
  </r>
  <r>
    <x v="3"/>
    <x v="11"/>
    <x v="20"/>
    <n v="0"/>
    <n v="-9773.3799999999992"/>
  </r>
  <r>
    <x v="3"/>
    <x v="12"/>
    <x v="20"/>
    <n v="76.06"/>
    <n v="0"/>
  </r>
  <r>
    <x v="3"/>
    <x v="12"/>
    <x v="20"/>
    <n v="0"/>
    <n v="-17188.98"/>
  </r>
  <r>
    <x v="3"/>
    <x v="13"/>
    <x v="20"/>
    <n v="31.25"/>
    <n v="0"/>
  </r>
  <r>
    <x v="3"/>
    <x v="13"/>
    <x v="20"/>
    <n v="0"/>
    <n v="-15898.02"/>
  </r>
  <r>
    <x v="3"/>
    <x v="14"/>
    <x v="20"/>
    <n v="45.96"/>
    <n v="0"/>
  </r>
  <r>
    <x v="3"/>
    <x v="14"/>
    <x v="20"/>
    <n v="0"/>
    <n v="-15302.01"/>
  </r>
  <r>
    <x v="3"/>
    <x v="15"/>
    <x v="20"/>
    <n v="273"/>
    <n v="0"/>
  </r>
  <r>
    <x v="3"/>
    <x v="15"/>
    <x v="20"/>
    <n v="0"/>
    <n v="-12118.01"/>
  </r>
  <r>
    <x v="3"/>
    <x v="16"/>
    <x v="20"/>
    <n v="166.64"/>
    <n v="0"/>
  </r>
  <r>
    <x v="3"/>
    <x v="16"/>
    <x v="20"/>
    <n v="0"/>
    <n v="-14420.71"/>
  </r>
  <r>
    <x v="3"/>
    <x v="17"/>
    <x v="20"/>
    <n v="59.38"/>
    <n v="0"/>
  </r>
  <r>
    <x v="3"/>
    <x v="17"/>
    <x v="20"/>
    <n v="0"/>
    <n v="-15321.94"/>
  </r>
  <r>
    <x v="3"/>
    <x v="18"/>
    <x v="20"/>
    <n v="30.67"/>
    <n v="0"/>
  </r>
  <r>
    <x v="3"/>
    <x v="18"/>
    <x v="20"/>
    <n v="0"/>
    <n v="-15813.4"/>
  </r>
  <r>
    <x v="3"/>
    <x v="19"/>
    <x v="20"/>
    <n v="102.71"/>
    <n v="0"/>
  </r>
  <r>
    <x v="3"/>
    <x v="19"/>
    <x v="20"/>
    <n v="0"/>
    <n v="-9928.49"/>
  </r>
  <r>
    <x v="3"/>
    <x v="20"/>
    <x v="20"/>
    <n v="538.72"/>
    <n v="0"/>
  </r>
  <r>
    <x v="3"/>
    <x v="20"/>
    <x v="20"/>
    <n v="0"/>
    <n v="-12218.11"/>
  </r>
  <r>
    <x v="3"/>
    <x v="21"/>
    <x v="20"/>
    <n v="79.069999999999993"/>
    <n v="0"/>
  </r>
  <r>
    <x v="3"/>
    <x v="21"/>
    <x v="20"/>
    <n v="0"/>
    <n v="-11193.48"/>
  </r>
  <r>
    <x v="3"/>
    <x v="22"/>
    <x v="20"/>
    <n v="210.98"/>
    <n v="0"/>
  </r>
  <r>
    <x v="3"/>
    <x v="22"/>
    <x v="20"/>
    <n v="0"/>
    <n v="-13362.14"/>
  </r>
  <r>
    <x v="3"/>
    <x v="23"/>
    <x v="20"/>
    <n v="218.64"/>
    <n v="0"/>
  </r>
  <r>
    <x v="3"/>
    <x v="23"/>
    <x v="20"/>
    <n v="0"/>
    <n v="-12237.26"/>
  </r>
  <r>
    <x v="3"/>
    <x v="24"/>
    <x v="20"/>
    <n v="-11492.9"/>
    <n v="0"/>
  </r>
  <r>
    <x v="3"/>
    <x v="24"/>
    <x v="20"/>
    <n v="0"/>
    <n v="-10461.200000000001"/>
  </r>
  <r>
    <x v="4"/>
    <x v="73"/>
    <x v="2"/>
    <n v="268.14"/>
    <n v="0"/>
  </r>
  <r>
    <x v="4"/>
    <x v="73"/>
    <x v="0"/>
    <n v="845.24"/>
    <n v="0"/>
  </r>
  <r>
    <x v="4"/>
    <x v="73"/>
    <x v="18"/>
    <n v="904.94"/>
    <n v="0"/>
  </r>
  <r>
    <x v="4"/>
    <x v="73"/>
    <x v="16"/>
    <n v="988.36"/>
    <n v="0"/>
  </r>
  <r>
    <x v="4"/>
    <x v="73"/>
    <x v="2"/>
    <n v="0"/>
    <n v="-847.35"/>
  </r>
  <r>
    <x v="4"/>
    <x v="73"/>
    <x v="18"/>
    <n v="0"/>
    <n v="-549.16999999999996"/>
  </r>
  <r>
    <x v="4"/>
    <x v="73"/>
    <x v="0"/>
    <n v="0"/>
    <n v="-783.57"/>
  </r>
  <r>
    <x v="4"/>
    <x v="73"/>
    <x v="16"/>
    <n v="0"/>
    <n v="-2328.4299999999998"/>
  </r>
  <r>
    <x v="4"/>
    <x v="74"/>
    <x v="18"/>
    <n v="765.61"/>
    <n v="0"/>
  </r>
  <r>
    <x v="4"/>
    <x v="74"/>
    <x v="16"/>
    <n v="1293"/>
    <n v="0"/>
  </r>
  <r>
    <x v="4"/>
    <x v="74"/>
    <x v="18"/>
    <n v="0"/>
    <n v="-2453.88"/>
  </r>
  <r>
    <x v="4"/>
    <x v="74"/>
    <x v="0"/>
    <n v="662.73"/>
    <n v="0"/>
  </r>
  <r>
    <x v="4"/>
    <x v="74"/>
    <x v="2"/>
    <n v="255.18"/>
    <n v="0"/>
  </r>
  <r>
    <x v="4"/>
    <x v="74"/>
    <x v="0"/>
    <n v="0"/>
    <n v="-1885.58"/>
  </r>
  <r>
    <x v="4"/>
    <x v="74"/>
    <x v="16"/>
    <n v="0"/>
    <n v="-2715.77"/>
  </r>
  <r>
    <x v="4"/>
    <x v="74"/>
    <x v="2"/>
    <n v="0"/>
    <n v="-540.17999999999995"/>
  </r>
  <r>
    <x v="4"/>
    <x v="75"/>
    <x v="18"/>
    <n v="790.48"/>
    <n v="0"/>
  </r>
  <r>
    <x v="4"/>
    <x v="75"/>
    <x v="2"/>
    <n v="207.45"/>
    <n v="0"/>
  </r>
  <r>
    <x v="4"/>
    <x v="75"/>
    <x v="0"/>
    <n v="622.54"/>
    <n v="0"/>
  </r>
  <r>
    <x v="4"/>
    <x v="75"/>
    <x v="16"/>
    <n v="886.74"/>
    <n v="0"/>
  </r>
  <r>
    <x v="4"/>
    <x v="75"/>
    <x v="18"/>
    <n v="0"/>
    <n v="-8872.1299999999992"/>
  </r>
  <r>
    <x v="4"/>
    <x v="75"/>
    <x v="16"/>
    <n v="0"/>
    <n v="-7658.07"/>
  </r>
  <r>
    <x v="4"/>
    <x v="75"/>
    <x v="0"/>
    <n v="0"/>
    <n v="-2797.67"/>
  </r>
  <r>
    <x v="4"/>
    <x v="75"/>
    <x v="2"/>
    <n v="0"/>
    <n v="-634.13"/>
  </r>
  <r>
    <x v="4"/>
    <x v="76"/>
    <x v="0"/>
    <n v="533.69000000000005"/>
    <n v="0"/>
  </r>
  <r>
    <x v="4"/>
    <x v="76"/>
    <x v="16"/>
    <n v="602.99"/>
    <n v="0"/>
  </r>
  <r>
    <x v="4"/>
    <x v="76"/>
    <x v="18"/>
    <n v="869.26"/>
    <n v="0"/>
  </r>
  <r>
    <x v="4"/>
    <x v="76"/>
    <x v="2"/>
    <n v="289.54000000000002"/>
    <n v="0"/>
  </r>
  <r>
    <x v="4"/>
    <x v="76"/>
    <x v="18"/>
    <n v="0"/>
    <n v="-12393.72"/>
  </r>
  <r>
    <x v="4"/>
    <x v="76"/>
    <x v="16"/>
    <n v="0"/>
    <n v="-6906.77"/>
  </r>
  <r>
    <x v="4"/>
    <x v="76"/>
    <x v="0"/>
    <n v="0"/>
    <n v="-2390.61"/>
  </r>
  <r>
    <x v="4"/>
    <x v="76"/>
    <x v="2"/>
    <n v="0"/>
    <n v="-1010.97"/>
  </r>
  <r>
    <x v="4"/>
    <x v="88"/>
    <x v="16"/>
    <n v="341.52"/>
    <n v="0"/>
  </r>
  <r>
    <x v="4"/>
    <x v="88"/>
    <x v="2"/>
    <n v="365.86"/>
    <n v="0"/>
  </r>
  <r>
    <x v="4"/>
    <x v="88"/>
    <x v="18"/>
    <n v="811.49"/>
    <n v="0"/>
  </r>
  <r>
    <x v="4"/>
    <x v="88"/>
    <x v="0"/>
    <n v="627.67999999999995"/>
    <n v="0"/>
  </r>
  <r>
    <x v="4"/>
    <x v="88"/>
    <x v="0"/>
    <n v="0"/>
    <n v="-2534.61"/>
  </r>
  <r>
    <x v="4"/>
    <x v="88"/>
    <x v="2"/>
    <n v="0"/>
    <n v="-1160.96"/>
  </r>
  <r>
    <x v="4"/>
    <x v="88"/>
    <x v="16"/>
    <n v="0"/>
    <n v="-5883.47"/>
  </r>
  <r>
    <x v="4"/>
    <x v="88"/>
    <x v="18"/>
    <n v="0"/>
    <n v="-11955.21"/>
  </r>
  <r>
    <x v="4"/>
    <x v="77"/>
    <x v="2"/>
    <n v="139.58000000000001"/>
    <n v="0"/>
  </r>
  <r>
    <x v="4"/>
    <x v="77"/>
    <x v="18"/>
    <n v="404.94"/>
    <n v="0"/>
  </r>
  <r>
    <x v="4"/>
    <x v="77"/>
    <x v="18"/>
    <n v="0"/>
    <n v="-11697.65"/>
  </r>
  <r>
    <x v="4"/>
    <x v="77"/>
    <x v="0"/>
    <n v="524.91999999999996"/>
    <n v="0"/>
  </r>
  <r>
    <x v="4"/>
    <x v="77"/>
    <x v="16"/>
    <n v="1285.75"/>
    <n v="0"/>
  </r>
  <r>
    <x v="4"/>
    <x v="77"/>
    <x v="2"/>
    <n v="0"/>
    <n v="-859"/>
  </r>
  <r>
    <x v="4"/>
    <x v="77"/>
    <x v="0"/>
    <n v="0"/>
    <n v="-2520.54"/>
  </r>
  <r>
    <x v="4"/>
    <x v="77"/>
    <x v="16"/>
    <n v="0"/>
    <n v="-7948.65"/>
  </r>
  <r>
    <x v="4"/>
    <x v="78"/>
    <x v="2"/>
    <n v="138.26"/>
    <n v="0"/>
  </r>
  <r>
    <x v="4"/>
    <x v="78"/>
    <x v="0"/>
    <n v="412.65"/>
    <n v="0"/>
  </r>
  <r>
    <x v="4"/>
    <x v="78"/>
    <x v="16"/>
    <n v="985.63"/>
    <n v="0"/>
  </r>
  <r>
    <x v="4"/>
    <x v="78"/>
    <x v="18"/>
    <n v="369.55"/>
    <n v="0"/>
  </r>
  <r>
    <x v="4"/>
    <x v="78"/>
    <x v="2"/>
    <n v="0"/>
    <n v="-907.95"/>
  </r>
  <r>
    <x v="4"/>
    <x v="78"/>
    <x v="18"/>
    <n v="0"/>
    <n v="-9389.2999999999993"/>
  </r>
  <r>
    <x v="4"/>
    <x v="78"/>
    <x v="16"/>
    <n v="0"/>
    <n v="-7902.83"/>
  </r>
  <r>
    <x v="4"/>
    <x v="78"/>
    <x v="0"/>
    <n v="0"/>
    <n v="-1902.78"/>
  </r>
  <r>
    <x v="4"/>
    <x v="79"/>
    <x v="16"/>
    <n v="1351.77"/>
    <n v="0"/>
  </r>
  <r>
    <x v="4"/>
    <x v="79"/>
    <x v="0"/>
    <n v="308.82"/>
    <n v="0"/>
  </r>
  <r>
    <x v="4"/>
    <x v="79"/>
    <x v="18"/>
    <n v="687.78"/>
    <n v="0"/>
  </r>
  <r>
    <x v="4"/>
    <x v="79"/>
    <x v="2"/>
    <n v="350.97"/>
    <n v="0"/>
  </r>
  <r>
    <x v="4"/>
    <x v="79"/>
    <x v="16"/>
    <n v="0"/>
    <n v="-7902.83"/>
  </r>
  <r>
    <x v="4"/>
    <x v="79"/>
    <x v="0"/>
    <n v="0"/>
    <n v="-1902.78"/>
  </r>
  <r>
    <x v="4"/>
    <x v="79"/>
    <x v="18"/>
    <n v="0"/>
    <n v="-9389.2999999999993"/>
  </r>
  <r>
    <x v="4"/>
    <x v="79"/>
    <x v="2"/>
    <n v="0"/>
    <n v="-907.95"/>
  </r>
  <r>
    <x v="4"/>
    <x v="80"/>
    <x v="0"/>
    <n v="618.26"/>
    <n v="0"/>
  </r>
  <r>
    <x v="4"/>
    <x v="80"/>
    <x v="2"/>
    <n v="104.78"/>
    <n v="0"/>
  </r>
  <r>
    <x v="4"/>
    <x v="80"/>
    <x v="16"/>
    <n v="542.48"/>
    <n v="0"/>
  </r>
  <r>
    <x v="4"/>
    <x v="80"/>
    <x v="18"/>
    <n v="832.17"/>
    <n v="0"/>
  </r>
  <r>
    <x v="4"/>
    <x v="80"/>
    <x v="0"/>
    <n v="0"/>
    <n v="-2291.15"/>
  </r>
  <r>
    <x v="4"/>
    <x v="80"/>
    <x v="2"/>
    <n v="0"/>
    <n v="-1068.46"/>
  </r>
  <r>
    <x v="4"/>
    <x v="80"/>
    <x v="18"/>
    <n v="0"/>
    <n v="-15467.24"/>
  </r>
  <r>
    <x v="4"/>
    <x v="80"/>
    <x v="16"/>
    <n v="0"/>
    <n v="-9130.01"/>
  </r>
  <r>
    <x v="4"/>
    <x v="81"/>
    <x v="0"/>
    <n v="656.96"/>
    <n v="0"/>
  </r>
  <r>
    <x v="4"/>
    <x v="81"/>
    <x v="16"/>
    <n v="1112.8699999999999"/>
    <n v="0"/>
  </r>
  <r>
    <x v="4"/>
    <x v="81"/>
    <x v="18"/>
    <n v="454.15"/>
    <n v="0"/>
  </r>
  <r>
    <x v="4"/>
    <x v="81"/>
    <x v="2"/>
    <n v="149.22"/>
    <n v="0"/>
  </r>
  <r>
    <x v="4"/>
    <x v="81"/>
    <x v="0"/>
    <n v="0"/>
    <n v="-1974.37"/>
  </r>
  <r>
    <x v="4"/>
    <x v="81"/>
    <x v="16"/>
    <n v="0"/>
    <n v="-8687.14"/>
  </r>
  <r>
    <x v="4"/>
    <x v="81"/>
    <x v="18"/>
    <n v="0"/>
    <n v="-18257.87"/>
  </r>
  <r>
    <x v="4"/>
    <x v="81"/>
    <x v="2"/>
    <n v="0"/>
    <n v="-1297.3599999999999"/>
  </r>
  <r>
    <x v="4"/>
    <x v="82"/>
    <x v="16"/>
    <n v="702.75"/>
    <n v="0"/>
  </r>
  <r>
    <x v="4"/>
    <x v="82"/>
    <x v="2"/>
    <n v="159.19"/>
    <n v="0"/>
  </r>
  <r>
    <x v="4"/>
    <x v="82"/>
    <x v="18"/>
    <n v="389.78"/>
    <n v="0"/>
  </r>
  <r>
    <x v="4"/>
    <x v="82"/>
    <x v="0"/>
    <n v="181.66"/>
    <n v="0"/>
  </r>
  <r>
    <x v="4"/>
    <x v="82"/>
    <x v="2"/>
    <n v="0"/>
    <n v="-1077.8"/>
  </r>
  <r>
    <x v="4"/>
    <x v="82"/>
    <x v="16"/>
    <n v="0"/>
    <n v="-8789.1"/>
  </r>
  <r>
    <x v="4"/>
    <x v="82"/>
    <x v="18"/>
    <n v="0"/>
    <n v="-14463.21"/>
  </r>
  <r>
    <x v="4"/>
    <x v="82"/>
    <x v="0"/>
    <n v="0"/>
    <n v="-2984.65"/>
  </r>
  <r>
    <x v="4"/>
    <x v="83"/>
    <x v="2"/>
    <n v="84.2"/>
    <n v="0"/>
  </r>
  <r>
    <x v="4"/>
    <x v="83"/>
    <x v="0"/>
    <n v="467.68"/>
    <n v="0"/>
  </r>
  <r>
    <x v="4"/>
    <x v="83"/>
    <x v="16"/>
    <n v="723.65"/>
    <n v="0"/>
  </r>
  <r>
    <x v="4"/>
    <x v="83"/>
    <x v="18"/>
    <n v="376.37"/>
    <n v="0"/>
  </r>
  <r>
    <x v="4"/>
    <x v="83"/>
    <x v="2"/>
    <n v="0"/>
    <n v="-1197.49"/>
  </r>
  <r>
    <x v="4"/>
    <x v="83"/>
    <x v="0"/>
    <n v="0"/>
    <n v="-3189.54"/>
  </r>
  <r>
    <x v="4"/>
    <x v="83"/>
    <x v="16"/>
    <n v="0"/>
    <n v="-16976.43"/>
  </r>
  <r>
    <x v="4"/>
    <x v="83"/>
    <x v="18"/>
    <n v="0"/>
    <n v="-18337.740000000002"/>
  </r>
  <r>
    <x v="4"/>
    <x v="84"/>
    <x v="16"/>
    <n v="338.03"/>
    <n v="0"/>
  </r>
  <r>
    <x v="4"/>
    <x v="84"/>
    <x v="0"/>
    <n v="484.51"/>
    <n v="0"/>
  </r>
  <r>
    <x v="4"/>
    <x v="84"/>
    <x v="2"/>
    <n v="104.23"/>
    <n v="0"/>
  </r>
  <r>
    <x v="4"/>
    <x v="84"/>
    <x v="18"/>
    <n v="930.43"/>
    <n v="0"/>
  </r>
  <r>
    <x v="4"/>
    <x v="84"/>
    <x v="0"/>
    <n v="0"/>
    <n v="-3883.05"/>
  </r>
  <r>
    <x v="4"/>
    <x v="84"/>
    <x v="16"/>
    <n v="0"/>
    <n v="-16261.43"/>
  </r>
  <r>
    <x v="4"/>
    <x v="84"/>
    <x v="18"/>
    <n v="0"/>
    <n v="-19701.68"/>
  </r>
  <r>
    <x v="4"/>
    <x v="84"/>
    <x v="2"/>
    <n v="0"/>
    <n v="-991.8"/>
  </r>
  <r>
    <x v="4"/>
    <x v="85"/>
    <x v="16"/>
    <n v="346.13"/>
    <n v="0"/>
  </r>
  <r>
    <x v="4"/>
    <x v="85"/>
    <x v="18"/>
    <n v="438.21"/>
    <n v="0"/>
  </r>
  <r>
    <x v="4"/>
    <x v="85"/>
    <x v="0"/>
    <n v="719.71"/>
    <n v="0"/>
  </r>
  <r>
    <x v="4"/>
    <x v="85"/>
    <x v="2"/>
    <n v="67.87"/>
    <n v="0"/>
  </r>
  <r>
    <x v="4"/>
    <x v="85"/>
    <x v="16"/>
    <n v="0"/>
    <n v="-12865.79"/>
  </r>
  <r>
    <x v="4"/>
    <x v="85"/>
    <x v="18"/>
    <n v="0"/>
    <n v="-28935.47"/>
  </r>
  <r>
    <x v="4"/>
    <x v="85"/>
    <x v="2"/>
    <n v="0"/>
    <n v="-1094.45"/>
  </r>
  <r>
    <x v="4"/>
    <x v="85"/>
    <x v="0"/>
    <n v="0"/>
    <n v="-2904.79"/>
  </r>
  <r>
    <x v="4"/>
    <x v="86"/>
    <x v="16"/>
    <n v="918.5"/>
    <n v="0"/>
  </r>
  <r>
    <x v="4"/>
    <x v="86"/>
    <x v="0"/>
    <n v="176.28"/>
    <n v="0"/>
  </r>
  <r>
    <x v="4"/>
    <x v="86"/>
    <x v="2"/>
    <n v="116.75"/>
    <n v="0"/>
  </r>
  <r>
    <x v="4"/>
    <x v="86"/>
    <x v="18"/>
    <n v="254.09"/>
    <n v="0"/>
  </r>
  <r>
    <x v="4"/>
    <x v="86"/>
    <x v="18"/>
    <n v="0"/>
    <n v="-25935.89"/>
  </r>
  <r>
    <x v="4"/>
    <x v="86"/>
    <x v="0"/>
    <n v="0"/>
    <n v="-2880.65"/>
  </r>
  <r>
    <x v="4"/>
    <x v="86"/>
    <x v="16"/>
    <n v="0"/>
    <n v="-11287.45"/>
  </r>
  <r>
    <x v="4"/>
    <x v="86"/>
    <x v="2"/>
    <n v="0"/>
    <n v="-1098.5899999999999"/>
  </r>
  <r>
    <x v="4"/>
    <x v="87"/>
    <x v="0"/>
    <n v="364.18"/>
    <n v="0"/>
  </r>
  <r>
    <x v="4"/>
    <x v="87"/>
    <x v="16"/>
    <n v="617.76"/>
    <n v="0"/>
  </r>
  <r>
    <x v="4"/>
    <x v="87"/>
    <x v="18"/>
    <n v="380.53"/>
    <n v="0"/>
  </r>
  <r>
    <x v="4"/>
    <x v="87"/>
    <x v="2"/>
    <n v="32.159999999999997"/>
    <n v="0"/>
  </r>
  <r>
    <x v="4"/>
    <x v="87"/>
    <x v="0"/>
    <n v="0"/>
    <n v="-3300.09"/>
  </r>
  <r>
    <x v="4"/>
    <x v="87"/>
    <x v="16"/>
    <n v="0"/>
    <n v="-11287.57"/>
  </r>
  <r>
    <x v="4"/>
    <x v="87"/>
    <x v="18"/>
    <n v="0"/>
    <n v="-27084.01"/>
  </r>
  <r>
    <x v="4"/>
    <x v="87"/>
    <x v="2"/>
    <n v="0"/>
    <n v="-1505.65"/>
  </r>
  <r>
    <x v="4"/>
    <x v="0"/>
    <x v="18"/>
    <n v="454.51"/>
    <n v="0"/>
  </r>
  <r>
    <x v="4"/>
    <x v="0"/>
    <x v="0"/>
    <n v="333.28"/>
    <n v="0"/>
  </r>
  <r>
    <x v="4"/>
    <x v="0"/>
    <x v="2"/>
    <n v="79.03"/>
    <n v="0"/>
  </r>
  <r>
    <x v="4"/>
    <x v="0"/>
    <x v="16"/>
    <n v="541.84"/>
    <n v="0"/>
  </r>
  <r>
    <x v="4"/>
    <x v="0"/>
    <x v="18"/>
    <n v="0"/>
    <n v="-25638.98"/>
  </r>
  <r>
    <x v="4"/>
    <x v="0"/>
    <x v="0"/>
    <n v="0"/>
    <n v="-3276.91"/>
  </r>
  <r>
    <x v="4"/>
    <x v="0"/>
    <x v="2"/>
    <n v="0"/>
    <n v="-1152.54"/>
  </r>
  <r>
    <x v="4"/>
    <x v="0"/>
    <x v="16"/>
    <n v="0"/>
    <n v="-11440.07"/>
  </r>
  <r>
    <x v="4"/>
    <x v="1"/>
    <x v="0"/>
    <n v="534.28"/>
    <n v="0"/>
  </r>
  <r>
    <x v="4"/>
    <x v="1"/>
    <x v="16"/>
    <n v="343.21"/>
    <n v="0"/>
  </r>
  <r>
    <x v="4"/>
    <x v="1"/>
    <x v="2"/>
    <n v="98.98"/>
    <n v="0"/>
  </r>
  <r>
    <x v="4"/>
    <x v="1"/>
    <x v="18"/>
    <n v="308.66000000000003"/>
    <n v="0"/>
  </r>
  <r>
    <x v="4"/>
    <x v="1"/>
    <x v="0"/>
    <n v="0"/>
    <n v="-3157.66"/>
  </r>
  <r>
    <x v="4"/>
    <x v="1"/>
    <x v="18"/>
    <n v="0"/>
    <n v="-27048.16"/>
  </r>
  <r>
    <x v="4"/>
    <x v="1"/>
    <x v="16"/>
    <n v="0"/>
    <n v="-373.53"/>
  </r>
  <r>
    <x v="4"/>
    <x v="1"/>
    <x v="2"/>
    <n v="0"/>
    <n v="-1589.89"/>
  </r>
  <r>
    <x v="4"/>
    <x v="2"/>
    <x v="16"/>
    <n v="3080.93"/>
    <n v="0"/>
  </r>
  <r>
    <x v="4"/>
    <x v="2"/>
    <x v="2"/>
    <n v="70.67"/>
    <n v="0"/>
  </r>
  <r>
    <x v="4"/>
    <x v="2"/>
    <x v="0"/>
    <n v="278.33999999999997"/>
    <n v="0"/>
  </r>
  <r>
    <x v="4"/>
    <x v="2"/>
    <x v="18"/>
    <n v="411.43"/>
    <n v="0"/>
  </r>
  <r>
    <x v="4"/>
    <x v="2"/>
    <x v="0"/>
    <n v="0"/>
    <n v="-3319.41"/>
  </r>
  <r>
    <x v="4"/>
    <x v="2"/>
    <x v="18"/>
    <n v="0"/>
    <n v="-31166.560000000001"/>
  </r>
  <r>
    <x v="4"/>
    <x v="2"/>
    <x v="16"/>
    <n v="0"/>
    <n v="-638.05999999999995"/>
  </r>
  <r>
    <x v="4"/>
    <x v="2"/>
    <x v="2"/>
    <n v="0"/>
    <n v="-1565.43"/>
  </r>
  <r>
    <x v="4"/>
    <x v="3"/>
    <x v="16"/>
    <n v="1177.01"/>
    <n v="0"/>
  </r>
  <r>
    <x v="4"/>
    <x v="3"/>
    <x v="2"/>
    <n v="28.19"/>
    <n v="0"/>
  </r>
  <r>
    <x v="4"/>
    <x v="3"/>
    <x v="0"/>
    <n v="329.69"/>
    <n v="0"/>
  </r>
  <r>
    <x v="4"/>
    <x v="3"/>
    <x v="18"/>
    <n v="448.34"/>
    <n v="0"/>
  </r>
  <r>
    <x v="4"/>
    <x v="3"/>
    <x v="16"/>
    <n v="0"/>
    <n v="-952.88"/>
  </r>
  <r>
    <x v="4"/>
    <x v="3"/>
    <x v="0"/>
    <n v="0"/>
    <n v="-4853.8900000000003"/>
  </r>
  <r>
    <x v="4"/>
    <x v="3"/>
    <x v="2"/>
    <n v="0"/>
    <n v="-1294.04"/>
  </r>
  <r>
    <x v="4"/>
    <x v="3"/>
    <x v="18"/>
    <n v="0"/>
    <n v="-36702.29"/>
  </r>
  <r>
    <x v="4"/>
    <x v="4"/>
    <x v="16"/>
    <n v="1014.75"/>
    <n v="0"/>
  </r>
  <r>
    <x v="4"/>
    <x v="4"/>
    <x v="18"/>
    <n v="289.58"/>
    <n v="0"/>
  </r>
  <r>
    <x v="4"/>
    <x v="4"/>
    <x v="2"/>
    <n v="137.03"/>
    <n v="0"/>
  </r>
  <r>
    <x v="4"/>
    <x v="4"/>
    <x v="0"/>
    <n v="196.93"/>
    <n v="0"/>
  </r>
  <r>
    <x v="4"/>
    <x v="4"/>
    <x v="16"/>
    <n v="0"/>
    <n v="-1703.03"/>
  </r>
  <r>
    <x v="4"/>
    <x v="4"/>
    <x v="18"/>
    <n v="0"/>
    <n v="-32048.880000000001"/>
  </r>
  <r>
    <x v="4"/>
    <x v="4"/>
    <x v="2"/>
    <n v="0"/>
    <n v="-1076.6400000000001"/>
  </r>
  <r>
    <x v="4"/>
    <x v="4"/>
    <x v="0"/>
    <n v="0"/>
    <n v="-3861.94"/>
  </r>
  <r>
    <x v="4"/>
    <x v="5"/>
    <x v="16"/>
    <n v="552.15"/>
    <n v="0"/>
  </r>
  <r>
    <x v="4"/>
    <x v="5"/>
    <x v="2"/>
    <n v="296.2"/>
    <n v="0"/>
  </r>
  <r>
    <x v="4"/>
    <x v="5"/>
    <x v="18"/>
    <n v="418.81"/>
    <n v="0"/>
  </r>
  <r>
    <x v="4"/>
    <x v="5"/>
    <x v="0"/>
    <n v="585.13"/>
    <n v="0"/>
  </r>
  <r>
    <x v="4"/>
    <x v="5"/>
    <x v="2"/>
    <n v="0"/>
    <n v="-1267.05"/>
  </r>
  <r>
    <x v="4"/>
    <x v="5"/>
    <x v="16"/>
    <n v="0"/>
    <n v="-1307.77"/>
  </r>
  <r>
    <x v="4"/>
    <x v="5"/>
    <x v="18"/>
    <n v="0"/>
    <n v="-31108"/>
  </r>
  <r>
    <x v="4"/>
    <x v="5"/>
    <x v="0"/>
    <n v="0"/>
    <n v="-4698"/>
  </r>
  <r>
    <x v="4"/>
    <x v="6"/>
    <x v="2"/>
    <n v="-1198.1600000000001"/>
    <n v="0"/>
  </r>
  <r>
    <x v="4"/>
    <x v="6"/>
    <x v="0"/>
    <n v="477.66"/>
    <n v="0"/>
  </r>
  <r>
    <x v="4"/>
    <x v="6"/>
    <x v="18"/>
    <n v="221.53"/>
    <n v="0"/>
  </r>
  <r>
    <x v="4"/>
    <x v="6"/>
    <x v="16"/>
    <n v="662.25"/>
    <n v="0"/>
  </r>
  <r>
    <x v="4"/>
    <x v="6"/>
    <x v="18"/>
    <n v="0"/>
    <n v="-13371.98"/>
  </r>
  <r>
    <x v="4"/>
    <x v="7"/>
    <x v="0"/>
    <n v="619.30999999999995"/>
    <n v="0"/>
  </r>
  <r>
    <x v="4"/>
    <x v="7"/>
    <x v="16"/>
    <n v="1479.39"/>
    <n v="0"/>
  </r>
  <r>
    <x v="4"/>
    <x v="7"/>
    <x v="18"/>
    <n v="437.3"/>
    <n v="0"/>
  </r>
  <r>
    <x v="4"/>
    <x v="7"/>
    <x v="18"/>
    <n v="0"/>
    <n v="-42696.81"/>
  </r>
  <r>
    <x v="4"/>
    <x v="7"/>
    <x v="16"/>
    <n v="0"/>
    <n v="-3904.79"/>
  </r>
  <r>
    <x v="4"/>
    <x v="7"/>
    <x v="0"/>
    <n v="0"/>
    <n v="-3745.57"/>
  </r>
  <r>
    <x v="4"/>
    <x v="8"/>
    <x v="16"/>
    <n v="546.17999999999995"/>
    <n v="0"/>
  </r>
  <r>
    <x v="4"/>
    <x v="8"/>
    <x v="0"/>
    <n v="451.19"/>
    <n v="0"/>
  </r>
  <r>
    <x v="4"/>
    <x v="8"/>
    <x v="18"/>
    <n v="392.83"/>
    <n v="0"/>
  </r>
  <r>
    <x v="4"/>
    <x v="8"/>
    <x v="0"/>
    <n v="0"/>
    <n v="-4440.4799999999996"/>
  </r>
  <r>
    <x v="4"/>
    <x v="8"/>
    <x v="16"/>
    <n v="0"/>
    <n v="-3190.42"/>
  </r>
  <r>
    <x v="4"/>
    <x v="8"/>
    <x v="18"/>
    <n v="0"/>
    <n v="-51598.55"/>
  </r>
  <r>
    <x v="4"/>
    <x v="9"/>
    <x v="18"/>
    <n v="405.28"/>
    <n v="0"/>
  </r>
  <r>
    <x v="4"/>
    <x v="9"/>
    <x v="0"/>
    <n v="417.41"/>
    <n v="0"/>
  </r>
  <r>
    <x v="4"/>
    <x v="9"/>
    <x v="18"/>
    <n v="0"/>
    <n v="-67080.87"/>
  </r>
  <r>
    <x v="4"/>
    <x v="9"/>
    <x v="16"/>
    <n v="2316.64"/>
    <n v="0"/>
  </r>
  <r>
    <x v="4"/>
    <x v="9"/>
    <x v="0"/>
    <n v="0"/>
    <n v="-3285.48"/>
  </r>
  <r>
    <x v="4"/>
    <x v="9"/>
    <x v="16"/>
    <n v="0"/>
    <n v="-6805.6"/>
  </r>
  <r>
    <x v="4"/>
    <x v="10"/>
    <x v="0"/>
    <n v="978.15"/>
    <n v="0"/>
  </r>
  <r>
    <x v="4"/>
    <x v="10"/>
    <x v="16"/>
    <n v="6686.38"/>
    <n v="0"/>
  </r>
  <r>
    <x v="4"/>
    <x v="10"/>
    <x v="18"/>
    <n v="264.08999999999997"/>
    <n v="0"/>
  </r>
  <r>
    <x v="4"/>
    <x v="10"/>
    <x v="16"/>
    <n v="0"/>
    <n v="-20729.23"/>
  </r>
  <r>
    <x v="4"/>
    <x v="10"/>
    <x v="0"/>
    <n v="0"/>
    <n v="-5840.44"/>
  </r>
  <r>
    <x v="4"/>
    <x v="10"/>
    <x v="18"/>
    <n v="0"/>
    <n v="-42547.37"/>
  </r>
  <r>
    <x v="4"/>
    <x v="11"/>
    <x v="0"/>
    <n v="1297.75"/>
    <n v="0"/>
  </r>
  <r>
    <x v="4"/>
    <x v="11"/>
    <x v="18"/>
    <n v="705.21"/>
    <n v="0"/>
  </r>
  <r>
    <x v="4"/>
    <x v="11"/>
    <x v="16"/>
    <n v="908.16"/>
    <n v="0"/>
  </r>
  <r>
    <x v="4"/>
    <x v="11"/>
    <x v="16"/>
    <n v="0"/>
    <n v="-25173.43"/>
  </r>
  <r>
    <x v="4"/>
    <x v="11"/>
    <x v="0"/>
    <n v="0"/>
    <n v="-7401.56"/>
  </r>
  <r>
    <x v="4"/>
    <x v="11"/>
    <x v="18"/>
    <n v="0"/>
    <n v="-42010.67"/>
  </r>
  <r>
    <x v="4"/>
    <x v="12"/>
    <x v="0"/>
    <n v="946.78"/>
    <n v="0"/>
  </r>
  <r>
    <x v="4"/>
    <x v="12"/>
    <x v="16"/>
    <n v="853.73"/>
    <n v="0"/>
  </r>
  <r>
    <x v="4"/>
    <x v="12"/>
    <x v="18"/>
    <n v="480.63"/>
    <n v="0"/>
  </r>
  <r>
    <x v="4"/>
    <x v="12"/>
    <x v="18"/>
    <n v="0"/>
    <n v="-39562.410000000003"/>
  </r>
  <r>
    <x v="4"/>
    <x v="12"/>
    <x v="16"/>
    <n v="0"/>
    <n v="-24959.599999999999"/>
  </r>
  <r>
    <x v="4"/>
    <x v="12"/>
    <x v="0"/>
    <n v="0"/>
    <n v="-17824.03"/>
  </r>
  <r>
    <x v="4"/>
    <x v="13"/>
    <x v="16"/>
    <n v="527.66999999999996"/>
    <n v="0"/>
  </r>
  <r>
    <x v="4"/>
    <x v="13"/>
    <x v="18"/>
    <n v="417.55"/>
    <n v="0"/>
  </r>
  <r>
    <x v="4"/>
    <x v="13"/>
    <x v="0"/>
    <n v="476.08"/>
    <n v="0"/>
  </r>
  <r>
    <x v="4"/>
    <x v="13"/>
    <x v="16"/>
    <n v="0"/>
    <n v="-33613.32"/>
  </r>
  <r>
    <x v="4"/>
    <x v="13"/>
    <x v="0"/>
    <n v="0"/>
    <n v="-15658.76"/>
  </r>
  <r>
    <x v="4"/>
    <x v="13"/>
    <x v="18"/>
    <n v="0"/>
    <n v="-40276.46"/>
  </r>
  <r>
    <x v="4"/>
    <x v="14"/>
    <x v="18"/>
    <n v="-1736.46"/>
    <n v="0"/>
  </r>
  <r>
    <x v="4"/>
    <x v="14"/>
    <x v="16"/>
    <n v="601.38"/>
    <n v="0"/>
  </r>
  <r>
    <x v="4"/>
    <x v="14"/>
    <x v="0"/>
    <n v="359.76"/>
    <n v="0"/>
  </r>
  <r>
    <x v="4"/>
    <x v="14"/>
    <x v="18"/>
    <n v="0"/>
    <n v="-36539.760000000002"/>
  </r>
  <r>
    <x v="4"/>
    <x v="14"/>
    <x v="16"/>
    <n v="0"/>
    <n v="-24718.33"/>
  </r>
  <r>
    <x v="4"/>
    <x v="14"/>
    <x v="0"/>
    <n v="0"/>
    <n v="-15785.67"/>
  </r>
  <r>
    <x v="4"/>
    <x v="15"/>
    <x v="16"/>
    <n v="856.73"/>
    <n v="0"/>
  </r>
  <r>
    <x v="4"/>
    <x v="15"/>
    <x v="0"/>
    <n v="2214.6999999999998"/>
    <n v="0"/>
  </r>
  <r>
    <x v="4"/>
    <x v="15"/>
    <x v="0"/>
    <n v="0"/>
    <n v="-11806.5"/>
  </r>
  <r>
    <x v="4"/>
    <x v="15"/>
    <x v="18"/>
    <n v="936.37"/>
    <n v="0"/>
  </r>
  <r>
    <x v="4"/>
    <x v="15"/>
    <x v="16"/>
    <n v="0"/>
    <n v="-21335.3"/>
  </r>
  <r>
    <x v="4"/>
    <x v="15"/>
    <x v="18"/>
    <n v="0"/>
    <n v="-35425.03"/>
  </r>
  <r>
    <x v="4"/>
    <x v="16"/>
    <x v="18"/>
    <n v="870.08"/>
    <n v="0"/>
  </r>
  <r>
    <x v="4"/>
    <x v="16"/>
    <x v="0"/>
    <n v="819.47"/>
    <n v="0"/>
  </r>
  <r>
    <x v="4"/>
    <x v="16"/>
    <x v="16"/>
    <n v="488.24"/>
    <n v="0"/>
  </r>
  <r>
    <x v="4"/>
    <x v="16"/>
    <x v="0"/>
    <n v="0"/>
    <n v="-14278.59"/>
  </r>
  <r>
    <x v="4"/>
    <x v="16"/>
    <x v="16"/>
    <n v="0"/>
    <n v="-22775.48"/>
  </r>
  <r>
    <x v="4"/>
    <x v="16"/>
    <x v="18"/>
    <n v="0"/>
    <n v="-38599.51"/>
  </r>
  <r>
    <x v="4"/>
    <x v="17"/>
    <x v="18"/>
    <n v="818.98"/>
    <n v="0"/>
  </r>
  <r>
    <x v="4"/>
    <x v="17"/>
    <x v="0"/>
    <n v="1379.78"/>
    <n v="0"/>
  </r>
  <r>
    <x v="4"/>
    <x v="17"/>
    <x v="16"/>
    <n v="1014.89"/>
    <n v="0"/>
  </r>
  <r>
    <x v="4"/>
    <x v="17"/>
    <x v="16"/>
    <n v="0"/>
    <n v="-39158.11"/>
  </r>
  <r>
    <x v="4"/>
    <x v="17"/>
    <x v="0"/>
    <n v="0"/>
    <n v="-14685.24"/>
  </r>
  <r>
    <x v="4"/>
    <x v="17"/>
    <x v="18"/>
    <n v="0"/>
    <n v="-43598.43"/>
  </r>
  <r>
    <x v="4"/>
    <x v="18"/>
    <x v="0"/>
    <n v="68.39"/>
    <n v="0"/>
  </r>
  <r>
    <x v="4"/>
    <x v="18"/>
    <x v="18"/>
    <n v="48.38"/>
    <n v="0"/>
  </r>
  <r>
    <x v="4"/>
    <x v="18"/>
    <x v="16"/>
    <n v="46.83"/>
    <n v="0"/>
  </r>
  <r>
    <x v="4"/>
    <x v="18"/>
    <x v="16"/>
    <n v="0"/>
    <n v="-37889.08"/>
  </r>
  <r>
    <x v="4"/>
    <x v="18"/>
    <x v="18"/>
    <n v="0"/>
    <n v="-37837.75"/>
  </r>
  <r>
    <x v="4"/>
    <x v="18"/>
    <x v="0"/>
    <n v="0"/>
    <n v="-13029.85"/>
  </r>
  <r>
    <x v="4"/>
    <x v="19"/>
    <x v="0"/>
    <n v="1205.24"/>
    <n v="0"/>
  </r>
  <r>
    <x v="4"/>
    <x v="19"/>
    <x v="16"/>
    <n v="776.03"/>
    <n v="0"/>
  </r>
  <r>
    <x v="4"/>
    <x v="19"/>
    <x v="18"/>
    <n v="368.5"/>
    <n v="0"/>
  </r>
  <r>
    <x v="4"/>
    <x v="19"/>
    <x v="0"/>
    <n v="0"/>
    <n v="-3631.78"/>
  </r>
  <r>
    <x v="4"/>
    <x v="19"/>
    <x v="16"/>
    <n v="0"/>
    <n v="-35649.1"/>
  </r>
  <r>
    <x v="4"/>
    <x v="19"/>
    <x v="18"/>
    <n v="0"/>
    <n v="-40580.980000000003"/>
  </r>
  <r>
    <x v="4"/>
    <x v="20"/>
    <x v="18"/>
    <n v="880.38"/>
    <n v="0"/>
  </r>
  <r>
    <x v="4"/>
    <x v="20"/>
    <x v="18"/>
    <n v="0"/>
    <n v="-42534.98"/>
  </r>
  <r>
    <x v="4"/>
    <x v="20"/>
    <x v="16"/>
    <n v="1773.74"/>
    <n v="0"/>
  </r>
  <r>
    <x v="4"/>
    <x v="20"/>
    <x v="0"/>
    <n v="1333.05"/>
    <n v="0"/>
  </r>
  <r>
    <x v="4"/>
    <x v="20"/>
    <x v="16"/>
    <n v="0"/>
    <n v="-33085"/>
  </r>
  <r>
    <x v="4"/>
    <x v="20"/>
    <x v="0"/>
    <n v="0"/>
    <n v="-4147.9399999999996"/>
  </r>
  <r>
    <x v="4"/>
    <x v="21"/>
    <x v="16"/>
    <n v="586.79999999999995"/>
    <n v="0"/>
  </r>
  <r>
    <x v="4"/>
    <x v="21"/>
    <x v="16"/>
    <n v="0"/>
    <n v="-42144.53"/>
  </r>
  <r>
    <x v="4"/>
    <x v="21"/>
    <x v="18"/>
    <n v="988.37"/>
    <n v="0"/>
  </r>
  <r>
    <x v="4"/>
    <x v="21"/>
    <x v="0"/>
    <n v="918.49"/>
    <n v="0"/>
  </r>
  <r>
    <x v="4"/>
    <x v="21"/>
    <x v="0"/>
    <n v="0"/>
    <n v="-4895.6400000000003"/>
  </r>
  <r>
    <x v="4"/>
    <x v="21"/>
    <x v="18"/>
    <n v="0"/>
    <n v="-36722.82"/>
  </r>
  <r>
    <x v="4"/>
    <x v="22"/>
    <x v="18"/>
    <n v="-34437.86"/>
    <n v="0"/>
  </r>
  <r>
    <x v="4"/>
    <x v="22"/>
    <x v="16"/>
    <n v="-29453.97"/>
    <n v="0"/>
  </r>
  <r>
    <x v="4"/>
    <x v="22"/>
    <x v="0"/>
    <n v="-6257.67"/>
    <n v="0"/>
  </r>
  <r>
    <x v="4"/>
    <x v="22"/>
    <x v="18"/>
    <n v="0"/>
    <n v="-27557.88"/>
  </r>
  <r>
    <x v="5"/>
    <x v="86"/>
    <x v="2"/>
    <n v="0"/>
    <n v="-3.64"/>
  </r>
  <r>
    <x v="5"/>
    <x v="86"/>
    <x v="18"/>
    <n v="0"/>
    <n v="-14.24"/>
  </r>
  <r>
    <x v="5"/>
    <x v="86"/>
    <x v="0"/>
    <n v="0"/>
    <n v="-8.94"/>
  </r>
  <r>
    <x v="6"/>
    <x v="50"/>
    <x v="0"/>
    <n v="0"/>
    <n v="-1034.8"/>
  </r>
  <r>
    <x v="6"/>
    <x v="50"/>
    <x v="0"/>
    <n v="1008.89"/>
    <n v="0"/>
  </r>
  <r>
    <x v="6"/>
    <x v="50"/>
    <x v="9"/>
    <n v="0"/>
    <n v="-219"/>
  </r>
  <r>
    <x v="6"/>
    <x v="50"/>
    <x v="9"/>
    <n v="242.1"/>
    <n v="0"/>
  </r>
  <r>
    <x v="6"/>
    <x v="51"/>
    <x v="9"/>
    <n v="434.14"/>
    <n v="0"/>
  </r>
  <r>
    <x v="6"/>
    <x v="51"/>
    <x v="0"/>
    <n v="0"/>
    <n v="-2509.8200000000002"/>
  </r>
  <r>
    <x v="6"/>
    <x v="51"/>
    <x v="9"/>
    <n v="0"/>
    <n v="-547.63"/>
  </r>
  <r>
    <x v="6"/>
    <x v="51"/>
    <x v="0"/>
    <n v="1174"/>
    <n v="0"/>
  </r>
  <r>
    <x v="6"/>
    <x v="52"/>
    <x v="0"/>
    <n v="0"/>
    <n v="-4542.5"/>
  </r>
  <r>
    <x v="6"/>
    <x v="52"/>
    <x v="0"/>
    <n v="787.35"/>
    <n v="0"/>
  </r>
  <r>
    <x v="6"/>
    <x v="52"/>
    <x v="9"/>
    <n v="239.77"/>
    <n v="0"/>
  </r>
  <r>
    <x v="6"/>
    <x v="52"/>
    <x v="9"/>
    <n v="0"/>
    <n v="-1438.56"/>
  </r>
  <r>
    <x v="6"/>
    <x v="53"/>
    <x v="0"/>
    <n v="1190.8599999999999"/>
    <n v="0"/>
  </r>
  <r>
    <x v="6"/>
    <x v="53"/>
    <x v="0"/>
    <n v="0"/>
    <n v="-2791.57"/>
  </r>
  <r>
    <x v="6"/>
    <x v="53"/>
    <x v="9"/>
    <n v="357.54"/>
    <n v="0"/>
  </r>
  <r>
    <x v="6"/>
    <x v="53"/>
    <x v="9"/>
    <n v="0"/>
    <n v="-1314.88"/>
  </r>
  <r>
    <x v="6"/>
    <x v="54"/>
    <x v="0"/>
    <n v="0"/>
    <n v="-3595.96"/>
  </r>
  <r>
    <x v="6"/>
    <x v="54"/>
    <x v="0"/>
    <n v="1253.44"/>
    <n v="0"/>
  </r>
  <r>
    <x v="6"/>
    <x v="54"/>
    <x v="9"/>
    <n v="397.15"/>
    <n v="0"/>
  </r>
  <r>
    <x v="6"/>
    <x v="54"/>
    <x v="9"/>
    <n v="0"/>
    <n v="-2330.27"/>
  </r>
  <r>
    <x v="6"/>
    <x v="55"/>
    <x v="9"/>
    <n v="226.6"/>
    <n v="0"/>
  </r>
  <r>
    <x v="6"/>
    <x v="55"/>
    <x v="9"/>
    <n v="0"/>
    <n v="-1770.75"/>
  </r>
  <r>
    <x v="6"/>
    <x v="55"/>
    <x v="0"/>
    <n v="0"/>
    <n v="-2889.73"/>
  </r>
  <r>
    <x v="6"/>
    <x v="55"/>
    <x v="0"/>
    <n v="1265.06"/>
    <n v="0"/>
  </r>
  <r>
    <x v="6"/>
    <x v="56"/>
    <x v="0"/>
    <n v="1053.24"/>
    <n v="0"/>
  </r>
  <r>
    <x v="6"/>
    <x v="56"/>
    <x v="0"/>
    <n v="0"/>
    <n v="-8916.34"/>
  </r>
  <r>
    <x v="6"/>
    <x v="56"/>
    <x v="9"/>
    <n v="0"/>
    <n v="-1547.93"/>
  </r>
  <r>
    <x v="6"/>
    <x v="56"/>
    <x v="9"/>
    <n v="239.38"/>
    <n v="0"/>
  </r>
  <r>
    <x v="6"/>
    <x v="57"/>
    <x v="9"/>
    <n v="0"/>
    <n v="-1536.37"/>
  </r>
  <r>
    <x v="6"/>
    <x v="57"/>
    <x v="9"/>
    <n v="271.79000000000002"/>
    <n v="0"/>
  </r>
  <r>
    <x v="6"/>
    <x v="57"/>
    <x v="0"/>
    <n v="1371.54"/>
    <n v="0"/>
  </r>
  <r>
    <x v="6"/>
    <x v="57"/>
    <x v="0"/>
    <n v="0"/>
    <n v="-15340.67"/>
  </r>
  <r>
    <x v="6"/>
    <x v="58"/>
    <x v="0"/>
    <n v="1576.57"/>
    <n v="0"/>
  </r>
  <r>
    <x v="6"/>
    <x v="58"/>
    <x v="0"/>
    <n v="0"/>
    <n v="-9302.7999999999993"/>
  </r>
  <r>
    <x v="6"/>
    <x v="58"/>
    <x v="9"/>
    <n v="378.12"/>
    <n v="0"/>
  </r>
  <r>
    <x v="6"/>
    <x v="58"/>
    <x v="9"/>
    <n v="0"/>
    <n v="-2501.31"/>
  </r>
  <r>
    <x v="6"/>
    <x v="59"/>
    <x v="0"/>
    <n v="0"/>
    <n v="-8972.99"/>
  </r>
  <r>
    <x v="6"/>
    <x v="59"/>
    <x v="9"/>
    <n v="170.47"/>
    <n v="0"/>
  </r>
  <r>
    <x v="6"/>
    <x v="59"/>
    <x v="0"/>
    <n v="1265.6500000000001"/>
    <n v="0"/>
  </r>
  <r>
    <x v="6"/>
    <x v="59"/>
    <x v="9"/>
    <n v="0"/>
    <n v="-2809.04"/>
  </r>
  <r>
    <x v="6"/>
    <x v="60"/>
    <x v="9"/>
    <n v="425.09"/>
    <n v="0"/>
  </r>
  <r>
    <x v="6"/>
    <x v="60"/>
    <x v="0"/>
    <n v="1341.63"/>
    <n v="0"/>
  </r>
  <r>
    <x v="6"/>
    <x v="60"/>
    <x v="0"/>
    <n v="0"/>
    <n v="-11335.19"/>
  </r>
  <r>
    <x v="6"/>
    <x v="60"/>
    <x v="9"/>
    <n v="0"/>
    <n v="-652.82000000000005"/>
  </r>
  <r>
    <x v="6"/>
    <x v="61"/>
    <x v="0"/>
    <n v="330.16"/>
    <n v="0"/>
  </r>
  <r>
    <x v="6"/>
    <x v="61"/>
    <x v="9"/>
    <n v="238.73"/>
    <n v="0"/>
  </r>
  <r>
    <x v="6"/>
    <x v="62"/>
    <x v="9"/>
    <n v="146.79"/>
    <n v="0"/>
  </r>
  <r>
    <x v="6"/>
    <x v="62"/>
    <x v="0"/>
    <n v="285.7"/>
    <n v="0"/>
  </r>
  <r>
    <x v="6"/>
    <x v="63"/>
    <x v="0"/>
    <n v="815.9"/>
    <n v="0"/>
  </r>
  <r>
    <x v="6"/>
    <x v="63"/>
    <x v="9"/>
    <n v="0"/>
    <n v="2090.1799999999998"/>
  </r>
  <r>
    <x v="6"/>
    <x v="63"/>
    <x v="9"/>
    <n v="163.87"/>
    <n v="0"/>
  </r>
  <r>
    <x v="6"/>
    <x v="63"/>
    <x v="0"/>
    <n v="0"/>
    <n v="-11262.3"/>
  </r>
  <r>
    <x v="6"/>
    <x v="64"/>
    <x v="9"/>
    <n v="0"/>
    <n v="-780.72"/>
  </r>
  <r>
    <x v="6"/>
    <x v="64"/>
    <x v="0"/>
    <n v="573.20000000000005"/>
    <n v="0"/>
  </r>
  <r>
    <x v="6"/>
    <x v="64"/>
    <x v="0"/>
    <n v="0"/>
    <n v="-10997.28"/>
  </r>
  <r>
    <x v="6"/>
    <x v="64"/>
    <x v="9"/>
    <n v="3175.85"/>
    <n v="0"/>
  </r>
  <r>
    <x v="6"/>
    <x v="65"/>
    <x v="0"/>
    <n v="0"/>
    <n v="-11783.54"/>
  </r>
  <r>
    <x v="6"/>
    <x v="65"/>
    <x v="0"/>
    <n v="1250.23"/>
    <n v="0"/>
  </r>
  <r>
    <x v="6"/>
    <x v="65"/>
    <x v="9"/>
    <n v="0"/>
    <n v="-624.76"/>
  </r>
  <r>
    <x v="6"/>
    <x v="65"/>
    <x v="9"/>
    <n v="239.61"/>
    <n v="0"/>
  </r>
  <r>
    <x v="6"/>
    <x v="66"/>
    <x v="9"/>
    <n v="415.31"/>
    <n v="0"/>
  </r>
  <r>
    <x v="6"/>
    <x v="66"/>
    <x v="0"/>
    <n v="1409.52"/>
    <n v="0"/>
  </r>
  <r>
    <x v="6"/>
    <x v="66"/>
    <x v="9"/>
    <n v="0"/>
    <n v="-1723.43"/>
  </r>
  <r>
    <x v="6"/>
    <x v="66"/>
    <x v="0"/>
    <n v="0"/>
    <n v="-13770.21"/>
  </r>
  <r>
    <x v="6"/>
    <x v="67"/>
    <x v="0"/>
    <n v="0"/>
    <n v="-20669.830000000002"/>
  </r>
  <r>
    <x v="6"/>
    <x v="67"/>
    <x v="9"/>
    <n v="261.23"/>
    <n v="0"/>
  </r>
  <r>
    <x v="6"/>
    <x v="67"/>
    <x v="9"/>
    <n v="0"/>
    <n v="-626.32000000000005"/>
  </r>
  <r>
    <x v="6"/>
    <x v="67"/>
    <x v="0"/>
    <n v="1794.98"/>
    <n v="0"/>
  </r>
  <r>
    <x v="6"/>
    <x v="68"/>
    <x v="9"/>
    <n v="391.46"/>
    <n v="0"/>
  </r>
  <r>
    <x v="6"/>
    <x v="68"/>
    <x v="0"/>
    <n v="0"/>
    <n v="-12372.63"/>
  </r>
  <r>
    <x v="6"/>
    <x v="68"/>
    <x v="0"/>
    <n v="1868.18"/>
    <n v="0"/>
  </r>
  <r>
    <x v="6"/>
    <x v="68"/>
    <x v="9"/>
    <n v="0"/>
    <n v="-1247.73"/>
  </r>
  <r>
    <x v="6"/>
    <x v="69"/>
    <x v="0"/>
    <n v="0"/>
    <n v="-14371.6"/>
  </r>
  <r>
    <x v="6"/>
    <x v="69"/>
    <x v="9"/>
    <n v="0"/>
    <n v="-2078.7600000000002"/>
  </r>
  <r>
    <x v="6"/>
    <x v="69"/>
    <x v="9"/>
    <n v="241.29"/>
    <n v="0"/>
  </r>
  <r>
    <x v="6"/>
    <x v="69"/>
    <x v="0"/>
    <n v="889.81"/>
    <n v="0"/>
  </r>
  <r>
    <x v="6"/>
    <x v="70"/>
    <x v="9"/>
    <n v="206.71"/>
    <n v="0"/>
  </r>
  <r>
    <x v="6"/>
    <x v="70"/>
    <x v="0"/>
    <n v="1017.79"/>
    <n v="0"/>
  </r>
  <r>
    <x v="6"/>
    <x v="70"/>
    <x v="9"/>
    <n v="0"/>
    <n v="-2852.8"/>
  </r>
  <r>
    <x v="6"/>
    <x v="70"/>
    <x v="0"/>
    <n v="0"/>
    <n v="-14639.78"/>
  </r>
  <r>
    <x v="6"/>
    <x v="71"/>
    <x v="9"/>
    <n v="-2.12"/>
    <n v="0"/>
  </r>
  <r>
    <x v="6"/>
    <x v="71"/>
    <x v="0"/>
    <n v="0"/>
    <n v="-13612.52"/>
  </r>
  <r>
    <x v="6"/>
    <x v="71"/>
    <x v="9"/>
    <n v="0"/>
    <n v="-4427.05"/>
  </r>
  <r>
    <x v="6"/>
    <x v="71"/>
    <x v="0"/>
    <n v="990.78"/>
    <n v="0"/>
  </r>
  <r>
    <x v="6"/>
    <x v="72"/>
    <x v="9"/>
    <n v="293.32"/>
    <n v="0"/>
  </r>
  <r>
    <x v="6"/>
    <x v="72"/>
    <x v="0"/>
    <n v="0"/>
    <n v="-12164.46"/>
  </r>
  <r>
    <x v="6"/>
    <x v="72"/>
    <x v="9"/>
    <n v="0"/>
    <n v="-4849.03"/>
  </r>
  <r>
    <x v="6"/>
    <x v="72"/>
    <x v="0"/>
    <n v="966.52"/>
    <n v="0"/>
  </r>
  <r>
    <x v="6"/>
    <x v="73"/>
    <x v="9"/>
    <n v="0"/>
    <n v="-6015.04"/>
  </r>
  <r>
    <x v="6"/>
    <x v="73"/>
    <x v="0"/>
    <n v="1434.27"/>
    <n v="0"/>
  </r>
  <r>
    <x v="6"/>
    <x v="73"/>
    <x v="9"/>
    <n v="163.32"/>
    <n v="0"/>
  </r>
  <r>
    <x v="6"/>
    <x v="73"/>
    <x v="0"/>
    <n v="0"/>
    <n v="-12835.92"/>
  </r>
  <r>
    <x v="6"/>
    <x v="74"/>
    <x v="0"/>
    <n v="0"/>
    <n v="-15590.04"/>
  </r>
  <r>
    <x v="6"/>
    <x v="74"/>
    <x v="9"/>
    <n v="0"/>
    <n v="-4205.08"/>
  </r>
  <r>
    <x v="6"/>
    <x v="74"/>
    <x v="9"/>
    <n v="197.62"/>
    <n v="0"/>
  </r>
  <r>
    <x v="6"/>
    <x v="74"/>
    <x v="0"/>
    <n v="1227.49"/>
    <n v="0"/>
  </r>
  <r>
    <x v="6"/>
    <x v="75"/>
    <x v="0"/>
    <n v="755.33"/>
    <n v="0"/>
  </r>
  <r>
    <x v="6"/>
    <x v="75"/>
    <x v="0"/>
    <n v="0"/>
    <n v="-17979.25"/>
  </r>
  <r>
    <x v="6"/>
    <x v="75"/>
    <x v="9"/>
    <n v="262.33999999999997"/>
    <n v="0"/>
  </r>
  <r>
    <x v="6"/>
    <x v="75"/>
    <x v="9"/>
    <n v="0"/>
    <n v="-3766.56"/>
  </r>
  <r>
    <x v="6"/>
    <x v="76"/>
    <x v="0"/>
    <n v="0"/>
    <n v="-17116.96"/>
  </r>
  <r>
    <x v="6"/>
    <x v="76"/>
    <x v="0"/>
    <n v="411.65"/>
    <n v="0"/>
  </r>
  <r>
    <x v="6"/>
    <x v="76"/>
    <x v="9"/>
    <n v="0"/>
    <n v="-3486.92"/>
  </r>
  <r>
    <x v="6"/>
    <x v="76"/>
    <x v="9"/>
    <n v="212.99"/>
    <n v="0"/>
  </r>
  <r>
    <x v="6"/>
    <x v="88"/>
    <x v="0"/>
    <n v="607.29"/>
    <n v="0"/>
  </r>
  <r>
    <x v="6"/>
    <x v="88"/>
    <x v="9"/>
    <n v="141.63999999999999"/>
    <n v="0"/>
  </r>
  <r>
    <x v="6"/>
    <x v="88"/>
    <x v="0"/>
    <n v="0"/>
    <n v="-17278.150000000001"/>
  </r>
  <r>
    <x v="6"/>
    <x v="88"/>
    <x v="9"/>
    <n v="0"/>
    <n v="-5300.84"/>
  </r>
  <r>
    <x v="6"/>
    <x v="77"/>
    <x v="0"/>
    <n v="0"/>
    <n v="-14229.11"/>
  </r>
  <r>
    <x v="6"/>
    <x v="77"/>
    <x v="9"/>
    <n v="0"/>
    <n v="-4194.25"/>
  </r>
  <r>
    <x v="6"/>
    <x v="77"/>
    <x v="9"/>
    <n v="137.38999999999999"/>
    <n v="0"/>
  </r>
  <r>
    <x v="6"/>
    <x v="77"/>
    <x v="0"/>
    <n v="431"/>
    <n v="0"/>
  </r>
  <r>
    <x v="6"/>
    <x v="78"/>
    <x v="9"/>
    <n v="114.03"/>
    <n v="0"/>
  </r>
  <r>
    <x v="6"/>
    <x v="78"/>
    <x v="0"/>
    <n v="372.84"/>
    <n v="0"/>
  </r>
  <r>
    <x v="6"/>
    <x v="78"/>
    <x v="9"/>
    <n v="0"/>
    <n v="-4378.07"/>
  </r>
  <r>
    <x v="6"/>
    <x v="78"/>
    <x v="0"/>
    <n v="0"/>
    <n v="-14373.98"/>
  </r>
  <r>
    <x v="6"/>
    <x v="79"/>
    <x v="0"/>
    <n v="0"/>
    <n v="-15032.32"/>
  </r>
  <r>
    <x v="6"/>
    <x v="79"/>
    <x v="9"/>
    <n v="0"/>
    <n v="-4893.87"/>
  </r>
  <r>
    <x v="6"/>
    <x v="79"/>
    <x v="0"/>
    <n v="227.19"/>
    <n v="0"/>
  </r>
  <r>
    <x v="6"/>
    <x v="79"/>
    <x v="9"/>
    <n v="179.03"/>
    <n v="0"/>
  </r>
  <r>
    <x v="6"/>
    <x v="80"/>
    <x v="9"/>
    <n v="240.3"/>
    <n v="0"/>
  </r>
  <r>
    <x v="6"/>
    <x v="80"/>
    <x v="0"/>
    <n v="491.54"/>
    <n v="0"/>
  </r>
  <r>
    <x v="6"/>
    <x v="80"/>
    <x v="0"/>
    <n v="0"/>
    <n v="-14657.22"/>
  </r>
  <r>
    <x v="6"/>
    <x v="80"/>
    <x v="9"/>
    <n v="0"/>
    <n v="-3819.11"/>
  </r>
  <r>
    <x v="6"/>
    <x v="81"/>
    <x v="9"/>
    <n v="130.86000000000001"/>
    <n v="0"/>
  </r>
  <r>
    <x v="6"/>
    <x v="81"/>
    <x v="0"/>
    <n v="530.75"/>
    <n v="0"/>
  </r>
  <r>
    <x v="6"/>
    <x v="81"/>
    <x v="9"/>
    <n v="0"/>
    <n v="-3366.5"/>
  </r>
  <r>
    <x v="6"/>
    <x v="81"/>
    <x v="0"/>
    <n v="0"/>
    <n v="-15268.09"/>
  </r>
  <r>
    <x v="6"/>
    <x v="82"/>
    <x v="9"/>
    <n v="114.43"/>
    <n v="0"/>
  </r>
  <r>
    <x v="6"/>
    <x v="82"/>
    <x v="0"/>
    <n v="147.94"/>
    <n v="0"/>
  </r>
  <r>
    <x v="6"/>
    <x v="82"/>
    <x v="9"/>
    <n v="0"/>
    <n v="-3481.81"/>
  </r>
  <r>
    <x v="6"/>
    <x v="82"/>
    <x v="0"/>
    <n v="0"/>
    <n v="-14650.75"/>
  </r>
  <r>
    <x v="6"/>
    <x v="83"/>
    <x v="10"/>
    <n v="218.22"/>
    <n v="0"/>
  </r>
  <r>
    <x v="6"/>
    <x v="83"/>
    <x v="9"/>
    <n v="-3199.98"/>
    <n v="0"/>
  </r>
  <r>
    <x v="6"/>
    <x v="83"/>
    <x v="7"/>
    <n v="72.069999999999993"/>
    <n v="0"/>
  </r>
  <r>
    <x v="6"/>
    <x v="83"/>
    <x v="0"/>
    <n v="-14172.78"/>
    <n v="0"/>
  </r>
  <r>
    <x v="6"/>
    <x v="83"/>
    <x v="10"/>
    <n v="0"/>
    <n v="-356.65"/>
  </r>
  <r>
    <x v="6"/>
    <x v="83"/>
    <x v="7"/>
    <n v="0"/>
    <n v="-84.8"/>
  </r>
  <r>
    <x v="6"/>
    <x v="84"/>
    <x v="10"/>
    <n v="380.1"/>
    <n v="0"/>
  </r>
  <r>
    <x v="6"/>
    <x v="84"/>
    <x v="7"/>
    <n v="170.05"/>
    <n v="0"/>
  </r>
  <r>
    <x v="6"/>
    <x v="84"/>
    <x v="10"/>
    <n v="0"/>
    <n v="-362.53"/>
  </r>
  <r>
    <x v="6"/>
    <x v="84"/>
    <x v="7"/>
    <n v="0"/>
    <n v="-319.08"/>
  </r>
  <r>
    <x v="6"/>
    <x v="85"/>
    <x v="10"/>
    <n v="309.64999999999998"/>
    <n v="0"/>
  </r>
  <r>
    <x v="6"/>
    <x v="85"/>
    <x v="7"/>
    <n v="219.51"/>
    <n v="0"/>
  </r>
  <r>
    <x v="6"/>
    <x v="85"/>
    <x v="7"/>
    <n v="0"/>
    <n v="-1496.69"/>
  </r>
  <r>
    <x v="6"/>
    <x v="85"/>
    <x v="10"/>
    <n v="0"/>
    <n v="-648.33000000000004"/>
  </r>
  <r>
    <x v="6"/>
    <x v="86"/>
    <x v="7"/>
    <n v="160.55000000000001"/>
    <n v="0"/>
  </r>
  <r>
    <x v="6"/>
    <x v="86"/>
    <x v="10"/>
    <n v="303.83"/>
    <n v="0"/>
  </r>
  <r>
    <x v="6"/>
    <x v="86"/>
    <x v="7"/>
    <n v="0"/>
    <n v="-1816.97"/>
  </r>
  <r>
    <x v="6"/>
    <x v="86"/>
    <x v="10"/>
    <n v="0"/>
    <n v="-969.48"/>
  </r>
  <r>
    <x v="6"/>
    <x v="87"/>
    <x v="7"/>
    <n v="150.69999999999999"/>
    <n v="0"/>
  </r>
  <r>
    <x v="6"/>
    <x v="87"/>
    <x v="10"/>
    <n v="140.26"/>
    <n v="0"/>
  </r>
  <r>
    <x v="6"/>
    <x v="87"/>
    <x v="7"/>
    <n v="0"/>
    <n v="-2968.98"/>
  </r>
  <r>
    <x v="6"/>
    <x v="87"/>
    <x v="10"/>
    <n v="0"/>
    <n v="-788.23"/>
  </r>
  <r>
    <x v="6"/>
    <x v="0"/>
    <x v="7"/>
    <n v="81.47"/>
    <n v="0"/>
  </r>
  <r>
    <x v="6"/>
    <x v="0"/>
    <x v="10"/>
    <n v="336.48"/>
    <n v="0"/>
  </r>
  <r>
    <x v="6"/>
    <x v="0"/>
    <x v="7"/>
    <n v="0"/>
    <n v="-2623.5"/>
  </r>
  <r>
    <x v="6"/>
    <x v="0"/>
    <x v="10"/>
    <n v="0"/>
    <n v="-2354.34"/>
  </r>
  <r>
    <x v="6"/>
    <x v="1"/>
    <x v="10"/>
    <n v="379.98"/>
    <n v="0"/>
  </r>
  <r>
    <x v="6"/>
    <x v="1"/>
    <x v="7"/>
    <n v="37.770000000000003"/>
    <n v="0"/>
  </r>
  <r>
    <x v="6"/>
    <x v="1"/>
    <x v="7"/>
    <n v="0"/>
    <n v="-3900.84"/>
  </r>
  <r>
    <x v="6"/>
    <x v="1"/>
    <x v="10"/>
    <n v="0"/>
    <n v="-1767.98"/>
  </r>
  <r>
    <x v="6"/>
    <x v="2"/>
    <x v="10"/>
    <n v="329.85"/>
    <n v="0"/>
  </r>
  <r>
    <x v="6"/>
    <x v="2"/>
    <x v="7"/>
    <n v="25.38"/>
    <n v="0"/>
  </r>
  <r>
    <x v="6"/>
    <x v="2"/>
    <x v="10"/>
    <n v="0"/>
    <n v="-1494.51"/>
  </r>
  <r>
    <x v="6"/>
    <x v="2"/>
    <x v="7"/>
    <n v="0"/>
    <n v="-2197.94"/>
  </r>
  <r>
    <x v="6"/>
    <x v="3"/>
    <x v="7"/>
    <n v="-37.31"/>
    <n v="0"/>
  </r>
  <r>
    <x v="6"/>
    <x v="3"/>
    <x v="10"/>
    <n v="308.48"/>
    <n v="0"/>
  </r>
  <r>
    <x v="6"/>
    <x v="3"/>
    <x v="7"/>
    <n v="0"/>
    <n v="-1067.23"/>
  </r>
  <r>
    <x v="6"/>
    <x v="3"/>
    <x v="10"/>
    <n v="0"/>
    <n v="-1396.52"/>
  </r>
  <r>
    <x v="6"/>
    <x v="4"/>
    <x v="10"/>
    <n v="151.93"/>
    <n v="0"/>
  </r>
  <r>
    <x v="6"/>
    <x v="4"/>
    <x v="7"/>
    <n v="27.14"/>
    <n v="0"/>
  </r>
  <r>
    <x v="6"/>
    <x v="4"/>
    <x v="10"/>
    <n v="0"/>
    <n v="-1385.54"/>
  </r>
  <r>
    <x v="6"/>
    <x v="4"/>
    <x v="7"/>
    <n v="0"/>
    <n v="-889.51"/>
  </r>
  <r>
    <x v="6"/>
    <x v="5"/>
    <x v="10"/>
    <n v="342.55"/>
    <n v="0"/>
  </r>
  <r>
    <x v="6"/>
    <x v="5"/>
    <x v="7"/>
    <n v="45.6"/>
    <n v="0"/>
  </r>
  <r>
    <x v="6"/>
    <x v="5"/>
    <x v="7"/>
    <n v="0"/>
    <n v="-835.92"/>
  </r>
  <r>
    <x v="6"/>
    <x v="5"/>
    <x v="10"/>
    <n v="0"/>
    <n v="-1372.8"/>
  </r>
  <r>
    <x v="6"/>
    <x v="6"/>
    <x v="10"/>
    <n v="322.89"/>
    <n v="0"/>
  </r>
  <r>
    <x v="6"/>
    <x v="6"/>
    <x v="7"/>
    <n v="118.64"/>
    <n v="0"/>
  </r>
  <r>
    <x v="6"/>
    <x v="6"/>
    <x v="10"/>
    <n v="0"/>
    <n v="3.57"/>
  </r>
  <r>
    <x v="6"/>
    <x v="7"/>
    <x v="7"/>
    <n v="126.55"/>
    <n v="0"/>
  </r>
  <r>
    <x v="6"/>
    <x v="7"/>
    <x v="7"/>
    <n v="0"/>
    <n v="-1287.8900000000001"/>
  </r>
  <r>
    <x v="6"/>
    <x v="7"/>
    <x v="10"/>
    <n v="609.88"/>
    <n v="0"/>
  </r>
  <r>
    <x v="6"/>
    <x v="7"/>
    <x v="10"/>
    <n v="0"/>
    <n v="-3552.23"/>
  </r>
  <r>
    <x v="6"/>
    <x v="8"/>
    <x v="7"/>
    <n v="164.47"/>
    <n v="0"/>
  </r>
  <r>
    <x v="6"/>
    <x v="8"/>
    <x v="10"/>
    <n v="144.76"/>
    <n v="0"/>
  </r>
  <r>
    <x v="6"/>
    <x v="8"/>
    <x v="7"/>
    <n v="0"/>
    <n v="-1707.3"/>
  </r>
  <r>
    <x v="6"/>
    <x v="8"/>
    <x v="10"/>
    <n v="0"/>
    <n v="-3938.68"/>
  </r>
  <r>
    <x v="6"/>
    <x v="9"/>
    <x v="10"/>
    <n v="460.09"/>
    <n v="0"/>
  </r>
  <r>
    <x v="6"/>
    <x v="9"/>
    <x v="7"/>
    <n v="201.9"/>
    <n v="0"/>
  </r>
  <r>
    <x v="6"/>
    <x v="9"/>
    <x v="10"/>
    <n v="0"/>
    <n v="-9464.74"/>
  </r>
  <r>
    <x v="6"/>
    <x v="9"/>
    <x v="7"/>
    <n v="0"/>
    <n v="-1686.72"/>
  </r>
  <r>
    <x v="6"/>
    <x v="10"/>
    <x v="7"/>
    <n v="237"/>
    <n v="0"/>
  </r>
  <r>
    <x v="6"/>
    <x v="10"/>
    <x v="10"/>
    <n v="542.05999999999995"/>
    <n v="0"/>
  </r>
  <r>
    <x v="6"/>
    <x v="10"/>
    <x v="10"/>
    <n v="0"/>
    <n v="-4305.01"/>
  </r>
  <r>
    <x v="6"/>
    <x v="10"/>
    <x v="7"/>
    <n v="0"/>
    <n v="-4246.6499999999996"/>
  </r>
  <r>
    <x v="6"/>
    <x v="11"/>
    <x v="10"/>
    <n v="624.64"/>
    <n v="0"/>
  </r>
  <r>
    <x v="6"/>
    <x v="11"/>
    <x v="7"/>
    <n v="416.22"/>
    <n v="0"/>
  </r>
  <r>
    <x v="6"/>
    <x v="11"/>
    <x v="10"/>
    <n v="0"/>
    <n v="-5253.65"/>
  </r>
  <r>
    <x v="6"/>
    <x v="11"/>
    <x v="7"/>
    <n v="0"/>
    <n v="-4612.92"/>
  </r>
  <r>
    <x v="6"/>
    <x v="12"/>
    <x v="10"/>
    <n v="277.11"/>
    <n v="0"/>
  </r>
  <r>
    <x v="6"/>
    <x v="12"/>
    <x v="7"/>
    <n v="129.19"/>
    <n v="0"/>
  </r>
  <r>
    <x v="6"/>
    <x v="12"/>
    <x v="10"/>
    <n v="0"/>
    <n v="-8832.76"/>
  </r>
  <r>
    <x v="6"/>
    <x v="12"/>
    <x v="7"/>
    <n v="0"/>
    <n v="-8668.81"/>
  </r>
  <r>
    <x v="6"/>
    <x v="13"/>
    <x v="10"/>
    <n v="36.17"/>
    <n v="0"/>
  </r>
  <r>
    <x v="6"/>
    <x v="13"/>
    <x v="10"/>
    <n v="0"/>
    <n v="-6900.25"/>
  </r>
  <r>
    <x v="6"/>
    <x v="13"/>
    <x v="7"/>
    <n v="0"/>
    <n v="0"/>
  </r>
  <r>
    <x v="6"/>
    <x v="13"/>
    <x v="7"/>
    <n v="0"/>
    <n v="-10449.32"/>
  </r>
  <r>
    <x v="6"/>
    <x v="14"/>
    <x v="10"/>
    <n v="688.2"/>
    <n v="0"/>
  </r>
  <r>
    <x v="6"/>
    <x v="14"/>
    <x v="7"/>
    <n v="416.55"/>
    <n v="0"/>
  </r>
  <r>
    <x v="6"/>
    <x v="14"/>
    <x v="7"/>
    <n v="0"/>
    <n v="-9852.4"/>
  </r>
  <r>
    <x v="6"/>
    <x v="14"/>
    <x v="10"/>
    <n v="0"/>
    <n v="-8577.42"/>
  </r>
  <r>
    <x v="6"/>
    <x v="15"/>
    <x v="7"/>
    <n v="491.97"/>
    <n v="0"/>
  </r>
  <r>
    <x v="6"/>
    <x v="15"/>
    <x v="10"/>
    <n v="568.35"/>
    <n v="0"/>
  </r>
  <r>
    <x v="6"/>
    <x v="15"/>
    <x v="7"/>
    <n v="0"/>
    <n v="-7974.53"/>
  </r>
  <r>
    <x v="6"/>
    <x v="15"/>
    <x v="10"/>
    <n v="0"/>
    <n v="-7009.95"/>
  </r>
  <r>
    <x v="6"/>
    <x v="16"/>
    <x v="10"/>
    <n v="405.08"/>
    <n v="0"/>
  </r>
  <r>
    <x v="6"/>
    <x v="16"/>
    <x v="7"/>
    <n v="201.09"/>
    <n v="0"/>
  </r>
  <r>
    <x v="6"/>
    <x v="16"/>
    <x v="7"/>
    <n v="0"/>
    <n v="-9569.99"/>
  </r>
  <r>
    <x v="6"/>
    <x v="16"/>
    <x v="10"/>
    <n v="0"/>
    <n v="-5671.84"/>
  </r>
  <r>
    <x v="6"/>
    <x v="17"/>
    <x v="10"/>
    <n v="404.62"/>
    <n v="0"/>
  </r>
  <r>
    <x v="6"/>
    <x v="17"/>
    <x v="7"/>
    <n v="554.71"/>
    <n v="0"/>
  </r>
  <r>
    <x v="6"/>
    <x v="17"/>
    <x v="7"/>
    <n v="0"/>
    <n v="-11336.01"/>
  </r>
  <r>
    <x v="6"/>
    <x v="17"/>
    <x v="10"/>
    <n v="0"/>
    <n v="-4318.8599999999997"/>
  </r>
  <r>
    <x v="6"/>
    <x v="18"/>
    <x v="10"/>
    <n v="44.97"/>
    <n v="0"/>
  </r>
  <r>
    <x v="6"/>
    <x v="18"/>
    <x v="10"/>
    <n v="0"/>
    <n v="-6523.22"/>
  </r>
  <r>
    <x v="6"/>
    <x v="18"/>
    <x v="7"/>
    <n v="17.059999999999999"/>
    <n v="0"/>
  </r>
  <r>
    <x v="6"/>
    <x v="18"/>
    <x v="7"/>
    <n v="0"/>
    <n v="-12114.81"/>
  </r>
  <r>
    <x v="6"/>
    <x v="19"/>
    <x v="10"/>
    <n v="696.26"/>
    <n v="0"/>
  </r>
  <r>
    <x v="6"/>
    <x v="19"/>
    <x v="7"/>
    <n v="421.22"/>
    <n v="0"/>
  </r>
  <r>
    <x v="6"/>
    <x v="19"/>
    <x v="10"/>
    <n v="0"/>
    <n v="-2754.99"/>
  </r>
  <r>
    <x v="6"/>
    <x v="19"/>
    <x v="7"/>
    <n v="0"/>
    <n v="-8336.32"/>
  </r>
  <r>
    <x v="6"/>
    <x v="20"/>
    <x v="7"/>
    <n v="531.79999999999995"/>
    <n v="0"/>
  </r>
  <r>
    <x v="6"/>
    <x v="20"/>
    <x v="10"/>
    <n v="1039.1199999999999"/>
    <n v="0"/>
  </r>
  <r>
    <x v="6"/>
    <x v="20"/>
    <x v="10"/>
    <n v="0"/>
    <n v="-3428.52"/>
  </r>
  <r>
    <x v="6"/>
    <x v="20"/>
    <x v="7"/>
    <n v="0"/>
    <n v="-9006.6299999999992"/>
  </r>
  <r>
    <x v="6"/>
    <x v="21"/>
    <x v="10"/>
    <n v="496.45"/>
    <n v="0"/>
  </r>
  <r>
    <x v="6"/>
    <x v="21"/>
    <x v="7"/>
    <n v="253.68"/>
    <n v="0"/>
  </r>
  <r>
    <x v="6"/>
    <x v="21"/>
    <x v="10"/>
    <n v="0"/>
    <n v="-6911.53"/>
  </r>
  <r>
    <x v="6"/>
    <x v="21"/>
    <x v="7"/>
    <n v="0"/>
    <n v="-9994.02"/>
  </r>
  <r>
    <x v="6"/>
    <x v="22"/>
    <x v="7"/>
    <n v="90.54"/>
    <n v="0"/>
  </r>
  <r>
    <x v="6"/>
    <x v="22"/>
    <x v="10"/>
    <n v="231.43"/>
    <n v="0"/>
  </r>
  <r>
    <x v="6"/>
    <x v="22"/>
    <x v="7"/>
    <n v="0"/>
    <n v="-12700.7"/>
  </r>
  <r>
    <x v="6"/>
    <x v="22"/>
    <x v="10"/>
    <n v="0"/>
    <n v="-12058.94"/>
  </r>
  <r>
    <x v="6"/>
    <x v="23"/>
    <x v="10"/>
    <n v="0"/>
    <n v="-17040.669999999998"/>
  </r>
  <r>
    <x v="6"/>
    <x v="23"/>
    <x v="7"/>
    <n v="0"/>
    <n v="-10751.47"/>
  </r>
  <r>
    <x v="6"/>
    <x v="24"/>
    <x v="7"/>
    <n v="16.829999999999998"/>
    <n v="0"/>
  </r>
  <r>
    <x v="6"/>
    <x v="24"/>
    <x v="10"/>
    <n v="0"/>
    <n v="0"/>
  </r>
  <r>
    <x v="6"/>
    <x v="24"/>
    <x v="10"/>
    <n v="0"/>
    <n v="-16497.849999999999"/>
  </r>
  <r>
    <x v="6"/>
    <x v="24"/>
    <x v="7"/>
    <n v="0"/>
    <n v="-11566.81"/>
  </r>
  <r>
    <x v="7"/>
    <x v="55"/>
    <x v="5"/>
    <n v="0"/>
    <n v="-48.39"/>
  </r>
  <r>
    <x v="7"/>
    <x v="55"/>
    <x v="3"/>
    <n v="0"/>
    <n v="-29.84"/>
  </r>
  <r>
    <x v="7"/>
    <x v="55"/>
    <x v="7"/>
    <n v="0"/>
    <n v="-168.21"/>
  </r>
  <r>
    <x v="7"/>
    <x v="55"/>
    <x v="3"/>
    <n v="22.02"/>
    <n v="0"/>
  </r>
  <r>
    <x v="7"/>
    <x v="55"/>
    <x v="7"/>
    <n v="29.68"/>
    <n v="0"/>
  </r>
  <r>
    <x v="7"/>
    <x v="55"/>
    <x v="5"/>
    <n v="14.8"/>
    <n v="0"/>
  </r>
  <r>
    <x v="7"/>
    <x v="56"/>
    <x v="3"/>
    <n v="243.1"/>
    <n v="0"/>
  </r>
  <r>
    <x v="7"/>
    <x v="56"/>
    <x v="3"/>
    <n v="0"/>
    <n v="-381.2"/>
  </r>
  <r>
    <x v="7"/>
    <x v="56"/>
    <x v="5"/>
    <n v="0"/>
    <n v="-574.79999999999995"/>
  </r>
  <r>
    <x v="7"/>
    <x v="56"/>
    <x v="7"/>
    <n v="502.44"/>
    <n v="0"/>
  </r>
  <r>
    <x v="7"/>
    <x v="56"/>
    <x v="7"/>
    <n v="0"/>
    <n v="-559.65"/>
  </r>
  <r>
    <x v="7"/>
    <x v="56"/>
    <x v="5"/>
    <n v="494.55"/>
    <n v="0"/>
  </r>
  <r>
    <x v="7"/>
    <x v="57"/>
    <x v="5"/>
    <n v="0"/>
    <n v="-501.98"/>
  </r>
  <r>
    <x v="7"/>
    <x v="57"/>
    <x v="5"/>
    <n v="424.27"/>
    <n v="0"/>
  </r>
  <r>
    <x v="7"/>
    <x v="57"/>
    <x v="3"/>
    <n v="0"/>
    <n v="-530.51"/>
  </r>
  <r>
    <x v="7"/>
    <x v="57"/>
    <x v="3"/>
    <n v="131.94999999999999"/>
    <n v="0"/>
  </r>
  <r>
    <x v="7"/>
    <x v="57"/>
    <x v="7"/>
    <n v="0"/>
    <n v="-844.08"/>
  </r>
  <r>
    <x v="7"/>
    <x v="57"/>
    <x v="7"/>
    <n v="361.97"/>
    <n v="0"/>
  </r>
  <r>
    <x v="7"/>
    <x v="58"/>
    <x v="3"/>
    <n v="0"/>
    <n v="-1269.5999999999999"/>
  </r>
  <r>
    <x v="7"/>
    <x v="58"/>
    <x v="5"/>
    <n v="0"/>
    <n v="-886.57"/>
  </r>
  <r>
    <x v="7"/>
    <x v="58"/>
    <x v="5"/>
    <n v="659.5"/>
    <n v="0"/>
  </r>
  <r>
    <x v="7"/>
    <x v="58"/>
    <x v="3"/>
    <n v="371.68"/>
    <n v="0"/>
  </r>
  <r>
    <x v="7"/>
    <x v="58"/>
    <x v="7"/>
    <n v="0"/>
    <n v="-943.31"/>
  </r>
  <r>
    <x v="7"/>
    <x v="58"/>
    <x v="7"/>
    <n v="526.37"/>
    <n v="0"/>
  </r>
  <r>
    <x v="7"/>
    <x v="59"/>
    <x v="7"/>
    <n v="426.15"/>
    <n v="0"/>
  </r>
  <r>
    <x v="7"/>
    <x v="59"/>
    <x v="3"/>
    <n v="0"/>
    <n v="-1629.85"/>
  </r>
  <r>
    <x v="7"/>
    <x v="59"/>
    <x v="5"/>
    <n v="0"/>
    <n v="-1010.78"/>
  </r>
  <r>
    <x v="7"/>
    <x v="59"/>
    <x v="7"/>
    <n v="0"/>
    <n v="-983.04"/>
  </r>
  <r>
    <x v="7"/>
    <x v="59"/>
    <x v="3"/>
    <n v="151.46"/>
    <n v="0"/>
  </r>
  <r>
    <x v="7"/>
    <x v="59"/>
    <x v="5"/>
    <n v="674.96"/>
    <n v="0"/>
  </r>
  <r>
    <x v="7"/>
    <x v="60"/>
    <x v="3"/>
    <n v="0"/>
    <n v="-1384.14"/>
  </r>
  <r>
    <x v="7"/>
    <x v="60"/>
    <x v="5"/>
    <n v="530.13"/>
    <n v="0"/>
  </r>
  <r>
    <x v="7"/>
    <x v="60"/>
    <x v="7"/>
    <n v="471.47"/>
    <n v="0"/>
  </r>
  <r>
    <x v="7"/>
    <x v="60"/>
    <x v="3"/>
    <n v="348.48"/>
    <n v="0"/>
  </r>
  <r>
    <x v="7"/>
    <x v="60"/>
    <x v="7"/>
    <n v="0"/>
    <n v="-730.62"/>
  </r>
  <r>
    <x v="7"/>
    <x v="60"/>
    <x v="5"/>
    <n v="0"/>
    <n v="-1203.3900000000001"/>
  </r>
  <r>
    <x v="7"/>
    <x v="61"/>
    <x v="7"/>
    <n v="68.94"/>
    <n v="0"/>
  </r>
  <r>
    <x v="7"/>
    <x v="61"/>
    <x v="3"/>
    <n v="259.77999999999997"/>
    <n v="0"/>
  </r>
  <r>
    <x v="7"/>
    <x v="61"/>
    <x v="5"/>
    <n v="82.5"/>
    <n v="0"/>
  </r>
  <r>
    <x v="7"/>
    <x v="62"/>
    <x v="3"/>
    <n v="65.38"/>
    <n v="0"/>
  </r>
  <r>
    <x v="7"/>
    <x v="62"/>
    <x v="7"/>
    <n v="80.7"/>
    <n v="0"/>
  </r>
  <r>
    <x v="7"/>
    <x v="62"/>
    <x v="5"/>
    <n v="101.41"/>
    <n v="0"/>
  </r>
  <r>
    <x v="7"/>
    <x v="63"/>
    <x v="3"/>
    <n v="0"/>
    <n v="-1680.87"/>
  </r>
  <r>
    <x v="7"/>
    <x v="63"/>
    <x v="5"/>
    <n v="0"/>
    <n v="-1521.78"/>
  </r>
  <r>
    <x v="7"/>
    <x v="63"/>
    <x v="7"/>
    <n v="214.96"/>
    <n v="0"/>
  </r>
  <r>
    <x v="7"/>
    <x v="63"/>
    <x v="3"/>
    <n v="172.54"/>
    <n v="0"/>
  </r>
  <r>
    <x v="7"/>
    <x v="63"/>
    <x v="5"/>
    <n v="224.17"/>
    <n v="0"/>
  </r>
  <r>
    <x v="7"/>
    <x v="63"/>
    <x v="7"/>
    <n v="0"/>
    <n v="-972.94"/>
  </r>
  <r>
    <x v="7"/>
    <x v="64"/>
    <x v="7"/>
    <n v="234.29"/>
    <n v="0"/>
  </r>
  <r>
    <x v="7"/>
    <x v="64"/>
    <x v="5"/>
    <n v="205.63"/>
    <n v="0"/>
  </r>
  <r>
    <x v="7"/>
    <x v="64"/>
    <x v="3"/>
    <n v="240"/>
    <n v="0"/>
  </r>
  <r>
    <x v="7"/>
    <x v="65"/>
    <x v="3"/>
    <n v="0"/>
    <n v="-1860.14"/>
  </r>
  <r>
    <x v="7"/>
    <x v="65"/>
    <x v="5"/>
    <n v="0"/>
    <n v="-1630.34"/>
  </r>
  <r>
    <x v="7"/>
    <x v="65"/>
    <x v="7"/>
    <n v="0"/>
    <n v="-1047.73"/>
  </r>
  <r>
    <x v="7"/>
    <x v="65"/>
    <x v="3"/>
    <n v="173.97"/>
    <n v="0"/>
  </r>
  <r>
    <x v="7"/>
    <x v="65"/>
    <x v="5"/>
    <n v="188.07"/>
    <n v="0"/>
  </r>
  <r>
    <x v="7"/>
    <x v="65"/>
    <x v="7"/>
    <n v="426.8"/>
    <n v="0"/>
  </r>
  <r>
    <x v="7"/>
    <x v="66"/>
    <x v="3"/>
    <n v="0"/>
    <n v="-1656.86"/>
  </r>
  <r>
    <x v="7"/>
    <x v="66"/>
    <x v="5"/>
    <n v="0"/>
    <n v="-5894.44"/>
  </r>
  <r>
    <x v="7"/>
    <x v="66"/>
    <x v="7"/>
    <n v="417.17"/>
    <n v="0"/>
  </r>
  <r>
    <x v="7"/>
    <x v="66"/>
    <x v="3"/>
    <n v="285.19"/>
    <n v="0"/>
  </r>
  <r>
    <x v="7"/>
    <x v="66"/>
    <x v="5"/>
    <n v="900.46"/>
    <n v="0"/>
  </r>
  <r>
    <x v="7"/>
    <x v="66"/>
    <x v="7"/>
    <n v="0"/>
    <n v="-853.26"/>
  </r>
  <r>
    <x v="7"/>
    <x v="67"/>
    <x v="7"/>
    <n v="0"/>
    <n v="-930.79"/>
  </r>
  <r>
    <x v="7"/>
    <x v="67"/>
    <x v="3"/>
    <n v="0"/>
    <n v="-2225.6799999999998"/>
  </r>
  <r>
    <x v="7"/>
    <x v="67"/>
    <x v="5"/>
    <n v="0"/>
    <n v="-5147.97"/>
  </r>
  <r>
    <x v="7"/>
    <x v="67"/>
    <x v="7"/>
    <n v="409.49"/>
    <n v="0"/>
  </r>
  <r>
    <x v="7"/>
    <x v="67"/>
    <x v="5"/>
    <n v="1300.1600000000001"/>
    <n v="0"/>
  </r>
  <r>
    <x v="7"/>
    <x v="67"/>
    <x v="3"/>
    <n v="328.12"/>
    <n v="0"/>
  </r>
  <r>
    <x v="7"/>
    <x v="68"/>
    <x v="7"/>
    <n v="501.75"/>
    <n v="0"/>
  </r>
  <r>
    <x v="7"/>
    <x v="68"/>
    <x v="7"/>
    <n v="0"/>
    <n v="-1585.74"/>
  </r>
  <r>
    <x v="7"/>
    <x v="68"/>
    <x v="3"/>
    <n v="0"/>
    <n v="-1611.53"/>
  </r>
  <r>
    <x v="7"/>
    <x v="68"/>
    <x v="3"/>
    <n v="308.57"/>
    <n v="0"/>
  </r>
  <r>
    <x v="7"/>
    <x v="68"/>
    <x v="5"/>
    <n v="1214.83"/>
    <n v="0"/>
  </r>
  <r>
    <x v="7"/>
    <x v="68"/>
    <x v="5"/>
    <n v="0"/>
    <n v="-3504.87"/>
  </r>
  <r>
    <x v="7"/>
    <x v="69"/>
    <x v="5"/>
    <n v="646.17999999999995"/>
    <n v="0"/>
  </r>
  <r>
    <x v="7"/>
    <x v="69"/>
    <x v="3"/>
    <n v="240.42"/>
    <n v="0"/>
  </r>
  <r>
    <x v="7"/>
    <x v="69"/>
    <x v="7"/>
    <n v="0"/>
    <n v="-2695.52"/>
  </r>
  <r>
    <x v="7"/>
    <x v="69"/>
    <x v="5"/>
    <n v="0"/>
    <n v="-3690.06"/>
  </r>
  <r>
    <x v="7"/>
    <x v="69"/>
    <x v="3"/>
    <n v="0"/>
    <n v="-1681.06"/>
  </r>
  <r>
    <x v="7"/>
    <x v="69"/>
    <x v="7"/>
    <n v="281.13"/>
    <n v="0"/>
  </r>
  <r>
    <x v="7"/>
    <x v="70"/>
    <x v="7"/>
    <n v="-1485.97"/>
    <n v="0"/>
  </r>
  <r>
    <x v="7"/>
    <x v="70"/>
    <x v="7"/>
    <n v="0"/>
    <n v="-14.44"/>
  </r>
  <r>
    <x v="7"/>
    <x v="70"/>
    <x v="3"/>
    <n v="-1713.17"/>
    <n v="0"/>
  </r>
  <r>
    <x v="7"/>
    <x v="70"/>
    <x v="5"/>
    <n v="-3194.44"/>
    <n v="0"/>
  </r>
  <r>
    <x v="7"/>
    <x v="70"/>
    <x v="5"/>
    <n v="0"/>
    <n v="-8.5399999999999991"/>
  </r>
  <r>
    <x v="7"/>
    <x v="71"/>
    <x v="7"/>
    <n v="0"/>
    <n v="-900.92"/>
  </r>
  <r>
    <x v="7"/>
    <x v="71"/>
    <x v="5"/>
    <n v="0"/>
    <n v="-978.85"/>
  </r>
  <r>
    <x v="7"/>
    <x v="71"/>
    <x v="3"/>
    <n v="0"/>
    <n v="-644.79"/>
  </r>
  <r>
    <x v="7"/>
    <x v="71"/>
    <x v="7"/>
    <n v="269.69"/>
    <n v="0"/>
  </r>
  <r>
    <x v="7"/>
    <x v="71"/>
    <x v="5"/>
    <n v="630.23"/>
    <n v="0"/>
  </r>
  <r>
    <x v="7"/>
    <x v="71"/>
    <x v="3"/>
    <n v="426.28"/>
    <n v="0"/>
  </r>
  <r>
    <x v="7"/>
    <x v="72"/>
    <x v="5"/>
    <n v="1502.97"/>
    <n v="0"/>
  </r>
  <r>
    <x v="7"/>
    <x v="72"/>
    <x v="5"/>
    <n v="0"/>
    <n v="-4921.9799999999996"/>
  </r>
  <r>
    <x v="7"/>
    <x v="72"/>
    <x v="3"/>
    <n v="0"/>
    <n v="-1399"/>
  </r>
  <r>
    <x v="7"/>
    <x v="72"/>
    <x v="3"/>
    <n v="778.72"/>
    <n v="0"/>
  </r>
  <r>
    <x v="7"/>
    <x v="72"/>
    <x v="7"/>
    <n v="500.8"/>
    <n v="0"/>
  </r>
  <r>
    <x v="7"/>
    <x v="72"/>
    <x v="7"/>
    <n v="0"/>
    <n v="-1616.5"/>
  </r>
  <r>
    <x v="7"/>
    <x v="73"/>
    <x v="5"/>
    <n v="0"/>
    <n v="-4073.75"/>
  </r>
  <r>
    <x v="7"/>
    <x v="73"/>
    <x v="3"/>
    <n v="387.12"/>
    <n v="0"/>
  </r>
  <r>
    <x v="7"/>
    <x v="73"/>
    <x v="7"/>
    <n v="0"/>
    <n v="-2962.73"/>
  </r>
  <r>
    <x v="7"/>
    <x v="73"/>
    <x v="7"/>
    <n v="651.11"/>
    <n v="0"/>
  </r>
  <r>
    <x v="7"/>
    <x v="73"/>
    <x v="3"/>
    <n v="0"/>
    <n v="-1838.71"/>
  </r>
  <r>
    <x v="7"/>
    <x v="73"/>
    <x v="5"/>
    <n v="1569.5"/>
    <n v="0"/>
  </r>
  <r>
    <x v="7"/>
    <x v="74"/>
    <x v="7"/>
    <n v="0"/>
    <n v="-3300.04"/>
  </r>
  <r>
    <x v="7"/>
    <x v="74"/>
    <x v="5"/>
    <n v="0"/>
    <n v="-3986.46"/>
  </r>
  <r>
    <x v="7"/>
    <x v="74"/>
    <x v="5"/>
    <n v="854.18"/>
    <n v="0"/>
  </r>
  <r>
    <x v="7"/>
    <x v="74"/>
    <x v="7"/>
    <n v="535.54999999999995"/>
    <n v="0"/>
  </r>
  <r>
    <x v="7"/>
    <x v="74"/>
    <x v="3"/>
    <n v="516.55999999999995"/>
    <n v="0"/>
  </r>
  <r>
    <x v="7"/>
    <x v="74"/>
    <x v="3"/>
    <n v="0"/>
    <n v="-1204.43"/>
  </r>
  <r>
    <x v="7"/>
    <x v="75"/>
    <x v="5"/>
    <n v="0"/>
    <n v="-9416.56"/>
  </r>
  <r>
    <x v="7"/>
    <x v="75"/>
    <x v="3"/>
    <n v="0"/>
    <n v="-1301.29"/>
  </r>
  <r>
    <x v="7"/>
    <x v="75"/>
    <x v="7"/>
    <n v="0"/>
    <n v="-6054.06"/>
  </r>
  <r>
    <x v="7"/>
    <x v="75"/>
    <x v="5"/>
    <n v="775.59"/>
    <n v="0"/>
  </r>
  <r>
    <x v="7"/>
    <x v="75"/>
    <x v="3"/>
    <n v="563.17999999999995"/>
    <n v="0"/>
  </r>
  <r>
    <x v="7"/>
    <x v="75"/>
    <x v="7"/>
    <n v="403.17"/>
    <n v="0"/>
  </r>
  <r>
    <x v="7"/>
    <x v="76"/>
    <x v="3"/>
    <n v="431.56"/>
    <n v="0"/>
  </r>
  <r>
    <x v="7"/>
    <x v="76"/>
    <x v="3"/>
    <n v="0"/>
    <n v="-1667.11"/>
  </r>
  <r>
    <x v="7"/>
    <x v="76"/>
    <x v="7"/>
    <n v="0"/>
    <n v="-4931.93"/>
  </r>
  <r>
    <x v="7"/>
    <x v="76"/>
    <x v="7"/>
    <n v="455.37"/>
    <n v="0"/>
  </r>
  <r>
    <x v="7"/>
    <x v="76"/>
    <x v="5"/>
    <n v="0"/>
    <n v="-13199.4"/>
  </r>
  <r>
    <x v="7"/>
    <x v="76"/>
    <x v="5"/>
    <n v="447.61"/>
    <n v="0"/>
  </r>
  <r>
    <x v="7"/>
    <x v="88"/>
    <x v="7"/>
    <n v="0"/>
    <n v="-7056.47"/>
  </r>
  <r>
    <x v="7"/>
    <x v="88"/>
    <x v="3"/>
    <n v="259.32"/>
    <n v="0"/>
  </r>
  <r>
    <x v="7"/>
    <x v="88"/>
    <x v="3"/>
    <n v="0"/>
    <n v="-1572.86"/>
  </r>
  <r>
    <x v="7"/>
    <x v="88"/>
    <x v="5"/>
    <n v="879.24"/>
    <n v="0"/>
  </r>
  <r>
    <x v="7"/>
    <x v="88"/>
    <x v="5"/>
    <n v="0"/>
    <n v="-12348.41"/>
  </r>
  <r>
    <x v="7"/>
    <x v="88"/>
    <x v="7"/>
    <n v="726.88"/>
    <n v="0"/>
  </r>
  <r>
    <x v="7"/>
    <x v="77"/>
    <x v="5"/>
    <n v="0"/>
    <n v="-12817.94"/>
  </r>
  <r>
    <x v="7"/>
    <x v="77"/>
    <x v="3"/>
    <n v="0"/>
    <n v="-1414.53"/>
  </r>
  <r>
    <x v="7"/>
    <x v="77"/>
    <x v="7"/>
    <n v="0"/>
    <n v="-5397.57"/>
  </r>
  <r>
    <x v="7"/>
    <x v="77"/>
    <x v="7"/>
    <n v="338.61"/>
    <n v="0"/>
  </r>
  <r>
    <x v="7"/>
    <x v="77"/>
    <x v="5"/>
    <n v="589.54999999999995"/>
    <n v="0"/>
  </r>
  <r>
    <x v="7"/>
    <x v="77"/>
    <x v="3"/>
    <n v="264.13"/>
    <n v="0"/>
  </r>
  <r>
    <x v="7"/>
    <x v="78"/>
    <x v="7"/>
    <n v="0"/>
    <n v="-5590.66"/>
  </r>
  <r>
    <x v="7"/>
    <x v="78"/>
    <x v="5"/>
    <n v="0"/>
    <n v="-10433.799999999999"/>
  </r>
  <r>
    <x v="7"/>
    <x v="78"/>
    <x v="5"/>
    <n v="358.16"/>
    <n v="0"/>
  </r>
  <r>
    <x v="7"/>
    <x v="78"/>
    <x v="3"/>
    <n v="172.44"/>
    <n v="0"/>
  </r>
  <r>
    <x v="7"/>
    <x v="78"/>
    <x v="7"/>
    <n v="329.79"/>
    <n v="0"/>
  </r>
  <r>
    <x v="7"/>
    <x v="78"/>
    <x v="3"/>
    <n v="0"/>
    <n v="-1298.6199999999999"/>
  </r>
  <r>
    <x v="7"/>
    <x v="79"/>
    <x v="3"/>
    <n v="478.02"/>
    <n v="0"/>
  </r>
  <r>
    <x v="7"/>
    <x v="79"/>
    <x v="7"/>
    <n v="346.46"/>
    <n v="0"/>
  </r>
  <r>
    <x v="7"/>
    <x v="79"/>
    <x v="5"/>
    <n v="514.6"/>
    <n v="0"/>
  </r>
  <r>
    <x v="7"/>
    <x v="79"/>
    <x v="5"/>
    <n v="0"/>
    <n v="-10397.290000000001"/>
  </r>
  <r>
    <x v="7"/>
    <x v="79"/>
    <x v="7"/>
    <n v="0"/>
    <n v="-6752.17"/>
  </r>
  <r>
    <x v="7"/>
    <x v="79"/>
    <x v="3"/>
    <n v="0"/>
    <n v="-1470.03"/>
  </r>
  <r>
    <x v="7"/>
    <x v="80"/>
    <x v="3"/>
    <n v="507.3"/>
    <n v="0"/>
  </r>
  <r>
    <x v="7"/>
    <x v="80"/>
    <x v="5"/>
    <n v="424.83"/>
    <n v="0"/>
  </r>
  <r>
    <x v="7"/>
    <x v="80"/>
    <x v="7"/>
    <n v="497.57"/>
    <n v="0"/>
  </r>
  <r>
    <x v="7"/>
    <x v="80"/>
    <x v="3"/>
    <n v="0"/>
    <n v="-1624.04"/>
  </r>
  <r>
    <x v="7"/>
    <x v="80"/>
    <x v="7"/>
    <n v="0"/>
    <n v="-6453.24"/>
  </r>
  <r>
    <x v="7"/>
    <x v="80"/>
    <x v="5"/>
    <n v="0"/>
    <n v="-12167.1"/>
  </r>
  <r>
    <x v="7"/>
    <x v="81"/>
    <x v="5"/>
    <n v="379.21"/>
    <n v="0"/>
  </r>
  <r>
    <x v="7"/>
    <x v="81"/>
    <x v="7"/>
    <n v="261.22000000000003"/>
    <n v="0"/>
  </r>
  <r>
    <x v="7"/>
    <x v="81"/>
    <x v="3"/>
    <n v="291.18"/>
    <n v="0"/>
  </r>
  <r>
    <x v="7"/>
    <x v="81"/>
    <x v="7"/>
    <n v="0"/>
    <n v="-6790.49"/>
  </r>
  <r>
    <x v="7"/>
    <x v="81"/>
    <x v="5"/>
    <n v="0"/>
    <n v="-12068.53"/>
  </r>
  <r>
    <x v="7"/>
    <x v="81"/>
    <x v="3"/>
    <n v="0"/>
    <n v="-2137.12"/>
  </r>
  <r>
    <x v="7"/>
    <x v="82"/>
    <x v="7"/>
    <n v="123.78"/>
    <n v="0"/>
  </r>
  <r>
    <x v="7"/>
    <x v="82"/>
    <x v="3"/>
    <n v="185.94"/>
    <n v="0"/>
  </r>
  <r>
    <x v="7"/>
    <x v="82"/>
    <x v="5"/>
    <n v="82.24"/>
    <n v="0"/>
  </r>
  <r>
    <x v="7"/>
    <x v="82"/>
    <x v="7"/>
    <n v="0"/>
    <n v="-6186.11"/>
  </r>
  <r>
    <x v="7"/>
    <x v="82"/>
    <x v="5"/>
    <n v="0"/>
    <n v="-9193.49"/>
  </r>
  <r>
    <x v="7"/>
    <x v="82"/>
    <x v="3"/>
    <n v="0"/>
    <n v="-3148.7"/>
  </r>
  <r>
    <x v="7"/>
    <x v="83"/>
    <x v="3"/>
    <n v="121.7"/>
    <n v="0"/>
  </r>
  <r>
    <x v="7"/>
    <x v="83"/>
    <x v="7"/>
    <n v="83.74"/>
    <n v="0"/>
  </r>
  <r>
    <x v="7"/>
    <x v="83"/>
    <x v="5"/>
    <n v="293.98"/>
    <n v="0"/>
  </r>
  <r>
    <x v="7"/>
    <x v="83"/>
    <x v="7"/>
    <n v="0"/>
    <n v="-5825.41"/>
  </r>
  <r>
    <x v="7"/>
    <x v="83"/>
    <x v="3"/>
    <n v="0"/>
    <n v="-3074.98"/>
  </r>
  <r>
    <x v="7"/>
    <x v="83"/>
    <x v="5"/>
    <n v="0"/>
    <n v="-10794.16"/>
  </r>
  <r>
    <x v="7"/>
    <x v="84"/>
    <x v="5"/>
    <n v="469.9"/>
    <n v="0"/>
  </r>
  <r>
    <x v="7"/>
    <x v="84"/>
    <x v="3"/>
    <n v="702.62"/>
    <n v="0"/>
  </r>
  <r>
    <x v="7"/>
    <x v="84"/>
    <x v="7"/>
    <n v="142.34"/>
    <n v="0"/>
  </r>
  <r>
    <x v="7"/>
    <x v="84"/>
    <x v="5"/>
    <n v="0"/>
    <n v="-13315.47"/>
  </r>
  <r>
    <x v="7"/>
    <x v="84"/>
    <x v="3"/>
    <n v="0"/>
    <n v="-3373.46"/>
  </r>
  <r>
    <x v="7"/>
    <x v="84"/>
    <x v="7"/>
    <n v="0"/>
    <n v="-5879.84"/>
  </r>
  <r>
    <x v="7"/>
    <x v="85"/>
    <x v="3"/>
    <n v="220.72"/>
    <n v="0"/>
  </r>
  <r>
    <x v="7"/>
    <x v="85"/>
    <x v="7"/>
    <n v="581"/>
    <n v="0"/>
  </r>
  <r>
    <x v="7"/>
    <x v="85"/>
    <x v="5"/>
    <n v="298.27999999999997"/>
    <n v="0"/>
  </r>
  <r>
    <x v="7"/>
    <x v="85"/>
    <x v="5"/>
    <n v="0"/>
    <n v="-14746.6"/>
  </r>
  <r>
    <x v="7"/>
    <x v="85"/>
    <x v="3"/>
    <n v="0"/>
    <n v="-5094.22"/>
  </r>
  <r>
    <x v="7"/>
    <x v="85"/>
    <x v="7"/>
    <n v="0"/>
    <n v="-7522.27"/>
  </r>
  <r>
    <x v="7"/>
    <x v="86"/>
    <x v="3"/>
    <n v="482.37"/>
    <n v="0"/>
  </r>
  <r>
    <x v="7"/>
    <x v="86"/>
    <x v="5"/>
    <n v="101.32"/>
    <n v="0"/>
  </r>
  <r>
    <x v="7"/>
    <x v="86"/>
    <x v="7"/>
    <n v="323.95"/>
    <n v="0"/>
  </r>
  <r>
    <x v="7"/>
    <x v="86"/>
    <x v="5"/>
    <n v="0"/>
    <n v="-15103.09"/>
  </r>
  <r>
    <x v="7"/>
    <x v="86"/>
    <x v="7"/>
    <n v="0"/>
    <n v="-8036.21"/>
  </r>
  <r>
    <x v="7"/>
    <x v="86"/>
    <x v="3"/>
    <n v="0"/>
    <n v="-3870.42"/>
  </r>
  <r>
    <x v="7"/>
    <x v="87"/>
    <x v="3"/>
    <n v="175.87"/>
    <n v="0"/>
  </r>
  <r>
    <x v="7"/>
    <x v="87"/>
    <x v="7"/>
    <n v="343.47"/>
    <n v="0"/>
  </r>
  <r>
    <x v="7"/>
    <x v="87"/>
    <x v="5"/>
    <n v="263.99"/>
    <n v="0"/>
  </r>
  <r>
    <x v="7"/>
    <x v="87"/>
    <x v="7"/>
    <n v="0"/>
    <n v="-10608.72"/>
  </r>
  <r>
    <x v="7"/>
    <x v="87"/>
    <x v="5"/>
    <n v="0"/>
    <n v="-14488.28"/>
  </r>
  <r>
    <x v="7"/>
    <x v="87"/>
    <x v="3"/>
    <n v="0"/>
    <n v="-3277.77"/>
  </r>
  <r>
    <x v="7"/>
    <x v="0"/>
    <x v="7"/>
    <n v="283.37"/>
    <n v="0"/>
  </r>
  <r>
    <x v="7"/>
    <x v="0"/>
    <x v="5"/>
    <n v="388.39"/>
    <n v="0"/>
  </r>
  <r>
    <x v="7"/>
    <x v="0"/>
    <x v="3"/>
    <n v="154.12"/>
    <n v="0"/>
  </r>
  <r>
    <x v="7"/>
    <x v="0"/>
    <x v="3"/>
    <n v="0"/>
    <n v="-3887.11"/>
  </r>
  <r>
    <x v="7"/>
    <x v="0"/>
    <x v="7"/>
    <n v="0"/>
    <n v="-9942.32"/>
  </r>
  <r>
    <x v="7"/>
    <x v="0"/>
    <x v="5"/>
    <n v="0"/>
    <n v="-14506.67"/>
  </r>
  <r>
    <x v="7"/>
    <x v="1"/>
    <x v="5"/>
    <n v="145.85"/>
    <n v="0"/>
  </r>
  <r>
    <x v="7"/>
    <x v="1"/>
    <x v="7"/>
    <n v="211.13"/>
    <n v="0"/>
  </r>
  <r>
    <x v="7"/>
    <x v="1"/>
    <x v="3"/>
    <n v="228.4"/>
    <n v="0"/>
  </r>
  <r>
    <x v="7"/>
    <x v="1"/>
    <x v="7"/>
    <n v="0"/>
    <n v="-13402.89"/>
  </r>
  <r>
    <x v="7"/>
    <x v="1"/>
    <x v="3"/>
    <n v="0"/>
    <n v="-3929.5"/>
  </r>
  <r>
    <x v="7"/>
    <x v="1"/>
    <x v="5"/>
    <n v="0"/>
    <n v="-13318.67"/>
  </r>
  <r>
    <x v="7"/>
    <x v="2"/>
    <x v="7"/>
    <n v="168.19"/>
    <n v="0"/>
  </r>
  <r>
    <x v="7"/>
    <x v="2"/>
    <x v="3"/>
    <n v="134.28"/>
    <n v="0"/>
  </r>
  <r>
    <x v="7"/>
    <x v="2"/>
    <x v="5"/>
    <n v="274.60000000000002"/>
    <n v="0"/>
  </r>
  <r>
    <x v="7"/>
    <x v="2"/>
    <x v="5"/>
    <n v="0"/>
    <n v="-13521.58"/>
  </r>
  <r>
    <x v="7"/>
    <x v="2"/>
    <x v="7"/>
    <n v="0"/>
    <n v="-9635.9500000000007"/>
  </r>
  <r>
    <x v="7"/>
    <x v="2"/>
    <x v="3"/>
    <n v="0"/>
    <n v="-5391.28"/>
  </r>
  <r>
    <x v="7"/>
    <x v="3"/>
    <x v="7"/>
    <n v="41.36"/>
    <n v="0"/>
  </r>
  <r>
    <x v="7"/>
    <x v="3"/>
    <x v="5"/>
    <n v="285.55"/>
    <n v="0"/>
  </r>
  <r>
    <x v="7"/>
    <x v="3"/>
    <x v="3"/>
    <n v="224.84"/>
    <n v="0"/>
  </r>
  <r>
    <x v="7"/>
    <x v="3"/>
    <x v="7"/>
    <n v="0"/>
    <n v="-7474.06"/>
  </r>
  <r>
    <x v="7"/>
    <x v="3"/>
    <x v="5"/>
    <n v="0"/>
    <n v="-15150.91"/>
  </r>
  <r>
    <x v="7"/>
    <x v="3"/>
    <x v="3"/>
    <n v="0"/>
    <n v="-7770.9"/>
  </r>
  <r>
    <x v="7"/>
    <x v="4"/>
    <x v="3"/>
    <n v="271.27999999999997"/>
    <n v="0"/>
  </r>
  <r>
    <x v="7"/>
    <x v="4"/>
    <x v="5"/>
    <n v="110.66"/>
    <n v="0"/>
  </r>
  <r>
    <x v="7"/>
    <x v="4"/>
    <x v="7"/>
    <n v="144.06"/>
    <n v="0"/>
  </r>
  <r>
    <x v="7"/>
    <x v="4"/>
    <x v="3"/>
    <n v="0"/>
    <n v="-7985.41"/>
  </r>
  <r>
    <x v="7"/>
    <x v="4"/>
    <x v="5"/>
    <n v="0"/>
    <n v="-14920.21"/>
  </r>
  <r>
    <x v="7"/>
    <x v="4"/>
    <x v="7"/>
    <n v="0"/>
    <n v="-7287.88"/>
  </r>
  <r>
    <x v="7"/>
    <x v="5"/>
    <x v="5"/>
    <n v="80.430000000000007"/>
    <n v="0"/>
  </r>
  <r>
    <x v="7"/>
    <x v="5"/>
    <x v="7"/>
    <n v="91.3"/>
    <n v="0"/>
  </r>
  <r>
    <x v="7"/>
    <x v="5"/>
    <x v="3"/>
    <n v="358.71"/>
    <n v="0"/>
  </r>
  <r>
    <x v="7"/>
    <x v="5"/>
    <x v="3"/>
    <n v="0"/>
    <n v="-8518.23"/>
  </r>
  <r>
    <x v="7"/>
    <x v="5"/>
    <x v="7"/>
    <n v="0"/>
    <n v="-7340.65"/>
  </r>
  <r>
    <x v="7"/>
    <x v="5"/>
    <x v="5"/>
    <n v="0"/>
    <n v="-12229.8"/>
  </r>
  <r>
    <x v="7"/>
    <x v="6"/>
    <x v="7"/>
    <n v="237.03"/>
    <n v="0"/>
  </r>
  <r>
    <x v="7"/>
    <x v="6"/>
    <x v="5"/>
    <n v="221.2"/>
    <n v="0"/>
  </r>
  <r>
    <x v="7"/>
    <x v="6"/>
    <x v="3"/>
    <n v="403.95"/>
    <n v="0"/>
  </r>
  <r>
    <x v="7"/>
    <x v="6"/>
    <x v="7"/>
    <n v="0"/>
    <n v="-6737.7"/>
  </r>
  <r>
    <x v="7"/>
    <x v="6"/>
    <x v="5"/>
    <n v="0"/>
    <n v="-14389.7"/>
  </r>
  <r>
    <x v="7"/>
    <x v="6"/>
    <x v="3"/>
    <n v="0"/>
    <n v="-8522.7900000000009"/>
  </r>
  <r>
    <x v="7"/>
    <x v="7"/>
    <x v="7"/>
    <n v="-295.63"/>
    <n v="0"/>
  </r>
  <r>
    <x v="7"/>
    <x v="7"/>
    <x v="7"/>
    <n v="0"/>
    <n v="-8008.42"/>
  </r>
  <r>
    <x v="7"/>
    <x v="7"/>
    <x v="3"/>
    <n v="319.77"/>
    <n v="0"/>
  </r>
  <r>
    <x v="7"/>
    <x v="7"/>
    <x v="5"/>
    <n v="501.05"/>
    <n v="0"/>
  </r>
  <r>
    <x v="7"/>
    <x v="7"/>
    <x v="3"/>
    <n v="0"/>
    <n v="-14278.05"/>
  </r>
  <r>
    <x v="7"/>
    <x v="7"/>
    <x v="5"/>
    <n v="0"/>
    <n v="-20930.82"/>
  </r>
  <r>
    <x v="7"/>
    <x v="8"/>
    <x v="3"/>
    <n v="350.48"/>
    <n v="0"/>
  </r>
  <r>
    <x v="7"/>
    <x v="8"/>
    <x v="5"/>
    <n v="269.19"/>
    <n v="0"/>
  </r>
  <r>
    <x v="7"/>
    <x v="8"/>
    <x v="7"/>
    <n v="-329.76"/>
    <n v="0"/>
  </r>
  <r>
    <x v="7"/>
    <x v="8"/>
    <x v="3"/>
    <n v="0"/>
    <n v="-18779.68"/>
  </r>
  <r>
    <x v="7"/>
    <x v="8"/>
    <x v="5"/>
    <n v="0"/>
    <n v="-23707.3"/>
  </r>
  <r>
    <x v="7"/>
    <x v="8"/>
    <x v="7"/>
    <n v="0"/>
    <n v="-8411.56"/>
  </r>
  <r>
    <x v="7"/>
    <x v="9"/>
    <x v="5"/>
    <n v="90.65"/>
    <n v="0"/>
  </r>
  <r>
    <x v="7"/>
    <x v="9"/>
    <x v="7"/>
    <n v="2.88"/>
    <n v="0"/>
  </r>
  <r>
    <x v="7"/>
    <x v="9"/>
    <x v="3"/>
    <n v="95.12"/>
    <n v="0"/>
  </r>
  <r>
    <x v="7"/>
    <x v="9"/>
    <x v="5"/>
    <n v="0"/>
    <n v="-31581.919999999998"/>
  </r>
  <r>
    <x v="7"/>
    <x v="9"/>
    <x v="7"/>
    <n v="0"/>
    <n v="-8143.09"/>
  </r>
  <r>
    <x v="7"/>
    <x v="9"/>
    <x v="3"/>
    <n v="0"/>
    <n v="-27482.51"/>
  </r>
  <r>
    <x v="7"/>
    <x v="10"/>
    <x v="7"/>
    <n v="-112.4"/>
    <n v="0"/>
  </r>
  <r>
    <x v="7"/>
    <x v="10"/>
    <x v="5"/>
    <n v="42.51"/>
    <n v="0"/>
  </r>
  <r>
    <x v="7"/>
    <x v="10"/>
    <x v="3"/>
    <n v="0"/>
    <n v="-26901.3"/>
  </r>
  <r>
    <x v="7"/>
    <x v="10"/>
    <x v="7"/>
    <n v="0"/>
    <n v="-14763.31"/>
  </r>
  <r>
    <x v="7"/>
    <x v="10"/>
    <x v="5"/>
    <n v="0"/>
    <n v="-22665.35"/>
  </r>
  <r>
    <x v="7"/>
    <x v="11"/>
    <x v="5"/>
    <n v="28.49"/>
    <n v="0"/>
  </r>
  <r>
    <x v="7"/>
    <x v="11"/>
    <x v="7"/>
    <n v="0"/>
    <n v="-15412.17"/>
  </r>
  <r>
    <x v="7"/>
    <x v="11"/>
    <x v="5"/>
    <n v="0"/>
    <n v="-24334.25"/>
  </r>
  <r>
    <x v="7"/>
    <x v="11"/>
    <x v="3"/>
    <n v="0"/>
    <n v="-33537.86"/>
  </r>
  <r>
    <x v="7"/>
    <x v="12"/>
    <x v="5"/>
    <n v="-50.07"/>
    <n v="0"/>
  </r>
  <r>
    <x v="7"/>
    <x v="12"/>
    <x v="3"/>
    <n v="0"/>
    <n v="-40835.199999999997"/>
  </r>
  <r>
    <x v="7"/>
    <x v="12"/>
    <x v="5"/>
    <n v="0"/>
    <n v="-17648.349999999999"/>
  </r>
  <r>
    <x v="7"/>
    <x v="12"/>
    <x v="7"/>
    <n v="0"/>
    <n v="-24585.49"/>
  </r>
  <r>
    <x v="7"/>
    <x v="13"/>
    <x v="5"/>
    <n v="-60.12"/>
    <n v="0"/>
  </r>
  <r>
    <x v="7"/>
    <x v="13"/>
    <x v="7"/>
    <n v="0"/>
    <n v="-28557.439999999999"/>
  </r>
  <r>
    <x v="7"/>
    <x v="13"/>
    <x v="3"/>
    <n v="0"/>
    <n v="-49437.86"/>
  </r>
  <r>
    <x v="7"/>
    <x v="13"/>
    <x v="5"/>
    <n v="0"/>
    <n v="-15194.74"/>
  </r>
  <r>
    <x v="7"/>
    <x v="14"/>
    <x v="3"/>
    <n v="47.1"/>
    <n v="0"/>
  </r>
  <r>
    <x v="7"/>
    <x v="14"/>
    <x v="7"/>
    <n v="63.04"/>
    <n v="0"/>
  </r>
  <r>
    <x v="7"/>
    <x v="14"/>
    <x v="7"/>
    <n v="0"/>
    <n v="-26625.07"/>
  </r>
  <r>
    <x v="7"/>
    <x v="14"/>
    <x v="3"/>
    <n v="0"/>
    <n v="-43686.75"/>
  </r>
  <r>
    <x v="7"/>
    <x v="14"/>
    <x v="5"/>
    <n v="-15230.97"/>
    <n v="0"/>
  </r>
  <r>
    <x v="7"/>
    <x v="15"/>
    <x v="7"/>
    <n v="439.43"/>
    <n v="0"/>
  </r>
  <r>
    <x v="7"/>
    <x v="15"/>
    <x v="3"/>
    <n v="517.51"/>
    <n v="0"/>
  </r>
  <r>
    <x v="7"/>
    <x v="15"/>
    <x v="3"/>
    <n v="0"/>
    <n v="-37306.18"/>
  </r>
  <r>
    <x v="7"/>
    <x v="15"/>
    <x v="7"/>
    <n v="0"/>
    <n v="-22501.439999999999"/>
  </r>
  <r>
    <x v="7"/>
    <x v="16"/>
    <x v="7"/>
    <n v="253.86"/>
    <n v="0"/>
  </r>
  <r>
    <x v="7"/>
    <x v="16"/>
    <x v="3"/>
    <n v="140.81"/>
    <n v="0"/>
  </r>
  <r>
    <x v="7"/>
    <x v="16"/>
    <x v="7"/>
    <n v="0"/>
    <n v="-25493.45"/>
  </r>
  <r>
    <x v="7"/>
    <x v="16"/>
    <x v="3"/>
    <n v="0"/>
    <n v="-42363.76"/>
  </r>
  <r>
    <x v="7"/>
    <x v="17"/>
    <x v="7"/>
    <n v="0"/>
    <n v="0"/>
  </r>
  <r>
    <x v="7"/>
    <x v="17"/>
    <x v="3"/>
    <n v="0"/>
    <n v="0"/>
  </r>
  <r>
    <x v="7"/>
    <x v="17"/>
    <x v="7"/>
    <n v="0"/>
    <n v="-28147.59"/>
  </r>
  <r>
    <x v="7"/>
    <x v="17"/>
    <x v="3"/>
    <n v="0"/>
    <n v="-50593.94"/>
  </r>
  <r>
    <x v="7"/>
    <x v="18"/>
    <x v="7"/>
    <n v="-11247.33"/>
    <n v="0"/>
  </r>
  <r>
    <x v="7"/>
    <x v="18"/>
    <x v="3"/>
    <n v="-41956.26"/>
    <n v="0"/>
  </r>
  <r>
    <x v="7"/>
    <x v="18"/>
    <x v="7"/>
    <n v="0"/>
    <n v="-19190.23"/>
  </r>
  <r>
    <x v="7"/>
    <x v="18"/>
    <x v="3"/>
    <n v="0"/>
    <n v="-14629.62"/>
  </r>
  <r>
    <x v="7"/>
    <x v="19"/>
    <x v="7"/>
    <n v="0"/>
    <n v="0"/>
  </r>
  <r>
    <x v="7"/>
    <x v="19"/>
    <x v="3"/>
    <n v="0"/>
    <n v="0"/>
  </r>
  <r>
    <x v="7"/>
    <x v="19"/>
    <x v="5"/>
    <n v="0"/>
    <n v="0"/>
  </r>
  <r>
    <x v="7"/>
    <x v="19"/>
    <x v="3"/>
    <n v="0"/>
    <n v="-13091.92"/>
  </r>
  <r>
    <x v="7"/>
    <x v="19"/>
    <x v="7"/>
    <n v="0"/>
    <n v="-14405.06"/>
  </r>
  <r>
    <x v="7"/>
    <x v="20"/>
    <x v="3"/>
    <n v="0"/>
    <n v="0"/>
  </r>
  <r>
    <x v="7"/>
    <x v="20"/>
    <x v="3"/>
    <n v="0"/>
    <n v="-16064.52"/>
  </r>
  <r>
    <x v="7"/>
    <x v="20"/>
    <x v="7"/>
    <n v="0"/>
    <n v="-15308.02"/>
  </r>
  <r>
    <x v="7"/>
    <x v="21"/>
    <x v="5"/>
    <n v="0"/>
    <n v="0"/>
  </r>
  <r>
    <x v="7"/>
    <x v="21"/>
    <x v="3"/>
    <n v="0"/>
    <n v="-14769.14"/>
  </r>
  <r>
    <x v="7"/>
    <x v="21"/>
    <x v="7"/>
    <n v="0"/>
    <n v="-16661.96"/>
  </r>
  <r>
    <x v="7"/>
    <x v="22"/>
    <x v="3"/>
    <n v="-5247.01"/>
    <n v="0"/>
  </r>
  <r>
    <x v="7"/>
    <x v="22"/>
    <x v="7"/>
    <n v="0"/>
    <n v="0"/>
  </r>
  <r>
    <x v="7"/>
    <x v="22"/>
    <x v="7"/>
    <n v="0"/>
    <n v="-20211.89"/>
  </r>
  <r>
    <x v="7"/>
    <x v="22"/>
    <x v="3"/>
    <n v="0"/>
    <n v="-13305.81"/>
  </r>
  <r>
    <x v="7"/>
    <x v="23"/>
    <x v="7"/>
    <n v="-12260.92"/>
    <n v="0"/>
  </r>
  <r>
    <x v="7"/>
    <x v="23"/>
    <x v="7"/>
    <n v="0"/>
    <n v="-7387.96"/>
  </r>
  <r>
    <x v="7"/>
    <x v="23"/>
    <x v="3"/>
    <n v="-10605.84"/>
    <n v="0"/>
  </r>
  <r>
    <x v="7"/>
    <x v="23"/>
    <x v="5"/>
    <n v="0"/>
    <n v="0"/>
  </r>
  <r>
    <x v="7"/>
    <x v="23"/>
    <x v="3"/>
    <n v="0"/>
    <n v="-1808.7"/>
  </r>
  <r>
    <x v="7"/>
    <x v="24"/>
    <x v="7"/>
    <n v="0"/>
    <n v="-7920.4"/>
  </r>
  <r>
    <x v="7"/>
    <x v="24"/>
    <x v="3"/>
    <n v="0"/>
    <n v="-1741.81"/>
  </r>
  <r>
    <x v="8"/>
    <x v="65"/>
    <x v="3"/>
    <n v="109.34"/>
    <n v="0"/>
  </r>
  <r>
    <x v="8"/>
    <x v="65"/>
    <x v="0"/>
    <n v="362.77"/>
    <n v="0"/>
  </r>
  <r>
    <x v="8"/>
    <x v="65"/>
    <x v="22"/>
    <n v="96.16"/>
    <n v="0"/>
  </r>
  <r>
    <x v="8"/>
    <x v="65"/>
    <x v="22"/>
    <n v="0"/>
    <n v="-121.04"/>
  </r>
  <r>
    <x v="8"/>
    <x v="65"/>
    <x v="3"/>
    <n v="0"/>
    <n v="-167.25"/>
  </r>
  <r>
    <x v="8"/>
    <x v="65"/>
    <x v="0"/>
    <n v="0"/>
    <n v="-1246.71"/>
  </r>
  <r>
    <x v="8"/>
    <x v="66"/>
    <x v="3"/>
    <n v="285.95"/>
    <n v="0"/>
  </r>
  <r>
    <x v="8"/>
    <x v="66"/>
    <x v="22"/>
    <n v="662.65"/>
    <n v="0"/>
  </r>
  <r>
    <x v="8"/>
    <x v="66"/>
    <x v="0"/>
    <n v="1216.69"/>
    <n v="0"/>
  </r>
  <r>
    <x v="8"/>
    <x v="66"/>
    <x v="3"/>
    <n v="0"/>
    <n v="-422.28"/>
  </r>
  <r>
    <x v="8"/>
    <x v="66"/>
    <x v="22"/>
    <n v="0"/>
    <n v="-2386.2199999999998"/>
  </r>
  <r>
    <x v="8"/>
    <x v="66"/>
    <x v="0"/>
    <n v="0"/>
    <n v="-2663.41"/>
  </r>
  <r>
    <x v="8"/>
    <x v="67"/>
    <x v="3"/>
    <n v="329.56"/>
    <n v="0"/>
  </r>
  <r>
    <x v="8"/>
    <x v="67"/>
    <x v="0"/>
    <n v="1502.32"/>
    <n v="0"/>
  </r>
  <r>
    <x v="8"/>
    <x v="67"/>
    <x v="22"/>
    <n v="797.6"/>
    <n v="0"/>
  </r>
  <r>
    <x v="8"/>
    <x v="67"/>
    <x v="3"/>
    <n v="0"/>
    <n v="-839.81"/>
  </r>
  <r>
    <x v="8"/>
    <x v="67"/>
    <x v="0"/>
    <n v="0"/>
    <n v="-5628.29"/>
  </r>
  <r>
    <x v="8"/>
    <x v="67"/>
    <x v="22"/>
    <n v="0"/>
    <n v="-3344.13"/>
  </r>
  <r>
    <x v="8"/>
    <x v="68"/>
    <x v="22"/>
    <n v="689.28"/>
    <n v="0"/>
  </r>
  <r>
    <x v="8"/>
    <x v="68"/>
    <x v="3"/>
    <n v="308.57"/>
    <n v="0"/>
  </r>
  <r>
    <x v="8"/>
    <x v="68"/>
    <x v="0"/>
    <n v="1355.75"/>
    <n v="0"/>
  </r>
  <r>
    <x v="8"/>
    <x v="68"/>
    <x v="3"/>
    <n v="0"/>
    <n v="-456.85"/>
  </r>
  <r>
    <x v="8"/>
    <x v="68"/>
    <x v="22"/>
    <n v="0"/>
    <n v="-2589.79"/>
  </r>
  <r>
    <x v="8"/>
    <x v="68"/>
    <x v="0"/>
    <n v="0"/>
    <n v="-4092.71"/>
  </r>
  <r>
    <x v="8"/>
    <x v="69"/>
    <x v="3"/>
    <n v="240.42"/>
    <n v="0"/>
  </r>
  <r>
    <x v="8"/>
    <x v="69"/>
    <x v="0"/>
    <n v="790.81"/>
    <n v="0"/>
  </r>
  <r>
    <x v="8"/>
    <x v="69"/>
    <x v="22"/>
    <n v="425.48"/>
    <n v="0"/>
  </r>
  <r>
    <x v="8"/>
    <x v="69"/>
    <x v="3"/>
    <n v="0"/>
    <n v="-616.61"/>
  </r>
  <r>
    <x v="8"/>
    <x v="69"/>
    <x v="22"/>
    <n v="0"/>
    <n v="-2681.3"/>
  </r>
  <r>
    <x v="8"/>
    <x v="69"/>
    <x v="0"/>
    <n v="0"/>
    <n v="-3715.25"/>
  </r>
  <r>
    <x v="8"/>
    <x v="70"/>
    <x v="22"/>
    <n v="371.38"/>
    <n v="0"/>
  </r>
  <r>
    <x v="8"/>
    <x v="70"/>
    <x v="3"/>
    <n v="150.82"/>
    <n v="0"/>
  </r>
  <r>
    <x v="8"/>
    <x v="70"/>
    <x v="0"/>
    <n v="646.17999999999995"/>
    <n v="0"/>
  </r>
  <r>
    <x v="8"/>
    <x v="70"/>
    <x v="3"/>
    <n v="0"/>
    <n v="-871.42"/>
  </r>
  <r>
    <x v="8"/>
    <x v="70"/>
    <x v="0"/>
    <n v="0"/>
    <n v="-3604.55"/>
  </r>
  <r>
    <x v="8"/>
    <x v="70"/>
    <x v="22"/>
    <n v="0"/>
    <n v="-2847.71"/>
  </r>
  <r>
    <x v="8"/>
    <x v="71"/>
    <x v="22"/>
    <n v="403.01"/>
    <n v="0"/>
  </r>
  <r>
    <x v="8"/>
    <x v="71"/>
    <x v="0"/>
    <n v="812"/>
    <n v="0"/>
  </r>
  <r>
    <x v="8"/>
    <x v="71"/>
    <x v="3"/>
    <n v="238.49"/>
    <n v="0"/>
  </r>
  <r>
    <x v="8"/>
    <x v="71"/>
    <x v="0"/>
    <n v="0"/>
    <n v="-3635.12"/>
  </r>
  <r>
    <x v="8"/>
    <x v="71"/>
    <x v="3"/>
    <n v="0"/>
    <n v="-1317.01"/>
  </r>
  <r>
    <x v="8"/>
    <x v="71"/>
    <x v="22"/>
    <n v="0"/>
    <n v="-3101.16"/>
  </r>
  <r>
    <x v="8"/>
    <x v="72"/>
    <x v="0"/>
    <n v="0"/>
    <n v="-4621.51"/>
  </r>
  <r>
    <x v="8"/>
    <x v="72"/>
    <x v="22"/>
    <n v="0"/>
    <n v="-2418.66"/>
  </r>
  <r>
    <x v="8"/>
    <x v="72"/>
    <x v="3"/>
    <n v="389.69"/>
    <n v="0"/>
  </r>
  <r>
    <x v="8"/>
    <x v="72"/>
    <x v="22"/>
    <n v="446.4"/>
    <n v="0"/>
  </r>
  <r>
    <x v="8"/>
    <x v="72"/>
    <x v="0"/>
    <n v="663.69"/>
    <n v="0"/>
  </r>
  <r>
    <x v="8"/>
    <x v="72"/>
    <x v="3"/>
    <n v="0"/>
    <n v="-1981.5"/>
  </r>
  <r>
    <x v="8"/>
    <x v="73"/>
    <x v="0"/>
    <n v="1068.5999999999999"/>
    <n v="0"/>
  </r>
  <r>
    <x v="8"/>
    <x v="73"/>
    <x v="22"/>
    <n v="335.6"/>
    <n v="0"/>
  </r>
  <r>
    <x v="8"/>
    <x v="73"/>
    <x v="3"/>
    <n v="193.57"/>
    <n v="0"/>
  </r>
  <r>
    <x v="8"/>
    <x v="73"/>
    <x v="22"/>
    <n v="0"/>
    <n v="-3894.03"/>
  </r>
  <r>
    <x v="8"/>
    <x v="73"/>
    <x v="3"/>
    <n v="0"/>
    <n v="-2346.19"/>
  </r>
  <r>
    <x v="8"/>
    <x v="73"/>
    <x v="0"/>
    <n v="0"/>
    <n v="-7318.72"/>
  </r>
  <r>
    <x v="8"/>
    <x v="74"/>
    <x v="3"/>
    <n v="258.27"/>
    <n v="0"/>
  </r>
  <r>
    <x v="8"/>
    <x v="74"/>
    <x v="22"/>
    <n v="386.78"/>
    <n v="0"/>
  </r>
  <r>
    <x v="8"/>
    <x v="74"/>
    <x v="0"/>
    <n v="640.25"/>
    <n v="0"/>
  </r>
  <r>
    <x v="8"/>
    <x v="74"/>
    <x v="22"/>
    <n v="0"/>
    <n v="-4051.89"/>
  </r>
  <r>
    <x v="8"/>
    <x v="74"/>
    <x v="3"/>
    <n v="0"/>
    <n v="-1562.72"/>
  </r>
  <r>
    <x v="8"/>
    <x v="74"/>
    <x v="0"/>
    <n v="0"/>
    <n v="-10962.33"/>
  </r>
  <r>
    <x v="8"/>
    <x v="75"/>
    <x v="22"/>
    <n v="194.93"/>
    <n v="0"/>
  </r>
  <r>
    <x v="8"/>
    <x v="75"/>
    <x v="3"/>
    <n v="281.55"/>
    <n v="0"/>
  </r>
  <r>
    <x v="8"/>
    <x v="75"/>
    <x v="0"/>
    <n v="594.76"/>
    <n v="0"/>
  </r>
  <r>
    <x v="8"/>
    <x v="75"/>
    <x v="3"/>
    <n v="0"/>
    <n v="-1446.78"/>
  </r>
  <r>
    <x v="8"/>
    <x v="75"/>
    <x v="22"/>
    <n v="0"/>
    <n v="-2449"/>
  </r>
  <r>
    <x v="8"/>
    <x v="75"/>
    <x v="0"/>
    <n v="0"/>
    <n v="-13424.44"/>
  </r>
  <r>
    <x v="8"/>
    <x v="76"/>
    <x v="3"/>
    <n v="216.07"/>
    <n v="0"/>
  </r>
  <r>
    <x v="8"/>
    <x v="76"/>
    <x v="0"/>
    <n v="386.56"/>
    <n v="0"/>
  </r>
  <r>
    <x v="8"/>
    <x v="76"/>
    <x v="22"/>
    <n v="396.39"/>
    <n v="0"/>
  </r>
  <r>
    <x v="8"/>
    <x v="76"/>
    <x v="3"/>
    <n v="0"/>
    <n v="-1449.63"/>
  </r>
  <r>
    <x v="8"/>
    <x v="76"/>
    <x v="22"/>
    <n v="0"/>
    <n v="-2699.06"/>
  </r>
  <r>
    <x v="8"/>
    <x v="76"/>
    <x v="0"/>
    <n v="0"/>
    <n v="-12466.44"/>
  </r>
  <r>
    <x v="8"/>
    <x v="88"/>
    <x v="22"/>
    <n v="304.75"/>
    <n v="0"/>
  </r>
  <r>
    <x v="8"/>
    <x v="88"/>
    <x v="0"/>
    <n v="607.27"/>
    <n v="0"/>
  </r>
  <r>
    <x v="8"/>
    <x v="88"/>
    <x v="3"/>
    <n v="129.57"/>
    <n v="0"/>
  </r>
  <r>
    <x v="8"/>
    <x v="88"/>
    <x v="22"/>
    <n v="0"/>
    <n v="-2677.52"/>
  </r>
  <r>
    <x v="8"/>
    <x v="88"/>
    <x v="0"/>
    <n v="0"/>
    <n v="-12617.18"/>
  </r>
  <r>
    <x v="8"/>
    <x v="88"/>
    <x v="3"/>
    <n v="0"/>
    <n v="-2111.92"/>
  </r>
  <r>
    <x v="8"/>
    <x v="77"/>
    <x v="3"/>
    <n v="132.08000000000001"/>
    <n v="0"/>
  </r>
  <r>
    <x v="8"/>
    <x v="77"/>
    <x v="22"/>
    <n v="170.92"/>
    <n v="0"/>
  </r>
  <r>
    <x v="8"/>
    <x v="77"/>
    <x v="0"/>
    <n v="464.39"/>
    <n v="0"/>
  </r>
  <r>
    <x v="8"/>
    <x v="77"/>
    <x v="3"/>
    <n v="0"/>
    <n v="-1775.84"/>
  </r>
  <r>
    <x v="8"/>
    <x v="77"/>
    <x v="0"/>
    <n v="0"/>
    <n v="-9201.5499999999993"/>
  </r>
  <r>
    <x v="8"/>
    <x v="77"/>
    <x v="22"/>
    <n v="0"/>
    <n v="-2533.88"/>
  </r>
  <r>
    <x v="8"/>
    <x v="78"/>
    <x v="0"/>
    <n v="372.83"/>
    <n v="0"/>
  </r>
  <r>
    <x v="8"/>
    <x v="78"/>
    <x v="3"/>
    <n v="86.21"/>
    <n v="0"/>
  </r>
  <r>
    <x v="8"/>
    <x v="78"/>
    <x v="22"/>
    <n v="138.65"/>
    <n v="0"/>
  </r>
  <r>
    <x v="8"/>
    <x v="78"/>
    <x v="22"/>
    <n v="0"/>
    <n v="-2748.52"/>
  </r>
  <r>
    <x v="8"/>
    <x v="78"/>
    <x v="3"/>
    <n v="0"/>
    <n v="-1782.62"/>
  </r>
  <r>
    <x v="8"/>
    <x v="78"/>
    <x v="0"/>
    <n v="0"/>
    <n v="-9350.76"/>
  </r>
  <r>
    <x v="8"/>
    <x v="79"/>
    <x v="0"/>
    <n v="227.19"/>
    <n v="0"/>
  </r>
  <r>
    <x v="8"/>
    <x v="79"/>
    <x v="3"/>
    <n v="240.16"/>
    <n v="0"/>
  </r>
  <r>
    <x v="8"/>
    <x v="79"/>
    <x v="22"/>
    <n v="217.03"/>
    <n v="0"/>
  </r>
  <r>
    <x v="8"/>
    <x v="79"/>
    <x v="0"/>
    <n v="0"/>
    <n v="-10170.59"/>
  </r>
  <r>
    <x v="8"/>
    <x v="79"/>
    <x v="3"/>
    <n v="0"/>
    <n v="-2007.71"/>
  </r>
  <r>
    <x v="8"/>
    <x v="79"/>
    <x v="22"/>
    <n v="0"/>
    <n v="-2488.9899999999998"/>
  </r>
  <r>
    <x v="8"/>
    <x v="80"/>
    <x v="3"/>
    <n v="253.55"/>
    <n v="0"/>
  </r>
  <r>
    <x v="8"/>
    <x v="80"/>
    <x v="0"/>
    <n v="491.53"/>
    <n v="0"/>
  </r>
  <r>
    <x v="8"/>
    <x v="80"/>
    <x v="0"/>
    <n v="0"/>
    <n v="-9640.4500000000007"/>
  </r>
  <r>
    <x v="8"/>
    <x v="80"/>
    <x v="22"/>
    <n v="160.4"/>
    <n v="0"/>
  </r>
  <r>
    <x v="8"/>
    <x v="80"/>
    <x v="22"/>
    <n v="0"/>
    <n v="-2547.0300000000002"/>
  </r>
  <r>
    <x v="8"/>
    <x v="80"/>
    <x v="3"/>
    <n v="0"/>
    <n v="-1655.34"/>
  </r>
  <r>
    <x v="8"/>
    <x v="81"/>
    <x v="3"/>
    <n v="167.51"/>
    <n v="0"/>
  </r>
  <r>
    <x v="8"/>
    <x v="81"/>
    <x v="0"/>
    <n v="0"/>
    <n v="-10346.799999999999"/>
  </r>
  <r>
    <x v="8"/>
    <x v="81"/>
    <x v="0"/>
    <n v="530.75"/>
    <n v="0"/>
  </r>
  <r>
    <x v="8"/>
    <x v="81"/>
    <x v="3"/>
    <n v="0"/>
    <n v="-1653.74"/>
  </r>
  <r>
    <x v="8"/>
    <x v="81"/>
    <x v="22"/>
    <n v="0"/>
    <n v="-2605.75"/>
  </r>
  <r>
    <x v="8"/>
    <x v="81"/>
    <x v="22"/>
    <n v="168.54"/>
    <n v="0"/>
  </r>
  <r>
    <x v="8"/>
    <x v="82"/>
    <x v="0"/>
    <n v="126.48"/>
    <n v="0"/>
  </r>
  <r>
    <x v="8"/>
    <x v="82"/>
    <x v="22"/>
    <n v="0"/>
    <n v="-2700.4"/>
  </r>
  <r>
    <x v="8"/>
    <x v="82"/>
    <x v="3"/>
    <n v="0"/>
    <n v="-1928.76"/>
  </r>
  <r>
    <x v="8"/>
    <x v="82"/>
    <x v="0"/>
    <n v="0"/>
    <n v="-9316.02"/>
  </r>
  <r>
    <x v="8"/>
    <x v="82"/>
    <x v="3"/>
    <n v="127.26"/>
    <n v="0"/>
  </r>
  <r>
    <x v="8"/>
    <x v="82"/>
    <x v="22"/>
    <n v="206.54"/>
    <n v="0"/>
  </r>
  <r>
    <x v="8"/>
    <x v="83"/>
    <x v="0"/>
    <n v="0"/>
    <n v="-130.88"/>
  </r>
  <r>
    <x v="8"/>
    <x v="83"/>
    <x v="22"/>
    <n v="-2500"/>
    <n v="0"/>
  </r>
  <r>
    <x v="8"/>
    <x v="83"/>
    <x v="3"/>
    <n v="0"/>
    <n v="-22.79"/>
  </r>
  <r>
    <x v="8"/>
    <x v="83"/>
    <x v="22"/>
    <n v="0"/>
    <n v="-75.12"/>
  </r>
  <r>
    <x v="8"/>
    <x v="83"/>
    <x v="3"/>
    <n v="-1884.57"/>
    <n v="0"/>
  </r>
  <r>
    <x v="8"/>
    <x v="83"/>
    <x v="0"/>
    <n v="-8799.57"/>
    <n v="0"/>
  </r>
  <r>
    <x v="8"/>
    <x v="84"/>
    <x v="22"/>
    <n v="142.31"/>
    <n v="0"/>
  </r>
  <r>
    <x v="8"/>
    <x v="84"/>
    <x v="22"/>
    <n v="0"/>
    <n v="-74.599999999999994"/>
  </r>
  <r>
    <x v="8"/>
    <x v="84"/>
    <x v="0"/>
    <n v="0"/>
    <n v="-490.31"/>
  </r>
  <r>
    <x v="8"/>
    <x v="84"/>
    <x v="3"/>
    <n v="0"/>
    <n v="-261.23"/>
  </r>
  <r>
    <x v="8"/>
    <x v="84"/>
    <x v="3"/>
    <n v="350.67"/>
    <n v="0"/>
  </r>
  <r>
    <x v="8"/>
    <x v="84"/>
    <x v="0"/>
    <n v="479.6"/>
    <n v="0"/>
  </r>
  <r>
    <x v="8"/>
    <x v="85"/>
    <x v="0"/>
    <n v="0"/>
    <n v="-1822.82"/>
  </r>
  <r>
    <x v="8"/>
    <x v="85"/>
    <x v="3"/>
    <n v="0"/>
    <n v="-301.79000000000002"/>
  </r>
  <r>
    <x v="8"/>
    <x v="85"/>
    <x v="22"/>
    <n v="101.52"/>
    <n v="0"/>
  </r>
  <r>
    <x v="8"/>
    <x v="85"/>
    <x v="0"/>
    <n v="565.87"/>
    <n v="0"/>
  </r>
  <r>
    <x v="8"/>
    <x v="85"/>
    <x v="22"/>
    <n v="0"/>
    <n v="-114.84"/>
  </r>
  <r>
    <x v="8"/>
    <x v="85"/>
    <x v="3"/>
    <n v="110.36"/>
    <n v="0"/>
  </r>
  <r>
    <x v="8"/>
    <x v="86"/>
    <x v="22"/>
    <n v="89.66"/>
    <n v="0"/>
  </r>
  <r>
    <x v="8"/>
    <x v="86"/>
    <x v="3"/>
    <n v="241.16"/>
    <n v="0"/>
  </r>
  <r>
    <x v="8"/>
    <x v="86"/>
    <x v="0"/>
    <n v="146.65"/>
    <n v="0"/>
  </r>
  <r>
    <x v="8"/>
    <x v="86"/>
    <x v="22"/>
    <n v="0"/>
    <n v="-520.65"/>
  </r>
  <r>
    <x v="8"/>
    <x v="86"/>
    <x v="3"/>
    <n v="0"/>
    <n v="-191.4"/>
  </r>
  <r>
    <x v="8"/>
    <x v="86"/>
    <x v="0"/>
    <n v="0"/>
    <n v="-1871.36"/>
  </r>
  <r>
    <x v="8"/>
    <x v="87"/>
    <x v="22"/>
    <n v="99.71"/>
    <n v="0"/>
  </r>
  <r>
    <x v="8"/>
    <x v="87"/>
    <x v="0"/>
    <n v="388.37"/>
    <n v="0"/>
  </r>
  <r>
    <x v="8"/>
    <x v="87"/>
    <x v="3"/>
    <n v="176.06"/>
    <n v="0"/>
  </r>
  <r>
    <x v="8"/>
    <x v="87"/>
    <x v="0"/>
    <n v="0"/>
    <n v="-2915.76"/>
  </r>
  <r>
    <x v="8"/>
    <x v="87"/>
    <x v="3"/>
    <n v="0"/>
    <n v="-280.85000000000002"/>
  </r>
  <r>
    <x v="8"/>
    <x v="87"/>
    <x v="22"/>
    <n v="0"/>
    <n v="-671.8"/>
  </r>
  <r>
    <x v="8"/>
    <x v="0"/>
    <x v="3"/>
    <n v="76.91"/>
    <n v="0"/>
  </r>
  <r>
    <x v="8"/>
    <x v="0"/>
    <x v="22"/>
    <n v="144.83000000000001"/>
    <n v="0"/>
  </r>
  <r>
    <x v="8"/>
    <x v="0"/>
    <x v="3"/>
    <n v="0"/>
    <n v="-242.88"/>
  </r>
  <r>
    <x v="8"/>
    <x v="0"/>
    <x v="22"/>
    <n v="0"/>
    <n v="-1343.44"/>
  </r>
  <r>
    <x v="8"/>
    <x v="0"/>
    <x v="0"/>
    <n v="283.7"/>
    <n v="0"/>
  </r>
  <r>
    <x v="8"/>
    <x v="0"/>
    <x v="0"/>
    <n v="0"/>
    <n v="-1921.02"/>
  </r>
  <r>
    <x v="8"/>
    <x v="1"/>
    <x v="22"/>
    <n v="166.45"/>
    <n v="0"/>
  </r>
  <r>
    <x v="8"/>
    <x v="1"/>
    <x v="3"/>
    <n v="88.03"/>
    <n v="0"/>
  </r>
  <r>
    <x v="8"/>
    <x v="1"/>
    <x v="0"/>
    <n v="423.23"/>
    <n v="0"/>
  </r>
  <r>
    <x v="8"/>
    <x v="1"/>
    <x v="3"/>
    <n v="0"/>
    <n v="-298.75"/>
  </r>
  <r>
    <x v="8"/>
    <x v="1"/>
    <x v="0"/>
    <n v="0"/>
    <n v="-2810.58"/>
  </r>
  <r>
    <x v="8"/>
    <x v="1"/>
    <x v="22"/>
    <n v="0"/>
    <n v="-1019.7"/>
  </r>
  <r>
    <x v="8"/>
    <x v="2"/>
    <x v="3"/>
    <n v="67"/>
    <n v="0"/>
  </r>
  <r>
    <x v="8"/>
    <x v="2"/>
    <x v="0"/>
    <n v="245.39"/>
    <n v="0"/>
  </r>
  <r>
    <x v="8"/>
    <x v="2"/>
    <x v="0"/>
    <n v="0"/>
    <n v="-1909.11"/>
  </r>
  <r>
    <x v="8"/>
    <x v="2"/>
    <x v="22"/>
    <n v="189.11"/>
    <n v="0"/>
  </r>
  <r>
    <x v="8"/>
    <x v="2"/>
    <x v="22"/>
    <n v="0"/>
    <n v="-1035.47"/>
  </r>
  <r>
    <x v="8"/>
    <x v="2"/>
    <x v="3"/>
    <n v="0"/>
    <n v="-491.92"/>
  </r>
  <r>
    <x v="8"/>
    <x v="3"/>
    <x v="0"/>
    <n v="232.14"/>
    <n v="0"/>
  </r>
  <r>
    <x v="8"/>
    <x v="3"/>
    <x v="22"/>
    <n v="72.84"/>
    <n v="0"/>
  </r>
  <r>
    <x v="8"/>
    <x v="3"/>
    <x v="3"/>
    <n v="112.35"/>
    <n v="0"/>
  </r>
  <r>
    <x v="8"/>
    <x v="3"/>
    <x v="0"/>
    <n v="0"/>
    <n v="-2139.14"/>
  </r>
  <r>
    <x v="8"/>
    <x v="3"/>
    <x v="22"/>
    <n v="0"/>
    <n v="-1111.21"/>
  </r>
  <r>
    <x v="8"/>
    <x v="3"/>
    <x v="3"/>
    <n v="0"/>
    <n v="-1030.92"/>
  </r>
  <r>
    <x v="8"/>
    <x v="4"/>
    <x v="22"/>
    <n v="68.959999999999994"/>
    <n v="0"/>
  </r>
  <r>
    <x v="8"/>
    <x v="4"/>
    <x v="0"/>
    <n v="213"/>
    <n v="0"/>
  </r>
  <r>
    <x v="8"/>
    <x v="4"/>
    <x v="3"/>
    <n v="135.83000000000001"/>
    <n v="0"/>
  </r>
  <r>
    <x v="8"/>
    <x v="4"/>
    <x v="0"/>
    <n v="0"/>
    <n v="-1598.63"/>
  </r>
  <r>
    <x v="8"/>
    <x v="4"/>
    <x v="3"/>
    <n v="0"/>
    <n v="-1119.9100000000001"/>
  </r>
  <r>
    <x v="8"/>
    <x v="4"/>
    <x v="22"/>
    <n v="0"/>
    <n v="-1124.8900000000001"/>
  </r>
  <r>
    <x v="8"/>
    <x v="5"/>
    <x v="0"/>
    <n v="374.36"/>
    <n v="0"/>
  </r>
  <r>
    <x v="8"/>
    <x v="5"/>
    <x v="22"/>
    <n v="248.48"/>
    <n v="0"/>
  </r>
  <r>
    <x v="8"/>
    <x v="5"/>
    <x v="3"/>
    <n v="179.43"/>
    <n v="0"/>
  </r>
  <r>
    <x v="8"/>
    <x v="5"/>
    <x v="0"/>
    <n v="0"/>
    <n v="-2041.96"/>
  </r>
  <r>
    <x v="8"/>
    <x v="5"/>
    <x v="22"/>
    <n v="0"/>
    <n v="-2022.36"/>
  </r>
  <r>
    <x v="8"/>
    <x v="5"/>
    <x v="3"/>
    <n v="0"/>
    <n v="-1263.1099999999999"/>
  </r>
  <r>
    <x v="8"/>
    <x v="6"/>
    <x v="0"/>
    <n v="436.81"/>
    <n v="0"/>
  </r>
  <r>
    <x v="8"/>
    <x v="6"/>
    <x v="22"/>
    <n v="183.49"/>
    <n v="0"/>
  </r>
  <r>
    <x v="8"/>
    <x v="6"/>
    <x v="22"/>
    <n v="0"/>
    <n v="-1224.53"/>
  </r>
  <r>
    <x v="8"/>
    <x v="6"/>
    <x v="3"/>
    <n v="201.95"/>
    <n v="0"/>
  </r>
  <r>
    <x v="8"/>
    <x v="6"/>
    <x v="3"/>
    <n v="0"/>
    <n v="-1285.8399999999999"/>
  </r>
  <r>
    <x v="8"/>
    <x v="6"/>
    <x v="0"/>
    <n v="0"/>
    <n v="-2193.86"/>
  </r>
  <r>
    <x v="8"/>
    <x v="7"/>
    <x v="3"/>
    <n v="159.71"/>
    <n v="0"/>
  </r>
  <r>
    <x v="8"/>
    <x v="7"/>
    <x v="22"/>
    <n v="157.76"/>
    <n v="0"/>
  </r>
  <r>
    <x v="8"/>
    <x v="7"/>
    <x v="0"/>
    <n v="588.35"/>
    <n v="0"/>
  </r>
  <r>
    <x v="8"/>
    <x v="7"/>
    <x v="3"/>
    <n v="0"/>
    <n v="-2924.62"/>
  </r>
  <r>
    <x v="8"/>
    <x v="7"/>
    <x v="22"/>
    <n v="0"/>
    <n v="-1322.21"/>
  </r>
  <r>
    <x v="8"/>
    <x v="7"/>
    <x v="0"/>
    <n v="0"/>
    <n v="-2200.96"/>
  </r>
  <r>
    <x v="8"/>
    <x v="8"/>
    <x v="3"/>
    <n v="176.58"/>
    <n v="0"/>
  </r>
  <r>
    <x v="8"/>
    <x v="8"/>
    <x v="22"/>
    <n v="234.36"/>
    <n v="0"/>
  </r>
  <r>
    <x v="8"/>
    <x v="8"/>
    <x v="0"/>
    <n v="347.21"/>
    <n v="0"/>
  </r>
  <r>
    <x v="8"/>
    <x v="8"/>
    <x v="22"/>
    <n v="0"/>
    <n v="-1812.5"/>
  </r>
  <r>
    <x v="8"/>
    <x v="8"/>
    <x v="0"/>
    <n v="0"/>
    <n v="-2247.08"/>
  </r>
  <r>
    <x v="8"/>
    <x v="8"/>
    <x v="3"/>
    <n v="0"/>
    <n v="-4408.9799999999996"/>
  </r>
  <r>
    <x v="8"/>
    <x v="9"/>
    <x v="3"/>
    <n v="283.95"/>
    <n v="0"/>
  </r>
  <r>
    <x v="8"/>
    <x v="9"/>
    <x v="0"/>
    <n v="444.21"/>
    <n v="0"/>
  </r>
  <r>
    <x v="8"/>
    <x v="9"/>
    <x v="0"/>
    <n v="0"/>
    <n v="-2691.39"/>
  </r>
  <r>
    <x v="8"/>
    <x v="9"/>
    <x v="22"/>
    <n v="215.2"/>
    <n v="0"/>
  </r>
  <r>
    <x v="8"/>
    <x v="9"/>
    <x v="22"/>
    <n v="0"/>
    <n v="-2991.3"/>
  </r>
  <r>
    <x v="8"/>
    <x v="9"/>
    <x v="3"/>
    <n v="0"/>
    <n v="-7761.87"/>
  </r>
  <r>
    <x v="8"/>
    <x v="10"/>
    <x v="22"/>
    <n v="228.74"/>
    <n v="0"/>
  </r>
  <r>
    <x v="8"/>
    <x v="10"/>
    <x v="0"/>
    <n v="1297.67"/>
    <n v="0"/>
  </r>
  <r>
    <x v="8"/>
    <x v="10"/>
    <x v="3"/>
    <n v="283.52"/>
    <n v="0"/>
  </r>
  <r>
    <x v="8"/>
    <x v="10"/>
    <x v="3"/>
    <n v="0"/>
    <n v="-7674.42"/>
  </r>
  <r>
    <x v="8"/>
    <x v="10"/>
    <x v="22"/>
    <n v="0"/>
    <n v="-3377.91"/>
  </r>
  <r>
    <x v="8"/>
    <x v="10"/>
    <x v="0"/>
    <n v="0"/>
    <n v="-3397.65"/>
  </r>
  <r>
    <x v="8"/>
    <x v="11"/>
    <x v="0"/>
    <n v="1188.75"/>
    <n v="0"/>
  </r>
  <r>
    <x v="8"/>
    <x v="11"/>
    <x v="22"/>
    <n v="304.27"/>
    <n v="0"/>
  </r>
  <r>
    <x v="8"/>
    <x v="11"/>
    <x v="3"/>
    <n v="421.28"/>
    <n v="0"/>
  </r>
  <r>
    <x v="8"/>
    <x v="11"/>
    <x v="0"/>
    <n v="0"/>
    <n v="-4631.72"/>
  </r>
  <r>
    <x v="8"/>
    <x v="11"/>
    <x v="22"/>
    <n v="0"/>
    <n v="-8528.73"/>
  </r>
  <r>
    <x v="8"/>
    <x v="11"/>
    <x v="3"/>
    <n v="0"/>
    <n v="-10466.32"/>
  </r>
  <r>
    <x v="8"/>
    <x v="12"/>
    <x v="0"/>
    <n v="753.36"/>
    <n v="0"/>
  </r>
  <r>
    <x v="8"/>
    <x v="12"/>
    <x v="22"/>
    <n v="362.76"/>
    <n v="0"/>
  </r>
  <r>
    <x v="8"/>
    <x v="12"/>
    <x v="3"/>
    <n v="209.48"/>
    <n v="0"/>
  </r>
  <r>
    <x v="8"/>
    <x v="12"/>
    <x v="0"/>
    <n v="0"/>
    <n v="-12438.99"/>
  </r>
  <r>
    <x v="8"/>
    <x v="12"/>
    <x v="22"/>
    <n v="0"/>
    <n v="-6008.7"/>
  </r>
  <r>
    <x v="8"/>
    <x v="12"/>
    <x v="3"/>
    <n v="0"/>
    <n v="-14206.5"/>
  </r>
  <r>
    <x v="8"/>
    <x v="13"/>
    <x v="22"/>
    <n v="0"/>
    <n v="-5509.43"/>
  </r>
  <r>
    <x v="8"/>
    <x v="13"/>
    <x v="0"/>
    <n v="209.74"/>
    <n v="0"/>
  </r>
  <r>
    <x v="8"/>
    <x v="13"/>
    <x v="3"/>
    <n v="96.25"/>
    <n v="0"/>
  </r>
  <r>
    <x v="8"/>
    <x v="13"/>
    <x v="22"/>
    <n v="124.94"/>
    <n v="0"/>
  </r>
  <r>
    <x v="8"/>
    <x v="13"/>
    <x v="0"/>
    <n v="0"/>
    <n v="-10601.53"/>
  </r>
  <r>
    <x v="8"/>
    <x v="13"/>
    <x v="3"/>
    <n v="0"/>
    <n v="-18827.39"/>
  </r>
  <r>
    <x v="8"/>
    <x v="14"/>
    <x v="22"/>
    <n v="293.32"/>
    <n v="0"/>
  </r>
  <r>
    <x v="8"/>
    <x v="14"/>
    <x v="0"/>
    <n v="1473.87"/>
    <n v="0"/>
  </r>
  <r>
    <x v="8"/>
    <x v="14"/>
    <x v="3"/>
    <n v="750.42"/>
    <n v="0"/>
  </r>
  <r>
    <x v="8"/>
    <x v="14"/>
    <x v="22"/>
    <n v="0"/>
    <n v="-4395.58"/>
  </r>
  <r>
    <x v="8"/>
    <x v="14"/>
    <x v="0"/>
    <n v="0"/>
    <n v="-11659.41"/>
  </r>
  <r>
    <x v="8"/>
    <x v="14"/>
    <x v="3"/>
    <n v="0"/>
    <n v="-16217.25"/>
  </r>
  <r>
    <x v="8"/>
    <x v="15"/>
    <x v="3"/>
    <n v="777.73"/>
    <n v="0"/>
  </r>
  <r>
    <x v="8"/>
    <x v="15"/>
    <x v="0"/>
    <n v="2036.75"/>
    <n v="0"/>
  </r>
  <r>
    <x v="8"/>
    <x v="15"/>
    <x v="22"/>
    <n v="685.85"/>
    <n v="0"/>
  </r>
  <r>
    <x v="8"/>
    <x v="15"/>
    <x v="3"/>
    <n v="0"/>
    <n v="-12725.48"/>
  </r>
  <r>
    <x v="8"/>
    <x v="15"/>
    <x v="0"/>
    <n v="0"/>
    <n v="-8100.02"/>
  </r>
  <r>
    <x v="8"/>
    <x v="15"/>
    <x v="22"/>
    <n v="0"/>
    <n v="-4510.25"/>
  </r>
  <r>
    <x v="8"/>
    <x v="16"/>
    <x v="3"/>
    <n v="309.22000000000003"/>
    <n v="0"/>
  </r>
  <r>
    <x v="8"/>
    <x v="16"/>
    <x v="3"/>
    <n v="0"/>
    <n v="-15015.65"/>
  </r>
  <r>
    <x v="8"/>
    <x v="16"/>
    <x v="22"/>
    <n v="452.69"/>
    <n v="0"/>
  </r>
  <r>
    <x v="8"/>
    <x v="16"/>
    <x v="0"/>
    <n v="796.23"/>
    <n v="0"/>
  </r>
  <r>
    <x v="8"/>
    <x v="16"/>
    <x v="22"/>
    <n v="0"/>
    <n v="-4208.8500000000004"/>
  </r>
  <r>
    <x v="8"/>
    <x v="16"/>
    <x v="0"/>
    <n v="0"/>
    <n v="-10495.13"/>
  </r>
  <r>
    <x v="8"/>
    <x v="17"/>
    <x v="22"/>
    <n v="486.87"/>
    <n v="0"/>
  </r>
  <r>
    <x v="8"/>
    <x v="17"/>
    <x v="22"/>
    <n v="0"/>
    <n v="-8899.23"/>
  </r>
  <r>
    <x v="8"/>
    <x v="17"/>
    <x v="3"/>
    <n v="454.6"/>
    <n v="0"/>
  </r>
  <r>
    <x v="8"/>
    <x v="17"/>
    <x v="0"/>
    <n v="1514.94"/>
    <n v="0"/>
  </r>
  <r>
    <x v="8"/>
    <x v="17"/>
    <x v="3"/>
    <n v="0"/>
    <n v="-19623.5"/>
  </r>
  <r>
    <x v="8"/>
    <x v="17"/>
    <x v="0"/>
    <n v="0"/>
    <n v="-10811.07"/>
  </r>
  <r>
    <x v="8"/>
    <x v="18"/>
    <x v="3"/>
    <n v="0"/>
    <n v="0"/>
  </r>
  <r>
    <x v="8"/>
    <x v="18"/>
    <x v="22"/>
    <n v="52.35"/>
    <n v="0"/>
  </r>
  <r>
    <x v="8"/>
    <x v="18"/>
    <x v="0"/>
    <n v="38.14"/>
    <n v="0"/>
  </r>
  <r>
    <x v="8"/>
    <x v="18"/>
    <x v="3"/>
    <n v="0"/>
    <n v="-21951.1"/>
  </r>
  <r>
    <x v="8"/>
    <x v="18"/>
    <x v="22"/>
    <n v="0"/>
    <n v="-12289.66"/>
  </r>
  <r>
    <x v="8"/>
    <x v="18"/>
    <x v="0"/>
    <n v="0"/>
    <n v="-9452.64"/>
  </r>
  <r>
    <x v="8"/>
    <x v="19"/>
    <x v="22"/>
    <n v="0"/>
    <n v="0"/>
  </r>
  <r>
    <x v="8"/>
    <x v="19"/>
    <x v="3"/>
    <n v="96.2"/>
    <n v="0"/>
  </r>
  <r>
    <x v="8"/>
    <x v="19"/>
    <x v="0"/>
    <n v="1099"/>
    <n v="0"/>
  </r>
  <r>
    <x v="8"/>
    <x v="19"/>
    <x v="22"/>
    <n v="0"/>
    <n v="-16534.919999999998"/>
  </r>
  <r>
    <x v="8"/>
    <x v="19"/>
    <x v="3"/>
    <n v="0"/>
    <n v="-19830.150000000001"/>
  </r>
  <r>
    <x v="8"/>
    <x v="19"/>
    <x v="0"/>
    <n v="0"/>
    <n v="-1705.94"/>
  </r>
  <r>
    <x v="8"/>
    <x v="20"/>
    <x v="22"/>
    <n v="0"/>
    <n v="-20772.689999999999"/>
  </r>
  <r>
    <x v="8"/>
    <x v="20"/>
    <x v="3"/>
    <n v="432.56"/>
    <n v="0"/>
  </r>
  <r>
    <x v="8"/>
    <x v="20"/>
    <x v="3"/>
    <n v="0"/>
    <n v="-24460.27"/>
  </r>
  <r>
    <x v="8"/>
    <x v="20"/>
    <x v="0"/>
    <n v="0"/>
    <n v="-2090.06"/>
  </r>
  <r>
    <x v="8"/>
    <x v="20"/>
    <x v="0"/>
    <n v="1524.56"/>
    <n v="0"/>
  </r>
  <r>
    <x v="8"/>
    <x v="21"/>
    <x v="3"/>
    <n v="0"/>
    <n v="-22290.46"/>
  </r>
  <r>
    <x v="8"/>
    <x v="21"/>
    <x v="3"/>
    <n v="218.49"/>
    <n v="0"/>
  </r>
  <r>
    <x v="8"/>
    <x v="21"/>
    <x v="0"/>
    <n v="743.92"/>
    <n v="0"/>
  </r>
  <r>
    <x v="8"/>
    <x v="21"/>
    <x v="22"/>
    <n v="0"/>
    <n v="-18552.43"/>
  </r>
  <r>
    <x v="8"/>
    <x v="21"/>
    <x v="0"/>
    <n v="0"/>
    <n v="-2506.13"/>
  </r>
  <r>
    <x v="8"/>
    <x v="22"/>
    <x v="3"/>
    <n v="144.54"/>
    <n v="0"/>
  </r>
  <r>
    <x v="8"/>
    <x v="22"/>
    <x v="22"/>
    <n v="0"/>
    <n v="-23682.43"/>
  </r>
  <r>
    <x v="8"/>
    <x v="22"/>
    <x v="0"/>
    <n v="0"/>
    <n v="-4363.7299999999996"/>
  </r>
  <r>
    <x v="8"/>
    <x v="22"/>
    <x v="0"/>
    <n v="434.75"/>
    <n v="0"/>
  </r>
  <r>
    <x v="8"/>
    <x v="22"/>
    <x v="3"/>
    <n v="0"/>
    <n v="-28588.1"/>
  </r>
  <r>
    <x v="8"/>
    <x v="23"/>
    <x v="0"/>
    <n v="852.97"/>
    <n v="0"/>
  </r>
  <r>
    <x v="8"/>
    <x v="23"/>
    <x v="0"/>
    <n v="0"/>
    <n v="-5494.65"/>
  </r>
  <r>
    <x v="8"/>
    <x v="23"/>
    <x v="22"/>
    <n v="0"/>
    <n v="-15461.29"/>
  </r>
  <r>
    <x v="8"/>
    <x v="23"/>
    <x v="3"/>
    <n v="170.44"/>
    <n v="0"/>
  </r>
  <r>
    <x v="8"/>
    <x v="23"/>
    <x v="3"/>
    <n v="0"/>
    <n v="-21989.96"/>
  </r>
  <r>
    <x v="8"/>
    <x v="24"/>
    <x v="22"/>
    <n v="0"/>
    <n v="-10400.85"/>
  </r>
  <r>
    <x v="8"/>
    <x v="24"/>
    <x v="0"/>
    <n v="110.56"/>
    <n v="0"/>
  </r>
  <r>
    <x v="8"/>
    <x v="24"/>
    <x v="3"/>
    <n v="0"/>
    <n v="-972.86"/>
  </r>
  <r>
    <x v="8"/>
    <x v="24"/>
    <x v="3"/>
    <n v="24.14"/>
    <n v="0"/>
  </r>
  <r>
    <x v="9"/>
    <x v="72"/>
    <x v="0"/>
    <n v="934.07"/>
    <n v="0"/>
  </r>
  <r>
    <x v="9"/>
    <x v="72"/>
    <x v="8"/>
    <n v="372.88"/>
    <n v="0"/>
  </r>
  <r>
    <x v="9"/>
    <x v="72"/>
    <x v="2"/>
    <n v="388.16"/>
    <n v="0"/>
  </r>
  <r>
    <x v="9"/>
    <x v="72"/>
    <x v="20"/>
    <n v="287.51"/>
    <n v="0"/>
  </r>
  <r>
    <x v="9"/>
    <x v="72"/>
    <x v="20"/>
    <n v="0"/>
    <n v="-321.33999999999997"/>
  </r>
  <r>
    <x v="9"/>
    <x v="72"/>
    <x v="0"/>
    <n v="0"/>
    <n v="-1499"/>
  </r>
  <r>
    <x v="9"/>
    <x v="72"/>
    <x v="8"/>
    <n v="0"/>
    <n v="-663.53"/>
  </r>
  <r>
    <x v="9"/>
    <x v="72"/>
    <x v="2"/>
    <n v="0"/>
    <n v="-1431.77"/>
  </r>
  <r>
    <x v="9"/>
    <x v="73"/>
    <x v="2"/>
    <n v="648.64"/>
    <n v="0"/>
  </r>
  <r>
    <x v="9"/>
    <x v="73"/>
    <x v="20"/>
    <n v="285.49"/>
    <n v="0"/>
  </r>
  <r>
    <x v="9"/>
    <x v="73"/>
    <x v="0"/>
    <n v="1807.59"/>
    <n v="0"/>
  </r>
  <r>
    <x v="9"/>
    <x v="73"/>
    <x v="2"/>
    <n v="0"/>
    <n v="-1988.74"/>
  </r>
  <r>
    <x v="9"/>
    <x v="73"/>
    <x v="20"/>
    <n v="0"/>
    <n v="-1098.83"/>
  </r>
  <r>
    <x v="9"/>
    <x v="73"/>
    <x v="8"/>
    <n v="397.18"/>
    <n v="0"/>
  </r>
  <r>
    <x v="9"/>
    <x v="73"/>
    <x v="0"/>
    <n v="0"/>
    <n v="-4248.8"/>
  </r>
  <r>
    <x v="9"/>
    <x v="73"/>
    <x v="8"/>
    <n v="0"/>
    <n v="-571.59"/>
  </r>
  <r>
    <x v="9"/>
    <x v="74"/>
    <x v="8"/>
    <n v="307.89"/>
    <n v="0"/>
  </r>
  <r>
    <x v="9"/>
    <x v="74"/>
    <x v="2"/>
    <n v="508.46"/>
    <n v="0"/>
  </r>
  <r>
    <x v="9"/>
    <x v="74"/>
    <x v="20"/>
    <n v="189.28"/>
    <n v="0"/>
  </r>
  <r>
    <x v="9"/>
    <x v="74"/>
    <x v="0"/>
    <n v="1282.8499999999999"/>
    <n v="0"/>
  </r>
  <r>
    <x v="9"/>
    <x v="74"/>
    <x v="2"/>
    <n v="0"/>
    <n v="-1102.83"/>
  </r>
  <r>
    <x v="9"/>
    <x v="74"/>
    <x v="20"/>
    <n v="0"/>
    <n v="-1298.3699999999999"/>
  </r>
  <r>
    <x v="9"/>
    <x v="74"/>
    <x v="8"/>
    <n v="0"/>
    <n v="-729.11"/>
  </r>
  <r>
    <x v="9"/>
    <x v="74"/>
    <x v="0"/>
    <n v="0"/>
    <n v="-8700.15"/>
  </r>
  <r>
    <x v="9"/>
    <x v="75"/>
    <x v="20"/>
    <n v="485.95"/>
    <n v="0"/>
  </r>
  <r>
    <x v="9"/>
    <x v="75"/>
    <x v="8"/>
    <n v="238.88"/>
    <n v="0"/>
  </r>
  <r>
    <x v="9"/>
    <x v="75"/>
    <x v="2"/>
    <n v="423.29"/>
    <n v="0"/>
  </r>
  <r>
    <x v="9"/>
    <x v="75"/>
    <x v="0"/>
    <n v="1190.49"/>
    <n v="0"/>
  </r>
  <r>
    <x v="9"/>
    <x v="75"/>
    <x v="20"/>
    <n v="0"/>
    <n v="-1403.97"/>
  </r>
  <r>
    <x v="9"/>
    <x v="75"/>
    <x v="2"/>
    <n v="0"/>
    <n v="-1130.6199999999999"/>
  </r>
  <r>
    <x v="9"/>
    <x v="75"/>
    <x v="0"/>
    <n v="0"/>
    <n v="-11833.31"/>
  </r>
  <r>
    <x v="9"/>
    <x v="75"/>
    <x v="8"/>
    <n v="0"/>
    <n v="-2334.04"/>
  </r>
  <r>
    <x v="9"/>
    <x v="76"/>
    <x v="20"/>
    <n v="433.05"/>
    <n v="0"/>
  </r>
  <r>
    <x v="9"/>
    <x v="76"/>
    <x v="8"/>
    <n v="316.99"/>
    <n v="0"/>
  </r>
  <r>
    <x v="9"/>
    <x v="76"/>
    <x v="0"/>
    <n v="791.52"/>
    <n v="0"/>
  </r>
  <r>
    <x v="9"/>
    <x v="76"/>
    <x v="2"/>
    <n v="530.49"/>
    <n v="0"/>
  </r>
  <r>
    <x v="9"/>
    <x v="76"/>
    <x v="8"/>
    <n v="0"/>
    <n v="-2944.46"/>
  </r>
  <r>
    <x v="9"/>
    <x v="76"/>
    <x v="20"/>
    <n v="0"/>
    <n v="-1479.99"/>
  </r>
  <r>
    <x v="9"/>
    <x v="76"/>
    <x v="2"/>
    <n v="0"/>
    <n v="-1735.52"/>
  </r>
  <r>
    <x v="9"/>
    <x v="76"/>
    <x v="0"/>
    <n v="0"/>
    <n v="-10383.07"/>
  </r>
  <r>
    <x v="9"/>
    <x v="88"/>
    <x v="0"/>
    <n v="1255.04"/>
    <n v="0"/>
  </r>
  <r>
    <x v="9"/>
    <x v="88"/>
    <x v="20"/>
    <n v="288.27999999999997"/>
    <n v="0"/>
  </r>
  <r>
    <x v="9"/>
    <x v="88"/>
    <x v="8"/>
    <n v="330.67"/>
    <n v="0"/>
  </r>
  <r>
    <x v="9"/>
    <x v="88"/>
    <x v="2"/>
    <n v="752.68"/>
    <n v="0"/>
  </r>
  <r>
    <x v="9"/>
    <x v="88"/>
    <x v="0"/>
    <n v="0"/>
    <n v="-10558.42"/>
  </r>
  <r>
    <x v="9"/>
    <x v="88"/>
    <x v="8"/>
    <n v="0"/>
    <n v="-4793.72"/>
  </r>
  <r>
    <x v="9"/>
    <x v="88"/>
    <x v="20"/>
    <n v="0"/>
    <n v="-1290"/>
  </r>
  <r>
    <x v="9"/>
    <x v="88"/>
    <x v="2"/>
    <n v="0"/>
    <n v="-2243.12"/>
  </r>
  <r>
    <x v="9"/>
    <x v="77"/>
    <x v="20"/>
    <n v="243.17"/>
    <n v="0"/>
  </r>
  <r>
    <x v="9"/>
    <x v="77"/>
    <x v="8"/>
    <n v="146.15"/>
    <n v="0"/>
  </r>
  <r>
    <x v="9"/>
    <x v="77"/>
    <x v="0"/>
    <n v="928.73"/>
    <n v="0"/>
  </r>
  <r>
    <x v="9"/>
    <x v="77"/>
    <x v="2"/>
    <n v="283.04000000000002"/>
    <n v="0"/>
  </r>
  <r>
    <x v="9"/>
    <x v="77"/>
    <x v="20"/>
    <n v="0"/>
    <n v="-2176.7600000000002"/>
  </r>
  <r>
    <x v="9"/>
    <x v="77"/>
    <x v="0"/>
    <n v="0"/>
    <n v="-8527.16"/>
  </r>
  <r>
    <x v="9"/>
    <x v="77"/>
    <x v="2"/>
    <n v="0"/>
    <n v="-1541.59"/>
  </r>
  <r>
    <x v="9"/>
    <x v="77"/>
    <x v="8"/>
    <n v="0"/>
    <n v="-4022.31"/>
  </r>
  <r>
    <x v="9"/>
    <x v="78"/>
    <x v="20"/>
    <n v="197.01"/>
    <n v="0"/>
  </r>
  <r>
    <x v="9"/>
    <x v="78"/>
    <x v="2"/>
    <n v="309.26"/>
    <n v="0"/>
  </r>
  <r>
    <x v="9"/>
    <x v="78"/>
    <x v="0"/>
    <n v="745.73"/>
    <n v="0"/>
  </r>
  <r>
    <x v="9"/>
    <x v="78"/>
    <x v="8"/>
    <n v="152.61000000000001"/>
    <n v="0"/>
  </r>
  <r>
    <x v="9"/>
    <x v="78"/>
    <x v="2"/>
    <n v="0"/>
    <n v="-1614.41"/>
  </r>
  <r>
    <x v="9"/>
    <x v="78"/>
    <x v="20"/>
    <n v="0"/>
    <n v="-2123.38"/>
  </r>
  <r>
    <x v="9"/>
    <x v="78"/>
    <x v="8"/>
    <n v="0"/>
    <n v="-3494.46"/>
  </r>
  <r>
    <x v="9"/>
    <x v="78"/>
    <x v="0"/>
    <n v="0"/>
    <n v="-8497.4599999999991"/>
  </r>
  <r>
    <x v="9"/>
    <x v="79"/>
    <x v="8"/>
    <n v="225.25"/>
    <n v="0"/>
  </r>
  <r>
    <x v="9"/>
    <x v="79"/>
    <x v="20"/>
    <n v="195.03"/>
    <n v="0"/>
  </r>
  <r>
    <x v="9"/>
    <x v="79"/>
    <x v="2"/>
    <n v="449.51"/>
    <n v="0"/>
  </r>
  <r>
    <x v="9"/>
    <x v="79"/>
    <x v="0"/>
    <n v="454.51"/>
    <n v="0"/>
  </r>
  <r>
    <x v="9"/>
    <x v="79"/>
    <x v="8"/>
    <n v="0"/>
    <n v="-3452.43"/>
  </r>
  <r>
    <x v="9"/>
    <x v="79"/>
    <x v="0"/>
    <n v="0"/>
    <n v="-8158.53"/>
  </r>
  <r>
    <x v="9"/>
    <x v="79"/>
    <x v="20"/>
    <n v="0"/>
    <n v="-2402.9299999999998"/>
  </r>
  <r>
    <x v="9"/>
    <x v="79"/>
    <x v="2"/>
    <n v="0"/>
    <n v="-1627.4"/>
  </r>
  <r>
    <x v="9"/>
    <x v="80"/>
    <x v="8"/>
    <n v="246.05"/>
    <n v="0"/>
  </r>
  <r>
    <x v="9"/>
    <x v="80"/>
    <x v="0"/>
    <n v="983.2"/>
    <n v="0"/>
  </r>
  <r>
    <x v="9"/>
    <x v="80"/>
    <x v="20"/>
    <n v="290.43"/>
    <n v="0"/>
  </r>
  <r>
    <x v="9"/>
    <x v="80"/>
    <x v="8"/>
    <n v="0"/>
    <n v="-4438.5200000000004"/>
  </r>
  <r>
    <x v="9"/>
    <x v="80"/>
    <x v="2"/>
    <n v="219.33"/>
    <n v="0"/>
  </r>
  <r>
    <x v="9"/>
    <x v="80"/>
    <x v="0"/>
    <n v="0"/>
    <n v="-8202.09"/>
  </r>
  <r>
    <x v="9"/>
    <x v="80"/>
    <x v="2"/>
    <n v="0"/>
    <n v="-1943.59"/>
  </r>
  <r>
    <x v="9"/>
    <x v="80"/>
    <x v="20"/>
    <n v="0"/>
    <n v="-3847.63"/>
  </r>
  <r>
    <x v="9"/>
    <x v="81"/>
    <x v="2"/>
    <n v="253.09"/>
    <n v="0"/>
  </r>
  <r>
    <x v="9"/>
    <x v="81"/>
    <x v="0"/>
    <n v="1011.27"/>
    <n v="0"/>
  </r>
  <r>
    <x v="9"/>
    <x v="81"/>
    <x v="8"/>
    <n v="178.43"/>
    <n v="0"/>
  </r>
  <r>
    <x v="9"/>
    <x v="81"/>
    <x v="20"/>
    <n v="342.76"/>
    <n v="0"/>
  </r>
  <r>
    <x v="9"/>
    <x v="81"/>
    <x v="2"/>
    <n v="0"/>
    <n v="-2565.87"/>
  </r>
  <r>
    <x v="9"/>
    <x v="81"/>
    <x v="0"/>
    <n v="0"/>
    <n v="-8358.84"/>
  </r>
  <r>
    <x v="9"/>
    <x v="81"/>
    <x v="20"/>
    <n v="0"/>
    <n v="-4506.04"/>
  </r>
  <r>
    <x v="9"/>
    <x v="81"/>
    <x v="8"/>
    <n v="0"/>
    <n v="-4605.46"/>
  </r>
  <r>
    <x v="9"/>
    <x v="82"/>
    <x v="0"/>
    <n v="245.59"/>
    <n v="0"/>
  </r>
  <r>
    <x v="9"/>
    <x v="82"/>
    <x v="2"/>
    <n v="249.95"/>
    <n v="0"/>
  </r>
  <r>
    <x v="9"/>
    <x v="82"/>
    <x v="20"/>
    <n v="148.84"/>
    <n v="0"/>
  </r>
  <r>
    <x v="9"/>
    <x v="82"/>
    <x v="8"/>
    <n v="92.51"/>
    <n v="0"/>
  </r>
  <r>
    <x v="9"/>
    <x v="82"/>
    <x v="2"/>
    <n v="0"/>
    <n v="-2092.1799999999998"/>
  </r>
  <r>
    <x v="9"/>
    <x v="82"/>
    <x v="0"/>
    <n v="0"/>
    <n v="-8759.9699999999993"/>
  </r>
  <r>
    <x v="9"/>
    <x v="82"/>
    <x v="8"/>
    <n v="0"/>
    <n v="-3472.45"/>
  </r>
  <r>
    <x v="9"/>
    <x v="82"/>
    <x v="20"/>
    <n v="0"/>
    <n v="-6685.7"/>
  </r>
  <r>
    <x v="9"/>
    <x v="83"/>
    <x v="8"/>
    <n v="198.36"/>
    <n v="0"/>
  </r>
  <r>
    <x v="9"/>
    <x v="83"/>
    <x v="20"/>
    <n v="95.8"/>
    <n v="0"/>
  </r>
  <r>
    <x v="9"/>
    <x v="83"/>
    <x v="0"/>
    <n v="746.31"/>
    <n v="0"/>
  </r>
  <r>
    <x v="9"/>
    <x v="83"/>
    <x v="2"/>
    <n v="172.1"/>
    <n v="0"/>
  </r>
  <r>
    <x v="9"/>
    <x v="83"/>
    <x v="8"/>
    <n v="0"/>
    <n v="-4075.99"/>
  </r>
  <r>
    <x v="9"/>
    <x v="83"/>
    <x v="0"/>
    <n v="0"/>
    <n v="-8768.98"/>
  </r>
  <r>
    <x v="9"/>
    <x v="83"/>
    <x v="20"/>
    <n v="0"/>
    <n v="-4969.6000000000004"/>
  </r>
  <r>
    <x v="9"/>
    <x v="83"/>
    <x v="2"/>
    <n v="0"/>
    <n v="-2349.4499999999998"/>
  </r>
  <r>
    <x v="9"/>
    <x v="84"/>
    <x v="20"/>
    <n v="344.29"/>
    <n v="0"/>
  </r>
  <r>
    <x v="9"/>
    <x v="84"/>
    <x v="2"/>
    <n v="227.78"/>
    <n v="0"/>
  </r>
  <r>
    <x v="9"/>
    <x v="84"/>
    <x v="8"/>
    <n v="270.16000000000003"/>
    <n v="0"/>
  </r>
  <r>
    <x v="9"/>
    <x v="84"/>
    <x v="0"/>
    <n v="129.44"/>
    <n v="0"/>
  </r>
  <r>
    <x v="9"/>
    <x v="84"/>
    <x v="2"/>
    <n v="0"/>
    <n v="-1874.09"/>
  </r>
  <r>
    <x v="9"/>
    <x v="84"/>
    <x v="20"/>
    <n v="0"/>
    <n v="-5634.22"/>
  </r>
  <r>
    <x v="9"/>
    <x v="84"/>
    <x v="8"/>
    <n v="0"/>
    <n v="-4427.66"/>
  </r>
  <r>
    <x v="9"/>
    <x v="84"/>
    <x v="0"/>
    <n v="0"/>
    <n v="-8503.35"/>
  </r>
  <r>
    <x v="9"/>
    <x v="85"/>
    <x v="2"/>
    <n v="141.88999999999999"/>
    <n v="0"/>
  </r>
  <r>
    <x v="9"/>
    <x v="85"/>
    <x v="8"/>
    <n v="206.95"/>
    <n v="0"/>
  </r>
  <r>
    <x v="9"/>
    <x v="85"/>
    <x v="0"/>
    <n v="1246.81"/>
    <n v="0"/>
  </r>
  <r>
    <x v="9"/>
    <x v="85"/>
    <x v="20"/>
    <n v="446.28"/>
    <n v="0"/>
  </r>
  <r>
    <x v="9"/>
    <x v="85"/>
    <x v="2"/>
    <n v="0"/>
    <n v="-2086.6799999999998"/>
  </r>
  <r>
    <x v="9"/>
    <x v="85"/>
    <x v="8"/>
    <n v="0"/>
    <n v="-5559.33"/>
  </r>
  <r>
    <x v="9"/>
    <x v="85"/>
    <x v="20"/>
    <n v="0"/>
    <n v="-11933.37"/>
  </r>
  <r>
    <x v="9"/>
    <x v="85"/>
    <x v="0"/>
    <n v="0"/>
    <n v="-7814.92"/>
  </r>
  <r>
    <x v="9"/>
    <x v="86"/>
    <x v="20"/>
    <n v="298.26"/>
    <n v="0"/>
  </r>
  <r>
    <x v="9"/>
    <x v="86"/>
    <x v="0"/>
    <n v="293.38"/>
    <n v="0"/>
  </r>
  <r>
    <x v="9"/>
    <x v="86"/>
    <x v="2"/>
    <n v="230.38"/>
    <n v="0"/>
  </r>
  <r>
    <x v="9"/>
    <x v="86"/>
    <x v="8"/>
    <n v="171.05"/>
    <n v="0"/>
  </r>
  <r>
    <x v="9"/>
    <x v="86"/>
    <x v="2"/>
    <n v="0"/>
    <n v="-2027.31"/>
  </r>
  <r>
    <x v="9"/>
    <x v="86"/>
    <x v="20"/>
    <n v="0"/>
    <n v="-11338.91"/>
  </r>
  <r>
    <x v="9"/>
    <x v="86"/>
    <x v="0"/>
    <n v="0"/>
    <n v="-7743.7"/>
  </r>
  <r>
    <x v="9"/>
    <x v="86"/>
    <x v="8"/>
    <n v="0"/>
    <n v="-5392.61"/>
  </r>
  <r>
    <x v="9"/>
    <x v="87"/>
    <x v="20"/>
    <n v="148.65"/>
    <n v="0"/>
  </r>
  <r>
    <x v="9"/>
    <x v="87"/>
    <x v="8"/>
    <n v="134.88999999999999"/>
    <n v="0"/>
  </r>
  <r>
    <x v="9"/>
    <x v="87"/>
    <x v="0"/>
    <n v="773.68"/>
    <n v="0"/>
  </r>
  <r>
    <x v="9"/>
    <x v="87"/>
    <x v="2"/>
    <n v="80.31"/>
    <n v="0"/>
  </r>
  <r>
    <x v="9"/>
    <x v="87"/>
    <x v="0"/>
    <n v="0"/>
    <n v="-8439.82"/>
  </r>
  <r>
    <x v="9"/>
    <x v="87"/>
    <x v="20"/>
    <n v="0"/>
    <n v="-11167.37"/>
  </r>
  <r>
    <x v="9"/>
    <x v="87"/>
    <x v="2"/>
    <n v="0"/>
    <n v="-2885.68"/>
  </r>
  <r>
    <x v="9"/>
    <x v="87"/>
    <x v="8"/>
    <n v="0"/>
    <n v="-6198.45"/>
  </r>
  <r>
    <x v="9"/>
    <x v="0"/>
    <x v="20"/>
    <n v="257.11"/>
    <n v="0"/>
  </r>
  <r>
    <x v="9"/>
    <x v="0"/>
    <x v="2"/>
    <n v="152.66"/>
    <n v="0"/>
  </r>
  <r>
    <x v="9"/>
    <x v="0"/>
    <x v="8"/>
    <n v="242.15"/>
    <n v="0"/>
  </r>
  <r>
    <x v="9"/>
    <x v="0"/>
    <x v="0"/>
    <n v="565.54"/>
    <n v="0"/>
  </r>
  <r>
    <x v="9"/>
    <x v="0"/>
    <x v="2"/>
    <n v="0"/>
    <n v="-2101.0300000000002"/>
  </r>
  <r>
    <x v="9"/>
    <x v="0"/>
    <x v="8"/>
    <n v="0"/>
    <n v="-5489.61"/>
  </r>
  <r>
    <x v="9"/>
    <x v="0"/>
    <x v="20"/>
    <n v="0"/>
    <n v="-15555.95"/>
  </r>
  <r>
    <x v="9"/>
    <x v="0"/>
    <x v="0"/>
    <n v="0"/>
    <n v="-8437.9599999999991"/>
  </r>
  <r>
    <x v="9"/>
    <x v="1"/>
    <x v="0"/>
    <n v="846.67"/>
    <n v="0"/>
  </r>
  <r>
    <x v="9"/>
    <x v="1"/>
    <x v="8"/>
    <n v="140.44"/>
    <n v="0"/>
  </r>
  <r>
    <x v="9"/>
    <x v="1"/>
    <x v="2"/>
    <n v="202.81"/>
    <n v="0"/>
  </r>
  <r>
    <x v="9"/>
    <x v="1"/>
    <x v="20"/>
    <n v="202.07"/>
    <n v="0"/>
  </r>
  <r>
    <x v="9"/>
    <x v="1"/>
    <x v="20"/>
    <n v="0"/>
    <n v="-14453.13"/>
  </r>
  <r>
    <x v="9"/>
    <x v="1"/>
    <x v="0"/>
    <n v="0"/>
    <n v="-8429.81"/>
  </r>
  <r>
    <x v="9"/>
    <x v="1"/>
    <x v="8"/>
    <n v="0"/>
    <n v="-6025.75"/>
  </r>
  <r>
    <x v="9"/>
    <x v="1"/>
    <x v="2"/>
    <n v="0"/>
    <n v="-2880.06"/>
  </r>
  <r>
    <x v="9"/>
    <x v="2"/>
    <x v="20"/>
    <n v="253.35"/>
    <n v="0"/>
  </r>
  <r>
    <x v="9"/>
    <x v="2"/>
    <x v="2"/>
    <n v="144.86000000000001"/>
    <n v="0"/>
  </r>
  <r>
    <x v="9"/>
    <x v="2"/>
    <x v="0"/>
    <n v="489.07"/>
    <n v="0"/>
  </r>
  <r>
    <x v="9"/>
    <x v="2"/>
    <x v="8"/>
    <n v="182.53"/>
    <n v="0"/>
  </r>
  <r>
    <x v="9"/>
    <x v="2"/>
    <x v="0"/>
    <n v="0"/>
    <n v="-8556.67"/>
  </r>
  <r>
    <x v="9"/>
    <x v="2"/>
    <x v="2"/>
    <n v="0"/>
    <n v="-2924.89"/>
  </r>
  <r>
    <x v="9"/>
    <x v="2"/>
    <x v="20"/>
    <n v="0"/>
    <n v="-16177.95"/>
  </r>
  <r>
    <x v="9"/>
    <x v="2"/>
    <x v="8"/>
    <n v="0"/>
    <n v="-6085.09"/>
  </r>
  <r>
    <x v="9"/>
    <x v="3"/>
    <x v="20"/>
    <n v="202.3"/>
    <n v="0"/>
  </r>
  <r>
    <x v="9"/>
    <x v="3"/>
    <x v="2"/>
    <n v="59.1"/>
    <n v="0"/>
  </r>
  <r>
    <x v="9"/>
    <x v="3"/>
    <x v="0"/>
    <n v="461.84"/>
    <n v="0"/>
  </r>
  <r>
    <x v="9"/>
    <x v="3"/>
    <x v="8"/>
    <n v="199.53"/>
    <n v="0"/>
  </r>
  <r>
    <x v="9"/>
    <x v="3"/>
    <x v="20"/>
    <n v="0"/>
    <n v="-16689.009999999998"/>
  </r>
  <r>
    <x v="9"/>
    <x v="3"/>
    <x v="2"/>
    <n v="0"/>
    <n v="-2278.5300000000002"/>
  </r>
  <r>
    <x v="9"/>
    <x v="3"/>
    <x v="8"/>
    <n v="0"/>
    <n v="-6160.11"/>
  </r>
  <r>
    <x v="9"/>
    <x v="3"/>
    <x v="0"/>
    <n v="0"/>
    <n v="-10544.89"/>
  </r>
  <r>
    <x v="9"/>
    <x v="4"/>
    <x v="8"/>
    <n v="139.24"/>
    <n v="0"/>
  </r>
  <r>
    <x v="9"/>
    <x v="4"/>
    <x v="2"/>
    <n v="349.78"/>
    <n v="0"/>
  </r>
  <r>
    <x v="9"/>
    <x v="4"/>
    <x v="20"/>
    <n v="124.53"/>
    <n v="0"/>
  </r>
  <r>
    <x v="9"/>
    <x v="4"/>
    <x v="0"/>
    <n v="202.53"/>
    <n v="0"/>
  </r>
  <r>
    <x v="9"/>
    <x v="4"/>
    <x v="8"/>
    <n v="0"/>
    <n v="-5254.01"/>
  </r>
  <r>
    <x v="9"/>
    <x v="4"/>
    <x v="2"/>
    <n v="0"/>
    <n v="-1916.37"/>
  </r>
  <r>
    <x v="9"/>
    <x v="4"/>
    <x v="0"/>
    <n v="0"/>
    <n v="-8336.73"/>
  </r>
  <r>
    <x v="9"/>
    <x v="4"/>
    <x v="20"/>
    <n v="0"/>
    <n v="-12894.04"/>
  </r>
  <r>
    <x v="9"/>
    <x v="5"/>
    <x v="20"/>
    <n v="306.77"/>
    <n v="0"/>
  </r>
  <r>
    <x v="9"/>
    <x v="5"/>
    <x v="0"/>
    <n v="118.16"/>
    <n v="0"/>
  </r>
  <r>
    <x v="9"/>
    <x v="5"/>
    <x v="8"/>
    <n v="101.08"/>
    <n v="0"/>
  </r>
  <r>
    <x v="9"/>
    <x v="5"/>
    <x v="20"/>
    <n v="0"/>
    <n v="-12539.14"/>
  </r>
  <r>
    <x v="9"/>
    <x v="5"/>
    <x v="2"/>
    <n v="505.05"/>
    <n v="0"/>
  </r>
  <r>
    <x v="9"/>
    <x v="5"/>
    <x v="8"/>
    <n v="0"/>
    <n v="-5047.03"/>
  </r>
  <r>
    <x v="9"/>
    <x v="5"/>
    <x v="0"/>
    <n v="0"/>
    <n v="-8539.23"/>
  </r>
  <r>
    <x v="9"/>
    <x v="5"/>
    <x v="2"/>
    <n v="0"/>
    <n v="-2086.38"/>
  </r>
  <r>
    <x v="9"/>
    <x v="6"/>
    <x v="2"/>
    <n v="205.78"/>
    <n v="0"/>
  </r>
  <r>
    <x v="9"/>
    <x v="6"/>
    <x v="8"/>
    <n v="0"/>
    <n v="-5247.19"/>
  </r>
  <r>
    <x v="9"/>
    <x v="6"/>
    <x v="20"/>
    <n v="0"/>
    <n v="-6304.43"/>
  </r>
  <r>
    <x v="9"/>
    <x v="6"/>
    <x v="0"/>
    <n v="873.65"/>
    <n v="0"/>
  </r>
  <r>
    <x v="9"/>
    <x v="6"/>
    <x v="8"/>
    <n v="90.2"/>
    <n v="0"/>
  </r>
  <r>
    <x v="9"/>
    <x v="6"/>
    <x v="20"/>
    <n v="238.78"/>
    <n v="0"/>
  </r>
  <r>
    <x v="9"/>
    <x v="7"/>
    <x v="0"/>
    <n v="1176.53"/>
    <n v="0"/>
  </r>
  <r>
    <x v="9"/>
    <x v="7"/>
    <x v="2"/>
    <n v="0"/>
    <n v="-3496.26"/>
  </r>
  <r>
    <x v="9"/>
    <x v="7"/>
    <x v="8"/>
    <n v="233.76"/>
    <n v="0"/>
  </r>
  <r>
    <x v="9"/>
    <x v="7"/>
    <x v="20"/>
    <n v="164.88"/>
    <n v="0"/>
  </r>
  <r>
    <x v="9"/>
    <x v="7"/>
    <x v="8"/>
    <n v="0"/>
    <n v="-5402.97"/>
  </r>
  <r>
    <x v="9"/>
    <x v="7"/>
    <x v="0"/>
    <n v="0"/>
    <n v="-7414.53"/>
  </r>
  <r>
    <x v="9"/>
    <x v="7"/>
    <x v="2"/>
    <n v="320.48"/>
    <n v="0"/>
  </r>
  <r>
    <x v="9"/>
    <x v="7"/>
    <x v="20"/>
    <n v="0"/>
    <n v="-12994.52"/>
  </r>
  <r>
    <x v="9"/>
    <x v="8"/>
    <x v="20"/>
    <n v="269.45"/>
    <n v="0"/>
  </r>
  <r>
    <x v="9"/>
    <x v="8"/>
    <x v="8"/>
    <n v="0"/>
    <n v="-5879.12"/>
  </r>
  <r>
    <x v="9"/>
    <x v="8"/>
    <x v="0"/>
    <n v="0"/>
    <n v="-8967.68"/>
  </r>
  <r>
    <x v="9"/>
    <x v="8"/>
    <x v="8"/>
    <n v="129.93"/>
    <n v="0"/>
  </r>
  <r>
    <x v="9"/>
    <x v="8"/>
    <x v="2"/>
    <n v="0"/>
    <n v="-3798.06"/>
  </r>
  <r>
    <x v="9"/>
    <x v="8"/>
    <x v="2"/>
    <n v="279.35000000000002"/>
    <n v="0"/>
  </r>
  <r>
    <x v="9"/>
    <x v="8"/>
    <x v="0"/>
    <n v="698.6"/>
    <n v="0"/>
  </r>
  <r>
    <x v="9"/>
    <x v="8"/>
    <x v="20"/>
    <n v="0"/>
    <n v="-16818.509999999998"/>
  </r>
  <r>
    <x v="9"/>
    <x v="9"/>
    <x v="20"/>
    <n v="460"/>
    <n v="0"/>
  </r>
  <r>
    <x v="9"/>
    <x v="9"/>
    <x v="0"/>
    <n v="0"/>
    <n v="-6895.02"/>
  </r>
  <r>
    <x v="9"/>
    <x v="9"/>
    <x v="2"/>
    <n v="0"/>
    <n v="-6710.9"/>
  </r>
  <r>
    <x v="9"/>
    <x v="9"/>
    <x v="20"/>
    <n v="0"/>
    <n v="-15706.83"/>
  </r>
  <r>
    <x v="9"/>
    <x v="9"/>
    <x v="8"/>
    <n v="0"/>
    <n v="-6339.15"/>
  </r>
  <r>
    <x v="9"/>
    <x v="9"/>
    <x v="8"/>
    <n v="332.7"/>
    <n v="0"/>
  </r>
  <r>
    <x v="9"/>
    <x v="9"/>
    <x v="0"/>
    <n v="888.74"/>
    <n v="0"/>
  </r>
  <r>
    <x v="9"/>
    <x v="9"/>
    <x v="2"/>
    <n v="632.04999999999995"/>
    <n v="0"/>
  </r>
  <r>
    <x v="9"/>
    <x v="10"/>
    <x v="0"/>
    <n v="2555.77"/>
    <n v="0"/>
  </r>
  <r>
    <x v="9"/>
    <x v="10"/>
    <x v="2"/>
    <n v="616.38"/>
    <n v="0"/>
  </r>
  <r>
    <x v="9"/>
    <x v="10"/>
    <x v="20"/>
    <n v="0"/>
    <n v="-13964.5"/>
  </r>
  <r>
    <x v="9"/>
    <x v="10"/>
    <x v="8"/>
    <n v="-423.28"/>
    <n v="0"/>
  </r>
  <r>
    <x v="9"/>
    <x v="10"/>
    <x v="0"/>
    <n v="0"/>
    <n v="-12300.77"/>
  </r>
  <r>
    <x v="9"/>
    <x v="10"/>
    <x v="8"/>
    <n v="0"/>
    <n v="-4984.3599999999997"/>
  </r>
  <r>
    <x v="9"/>
    <x v="10"/>
    <x v="20"/>
    <n v="1020.76"/>
    <n v="0"/>
  </r>
  <r>
    <x v="9"/>
    <x v="10"/>
    <x v="2"/>
    <n v="0"/>
    <n v="-15154.68"/>
  </r>
  <r>
    <x v="9"/>
    <x v="11"/>
    <x v="2"/>
    <n v="603.76"/>
    <n v="0"/>
  </r>
  <r>
    <x v="9"/>
    <x v="11"/>
    <x v="0"/>
    <n v="1974.5"/>
    <n v="0"/>
  </r>
  <r>
    <x v="9"/>
    <x v="11"/>
    <x v="8"/>
    <n v="0"/>
    <n v="-6316.33"/>
  </r>
  <r>
    <x v="9"/>
    <x v="11"/>
    <x v="8"/>
    <n v="98.16"/>
    <n v="0"/>
  </r>
  <r>
    <x v="9"/>
    <x v="11"/>
    <x v="20"/>
    <n v="0"/>
    <n v="-18933.810000000001"/>
  </r>
  <r>
    <x v="9"/>
    <x v="11"/>
    <x v="2"/>
    <n v="0"/>
    <n v="-24042.880000000001"/>
  </r>
  <r>
    <x v="9"/>
    <x v="11"/>
    <x v="20"/>
    <n v="710.23"/>
    <n v="0"/>
  </r>
  <r>
    <x v="9"/>
    <x v="11"/>
    <x v="0"/>
    <n v="0"/>
    <n v="-14118.84"/>
  </r>
  <r>
    <x v="9"/>
    <x v="12"/>
    <x v="0"/>
    <n v="0"/>
    <n v="-33583.24"/>
  </r>
  <r>
    <x v="9"/>
    <x v="12"/>
    <x v="8"/>
    <n v="0"/>
    <n v="-9724.2900000000009"/>
  </r>
  <r>
    <x v="9"/>
    <x v="12"/>
    <x v="20"/>
    <n v="0"/>
    <n v="-24097.49"/>
  </r>
  <r>
    <x v="9"/>
    <x v="12"/>
    <x v="2"/>
    <n v="0"/>
    <n v="-25413.68"/>
  </r>
  <r>
    <x v="9"/>
    <x v="12"/>
    <x v="20"/>
    <n v="153.09"/>
    <n v="0"/>
  </r>
  <r>
    <x v="9"/>
    <x v="12"/>
    <x v="2"/>
    <n v="228.92"/>
    <n v="0"/>
  </r>
  <r>
    <x v="9"/>
    <x v="12"/>
    <x v="8"/>
    <n v="-80.59"/>
    <n v="0"/>
  </r>
  <r>
    <x v="9"/>
    <x v="12"/>
    <x v="0"/>
    <n v="409.11"/>
    <n v="0"/>
  </r>
  <r>
    <x v="9"/>
    <x v="13"/>
    <x v="8"/>
    <n v="0"/>
    <n v="-11873.98"/>
  </r>
  <r>
    <x v="9"/>
    <x v="13"/>
    <x v="20"/>
    <n v="0"/>
    <n v="-21837.13"/>
  </r>
  <r>
    <x v="9"/>
    <x v="13"/>
    <x v="0"/>
    <n v="0"/>
    <n v="-29907.41"/>
  </r>
  <r>
    <x v="9"/>
    <x v="13"/>
    <x v="2"/>
    <n v="0"/>
    <n v="-28087.9"/>
  </r>
  <r>
    <x v="9"/>
    <x v="13"/>
    <x v="0"/>
    <n v="0"/>
    <n v="0"/>
  </r>
  <r>
    <x v="9"/>
    <x v="13"/>
    <x v="20"/>
    <n v="0"/>
    <n v="0"/>
  </r>
  <r>
    <x v="9"/>
    <x v="13"/>
    <x v="8"/>
    <n v="0"/>
    <n v="0"/>
  </r>
  <r>
    <x v="9"/>
    <x v="13"/>
    <x v="2"/>
    <n v="31.66"/>
    <n v="0"/>
  </r>
  <r>
    <x v="9"/>
    <x v="14"/>
    <x v="0"/>
    <n v="0"/>
    <n v="-32320.59"/>
  </r>
  <r>
    <x v="9"/>
    <x v="14"/>
    <x v="2"/>
    <n v="0"/>
    <n v="-17072.18"/>
  </r>
  <r>
    <x v="9"/>
    <x v="14"/>
    <x v="20"/>
    <n v="0"/>
    <n v="-20506.12"/>
  </r>
  <r>
    <x v="9"/>
    <x v="14"/>
    <x v="8"/>
    <n v="0"/>
    <n v="-12270.67"/>
  </r>
  <r>
    <x v="9"/>
    <x v="14"/>
    <x v="20"/>
    <n v="-112.52"/>
    <n v="0"/>
  </r>
  <r>
    <x v="9"/>
    <x v="14"/>
    <x v="2"/>
    <n v="164.9"/>
    <n v="0"/>
  </r>
  <r>
    <x v="9"/>
    <x v="14"/>
    <x v="8"/>
    <n v="562.87"/>
    <n v="0"/>
  </r>
  <r>
    <x v="9"/>
    <x v="14"/>
    <x v="0"/>
    <n v="1838.35"/>
    <n v="0"/>
  </r>
  <r>
    <x v="9"/>
    <x v="15"/>
    <x v="2"/>
    <n v="0"/>
    <n v="-13548.63"/>
  </r>
  <r>
    <x v="9"/>
    <x v="15"/>
    <x v="20"/>
    <n v="0"/>
    <n v="-15896.02"/>
  </r>
  <r>
    <x v="9"/>
    <x v="15"/>
    <x v="0"/>
    <n v="0"/>
    <n v="-23210.58"/>
  </r>
  <r>
    <x v="9"/>
    <x v="15"/>
    <x v="8"/>
    <n v="0"/>
    <n v="-10941.82"/>
  </r>
  <r>
    <x v="9"/>
    <x v="15"/>
    <x v="8"/>
    <n v="821.48"/>
    <n v="0"/>
  </r>
  <r>
    <x v="9"/>
    <x v="15"/>
    <x v="0"/>
    <n v="3625.33"/>
    <n v="0"/>
  </r>
  <r>
    <x v="9"/>
    <x v="15"/>
    <x v="2"/>
    <n v="1675.92"/>
    <n v="0"/>
  </r>
  <r>
    <x v="9"/>
    <x v="15"/>
    <x v="20"/>
    <n v="1005.96"/>
    <n v="0"/>
  </r>
  <r>
    <x v="9"/>
    <x v="16"/>
    <x v="2"/>
    <n v="0"/>
    <n v="-19389.05"/>
  </r>
  <r>
    <x v="9"/>
    <x v="16"/>
    <x v="20"/>
    <n v="0"/>
    <n v="-19458.59"/>
  </r>
  <r>
    <x v="9"/>
    <x v="16"/>
    <x v="8"/>
    <n v="0"/>
    <n v="-9811.7900000000009"/>
  </r>
  <r>
    <x v="9"/>
    <x v="16"/>
    <x v="0"/>
    <n v="0"/>
    <n v="-30751.65"/>
  </r>
  <r>
    <x v="9"/>
    <x v="16"/>
    <x v="20"/>
    <n v="623.85"/>
    <n v="0"/>
  </r>
  <r>
    <x v="9"/>
    <x v="16"/>
    <x v="8"/>
    <n v="445.07"/>
    <n v="0"/>
  </r>
  <r>
    <x v="9"/>
    <x v="16"/>
    <x v="2"/>
    <n v="621.84"/>
    <n v="0"/>
  </r>
  <r>
    <x v="9"/>
    <x v="16"/>
    <x v="0"/>
    <n v="1367.51"/>
    <n v="0"/>
  </r>
  <r>
    <x v="9"/>
    <x v="17"/>
    <x v="0"/>
    <n v="0"/>
    <n v="-31196.560000000001"/>
  </r>
  <r>
    <x v="9"/>
    <x v="17"/>
    <x v="20"/>
    <n v="0"/>
    <n v="-22764.74"/>
  </r>
  <r>
    <x v="9"/>
    <x v="17"/>
    <x v="8"/>
    <n v="0"/>
    <n v="-9702.9"/>
  </r>
  <r>
    <x v="9"/>
    <x v="17"/>
    <x v="2"/>
    <n v="0"/>
    <n v="-40836.82"/>
  </r>
  <r>
    <x v="9"/>
    <x v="17"/>
    <x v="0"/>
    <n v="710.81"/>
    <n v="0"/>
  </r>
  <r>
    <x v="9"/>
    <x v="17"/>
    <x v="2"/>
    <n v="304.64"/>
    <n v="0"/>
  </r>
  <r>
    <x v="9"/>
    <x v="17"/>
    <x v="8"/>
    <n v="283.47000000000003"/>
    <n v="0"/>
  </r>
  <r>
    <x v="9"/>
    <x v="17"/>
    <x v="20"/>
    <n v="104.61"/>
    <n v="0"/>
  </r>
  <r>
    <x v="9"/>
    <x v="18"/>
    <x v="2"/>
    <n v="0"/>
    <n v="-52031.78"/>
  </r>
  <r>
    <x v="9"/>
    <x v="18"/>
    <x v="20"/>
    <n v="0"/>
    <n v="-21636.59"/>
  </r>
  <r>
    <x v="9"/>
    <x v="18"/>
    <x v="8"/>
    <n v="0"/>
    <n v="-13804.46"/>
  </r>
  <r>
    <x v="9"/>
    <x v="18"/>
    <x v="0"/>
    <n v="0"/>
    <n v="-28385.7"/>
  </r>
  <r>
    <x v="9"/>
    <x v="18"/>
    <x v="20"/>
    <n v="0"/>
    <n v="0"/>
  </r>
  <r>
    <x v="9"/>
    <x v="18"/>
    <x v="2"/>
    <n v="0"/>
    <n v="0"/>
  </r>
  <r>
    <x v="9"/>
    <x v="18"/>
    <x v="0"/>
    <n v="0"/>
    <n v="0"/>
  </r>
  <r>
    <x v="9"/>
    <x v="18"/>
    <x v="8"/>
    <n v="25.75"/>
    <n v="0"/>
  </r>
  <r>
    <x v="9"/>
    <x v="19"/>
    <x v="0"/>
    <n v="0"/>
    <n v="-5006.2"/>
  </r>
  <r>
    <x v="9"/>
    <x v="19"/>
    <x v="20"/>
    <n v="0"/>
    <n v="-12378.66"/>
  </r>
  <r>
    <x v="9"/>
    <x v="19"/>
    <x v="8"/>
    <n v="0"/>
    <n v="-10554.49"/>
  </r>
  <r>
    <x v="9"/>
    <x v="19"/>
    <x v="2"/>
    <n v="0"/>
    <n v="-59567.72"/>
  </r>
  <r>
    <x v="9"/>
    <x v="19"/>
    <x v="8"/>
    <n v="0"/>
    <n v="0"/>
  </r>
  <r>
    <x v="9"/>
    <x v="19"/>
    <x v="2"/>
    <n v="0"/>
    <n v="0"/>
  </r>
  <r>
    <x v="9"/>
    <x v="19"/>
    <x v="0"/>
    <n v="1663.5"/>
    <n v="0"/>
  </r>
  <r>
    <x v="9"/>
    <x v="19"/>
    <x v="20"/>
    <n v="165.74"/>
    <n v="0"/>
  </r>
  <r>
    <x v="9"/>
    <x v="20"/>
    <x v="8"/>
    <n v="0"/>
    <n v="-13398.8"/>
  </r>
  <r>
    <x v="9"/>
    <x v="20"/>
    <x v="2"/>
    <n v="0"/>
    <n v="-67143.350000000006"/>
  </r>
  <r>
    <x v="9"/>
    <x v="20"/>
    <x v="0"/>
    <n v="0"/>
    <n v="-6321.08"/>
  </r>
  <r>
    <x v="9"/>
    <x v="20"/>
    <x v="20"/>
    <n v="0"/>
    <n v="-16744.740000000002"/>
  </r>
  <r>
    <x v="9"/>
    <x v="20"/>
    <x v="8"/>
    <n v="577.63"/>
    <n v="0"/>
  </r>
  <r>
    <x v="9"/>
    <x v="20"/>
    <x v="20"/>
    <n v="535.32000000000005"/>
    <n v="0"/>
  </r>
  <r>
    <x v="9"/>
    <x v="20"/>
    <x v="0"/>
    <n v="2106.94"/>
    <n v="0"/>
  </r>
  <r>
    <x v="9"/>
    <x v="21"/>
    <x v="2"/>
    <n v="0"/>
    <n v="-70982.600000000006"/>
  </r>
  <r>
    <x v="9"/>
    <x v="21"/>
    <x v="8"/>
    <n v="0"/>
    <n v="-19381.55"/>
  </r>
  <r>
    <x v="9"/>
    <x v="21"/>
    <x v="20"/>
    <n v="0"/>
    <n v="-14341.42"/>
  </r>
  <r>
    <x v="9"/>
    <x v="21"/>
    <x v="0"/>
    <n v="0"/>
    <n v="-7983.23"/>
  </r>
  <r>
    <x v="9"/>
    <x v="21"/>
    <x v="8"/>
    <n v="0"/>
    <n v="0"/>
  </r>
  <r>
    <x v="9"/>
    <x v="21"/>
    <x v="0"/>
    <n v="47.85"/>
    <n v="0"/>
  </r>
  <r>
    <x v="9"/>
    <x v="21"/>
    <x v="20"/>
    <n v="99.39"/>
    <n v="0"/>
  </r>
  <r>
    <x v="9"/>
    <x v="22"/>
    <x v="8"/>
    <n v="0"/>
    <n v="-26329.26"/>
  </r>
  <r>
    <x v="9"/>
    <x v="22"/>
    <x v="20"/>
    <n v="0"/>
    <n v="-18144.3"/>
  </r>
  <r>
    <x v="9"/>
    <x v="22"/>
    <x v="0"/>
    <n v="0"/>
    <n v="-13551.64"/>
  </r>
  <r>
    <x v="9"/>
    <x v="22"/>
    <x v="2"/>
    <n v="0"/>
    <n v="-84247.039999999994"/>
  </r>
  <r>
    <x v="9"/>
    <x v="22"/>
    <x v="20"/>
    <n v="0"/>
    <n v="0"/>
  </r>
  <r>
    <x v="9"/>
    <x v="23"/>
    <x v="2"/>
    <n v="0"/>
    <n v="-71365.22"/>
  </r>
  <r>
    <x v="9"/>
    <x v="23"/>
    <x v="0"/>
    <n v="0"/>
    <n v="-13184.72"/>
  </r>
  <r>
    <x v="9"/>
    <x v="23"/>
    <x v="8"/>
    <n v="0"/>
    <n v="-28393.68"/>
  </r>
  <r>
    <x v="9"/>
    <x v="23"/>
    <x v="20"/>
    <n v="0"/>
    <n v="-15992.56"/>
  </r>
  <r>
    <x v="9"/>
    <x v="23"/>
    <x v="0"/>
    <n v="0"/>
    <n v="0"/>
  </r>
  <r>
    <x v="9"/>
    <x v="24"/>
    <x v="0"/>
    <n v="0"/>
    <n v="-2710"/>
  </r>
  <r>
    <x v="9"/>
    <x v="24"/>
    <x v="8"/>
    <n v="0"/>
    <n v="-28901.97"/>
  </r>
  <r>
    <x v="9"/>
    <x v="24"/>
    <x v="20"/>
    <n v="0"/>
    <n v="-13715.59"/>
  </r>
  <r>
    <x v="10"/>
    <x v="72"/>
    <x v="22"/>
    <n v="40.93"/>
    <n v="0"/>
  </r>
  <r>
    <x v="10"/>
    <x v="72"/>
    <x v="20"/>
    <n v="0"/>
    <n v="-29.9"/>
  </r>
  <r>
    <x v="10"/>
    <x v="72"/>
    <x v="22"/>
    <n v="0"/>
    <n v="-189.15"/>
  </r>
  <r>
    <x v="10"/>
    <x v="72"/>
    <x v="20"/>
    <n v="48.13"/>
    <n v="0"/>
  </r>
  <r>
    <x v="10"/>
    <x v="72"/>
    <x v="8"/>
    <n v="71.91"/>
    <n v="0"/>
  </r>
  <r>
    <x v="10"/>
    <x v="72"/>
    <x v="8"/>
    <n v="0"/>
    <n v="-114.3"/>
  </r>
  <r>
    <x v="10"/>
    <x v="73"/>
    <x v="22"/>
    <n v="0"/>
    <n v="-1457.15"/>
  </r>
  <r>
    <x v="10"/>
    <x v="73"/>
    <x v="8"/>
    <n v="421.9"/>
    <n v="0"/>
  </r>
  <r>
    <x v="10"/>
    <x v="73"/>
    <x v="22"/>
    <n v="348.05"/>
    <n v="0"/>
  </r>
  <r>
    <x v="10"/>
    <x v="73"/>
    <x v="8"/>
    <n v="0"/>
    <n v="-470.12"/>
  </r>
  <r>
    <x v="10"/>
    <x v="73"/>
    <x v="20"/>
    <n v="118.76"/>
    <n v="0"/>
  </r>
  <r>
    <x v="10"/>
    <x v="73"/>
    <x v="20"/>
    <n v="0"/>
    <n v="-266.76"/>
  </r>
  <r>
    <x v="10"/>
    <x v="74"/>
    <x v="20"/>
    <n v="94.63"/>
    <n v="0"/>
  </r>
  <r>
    <x v="10"/>
    <x v="74"/>
    <x v="22"/>
    <n v="0"/>
    <n v="-1620.75"/>
  </r>
  <r>
    <x v="10"/>
    <x v="74"/>
    <x v="20"/>
    <n v="0"/>
    <n v="-345.04"/>
  </r>
  <r>
    <x v="10"/>
    <x v="74"/>
    <x v="22"/>
    <n v="408.85"/>
    <n v="0"/>
  </r>
  <r>
    <x v="10"/>
    <x v="74"/>
    <x v="8"/>
    <n v="0"/>
    <n v="-585.73"/>
  </r>
  <r>
    <x v="10"/>
    <x v="74"/>
    <x v="8"/>
    <n v="307.89"/>
    <n v="0"/>
  </r>
  <r>
    <x v="10"/>
    <x v="75"/>
    <x v="22"/>
    <n v="194.95"/>
    <n v="0"/>
  </r>
  <r>
    <x v="10"/>
    <x v="75"/>
    <x v="8"/>
    <n v="0"/>
    <n v="-2068.84"/>
  </r>
  <r>
    <x v="10"/>
    <x v="75"/>
    <x v="8"/>
    <n v="238.88"/>
    <n v="0"/>
  </r>
  <r>
    <x v="10"/>
    <x v="75"/>
    <x v="22"/>
    <n v="0"/>
    <n v="-1192.92"/>
  </r>
  <r>
    <x v="10"/>
    <x v="75"/>
    <x v="20"/>
    <n v="0"/>
    <n v="-647.79"/>
  </r>
  <r>
    <x v="10"/>
    <x v="75"/>
    <x v="20"/>
    <n v="243.11"/>
    <n v="0"/>
  </r>
  <r>
    <x v="10"/>
    <x v="76"/>
    <x v="20"/>
    <n v="0"/>
    <n v="-676.47"/>
  </r>
  <r>
    <x v="10"/>
    <x v="76"/>
    <x v="20"/>
    <n v="216.51"/>
    <n v="0"/>
  </r>
  <r>
    <x v="10"/>
    <x v="76"/>
    <x v="22"/>
    <n v="0"/>
    <n v="-2248.0700000000002"/>
  </r>
  <r>
    <x v="10"/>
    <x v="76"/>
    <x v="8"/>
    <n v="0"/>
    <n v="-2641.74"/>
  </r>
  <r>
    <x v="10"/>
    <x v="76"/>
    <x v="8"/>
    <n v="316.99"/>
    <n v="0"/>
  </r>
  <r>
    <x v="10"/>
    <x v="76"/>
    <x v="22"/>
    <n v="353.23"/>
    <n v="0"/>
  </r>
  <r>
    <x v="10"/>
    <x v="88"/>
    <x v="22"/>
    <n v="0"/>
    <n v="-1696.82"/>
  </r>
  <r>
    <x v="10"/>
    <x v="88"/>
    <x v="20"/>
    <n v="0"/>
    <n v="-548.94000000000005"/>
  </r>
  <r>
    <x v="10"/>
    <x v="88"/>
    <x v="8"/>
    <n v="0"/>
    <n v="-4413.76"/>
  </r>
  <r>
    <x v="10"/>
    <x v="88"/>
    <x v="20"/>
    <n v="143.27000000000001"/>
    <n v="0"/>
  </r>
  <r>
    <x v="10"/>
    <x v="88"/>
    <x v="22"/>
    <n v="304.52"/>
    <n v="0"/>
  </r>
  <r>
    <x v="10"/>
    <x v="88"/>
    <x v="8"/>
    <n v="330.67"/>
    <n v="0"/>
  </r>
  <r>
    <x v="10"/>
    <x v="77"/>
    <x v="8"/>
    <n v="0"/>
    <n v="-3682.73"/>
  </r>
  <r>
    <x v="10"/>
    <x v="77"/>
    <x v="22"/>
    <n v="0"/>
    <n v="-1700.27"/>
  </r>
  <r>
    <x v="10"/>
    <x v="77"/>
    <x v="20"/>
    <n v="0"/>
    <n v="-1089.72"/>
  </r>
  <r>
    <x v="10"/>
    <x v="77"/>
    <x v="8"/>
    <n v="146.15"/>
    <n v="0"/>
  </r>
  <r>
    <x v="10"/>
    <x v="77"/>
    <x v="20"/>
    <n v="169.86"/>
    <n v="0"/>
  </r>
  <r>
    <x v="10"/>
    <x v="77"/>
    <x v="22"/>
    <n v="170.92"/>
    <n v="0"/>
  </r>
  <r>
    <x v="10"/>
    <x v="78"/>
    <x v="8"/>
    <n v="0"/>
    <n v="-3196.48"/>
  </r>
  <r>
    <x v="10"/>
    <x v="78"/>
    <x v="22"/>
    <n v="0"/>
    <n v="-1756.54"/>
  </r>
  <r>
    <x v="10"/>
    <x v="78"/>
    <x v="20"/>
    <n v="0"/>
    <n v="-1061.93"/>
  </r>
  <r>
    <x v="10"/>
    <x v="78"/>
    <x v="22"/>
    <n v="138.65"/>
    <n v="0"/>
  </r>
  <r>
    <x v="10"/>
    <x v="78"/>
    <x v="20"/>
    <n v="97.21"/>
    <n v="0"/>
  </r>
  <r>
    <x v="10"/>
    <x v="78"/>
    <x v="8"/>
    <n v="152.62"/>
    <n v="0"/>
  </r>
  <r>
    <x v="10"/>
    <x v="79"/>
    <x v="20"/>
    <n v="0"/>
    <n v="-1201.6400000000001"/>
  </r>
  <r>
    <x v="10"/>
    <x v="79"/>
    <x v="8"/>
    <n v="0"/>
    <n v="-3180.46"/>
  </r>
  <r>
    <x v="10"/>
    <x v="79"/>
    <x v="22"/>
    <n v="0"/>
    <n v="-1728.47"/>
  </r>
  <r>
    <x v="10"/>
    <x v="79"/>
    <x v="20"/>
    <n v="97.51"/>
    <n v="0"/>
  </r>
  <r>
    <x v="10"/>
    <x v="79"/>
    <x v="8"/>
    <n v="225.27"/>
    <n v="0"/>
  </r>
  <r>
    <x v="10"/>
    <x v="79"/>
    <x v="22"/>
    <n v="217.01"/>
    <n v="0"/>
  </r>
  <r>
    <x v="10"/>
    <x v="80"/>
    <x v="20"/>
    <n v="0"/>
    <n v="-1924.02"/>
  </r>
  <r>
    <x v="10"/>
    <x v="80"/>
    <x v="8"/>
    <n v="0"/>
    <n v="-4165.2700000000004"/>
  </r>
  <r>
    <x v="10"/>
    <x v="80"/>
    <x v="22"/>
    <n v="0"/>
    <n v="-1904.65"/>
  </r>
  <r>
    <x v="10"/>
    <x v="80"/>
    <x v="20"/>
    <n v="145.25"/>
    <n v="0"/>
  </r>
  <r>
    <x v="10"/>
    <x v="80"/>
    <x v="22"/>
    <n v="160.41999999999999"/>
    <n v="0"/>
  </r>
  <r>
    <x v="10"/>
    <x v="80"/>
    <x v="8"/>
    <n v="246.05"/>
    <n v="0"/>
  </r>
  <r>
    <x v="10"/>
    <x v="81"/>
    <x v="20"/>
    <n v="0"/>
    <n v="-2253.1799999999998"/>
  </r>
  <r>
    <x v="10"/>
    <x v="81"/>
    <x v="22"/>
    <n v="0"/>
    <n v="-1955.88"/>
  </r>
  <r>
    <x v="10"/>
    <x v="81"/>
    <x v="8"/>
    <n v="0"/>
    <n v="-4343.34"/>
  </r>
  <r>
    <x v="10"/>
    <x v="81"/>
    <x v="22"/>
    <n v="168.53"/>
    <n v="0"/>
  </r>
  <r>
    <x v="10"/>
    <x v="81"/>
    <x v="20"/>
    <n v="171.39"/>
    <n v="0"/>
  </r>
  <r>
    <x v="10"/>
    <x v="81"/>
    <x v="8"/>
    <n v="177.78"/>
    <n v="0"/>
  </r>
  <r>
    <x v="10"/>
    <x v="82"/>
    <x v="8"/>
    <n v="0"/>
    <n v="-3262.77"/>
  </r>
  <r>
    <x v="10"/>
    <x v="82"/>
    <x v="20"/>
    <n v="0"/>
    <n v="-3342.86"/>
  </r>
  <r>
    <x v="10"/>
    <x v="82"/>
    <x v="22"/>
    <n v="0"/>
    <n v="-2206.23"/>
  </r>
  <r>
    <x v="10"/>
    <x v="82"/>
    <x v="8"/>
    <n v="96.28"/>
    <n v="0"/>
  </r>
  <r>
    <x v="10"/>
    <x v="82"/>
    <x v="20"/>
    <n v="74.44"/>
    <n v="0"/>
  </r>
  <r>
    <x v="10"/>
    <x v="82"/>
    <x v="22"/>
    <n v="206.55"/>
    <n v="0"/>
  </r>
  <r>
    <x v="10"/>
    <x v="83"/>
    <x v="20"/>
    <n v="0"/>
    <n v="-2484.84"/>
  </r>
  <r>
    <x v="10"/>
    <x v="83"/>
    <x v="8"/>
    <n v="0"/>
    <n v="-3741.26"/>
  </r>
  <r>
    <x v="10"/>
    <x v="83"/>
    <x v="22"/>
    <n v="0"/>
    <n v="-2247.12"/>
  </r>
  <r>
    <x v="10"/>
    <x v="83"/>
    <x v="20"/>
    <n v="47.9"/>
    <n v="0"/>
  </r>
  <r>
    <x v="10"/>
    <x v="83"/>
    <x v="8"/>
    <n v="198.8"/>
    <n v="0"/>
  </r>
  <r>
    <x v="10"/>
    <x v="83"/>
    <x v="22"/>
    <n v="115.16"/>
    <n v="0"/>
  </r>
  <r>
    <x v="10"/>
    <x v="84"/>
    <x v="20"/>
    <n v="0"/>
    <n v="-2817.19"/>
  </r>
  <r>
    <x v="10"/>
    <x v="84"/>
    <x v="8"/>
    <n v="0"/>
    <n v="-4057.4"/>
  </r>
  <r>
    <x v="10"/>
    <x v="84"/>
    <x v="22"/>
    <n v="0"/>
    <n v="-2123.35"/>
  </r>
  <r>
    <x v="10"/>
    <x v="84"/>
    <x v="8"/>
    <n v="277.36"/>
    <n v="0"/>
  </r>
  <r>
    <x v="10"/>
    <x v="84"/>
    <x v="22"/>
    <n v="142.32"/>
    <n v="0"/>
  </r>
  <r>
    <x v="10"/>
    <x v="84"/>
    <x v="20"/>
    <n v="172.18"/>
    <n v="0"/>
  </r>
  <r>
    <x v="10"/>
    <x v="85"/>
    <x v="8"/>
    <n v="0"/>
    <n v="-5129.99"/>
  </r>
  <r>
    <x v="10"/>
    <x v="85"/>
    <x v="22"/>
    <n v="101.52"/>
    <n v="0"/>
  </r>
  <r>
    <x v="10"/>
    <x v="85"/>
    <x v="20"/>
    <n v="0"/>
    <n v="-5966.86"/>
  </r>
  <r>
    <x v="10"/>
    <x v="85"/>
    <x v="22"/>
    <n v="0"/>
    <n v="-2384.37"/>
  </r>
  <r>
    <x v="10"/>
    <x v="85"/>
    <x v="20"/>
    <n v="223.9"/>
    <n v="0"/>
  </r>
  <r>
    <x v="10"/>
    <x v="85"/>
    <x v="8"/>
    <n v="206.96"/>
    <n v="0"/>
  </r>
  <r>
    <x v="10"/>
    <x v="86"/>
    <x v="22"/>
    <n v="0"/>
    <n v="-3506.08"/>
  </r>
  <r>
    <x v="10"/>
    <x v="86"/>
    <x v="20"/>
    <n v="0"/>
    <n v="-5669.64"/>
  </r>
  <r>
    <x v="10"/>
    <x v="86"/>
    <x v="8"/>
    <n v="0"/>
    <n v="-4971.62"/>
  </r>
  <r>
    <x v="10"/>
    <x v="86"/>
    <x v="22"/>
    <n v="124.34"/>
    <n v="0"/>
  </r>
  <r>
    <x v="10"/>
    <x v="86"/>
    <x v="8"/>
    <n v="171.05"/>
    <n v="0"/>
  </r>
  <r>
    <x v="10"/>
    <x v="86"/>
    <x v="20"/>
    <n v="149.1"/>
    <n v="0"/>
  </r>
  <r>
    <x v="10"/>
    <x v="87"/>
    <x v="20"/>
    <n v="0"/>
    <n v="-5583.66"/>
  </r>
  <r>
    <x v="10"/>
    <x v="87"/>
    <x v="22"/>
    <n v="0"/>
    <n v="-3909.66"/>
  </r>
  <r>
    <x v="10"/>
    <x v="87"/>
    <x v="8"/>
    <n v="0"/>
    <n v="-5742.31"/>
  </r>
  <r>
    <x v="10"/>
    <x v="87"/>
    <x v="8"/>
    <n v="134.88999999999999"/>
    <n v="0"/>
  </r>
  <r>
    <x v="10"/>
    <x v="87"/>
    <x v="22"/>
    <n v="108.47"/>
    <n v="0"/>
  </r>
  <r>
    <x v="10"/>
    <x v="87"/>
    <x v="20"/>
    <n v="74.33"/>
    <n v="0"/>
  </r>
  <r>
    <x v="10"/>
    <x v="0"/>
    <x v="22"/>
    <n v="0"/>
    <n v="-5309.57"/>
  </r>
  <r>
    <x v="10"/>
    <x v="0"/>
    <x v="20"/>
    <n v="0"/>
    <n v="-7777.99"/>
  </r>
  <r>
    <x v="10"/>
    <x v="0"/>
    <x v="8"/>
    <n v="0"/>
    <n v="-5046.8100000000004"/>
  </r>
  <r>
    <x v="10"/>
    <x v="0"/>
    <x v="20"/>
    <n v="128.65"/>
    <n v="0"/>
  </r>
  <r>
    <x v="10"/>
    <x v="0"/>
    <x v="22"/>
    <n v="144.76"/>
    <n v="0"/>
  </r>
  <r>
    <x v="10"/>
    <x v="0"/>
    <x v="8"/>
    <n v="231.09"/>
    <n v="0"/>
  </r>
  <r>
    <x v="10"/>
    <x v="1"/>
    <x v="22"/>
    <n v="0"/>
    <n v="-3612.34"/>
  </r>
  <r>
    <x v="10"/>
    <x v="1"/>
    <x v="22"/>
    <n v="166.74"/>
    <n v="0"/>
  </r>
  <r>
    <x v="10"/>
    <x v="1"/>
    <x v="20"/>
    <n v="0"/>
    <n v="-7226.42"/>
  </r>
  <r>
    <x v="10"/>
    <x v="1"/>
    <x v="8"/>
    <n v="0"/>
    <n v="-5583.5"/>
  </r>
  <r>
    <x v="10"/>
    <x v="1"/>
    <x v="20"/>
    <n v="101.03"/>
    <n v="0"/>
  </r>
  <r>
    <x v="10"/>
    <x v="1"/>
    <x v="8"/>
    <n v="127.79"/>
    <n v="0"/>
  </r>
  <r>
    <x v="10"/>
    <x v="2"/>
    <x v="20"/>
    <n v="0"/>
    <n v="-8054.11"/>
  </r>
  <r>
    <x v="10"/>
    <x v="2"/>
    <x v="22"/>
    <n v="0"/>
    <n v="-3882.38"/>
  </r>
  <r>
    <x v="10"/>
    <x v="2"/>
    <x v="8"/>
    <n v="0"/>
    <n v="-5640.56"/>
  </r>
  <r>
    <x v="10"/>
    <x v="2"/>
    <x v="22"/>
    <n v="189.11"/>
    <n v="0"/>
  </r>
  <r>
    <x v="10"/>
    <x v="2"/>
    <x v="8"/>
    <n v="182.3"/>
    <n v="0"/>
  </r>
  <r>
    <x v="10"/>
    <x v="2"/>
    <x v="20"/>
    <n v="126.7"/>
    <n v="0"/>
  </r>
  <r>
    <x v="10"/>
    <x v="3"/>
    <x v="22"/>
    <n v="0"/>
    <n v="-3597.32"/>
  </r>
  <r>
    <x v="10"/>
    <x v="3"/>
    <x v="22"/>
    <n v="72.69"/>
    <n v="0"/>
  </r>
  <r>
    <x v="10"/>
    <x v="3"/>
    <x v="20"/>
    <n v="0"/>
    <n v="-8341.7999999999993"/>
  </r>
  <r>
    <x v="10"/>
    <x v="3"/>
    <x v="8"/>
    <n v="0"/>
    <n v="-5712.47"/>
  </r>
  <r>
    <x v="10"/>
    <x v="3"/>
    <x v="20"/>
    <n v="101.18"/>
    <n v="0"/>
  </r>
  <r>
    <x v="10"/>
    <x v="3"/>
    <x v="8"/>
    <n v="170.6"/>
    <n v="0"/>
  </r>
  <r>
    <x v="10"/>
    <x v="4"/>
    <x v="20"/>
    <n v="0"/>
    <n v="-6446.65"/>
  </r>
  <r>
    <x v="10"/>
    <x v="4"/>
    <x v="22"/>
    <n v="0"/>
    <n v="-3438.85"/>
  </r>
  <r>
    <x v="10"/>
    <x v="4"/>
    <x v="8"/>
    <n v="0"/>
    <n v="-4742.74"/>
  </r>
  <r>
    <x v="10"/>
    <x v="4"/>
    <x v="8"/>
    <n v="124.13"/>
    <n v="0"/>
  </r>
  <r>
    <x v="10"/>
    <x v="4"/>
    <x v="22"/>
    <n v="68.959999999999994"/>
    <n v="0"/>
  </r>
  <r>
    <x v="10"/>
    <x v="4"/>
    <x v="20"/>
    <n v="64.349999999999994"/>
    <n v="0"/>
  </r>
  <r>
    <x v="10"/>
    <x v="5"/>
    <x v="20"/>
    <n v="0"/>
    <n v="-6269.18"/>
  </r>
  <r>
    <x v="10"/>
    <x v="5"/>
    <x v="8"/>
    <n v="0"/>
    <n v="-4512.66"/>
  </r>
  <r>
    <x v="10"/>
    <x v="5"/>
    <x v="20"/>
    <n v="152.9"/>
    <n v="0"/>
  </r>
  <r>
    <x v="10"/>
    <x v="5"/>
    <x v="22"/>
    <n v="0"/>
    <n v="-3347.76"/>
  </r>
  <r>
    <x v="10"/>
    <x v="5"/>
    <x v="8"/>
    <n v="86.04"/>
    <n v="0"/>
  </r>
  <r>
    <x v="10"/>
    <x v="5"/>
    <x v="22"/>
    <n v="208.43"/>
    <n v="0"/>
  </r>
  <r>
    <x v="10"/>
    <x v="6"/>
    <x v="8"/>
    <n v="0"/>
    <n v="-3812.81"/>
  </r>
  <r>
    <x v="10"/>
    <x v="6"/>
    <x v="22"/>
    <n v="183.21"/>
    <n v="0"/>
  </r>
  <r>
    <x v="10"/>
    <x v="6"/>
    <x v="8"/>
    <n v="90.27"/>
    <n v="0"/>
  </r>
  <r>
    <x v="10"/>
    <x v="6"/>
    <x v="20"/>
    <n v="119.39"/>
    <n v="0"/>
  </r>
  <r>
    <x v="10"/>
    <x v="7"/>
    <x v="8"/>
    <n v="0"/>
    <n v="-4892.62"/>
  </r>
  <r>
    <x v="10"/>
    <x v="7"/>
    <x v="20"/>
    <n v="0"/>
    <n v="-6496.88"/>
  </r>
  <r>
    <x v="10"/>
    <x v="7"/>
    <x v="22"/>
    <n v="0"/>
    <n v="-4132.3500000000004"/>
  </r>
  <r>
    <x v="10"/>
    <x v="7"/>
    <x v="8"/>
    <n v="212.92"/>
    <n v="0"/>
  </r>
  <r>
    <x v="10"/>
    <x v="7"/>
    <x v="20"/>
    <n v="111.69"/>
    <n v="0"/>
  </r>
  <r>
    <x v="10"/>
    <x v="7"/>
    <x v="22"/>
    <n v="157.76"/>
    <n v="0"/>
  </r>
  <r>
    <x v="10"/>
    <x v="8"/>
    <x v="22"/>
    <n v="0"/>
    <n v="-5186.9399999999996"/>
  </r>
  <r>
    <x v="10"/>
    <x v="8"/>
    <x v="8"/>
    <n v="0"/>
    <n v="-5363"/>
  </r>
  <r>
    <x v="10"/>
    <x v="8"/>
    <x v="20"/>
    <n v="134.74"/>
    <n v="0"/>
  </r>
  <r>
    <x v="10"/>
    <x v="8"/>
    <x v="22"/>
    <n v="234.37"/>
    <n v="0"/>
  </r>
  <r>
    <x v="10"/>
    <x v="8"/>
    <x v="8"/>
    <n v="127.45"/>
    <n v="0"/>
  </r>
  <r>
    <x v="10"/>
    <x v="8"/>
    <x v="20"/>
    <n v="0"/>
    <n v="-8409.2999999999993"/>
  </r>
  <r>
    <x v="10"/>
    <x v="9"/>
    <x v="8"/>
    <n v="0"/>
    <n v="-5828.74"/>
  </r>
  <r>
    <x v="10"/>
    <x v="9"/>
    <x v="22"/>
    <n v="215.57"/>
    <n v="0"/>
  </r>
  <r>
    <x v="10"/>
    <x v="9"/>
    <x v="8"/>
    <n v="329.72"/>
    <n v="0"/>
  </r>
  <r>
    <x v="10"/>
    <x v="9"/>
    <x v="20"/>
    <n v="230.02"/>
    <n v="0"/>
  </r>
  <r>
    <x v="10"/>
    <x v="9"/>
    <x v="22"/>
    <n v="0"/>
    <n v="-7055.61"/>
  </r>
  <r>
    <x v="10"/>
    <x v="9"/>
    <x v="20"/>
    <n v="0"/>
    <n v="-7852.95"/>
  </r>
  <r>
    <x v="10"/>
    <x v="10"/>
    <x v="8"/>
    <n v="0"/>
    <n v="-4725.6899999999996"/>
  </r>
  <r>
    <x v="10"/>
    <x v="10"/>
    <x v="22"/>
    <n v="0"/>
    <n v="-7519.32"/>
  </r>
  <r>
    <x v="10"/>
    <x v="10"/>
    <x v="20"/>
    <n v="0"/>
    <n v="-6981.79"/>
  </r>
  <r>
    <x v="10"/>
    <x v="10"/>
    <x v="20"/>
    <n v="510.98"/>
    <n v="0"/>
  </r>
  <r>
    <x v="10"/>
    <x v="10"/>
    <x v="22"/>
    <n v="229.25"/>
    <n v="0"/>
  </r>
  <r>
    <x v="10"/>
    <x v="10"/>
    <x v="8"/>
    <n v="-411.06"/>
    <n v="0"/>
  </r>
  <r>
    <x v="10"/>
    <x v="11"/>
    <x v="22"/>
    <n v="0"/>
    <n v="-14581.65"/>
  </r>
  <r>
    <x v="10"/>
    <x v="11"/>
    <x v="8"/>
    <n v="0"/>
    <n v="-6138.12"/>
  </r>
  <r>
    <x v="10"/>
    <x v="11"/>
    <x v="20"/>
    <n v="509.12"/>
    <n v="0"/>
  </r>
  <r>
    <x v="10"/>
    <x v="11"/>
    <x v="8"/>
    <n v="145.88999999999999"/>
    <n v="0"/>
  </r>
  <r>
    <x v="10"/>
    <x v="11"/>
    <x v="22"/>
    <n v="303.7"/>
    <n v="0"/>
  </r>
  <r>
    <x v="10"/>
    <x v="11"/>
    <x v="20"/>
    <n v="0"/>
    <n v="-9531.52"/>
  </r>
  <r>
    <x v="10"/>
    <x v="12"/>
    <x v="22"/>
    <n v="0"/>
    <n v="-11129.13"/>
  </r>
  <r>
    <x v="10"/>
    <x v="12"/>
    <x v="20"/>
    <n v="0"/>
    <n v="-11975.48"/>
  </r>
  <r>
    <x v="10"/>
    <x v="12"/>
    <x v="8"/>
    <n v="0"/>
    <n v="-10075.540000000001"/>
  </r>
  <r>
    <x v="10"/>
    <x v="12"/>
    <x v="22"/>
    <n v="376.66"/>
    <n v="0"/>
  </r>
  <r>
    <x v="10"/>
    <x v="12"/>
    <x v="20"/>
    <n v="128.38999999999999"/>
    <n v="0"/>
  </r>
  <r>
    <x v="10"/>
    <x v="12"/>
    <x v="8"/>
    <n v="456.44"/>
    <n v="0"/>
  </r>
  <r>
    <x v="10"/>
    <x v="13"/>
    <x v="22"/>
    <n v="0"/>
    <n v="-10482.370000000001"/>
  </r>
  <r>
    <x v="10"/>
    <x v="13"/>
    <x v="20"/>
    <n v="0"/>
    <n v="-10896.2"/>
  </r>
  <r>
    <x v="10"/>
    <x v="13"/>
    <x v="8"/>
    <n v="365.14"/>
    <n v="0"/>
  </r>
  <r>
    <x v="10"/>
    <x v="13"/>
    <x v="22"/>
    <n v="232.89"/>
    <n v="0"/>
  </r>
  <r>
    <x v="10"/>
    <x v="13"/>
    <x v="20"/>
    <n v="100.58"/>
    <n v="0"/>
  </r>
  <r>
    <x v="10"/>
    <x v="13"/>
    <x v="8"/>
    <n v="0"/>
    <n v="-12848.34"/>
  </r>
  <r>
    <x v="10"/>
    <x v="14"/>
    <x v="22"/>
    <n v="0"/>
    <n v="-8892.2099999999991"/>
  </r>
  <r>
    <x v="10"/>
    <x v="14"/>
    <x v="20"/>
    <n v="317.73"/>
    <n v="0"/>
  </r>
  <r>
    <x v="10"/>
    <x v="14"/>
    <x v="8"/>
    <n v="927.25"/>
    <n v="0"/>
  </r>
  <r>
    <x v="10"/>
    <x v="14"/>
    <x v="22"/>
    <n v="381.74"/>
    <n v="0"/>
  </r>
  <r>
    <x v="10"/>
    <x v="14"/>
    <x v="20"/>
    <n v="0"/>
    <n v="-10393.06"/>
  </r>
  <r>
    <x v="10"/>
    <x v="14"/>
    <x v="8"/>
    <n v="0"/>
    <n v="-12495.78"/>
  </r>
  <r>
    <x v="10"/>
    <x v="15"/>
    <x v="20"/>
    <n v="0"/>
    <n v="-8523.1200000000008"/>
  </r>
  <r>
    <x v="10"/>
    <x v="15"/>
    <x v="22"/>
    <n v="684.69"/>
    <n v="0"/>
  </r>
  <r>
    <x v="10"/>
    <x v="15"/>
    <x v="8"/>
    <n v="1019.4"/>
    <n v="0"/>
  </r>
  <r>
    <x v="10"/>
    <x v="15"/>
    <x v="20"/>
    <n v="528.46"/>
    <n v="0"/>
  </r>
  <r>
    <x v="10"/>
    <x v="15"/>
    <x v="22"/>
    <n v="0"/>
    <n v="-8537.57"/>
  </r>
  <r>
    <x v="10"/>
    <x v="15"/>
    <x v="8"/>
    <n v="0"/>
    <n v="-10604.5"/>
  </r>
  <r>
    <x v="10"/>
    <x v="16"/>
    <x v="20"/>
    <n v="0"/>
    <n v="-9966.91"/>
  </r>
  <r>
    <x v="10"/>
    <x v="16"/>
    <x v="8"/>
    <n v="0"/>
    <n v="-9598.75"/>
  </r>
  <r>
    <x v="10"/>
    <x v="16"/>
    <x v="22"/>
    <n v="452.6"/>
    <n v="0"/>
  </r>
  <r>
    <x v="10"/>
    <x v="16"/>
    <x v="20"/>
    <n v="337.72"/>
    <n v="0"/>
  </r>
  <r>
    <x v="10"/>
    <x v="16"/>
    <x v="8"/>
    <n v="541.05999999999995"/>
    <n v="0"/>
  </r>
  <r>
    <x v="10"/>
    <x v="16"/>
    <x v="22"/>
    <n v="0"/>
    <n v="-8770.41"/>
  </r>
  <r>
    <x v="10"/>
    <x v="17"/>
    <x v="8"/>
    <n v="0"/>
    <n v="-9536.4599999999991"/>
  </r>
  <r>
    <x v="10"/>
    <x v="17"/>
    <x v="20"/>
    <n v="106.92"/>
    <n v="0"/>
  </r>
  <r>
    <x v="10"/>
    <x v="17"/>
    <x v="22"/>
    <n v="519.9"/>
    <n v="0"/>
  </r>
  <r>
    <x v="10"/>
    <x v="17"/>
    <x v="8"/>
    <n v="604.11"/>
    <n v="0"/>
  </r>
  <r>
    <x v="10"/>
    <x v="17"/>
    <x v="20"/>
    <n v="0"/>
    <n v="-11559.78"/>
  </r>
  <r>
    <x v="10"/>
    <x v="17"/>
    <x v="22"/>
    <n v="0"/>
    <n v="-15200.03"/>
  </r>
  <r>
    <x v="10"/>
    <x v="18"/>
    <x v="8"/>
    <n v="0"/>
    <n v="-13733.62"/>
  </r>
  <r>
    <x v="10"/>
    <x v="18"/>
    <x v="22"/>
    <n v="224.09"/>
    <n v="0"/>
  </r>
  <r>
    <x v="10"/>
    <x v="18"/>
    <x v="20"/>
    <n v="55.21"/>
    <n v="0"/>
  </r>
  <r>
    <x v="10"/>
    <x v="18"/>
    <x v="8"/>
    <n v="189.6"/>
    <n v="0"/>
  </r>
  <r>
    <x v="10"/>
    <x v="18"/>
    <x v="22"/>
    <n v="0"/>
    <n v="-19828.46"/>
  </r>
  <r>
    <x v="10"/>
    <x v="18"/>
    <x v="20"/>
    <n v="0"/>
    <n v="-10994.7"/>
  </r>
  <r>
    <x v="10"/>
    <x v="19"/>
    <x v="20"/>
    <n v="0"/>
    <n v="-6630.07"/>
  </r>
  <r>
    <x v="10"/>
    <x v="19"/>
    <x v="8"/>
    <n v="0"/>
    <n v="-10223.75"/>
  </r>
  <r>
    <x v="10"/>
    <x v="19"/>
    <x v="22"/>
    <n v="0"/>
    <n v="0"/>
  </r>
  <r>
    <x v="10"/>
    <x v="19"/>
    <x v="20"/>
    <n v="-9.09"/>
    <n v="0"/>
  </r>
  <r>
    <x v="10"/>
    <x v="19"/>
    <x v="22"/>
    <n v="0"/>
    <n v="-25648.99"/>
  </r>
  <r>
    <x v="10"/>
    <x v="19"/>
    <x v="8"/>
    <n v="20.23"/>
    <n v="0"/>
  </r>
  <r>
    <x v="10"/>
    <x v="20"/>
    <x v="8"/>
    <n v="0"/>
    <n v="-12582.76"/>
  </r>
  <r>
    <x v="10"/>
    <x v="20"/>
    <x v="20"/>
    <n v="114.57"/>
    <n v="0"/>
  </r>
  <r>
    <x v="10"/>
    <x v="20"/>
    <x v="8"/>
    <n v="48.24"/>
    <n v="0"/>
  </r>
  <r>
    <x v="10"/>
    <x v="20"/>
    <x v="22"/>
    <n v="0"/>
    <n v="-31503.81"/>
  </r>
  <r>
    <x v="10"/>
    <x v="20"/>
    <x v="20"/>
    <n v="0"/>
    <n v="-8601.09"/>
  </r>
  <r>
    <x v="10"/>
    <x v="21"/>
    <x v="20"/>
    <n v="0"/>
    <n v="0"/>
  </r>
  <r>
    <x v="10"/>
    <x v="21"/>
    <x v="20"/>
    <n v="0"/>
    <n v="-7543.07"/>
  </r>
  <r>
    <x v="10"/>
    <x v="21"/>
    <x v="8"/>
    <n v="0"/>
    <n v="-17628.16"/>
  </r>
  <r>
    <x v="10"/>
    <x v="21"/>
    <x v="22"/>
    <n v="0"/>
    <n v="-28406.71"/>
  </r>
  <r>
    <x v="10"/>
    <x v="22"/>
    <x v="8"/>
    <n v="0"/>
    <n v="-19980.79"/>
  </r>
  <r>
    <x v="10"/>
    <x v="22"/>
    <x v="20"/>
    <n v="0"/>
    <n v="-9262.9"/>
  </r>
  <r>
    <x v="10"/>
    <x v="22"/>
    <x v="22"/>
    <n v="-10351.299999999999"/>
    <n v="0"/>
  </r>
  <r>
    <x v="10"/>
    <x v="22"/>
    <x v="8"/>
    <n v="-3513.31"/>
    <n v="0"/>
  </r>
  <r>
    <x v="10"/>
    <x v="22"/>
    <x v="22"/>
    <n v="0"/>
    <n v="-25038.86"/>
  </r>
  <r>
    <x v="10"/>
    <x v="23"/>
    <x v="20"/>
    <n v="0"/>
    <n v="-8294.9599999999991"/>
  </r>
  <r>
    <x v="10"/>
    <x v="23"/>
    <x v="22"/>
    <n v="0"/>
    <n v="-11564.46"/>
  </r>
  <r>
    <x v="10"/>
    <x v="23"/>
    <x v="8"/>
    <n v="-5776.66"/>
    <n v="0"/>
  </r>
  <r>
    <x v="10"/>
    <x v="23"/>
    <x v="8"/>
    <n v="0"/>
    <n v="-15586.93"/>
  </r>
  <r>
    <x v="10"/>
    <x v="23"/>
    <x v="22"/>
    <n v="-6205.05"/>
    <n v="0"/>
  </r>
  <r>
    <x v="10"/>
    <x v="24"/>
    <x v="8"/>
    <n v="0"/>
    <n v="-7062.96"/>
  </r>
  <r>
    <x v="11"/>
    <x v="72"/>
    <x v="9"/>
    <n v="0"/>
    <n v="-92.7"/>
  </r>
  <r>
    <x v="11"/>
    <x v="72"/>
    <x v="22"/>
    <n v="0"/>
    <n v="-378.3"/>
  </r>
  <r>
    <x v="11"/>
    <x v="72"/>
    <x v="0"/>
    <n v="0"/>
    <n v="-323"/>
  </r>
  <r>
    <x v="11"/>
    <x v="72"/>
    <x v="22"/>
    <n v="81.89"/>
    <n v="0"/>
  </r>
  <r>
    <x v="11"/>
    <x v="72"/>
    <x v="3"/>
    <n v="0"/>
    <n v="-97.88"/>
  </r>
  <r>
    <x v="11"/>
    <x v="72"/>
    <x v="9"/>
    <n v="163.06"/>
    <n v="0"/>
  </r>
  <r>
    <x v="11"/>
    <x v="72"/>
    <x v="0"/>
    <n v="194.75"/>
    <n v="0"/>
  </r>
  <r>
    <x v="11"/>
    <x v="72"/>
    <x v="3"/>
    <n v="129.52000000000001"/>
    <n v="0"/>
  </r>
  <r>
    <x v="11"/>
    <x v="73"/>
    <x v="9"/>
    <n v="0"/>
    <n v="-425.27"/>
  </r>
  <r>
    <x v="11"/>
    <x v="73"/>
    <x v="22"/>
    <n v="696.05"/>
    <n v="0"/>
  </r>
  <r>
    <x v="11"/>
    <x v="73"/>
    <x v="0"/>
    <n v="1805.81"/>
    <n v="0"/>
  </r>
  <r>
    <x v="11"/>
    <x v="73"/>
    <x v="3"/>
    <n v="386.83"/>
    <n v="0"/>
  </r>
  <r>
    <x v="11"/>
    <x v="73"/>
    <x v="0"/>
    <n v="0"/>
    <n v="-1682.75"/>
  </r>
  <r>
    <x v="11"/>
    <x v="73"/>
    <x v="22"/>
    <n v="0"/>
    <n v="-2914.39"/>
  </r>
  <r>
    <x v="11"/>
    <x v="73"/>
    <x v="3"/>
    <n v="0"/>
    <n v="-190.14"/>
  </r>
  <r>
    <x v="11"/>
    <x v="73"/>
    <x v="9"/>
    <n v="325.76"/>
    <n v="0"/>
  </r>
  <r>
    <x v="11"/>
    <x v="74"/>
    <x v="0"/>
    <n v="1232.29"/>
    <n v="0"/>
  </r>
  <r>
    <x v="11"/>
    <x v="74"/>
    <x v="22"/>
    <n v="0"/>
    <n v="-3242.08"/>
  </r>
  <r>
    <x v="11"/>
    <x v="74"/>
    <x v="9"/>
    <n v="395.1"/>
    <n v="0"/>
  </r>
  <r>
    <x v="11"/>
    <x v="74"/>
    <x v="3"/>
    <n v="0"/>
    <n v="-695.57"/>
  </r>
  <r>
    <x v="11"/>
    <x v="74"/>
    <x v="0"/>
    <n v="0"/>
    <n v="-4549.3100000000004"/>
  </r>
  <r>
    <x v="11"/>
    <x v="74"/>
    <x v="22"/>
    <n v="817.75"/>
    <n v="0"/>
  </r>
  <r>
    <x v="11"/>
    <x v="74"/>
    <x v="9"/>
    <n v="0"/>
    <n v="-839.61"/>
  </r>
  <r>
    <x v="11"/>
    <x v="74"/>
    <x v="3"/>
    <n v="516.28"/>
    <n v="0"/>
  </r>
  <r>
    <x v="11"/>
    <x v="75"/>
    <x v="0"/>
    <n v="0"/>
    <n v="-6667.95"/>
  </r>
  <r>
    <x v="11"/>
    <x v="75"/>
    <x v="22"/>
    <n v="389.62"/>
    <n v="0"/>
  </r>
  <r>
    <x v="11"/>
    <x v="75"/>
    <x v="3"/>
    <n v="564.02"/>
    <n v="0"/>
  </r>
  <r>
    <x v="11"/>
    <x v="75"/>
    <x v="0"/>
    <n v="1139.96"/>
    <n v="0"/>
  </r>
  <r>
    <x v="11"/>
    <x v="75"/>
    <x v="9"/>
    <n v="524.23"/>
    <n v="0"/>
  </r>
  <r>
    <x v="11"/>
    <x v="75"/>
    <x v="9"/>
    <n v="0"/>
    <n v="-1251.21"/>
  </r>
  <r>
    <x v="11"/>
    <x v="75"/>
    <x v="22"/>
    <n v="0"/>
    <n v="-2385.98"/>
  </r>
  <r>
    <x v="11"/>
    <x v="75"/>
    <x v="3"/>
    <n v="0"/>
    <n v="-1038.26"/>
  </r>
  <r>
    <x v="11"/>
    <x v="76"/>
    <x v="0"/>
    <n v="0"/>
    <n v="-5789.94"/>
  </r>
  <r>
    <x v="11"/>
    <x v="76"/>
    <x v="22"/>
    <n v="706.17"/>
    <n v="0"/>
  </r>
  <r>
    <x v="11"/>
    <x v="76"/>
    <x v="0"/>
    <n v="818.31"/>
    <n v="0"/>
  </r>
  <r>
    <x v="11"/>
    <x v="76"/>
    <x v="3"/>
    <n v="432.09"/>
    <n v="0"/>
  </r>
  <r>
    <x v="11"/>
    <x v="76"/>
    <x v="9"/>
    <n v="422.78"/>
    <n v="0"/>
  </r>
  <r>
    <x v="11"/>
    <x v="76"/>
    <x v="9"/>
    <n v="0"/>
    <n v="-2191.6999999999998"/>
  </r>
  <r>
    <x v="11"/>
    <x v="76"/>
    <x v="3"/>
    <n v="0"/>
    <n v="-1579.62"/>
  </r>
  <r>
    <x v="11"/>
    <x v="76"/>
    <x v="22"/>
    <n v="0"/>
    <n v="-4495.59"/>
  </r>
  <r>
    <x v="11"/>
    <x v="88"/>
    <x v="9"/>
    <n v="283.39"/>
    <n v="0"/>
  </r>
  <r>
    <x v="11"/>
    <x v="88"/>
    <x v="0"/>
    <n v="1214.6400000000001"/>
    <n v="0"/>
  </r>
  <r>
    <x v="11"/>
    <x v="88"/>
    <x v="22"/>
    <n v="581.98"/>
    <n v="0"/>
  </r>
  <r>
    <x v="11"/>
    <x v="88"/>
    <x v="3"/>
    <n v="259.32"/>
    <n v="0"/>
  </r>
  <r>
    <x v="11"/>
    <x v="88"/>
    <x v="9"/>
    <n v="0"/>
    <n v="-1880.4"/>
  </r>
  <r>
    <x v="11"/>
    <x v="88"/>
    <x v="0"/>
    <n v="0"/>
    <n v="-5925.96"/>
  </r>
  <r>
    <x v="11"/>
    <x v="88"/>
    <x v="22"/>
    <n v="0"/>
    <n v="-3393.5"/>
  </r>
  <r>
    <x v="11"/>
    <x v="88"/>
    <x v="3"/>
    <n v="0"/>
    <n v="-1095.08"/>
  </r>
  <r>
    <x v="11"/>
    <x v="77"/>
    <x v="3"/>
    <n v="-880.06"/>
    <n v="0"/>
  </r>
  <r>
    <x v="11"/>
    <x v="77"/>
    <x v="22"/>
    <n v="-3384.62"/>
    <n v="0"/>
  </r>
  <r>
    <x v="11"/>
    <x v="77"/>
    <x v="0"/>
    <n v="-5726.25"/>
    <n v="0"/>
  </r>
  <r>
    <x v="11"/>
    <x v="77"/>
    <x v="9"/>
    <n v="-1675.86"/>
    <n v="0"/>
  </r>
  <r>
    <x v="11"/>
    <x v="78"/>
    <x v="9"/>
    <n v="0"/>
    <n v="-15.02"/>
  </r>
  <r>
    <x v="11"/>
    <x v="78"/>
    <x v="22"/>
    <n v="0"/>
    <n v="-50.13"/>
  </r>
  <r>
    <x v="11"/>
    <x v="78"/>
    <x v="0"/>
    <n v="0"/>
    <n v="-33.950000000000003"/>
  </r>
  <r>
    <x v="11"/>
    <x v="79"/>
    <x v="3"/>
    <n v="432.52"/>
    <n v="0"/>
  </r>
  <r>
    <x v="11"/>
    <x v="79"/>
    <x v="9"/>
    <n v="358.38"/>
    <n v="0"/>
  </r>
  <r>
    <x v="11"/>
    <x v="79"/>
    <x v="0"/>
    <n v="806.5"/>
    <n v="0"/>
  </r>
  <r>
    <x v="11"/>
    <x v="79"/>
    <x v="22"/>
    <n v="424.11"/>
    <n v="0"/>
  </r>
  <r>
    <x v="11"/>
    <x v="79"/>
    <x v="3"/>
    <n v="0"/>
    <n v="-229.77"/>
  </r>
  <r>
    <x v="11"/>
    <x v="79"/>
    <x v="9"/>
    <n v="0"/>
    <n v="-283.08999999999997"/>
  </r>
  <r>
    <x v="11"/>
    <x v="79"/>
    <x v="0"/>
    <n v="0"/>
    <n v="-1472.45"/>
  </r>
  <r>
    <x v="11"/>
    <x v="79"/>
    <x v="22"/>
    <n v="0"/>
    <n v="-509.78"/>
  </r>
  <r>
    <x v="11"/>
    <x v="80"/>
    <x v="0"/>
    <n v="965.64"/>
    <n v="0"/>
  </r>
  <r>
    <x v="11"/>
    <x v="80"/>
    <x v="9"/>
    <n v="452.62"/>
    <n v="0"/>
  </r>
  <r>
    <x v="11"/>
    <x v="80"/>
    <x v="3"/>
    <n v="512.58000000000004"/>
    <n v="0"/>
  </r>
  <r>
    <x v="11"/>
    <x v="80"/>
    <x v="22"/>
    <n v="311.97000000000003"/>
    <n v="0"/>
  </r>
  <r>
    <x v="11"/>
    <x v="80"/>
    <x v="0"/>
    <n v="0"/>
    <n v="-1745.3"/>
  </r>
  <r>
    <x v="11"/>
    <x v="80"/>
    <x v="9"/>
    <n v="0"/>
    <n v="-1152.7"/>
  </r>
  <r>
    <x v="11"/>
    <x v="80"/>
    <x v="22"/>
    <n v="0"/>
    <n v="-721.53"/>
  </r>
  <r>
    <x v="11"/>
    <x v="80"/>
    <x v="3"/>
    <n v="0"/>
    <n v="-1268.04"/>
  </r>
  <r>
    <x v="11"/>
    <x v="81"/>
    <x v="9"/>
    <n v="261.25"/>
    <n v="0"/>
  </r>
  <r>
    <x v="11"/>
    <x v="81"/>
    <x v="0"/>
    <n v="1004.81"/>
    <n v="0"/>
  </r>
  <r>
    <x v="11"/>
    <x v="81"/>
    <x v="22"/>
    <n v="337.07"/>
    <n v="0"/>
  </r>
  <r>
    <x v="11"/>
    <x v="81"/>
    <x v="3"/>
    <n v="304.11"/>
    <n v="0"/>
  </r>
  <r>
    <x v="11"/>
    <x v="81"/>
    <x v="0"/>
    <n v="0"/>
    <n v="-2190.81"/>
  </r>
  <r>
    <x v="11"/>
    <x v="81"/>
    <x v="9"/>
    <n v="0"/>
    <n v="-2187.0300000000002"/>
  </r>
  <r>
    <x v="11"/>
    <x v="81"/>
    <x v="22"/>
    <n v="0"/>
    <n v="-757.43"/>
  </r>
  <r>
    <x v="11"/>
    <x v="81"/>
    <x v="3"/>
    <n v="0"/>
    <n v="-2115.9"/>
  </r>
  <r>
    <x v="11"/>
    <x v="82"/>
    <x v="22"/>
    <n v="413.67"/>
    <n v="0"/>
  </r>
  <r>
    <x v="11"/>
    <x v="82"/>
    <x v="9"/>
    <n v="227.8"/>
    <n v="0"/>
  </r>
  <r>
    <x v="11"/>
    <x v="82"/>
    <x v="3"/>
    <n v="257.91000000000003"/>
    <n v="0"/>
  </r>
  <r>
    <x v="11"/>
    <x v="82"/>
    <x v="22"/>
    <n v="0"/>
    <n v="-1014.83"/>
  </r>
  <r>
    <x v="11"/>
    <x v="82"/>
    <x v="0"/>
    <n v="253.02"/>
    <n v="0"/>
  </r>
  <r>
    <x v="11"/>
    <x v="82"/>
    <x v="9"/>
    <n v="0"/>
    <n v="-2843.72"/>
  </r>
  <r>
    <x v="11"/>
    <x v="82"/>
    <x v="3"/>
    <n v="0"/>
    <n v="-3148.7"/>
  </r>
  <r>
    <x v="11"/>
    <x v="82"/>
    <x v="0"/>
    <n v="0"/>
    <n v="-3050.25"/>
  </r>
  <r>
    <x v="11"/>
    <x v="83"/>
    <x v="22"/>
    <n v="230.34"/>
    <n v="0"/>
  </r>
  <r>
    <x v="11"/>
    <x v="83"/>
    <x v="0"/>
    <n v="746.32"/>
    <n v="0"/>
  </r>
  <r>
    <x v="11"/>
    <x v="83"/>
    <x v="9"/>
    <n v="97.68"/>
    <n v="0"/>
  </r>
  <r>
    <x v="11"/>
    <x v="83"/>
    <x v="22"/>
    <n v="0"/>
    <n v="-1048.5999999999999"/>
  </r>
  <r>
    <x v="11"/>
    <x v="83"/>
    <x v="3"/>
    <n v="121.7"/>
    <n v="0"/>
  </r>
  <r>
    <x v="11"/>
    <x v="83"/>
    <x v="0"/>
    <n v="0"/>
    <n v="-3128.44"/>
  </r>
  <r>
    <x v="11"/>
    <x v="83"/>
    <x v="9"/>
    <n v="0"/>
    <n v="-2823.81"/>
  </r>
  <r>
    <x v="11"/>
    <x v="83"/>
    <x v="3"/>
    <n v="0"/>
    <n v="-3074.98"/>
  </r>
  <r>
    <x v="11"/>
    <x v="84"/>
    <x v="9"/>
    <n v="582.64"/>
    <n v="0"/>
  </r>
  <r>
    <x v="11"/>
    <x v="84"/>
    <x v="22"/>
    <n v="284.61"/>
    <n v="0"/>
  </r>
  <r>
    <x v="11"/>
    <x v="84"/>
    <x v="0"/>
    <n v="888.05"/>
    <n v="0"/>
  </r>
  <r>
    <x v="11"/>
    <x v="84"/>
    <x v="22"/>
    <n v="0"/>
    <n v="-917.51"/>
  </r>
  <r>
    <x v="11"/>
    <x v="84"/>
    <x v="3"/>
    <n v="702.62"/>
    <n v="0"/>
  </r>
  <r>
    <x v="11"/>
    <x v="84"/>
    <x v="9"/>
    <n v="0"/>
    <n v="-2795.08"/>
  </r>
  <r>
    <x v="11"/>
    <x v="84"/>
    <x v="0"/>
    <n v="0"/>
    <n v="-4331.49"/>
  </r>
  <r>
    <x v="11"/>
    <x v="84"/>
    <x v="3"/>
    <n v="0"/>
    <n v="-3373.46"/>
  </r>
  <r>
    <x v="11"/>
    <x v="85"/>
    <x v="0"/>
    <n v="1282.8599999999999"/>
    <n v="0"/>
  </r>
  <r>
    <x v="11"/>
    <x v="85"/>
    <x v="3"/>
    <n v="220.72"/>
    <n v="0"/>
  </r>
  <r>
    <x v="11"/>
    <x v="85"/>
    <x v="22"/>
    <n v="203.01"/>
    <n v="0"/>
  </r>
  <r>
    <x v="11"/>
    <x v="85"/>
    <x v="9"/>
    <n v="359.9"/>
    <n v="0"/>
  </r>
  <r>
    <x v="11"/>
    <x v="85"/>
    <x v="0"/>
    <n v="0"/>
    <n v="-4176.6400000000003"/>
  </r>
  <r>
    <x v="11"/>
    <x v="85"/>
    <x v="9"/>
    <n v="0"/>
    <n v="-3943.06"/>
  </r>
  <r>
    <x v="11"/>
    <x v="85"/>
    <x v="3"/>
    <n v="0"/>
    <n v="-5094.22"/>
  </r>
  <r>
    <x v="11"/>
    <x v="85"/>
    <x v="22"/>
    <n v="0"/>
    <n v="-1221.8900000000001"/>
  </r>
  <r>
    <x v="11"/>
    <x v="86"/>
    <x v="0"/>
    <n v="293.38"/>
    <n v="0"/>
  </r>
  <r>
    <x v="11"/>
    <x v="86"/>
    <x v="22"/>
    <n v="184.79"/>
    <n v="0"/>
  </r>
  <r>
    <x v="11"/>
    <x v="86"/>
    <x v="9"/>
    <n v="389.23"/>
    <n v="0"/>
  </r>
  <r>
    <x v="11"/>
    <x v="86"/>
    <x v="3"/>
    <n v="482.37"/>
    <n v="0"/>
  </r>
  <r>
    <x v="11"/>
    <x v="86"/>
    <x v="0"/>
    <n v="0"/>
    <n v="-4217.75"/>
  </r>
  <r>
    <x v="11"/>
    <x v="86"/>
    <x v="22"/>
    <n v="0"/>
    <n v="-2691.55"/>
  </r>
  <r>
    <x v="11"/>
    <x v="86"/>
    <x v="3"/>
    <n v="0"/>
    <n v="-3870.42"/>
  </r>
  <r>
    <x v="11"/>
    <x v="86"/>
    <x v="9"/>
    <n v="0"/>
    <n v="-2990.74"/>
  </r>
  <r>
    <x v="11"/>
    <x v="87"/>
    <x v="9"/>
    <n v="292.10000000000002"/>
    <n v="0"/>
  </r>
  <r>
    <x v="11"/>
    <x v="87"/>
    <x v="0"/>
    <n v="773.68"/>
    <n v="0"/>
  </r>
  <r>
    <x v="11"/>
    <x v="87"/>
    <x v="22"/>
    <n v="199.44"/>
    <n v="0"/>
  </r>
  <r>
    <x v="11"/>
    <x v="87"/>
    <x v="3"/>
    <n v="352.17"/>
    <n v="0"/>
  </r>
  <r>
    <x v="11"/>
    <x v="87"/>
    <x v="9"/>
    <n v="0"/>
    <n v="-2668.68"/>
  </r>
  <r>
    <x v="11"/>
    <x v="87"/>
    <x v="3"/>
    <n v="0"/>
    <n v="-3357.98"/>
  </r>
  <r>
    <x v="11"/>
    <x v="87"/>
    <x v="0"/>
    <n v="0"/>
    <n v="-5910.41"/>
  </r>
  <r>
    <x v="11"/>
    <x v="87"/>
    <x v="22"/>
    <n v="0"/>
    <n v="-3179.17"/>
  </r>
  <r>
    <x v="11"/>
    <x v="0"/>
    <x v="3"/>
    <n v="153.88999999999999"/>
    <n v="0"/>
  </r>
  <r>
    <x v="11"/>
    <x v="0"/>
    <x v="9"/>
    <n v="202.39"/>
    <n v="0"/>
  </r>
  <r>
    <x v="11"/>
    <x v="0"/>
    <x v="22"/>
    <n v="289.35000000000002"/>
    <n v="0"/>
  </r>
  <r>
    <x v="11"/>
    <x v="0"/>
    <x v="0"/>
    <n v="567.21"/>
    <n v="0"/>
  </r>
  <r>
    <x v="11"/>
    <x v="0"/>
    <x v="9"/>
    <n v="0"/>
    <n v="-2996.12"/>
  </r>
  <r>
    <x v="11"/>
    <x v="0"/>
    <x v="3"/>
    <n v="0"/>
    <n v="-3915.22"/>
  </r>
  <r>
    <x v="11"/>
    <x v="0"/>
    <x v="22"/>
    <n v="0"/>
    <n v="-5084.04"/>
  </r>
  <r>
    <x v="11"/>
    <x v="0"/>
    <x v="0"/>
    <n v="0"/>
    <n v="-4486.8900000000003"/>
  </r>
  <r>
    <x v="11"/>
    <x v="1"/>
    <x v="0"/>
    <n v="844.59"/>
    <n v="0"/>
  </r>
  <r>
    <x v="11"/>
    <x v="1"/>
    <x v="3"/>
    <n v="176.1"/>
    <n v="0"/>
  </r>
  <r>
    <x v="11"/>
    <x v="1"/>
    <x v="22"/>
    <n v="332.79"/>
    <n v="0"/>
  </r>
  <r>
    <x v="11"/>
    <x v="1"/>
    <x v="9"/>
    <n v="163.88"/>
    <n v="0"/>
  </r>
  <r>
    <x v="11"/>
    <x v="1"/>
    <x v="0"/>
    <n v="0"/>
    <n v="-5747.13"/>
  </r>
  <r>
    <x v="11"/>
    <x v="1"/>
    <x v="3"/>
    <n v="0"/>
    <n v="-3929.5"/>
  </r>
  <r>
    <x v="11"/>
    <x v="1"/>
    <x v="22"/>
    <n v="0"/>
    <n v="-3376.96"/>
  </r>
  <r>
    <x v="11"/>
    <x v="1"/>
    <x v="9"/>
    <n v="0"/>
    <n v="-2788.51"/>
  </r>
  <r>
    <x v="11"/>
    <x v="2"/>
    <x v="22"/>
    <n v="233.69"/>
    <n v="0"/>
  </r>
  <r>
    <x v="11"/>
    <x v="2"/>
    <x v="22"/>
    <n v="0"/>
    <n v="-3587.84"/>
  </r>
  <r>
    <x v="11"/>
    <x v="2"/>
    <x v="9"/>
    <n v="163.28"/>
    <n v="0"/>
  </r>
  <r>
    <x v="11"/>
    <x v="2"/>
    <x v="0"/>
    <n v="315.10000000000002"/>
    <n v="0"/>
  </r>
  <r>
    <x v="11"/>
    <x v="2"/>
    <x v="3"/>
    <n v="134.28"/>
    <n v="0"/>
  </r>
  <r>
    <x v="11"/>
    <x v="2"/>
    <x v="9"/>
    <n v="0"/>
    <n v="-3938.68"/>
  </r>
  <r>
    <x v="11"/>
    <x v="2"/>
    <x v="0"/>
    <n v="0"/>
    <n v="-4151.3900000000003"/>
  </r>
  <r>
    <x v="11"/>
    <x v="2"/>
    <x v="3"/>
    <n v="0"/>
    <n v="-5391.28"/>
  </r>
  <r>
    <x v="11"/>
    <x v="3"/>
    <x v="3"/>
    <n v="224.84"/>
    <n v="0"/>
  </r>
  <r>
    <x v="11"/>
    <x v="3"/>
    <x v="9"/>
    <n v="162.30000000000001"/>
    <n v="0"/>
  </r>
  <r>
    <x v="11"/>
    <x v="3"/>
    <x v="0"/>
    <n v="65.36"/>
    <n v="0"/>
  </r>
  <r>
    <x v="11"/>
    <x v="3"/>
    <x v="3"/>
    <n v="0"/>
    <n v="-7770.9"/>
  </r>
  <r>
    <x v="11"/>
    <x v="3"/>
    <x v="9"/>
    <n v="0"/>
    <n v="-5393.18"/>
  </r>
  <r>
    <x v="11"/>
    <x v="3"/>
    <x v="22"/>
    <n v="0"/>
    <n v="-3322.74"/>
  </r>
  <r>
    <x v="11"/>
    <x v="3"/>
    <x v="0"/>
    <n v="0"/>
    <n v="-4153.1400000000003"/>
  </r>
  <r>
    <x v="11"/>
    <x v="4"/>
    <x v="3"/>
    <n v="271.27999999999997"/>
    <n v="0"/>
  </r>
  <r>
    <x v="11"/>
    <x v="4"/>
    <x v="0"/>
    <n v="422.2"/>
    <n v="0"/>
  </r>
  <r>
    <x v="11"/>
    <x v="4"/>
    <x v="9"/>
    <n v="132.18"/>
    <n v="0"/>
  </r>
  <r>
    <x v="11"/>
    <x v="4"/>
    <x v="3"/>
    <n v="0"/>
    <n v="-7985.26"/>
  </r>
  <r>
    <x v="11"/>
    <x v="4"/>
    <x v="22"/>
    <n v="0"/>
    <n v="-3134.51"/>
  </r>
  <r>
    <x v="11"/>
    <x v="4"/>
    <x v="0"/>
    <n v="0"/>
    <n v="-3311.76"/>
  </r>
  <r>
    <x v="11"/>
    <x v="4"/>
    <x v="9"/>
    <n v="0"/>
    <n v="-6307.54"/>
  </r>
  <r>
    <x v="11"/>
    <x v="5"/>
    <x v="0"/>
    <n v="745.76"/>
    <n v="0"/>
  </r>
  <r>
    <x v="11"/>
    <x v="5"/>
    <x v="3"/>
    <n v="359.16"/>
    <n v="0"/>
  </r>
  <r>
    <x v="11"/>
    <x v="5"/>
    <x v="9"/>
    <n v="264.45"/>
    <n v="0"/>
  </r>
  <r>
    <x v="11"/>
    <x v="5"/>
    <x v="22"/>
    <n v="386.46"/>
    <n v="0"/>
  </r>
  <r>
    <x v="11"/>
    <x v="5"/>
    <x v="0"/>
    <n v="0"/>
    <n v="-4100.21"/>
  </r>
  <r>
    <x v="11"/>
    <x v="5"/>
    <x v="3"/>
    <n v="0"/>
    <n v="-8518.23"/>
  </r>
  <r>
    <x v="11"/>
    <x v="5"/>
    <x v="22"/>
    <n v="0"/>
    <n v="-3377.13"/>
  </r>
  <r>
    <x v="11"/>
    <x v="5"/>
    <x v="9"/>
    <n v="0"/>
    <n v="-5906.33"/>
  </r>
  <r>
    <x v="11"/>
    <x v="6"/>
    <x v="3"/>
    <n v="403.95"/>
    <n v="0"/>
  </r>
  <r>
    <x v="11"/>
    <x v="6"/>
    <x v="0"/>
    <n v="587.03"/>
    <n v="0"/>
  </r>
  <r>
    <x v="11"/>
    <x v="6"/>
    <x v="22"/>
    <n v="245.22"/>
    <n v="0"/>
  </r>
  <r>
    <x v="11"/>
    <x v="6"/>
    <x v="22"/>
    <n v="0"/>
    <n v="-2964.64"/>
  </r>
  <r>
    <x v="11"/>
    <x v="6"/>
    <x v="9"/>
    <n v="298.45"/>
    <n v="0"/>
  </r>
  <r>
    <x v="11"/>
    <x v="6"/>
    <x v="3"/>
    <n v="0"/>
    <n v="-8932.14"/>
  </r>
  <r>
    <x v="11"/>
    <x v="6"/>
    <x v="0"/>
    <n v="0"/>
    <n v="-4706.95"/>
  </r>
  <r>
    <x v="11"/>
    <x v="6"/>
    <x v="9"/>
    <n v="0"/>
    <n v="-5188.6899999999996"/>
  </r>
  <r>
    <x v="11"/>
    <x v="7"/>
    <x v="22"/>
    <n v="127.93"/>
    <n v="0"/>
  </r>
  <r>
    <x v="11"/>
    <x v="7"/>
    <x v="0"/>
    <n v="678.16"/>
    <n v="0"/>
  </r>
  <r>
    <x v="11"/>
    <x v="7"/>
    <x v="9"/>
    <n v="300.49"/>
    <n v="0"/>
  </r>
  <r>
    <x v="11"/>
    <x v="7"/>
    <x v="3"/>
    <n v="319.77"/>
    <n v="0"/>
  </r>
  <r>
    <x v="11"/>
    <x v="7"/>
    <x v="9"/>
    <n v="0"/>
    <n v="-8508.49"/>
  </r>
  <r>
    <x v="11"/>
    <x v="7"/>
    <x v="22"/>
    <n v="0"/>
    <n v="-3362.44"/>
  </r>
  <r>
    <x v="11"/>
    <x v="7"/>
    <x v="0"/>
    <n v="0"/>
    <n v="-4771.62"/>
  </r>
  <r>
    <x v="11"/>
    <x v="7"/>
    <x v="3"/>
    <n v="0"/>
    <n v="-14278.05"/>
  </r>
  <r>
    <x v="11"/>
    <x v="8"/>
    <x v="9"/>
    <n v="307.83999999999997"/>
    <n v="0"/>
  </r>
  <r>
    <x v="11"/>
    <x v="8"/>
    <x v="22"/>
    <n v="410.84"/>
    <n v="0"/>
  </r>
  <r>
    <x v="11"/>
    <x v="8"/>
    <x v="3"/>
    <n v="350.78"/>
    <n v="0"/>
  </r>
  <r>
    <x v="11"/>
    <x v="8"/>
    <x v="0"/>
    <n v="469.14"/>
    <n v="0"/>
  </r>
  <r>
    <x v="11"/>
    <x v="8"/>
    <x v="22"/>
    <n v="0"/>
    <n v="-4233.42"/>
  </r>
  <r>
    <x v="11"/>
    <x v="8"/>
    <x v="9"/>
    <n v="0"/>
    <n v="-10480.43"/>
  </r>
  <r>
    <x v="11"/>
    <x v="8"/>
    <x v="0"/>
    <n v="0"/>
    <n v="-4634.5"/>
  </r>
  <r>
    <x v="11"/>
    <x v="8"/>
    <x v="3"/>
    <n v="0"/>
    <n v="-18779.37"/>
  </r>
  <r>
    <x v="11"/>
    <x v="9"/>
    <x v="3"/>
    <n v="417.16"/>
    <n v="0"/>
  </r>
  <r>
    <x v="11"/>
    <x v="9"/>
    <x v="22"/>
    <n v="401.95"/>
    <n v="0"/>
  </r>
  <r>
    <x v="11"/>
    <x v="9"/>
    <x v="9"/>
    <n v="311.3"/>
    <n v="0"/>
  </r>
  <r>
    <x v="11"/>
    <x v="9"/>
    <x v="0"/>
    <n v="732.64"/>
    <n v="0"/>
  </r>
  <r>
    <x v="11"/>
    <x v="9"/>
    <x v="3"/>
    <n v="0"/>
    <n v="-28177.21"/>
  </r>
  <r>
    <x v="11"/>
    <x v="9"/>
    <x v="22"/>
    <n v="0"/>
    <n v="-6432.29"/>
  </r>
  <r>
    <x v="11"/>
    <x v="9"/>
    <x v="9"/>
    <n v="0"/>
    <n v="-16548.259999999998"/>
  </r>
  <r>
    <x v="11"/>
    <x v="9"/>
    <x v="0"/>
    <n v="0"/>
    <n v="-5514.73"/>
  </r>
  <r>
    <x v="11"/>
    <x v="10"/>
    <x v="9"/>
    <n v="66.13"/>
    <n v="0"/>
  </r>
  <r>
    <x v="11"/>
    <x v="10"/>
    <x v="22"/>
    <n v="231.85"/>
    <n v="0"/>
  </r>
  <r>
    <x v="11"/>
    <x v="10"/>
    <x v="3"/>
    <n v="191.47"/>
    <n v="0"/>
  </r>
  <r>
    <x v="11"/>
    <x v="10"/>
    <x v="0"/>
    <n v="867.86"/>
    <n v="0"/>
  </r>
  <r>
    <x v="11"/>
    <x v="10"/>
    <x v="9"/>
    <n v="0"/>
    <n v="-17731.55"/>
  </r>
  <r>
    <x v="11"/>
    <x v="10"/>
    <x v="22"/>
    <n v="0"/>
    <n v="-6946.54"/>
  </r>
  <r>
    <x v="11"/>
    <x v="10"/>
    <x v="3"/>
    <n v="0"/>
    <n v="-27575.14"/>
  </r>
  <r>
    <x v="11"/>
    <x v="10"/>
    <x v="0"/>
    <n v="0"/>
    <n v="-2905.17"/>
  </r>
  <r>
    <x v="11"/>
    <x v="11"/>
    <x v="9"/>
    <n v="283.74"/>
    <n v="0"/>
  </r>
  <r>
    <x v="11"/>
    <x v="11"/>
    <x v="0"/>
    <n v="609.4"/>
    <n v="0"/>
  </r>
  <r>
    <x v="11"/>
    <x v="11"/>
    <x v="22"/>
    <n v="262.58"/>
    <n v="0"/>
  </r>
  <r>
    <x v="11"/>
    <x v="11"/>
    <x v="3"/>
    <n v="280.31"/>
    <n v="0"/>
  </r>
  <r>
    <x v="11"/>
    <x v="11"/>
    <x v="9"/>
    <n v="0"/>
    <n v="-21607.71"/>
  </r>
  <r>
    <x v="11"/>
    <x v="11"/>
    <x v="0"/>
    <n v="0"/>
    <n v="-2756.04"/>
  </r>
  <r>
    <x v="11"/>
    <x v="11"/>
    <x v="22"/>
    <n v="0"/>
    <n v="-15824.11"/>
  </r>
  <r>
    <x v="11"/>
    <x v="11"/>
    <x v="3"/>
    <n v="0"/>
    <n v="-35195.14"/>
  </r>
  <r>
    <x v="11"/>
    <x v="12"/>
    <x v="9"/>
    <n v="0"/>
    <n v="0"/>
  </r>
  <r>
    <x v="11"/>
    <x v="12"/>
    <x v="0"/>
    <n v="0"/>
    <n v="0"/>
  </r>
  <r>
    <x v="11"/>
    <x v="12"/>
    <x v="3"/>
    <n v="0"/>
    <n v="0"/>
  </r>
  <r>
    <x v="11"/>
    <x v="12"/>
    <x v="0"/>
    <n v="0"/>
    <n v="-6305.98"/>
  </r>
  <r>
    <x v="11"/>
    <x v="12"/>
    <x v="22"/>
    <n v="0"/>
    <n v="0"/>
  </r>
  <r>
    <x v="11"/>
    <x v="12"/>
    <x v="9"/>
    <n v="0"/>
    <n v="-27315.82"/>
  </r>
  <r>
    <x v="11"/>
    <x v="12"/>
    <x v="3"/>
    <n v="0"/>
    <n v="-43668.92"/>
  </r>
  <r>
    <x v="11"/>
    <x v="12"/>
    <x v="22"/>
    <n v="0"/>
    <n v="-10960.77"/>
  </r>
  <r>
    <x v="11"/>
    <x v="13"/>
    <x v="22"/>
    <n v="79.92"/>
    <n v="0"/>
  </r>
  <r>
    <x v="11"/>
    <x v="13"/>
    <x v="3"/>
    <n v="0"/>
    <n v="0"/>
  </r>
  <r>
    <x v="11"/>
    <x v="13"/>
    <x v="0"/>
    <n v="0"/>
    <n v="0"/>
  </r>
  <r>
    <x v="11"/>
    <x v="13"/>
    <x v="9"/>
    <n v="0"/>
    <n v="0"/>
  </r>
  <r>
    <x v="11"/>
    <x v="13"/>
    <x v="22"/>
    <n v="0"/>
    <n v="-9508.2000000000007"/>
  </r>
  <r>
    <x v="11"/>
    <x v="13"/>
    <x v="3"/>
    <n v="0"/>
    <n v="-53652.62"/>
  </r>
  <r>
    <x v="11"/>
    <x v="13"/>
    <x v="0"/>
    <n v="0"/>
    <n v="-5708.75"/>
  </r>
  <r>
    <x v="11"/>
    <x v="13"/>
    <x v="9"/>
    <n v="0"/>
    <n v="-35988.239999999998"/>
  </r>
  <r>
    <x v="11"/>
    <x v="14"/>
    <x v="22"/>
    <n v="-9320.2900000000009"/>
    <n v="0"/>
  </r>
  <r>
    <x v="11"/>
    <x v="14"/>
    <x v="9"/>
    <n v="-1227"/>
    <n v="0"/>
  </r>
  <r>
    <x v="11"/>
    <x v="14"/>
    <x v="3"/>
    <n v="47.1"/>
    <n v="0"/>
  </r>
  <r>
    <x v="11"/>
    <x v="14"/>
    <x v="0"/>
    <n v="1402.43"/>
    <n v="0"/>
  </r>
  <r>
    <x v="11"/>
    <x v="14"/>
    <x v="9"/>
    <n v="0"/>
    <n v="-29446.49"/>
  </r>
  <r>
    <x v="11"/>
    <x v="14"/>
    <x v="3"/>
    <n v="0"/>
    <n v="-46978.51"/>
  </r>
  <r>
    <x v="11"/>
    <x v="14"/>
    <x v="0"/>
    <n v="0"/>
    <n v="-7355.59"/>
  </r>
  <r>
    <x v="11"/>
    <x v="15"/>
    <x v="9"/>
    <n v="649.70000000000005"/>
    <n v="0"/>
  </r>
  <r>
    <x v="11"/>
    <x v="15"/>
    <x v="3"/>
    <n v="610.07000000000005"/>
    <n v="0"/>
  </r>
  <r>
    <x v="11"/>
    <x v="15"/>
    <x v="0"/>
    <n v="1011.54"/>
    <n v="0"/>
  </r>
  <r>
    <x v="11"/>
    <x v="15"/>
    <x v="9"/>
    <n v="0"/>
    <n v="-24244.51"/>
  </r>
  <r>
    <x v="11"/>
    <x v="15"/>
    <x v="3"/>
    <n v="0"/>
    <n v="-39530.17"/>
  </r>
  <r>
    <x v="11"/>
    <x v="15"/>
    <x v="0"/>
    <n v="0"/>
    <n v="-6166.1"/>
  </r>
  <r>
    <x v="11"/>
    <x v="16"/>
    <x v="3"/>
    <n v="47.19"/>
    <n v="0"/>
  </r>
  <r>
    <x v="11"/>
    <x v="16"/>
    <x v="0"/>
    <n v="361.09"/>
    <n v="0"/>
  </r>
  <r>
    <x v="11"/>
    <x v="16"/>
    <x v="9"/>
    <n v="68.680000000000007"/>
    <n v="0"/>
  </r>
  <r>
    <x v="11"/>
    <x v="16"/>
    <x v="0"/>
    <n v="0"/>
    <n v="-8046.82"/>
  </r>
  <r>
    <x v="11"/>
    <x v="16"/>
    <x v="9"/>
    <n v="0"/>
    <n v="-27473.66"/>
  </r>
  <r>
    <x v="11"/>
    <x v="16"/>
    <x v="3"/>
    <n v="0"/>
    <n v="-45111.93"/>
  </r>
  <r>
    <x v="11"/>
    <x v="17"/>
    <x v="0"/>
    <n v="0"/>
    <n v="0"/>
  </r>
  <r>
    <x v="11"/>
    <x v="17"/>
    <x v="3"/>
    <n v="0"/>
    <n v="0"/>
  </r>
  <r>
    <x v="11"/>
    <x v="17"/>
    <x v="9"/>
    <n v="0"/>
    <n v="0"/>
  </r>
  <r>
    <x v="11"/>
    <x v="17"/>
    <x v="0"/>
    <n v="0"/>
    <n v="-8449.4"/>
  </r>
  <r>
    <x v="11"/>
    <x v="17"/>
    <x v="9"/>
    <n v="0"/>
    <n v="-33890.85"/>
  </r>
  <r>
    <x v="11"/>
    <x v="17"/>
    <x v="3"/>
    <n v="0"/>
    <n v="-54312.01"/>
  </r>
  <r>
    <x v="11"/>
    <x v="18"/>
    <x v="3"/>
    <n v="-12589.23"/>
    <n v="0"/>
  </r>
  <r>
    <x v="11"/>
    <x v="18"/>
    <x v="9"/>
    <n v="0"/>
    <n v="0"/>
  </r>
  <r>
    <x v="11"/>
    <x v="18"/>
    <x v="0"/>
    <n v="0"/>
    <n v="0"/>
  </r>
  <r>
    <x v="11"/>
    <x v="18"/>
    <x v="0"/>
    <n v="0"/>
    <n v="-7621.67"/>
  </r>
  <r>
    <x v="11"/>
    <x v="18"/>
    <x v="9"/>
    <n v="0"/>
    <n v="-35955.97"/>
  </r>
  <r>
    <x v="11"/>
    <x v="18"/>
    <x v="3"/>
    <n v="0"/>
    <n v="-46922.92"/>
  </r>
  <r>
    <x v="11"/>
    <x v="19"/>
    <x v="3"/>
    <n v="0"/>
    <n v="0"/>
  </r>
  <r>
    <x v="11"/>
    <x v="19"/>
    <x v="9"/>
    <n v="0"/>
    <n v="0"/>
  </r>
  <r>
    <x v="11"/>
    <x v="19"/>
    <x v="0"/>
    <n v="967.43"/>
    <n v="0"/>
  </r>
  <r>
    <x v="11"/>
    <x v="19"/>
    <x v="3"/>
    <n v="0"/>
    <n v="-43076.959999999999"/>
  </r>
  <r>
    <x v="11"/>
    <x v="19"/>
    <x v="9"/>
    <n v="0"/>
    <n v="-31970.7"/>
  </r>
  <r>
    <x v="11"/>
    <x v="19"/>
    <x v="0"/>
    <n v="0"/>
    <n v="-874.53"/>
  </r>
  <r>
    <x v="11"/>
    <x v="20"/>
    <x v="3"/>
    <n v="0"/>
    <n v="0"/>
  </r>
  <r>
    <x v="11"/>
    <x v="20"/>
    <x v="9"/>
    <n v="0"/>
    <n v="0"/>
  </r>
  <r>
    <x v="11"/>
    <x v="20"/>
    <x v="0"/>
    <n v="0"/>
    <n v="-1045.1400000000001"/>
  </r>
  <r>
    <x v="11"/>
    <x v="20"/>
    <x v="3"/>
    <n v="0"/>
    <n v="-50510.27"/>
  </r>
  <r>
    <x v="11"/>
    <x v="20"/>
    <x v="9"/>
    <n v="0"/>
    <n v="-38649.99"/>
  </r>
  <r>
    <x v="11"/>
    <x v="21"/>
    <x v="9"/>
    <n v="0"/>
    <n v="0"/>
  </r>
  <r>
    <x v="11"/>
    <x v="21"/>
    <x v="3"/>
    <n v="0"/>
    <n v="-47270.32"/>
  </r>
  <r>
    <x v="11"/>
    <x v="21"/>
    <x v="0"/>
    <n v="0"/>
    <n v="-1324.21"/>
  </r>
  <r>
    <x v="11"/>
    <x v="21"/>
    <x v="9"/>
    <n v="0"/>
    <n v="-35969.589999999997"/>
  </r>
  <r>
    <x v="11"/>
    <x v="22"/>
    <x v="3"/>
    <n v="0"/>
    <n v="0"/>
  </r>
  <r>
    <x v="11"/>
    <x v="22"/>
    <x v="9"/>
    <n v="0"/>
    <n v="0"/>
  </r>
  <r>
    <x v="11"/>
    <x v="22"/>
    <x v="3"/>
    <n v="0"/>
    <n v="-56647.58"/>
  </r>
  <r>
    <x v="11"/>
    <x v="22"/>
    <x v="0"/>
    <n v="0"/>
    <n v="-2251.7199999999998"/>
  </r>
  <r>
    <x v="11"/>
    <x v="22"/>
    <x v="9"/>
    <n v="0"/>
    <n v="-43730.720000000001"/>
  </r>
  <r>
    <x v="11"/>
    <x v="23"/>
    <x v="0"/>
    <n v="0"/>
    <n v="0"/>
  </r>
  <r>
    <x v="11"/>
    <x v="23"/>
    <x v="3"/>
    <n v="-33325.75"/>
    <n v="0"/>
  </r>
  <r>
    <x v="11"/>
    <x v="23"/>
    <x v="0"/>
    <n v="0"/>
    <n v="-2189.13"/>
  </r>
  <r>
    <x v="11"/>
    <x v="23"/>
    <x v="3"/>
    <n v="0"/>
    <n v="-18728.21"/>
  </r>
  <r>
    <x v="11"/>
    <x v="23"/>
    <x v="9"/>
    <n v="0"/>
    <n v="-34953.9"/>
  </r>
  <r>
    <x v="11"/>
    <x v="24"/>
    <x v="3"/>
    <n v="0"/>
    <n v="-12228.81"/>
  </r>
  <r>
    <x v="12"/>
    <x v="73"/>
    <x v="18"/>
    <n v="1374.38"/>
    <n v="0"/>
  </r>
  <r>
    <x v="12"/>
    <x v="73"/>
    <x v="0"/>
    <n v="1533.05"/>
    <n v="0"/>
  </r>
  <r>
    <x v="12"/>
    <x v="73"/>
    <x v="23"/>
    <n v="1549.18"/>
    <n v="0"/>
  </r>
  <r>
    <x v="12"/>
    <x v="73"/>
    <x v="18"/>
    <n v="0"/>
    <n v="-1132.8900000000001"/>
  </r>
  <r>
    <x v="12"/>
    <x v="73"/>
    <x v="0"/>
    <n v="0"/>
    <n v="-1017.91"/>
  </r>
  <r>
    <x v="12"/>
    <x v="73"/>
    <x v="2"/>
    <n v="532.39"/>
    <n v="0"/>
  </r>
  <r>
    <x v="12"/>
    <x v="73"/>
    <x v="2"/>
    <n v="0"/>
    <n v="-1664.56"/>
  </r>
  <r>
    <x v="12"/>
    <x v="73"/>
    <x v="23"/>
    <n v="0"/>
    <n v="-3003.97"/>
  </r>
  <r>
    <x v="12"/>
    <x v="74"/>
    <x v="2"/>
    <n v="508.44"/>
    <n v="0"/>
  </r>
  <r>
    <x v="12"/>
    <x v="74"/>
    <x v="8"/>
    <n v="130.9"/>
    <n v="0"/>
  </r>
  <r>
    <x v="12"/>
    <x v="74"/>
    <x v="23"/>
    <n v="1889.98"/>
    <n v="0"/>
  </r>
  <r>
    <x v="12"/>
    <x v="74"/>
    <x v="18"/>
    <n v="1318.58"/>
    <n v="0"/>
  </r>
  <r>
    <x v="12"/>
    <x v="74"/>
    <x v="0"/>
    <n v="1232.1600000000001"/>
    <n v="0"/>
  </r>
  <r>
    <x v="12"/>
    <x v="74"/>
    <x v="2"/>
    <n v="0"/>
    <n v="-910.58"/>
  </r>
  <r>
    <x v="12"/>
    <x v="74"/>
    <x v="18"/>
    <n v="0"/>
    <n v="-4822.3500000000004"/>
  </r>
  <r>
    <x v="12"/>
    <x v="74"/>
    <x v="0"/>
    <n v="0"/>
    <n v="-3339.75"/>
  </r>
  <r>
    <x v="12"/>
    <x v="74"/>
    <x v="23"/>
    <n v="0"/>
    <n v="-5227.2700000000004"/>
  </r>
  <r>
    <x v="12"/>
    <x v="75"/>
    <x v="18"/>
    <n v="1314.08"/>
    <n v="0"/>
  </r>
  <r>
    <x v="12"/>
    <x v="75"/>
    <x v="2"/>
    <n v="423.29"/>
    <n v="0"/>
  </r>
  <r>
    <x v="12"/>
    <x v="75"/>
    <x v="23"/>
    <n v="1733.29"/>
    <n v="0"/>
  </r>
  <r>
    <x v="12"/>
    <x v="75"/>
    <x v="0"/>
    <n v="1139.95"/>
    <n v="0"/>
  </r>
  <r>
    <x v="12"/>
    <x v="75"/>
    <x v="2"/>
    <n v="0"/>
    <n v="-1016.39"/>
  </r>
  <r>
    <x v="12"/>
    <x v="75"/>
    <x v="23"/>
    <n v="0"/>
    <n v="-6839.01"/>
  </r>
  <r>
    <x v="12"/>
    <x v="75"/>
    <x v="0"/>
    <n v="0"/>
    <n v="-5123.07"/>
  </r>
  <r>
    <x v="12"/>
    <x v="75"/>
    <x v="18"/>
    <n v="0"/>
    <n v="-16807.740000000002"/>
  </r>
  <r>
    <x v="12"/>
    <x v="76"/>
    <x v="18"/>
    <n v="1563.82"/>
    <n v="0"/>
  </r>
  <r>
    <x v="12"/>
    <x v="76"/>
    <x v="0"/>
    <n v="818.31"/>
    <n v="0"/>
  </r>
  <r>
    <x v="12"/>
    <x v="76"/>
    <x v="23"/>
    <n v="993.12"/>
    <n v="0"/>
  </r>
  <r>
    <x v="12"/>
    <x v="76"/>
    <x v="2"/>
    <n v="531.87"/>
    <n v="0"/>
  </r>
  <r>
    <x v="12"/>
    <x v="76"/>
    <x v="18"/>
    <n v="0"/>
    <n v="-19048.41"/>
  </r>
  <r>
    <x v="12"/>
    <x v="76"/>
    <x v="2"/>
    <n v="0"/>
    <n v="-1734.29"/>
  </r>
  <r>
    <x v="12"/>
    <x v="76"/>
    <x v="0"/>
    <n v="0"/>
    <n v="-4371.7"/>
  </r>
  <r>
    <x v="12"/>
    <x v="76"/>
    <x v="23"/>
    <n v="0"/>
    <n v="-8245.2099999999991"/>
  </r>
  <r>
    <x v="12"/>
    <x v="88"/>
    <x v="2"/>
    <n v="752.67"/>
    <n v="0"/>
  </r>
  <r>
    <x v="12"/>
    <x v="88"/>
    <x v="23"/>
    <n v="746.13"/>
    <n v="0"/>
  </r>
  <r>
    <x v="12"/>
    <x v="88"/>
    <x v="0"/>
    <n v="1214.6500000000001"/>
    <n v="0"/>
  </r>
  <r>
    <x v="12"/>
    <x v="88"/>
    <x v="18"/>
    <n v="1316.37"/>
    <n v="0"/>
  </r>
  <r>
    <x v="12"/>
    <x v="88"/>
    <x v="0"/>
    <n v="0"/>
    <n v="-4484.84"/>
  </r>
  <r>
    <x v="12"/>
    <x v="88"/>
    <x v="23"/>
    <n v="0"/>
    <n v="-9744.0499999999993"/>
  </r>
  <r>
    <x v="12"/>
    <x v="88"/>
    <x v="2"/>
    <n v="0"/>
    <n v="-2241.89"/>
  </r>
  <r>
    <x v="12"/>
    <x v="88"/>
    <x v="18"/>
    <n v="0"/>
    <n v="-20617.64"/>
  </r>
  <r>
    <x v="12"/>
    <x v="77"/>
    <x v="23"/>
    <n v="1625.02"/>
    <n v="0"/>
  </r>
  <r>
    <x v="12"/>
    <x v="77"/>
    <x v="2"/>
    <n v="283.05"/>
    <n v="0"/>
  </r>
  <r>
    <x v="12"/>
    <x v="77"/>
    <x v="18"/>
    <n v="748.15"/>
    <n v="0"/>
  </r>
  <r>
    <x v="12"/>
    <x v="77"/>
    <x v="23"/>
    <n v="0"/>
    <n v="-7339.02"/>
  </r>
  <r>
    <x v="12"/>
    <x v="77"/>
    <x v="0"/>
    <n v="928.73"/>
    <n v="0"/>
  </r>
  <r>
    <x v="12"/>
    <x v="77"/>
    <x v="0"/>
    <n v="0"/>
    <n v="-4837.66"/>
  </r>
  <r>
    <x v="12"/>
    <x v="77"/>
    <x v="18"/>
    <n v="0"/>
    <n v="-21718.91"/>
  </r>
  <r>
    <x v="12"/>
    <x v="77"/>
    <x v="2"/>
    <n v="0"/>
    <n v="-1540.36"/>
  </r>
  <r>
    <x v="12"/>
    <x v="78"/>
    <x v="0"/>
    <n v="745.73"/>
    <n v="0"/>
  </r>
  <r>
    <x v="12"/>
    <x v="78"/>
    <x v="18"/>
    <n v="603.58000000000004"/>
    <n v="0"/>
  </r>
  <r>
    <x v="12"/>
    <x v="78"/>
    <x v="2"/>
    <n v="309.25"/>
    <n v="0"/>
  </r>
  <r>
    <x v="12"/>
    <x v="78"/>
    <x v="23"/>
    <n v="1644.53"/>
    <n v="0"/>
  </r>
  <r>
    <x v="12"/>
    <x v="78"/>
    <x v="0"/>
    <n v="0"/>
    <n v="-4622.0600000000004"/>
  </r>
  <r>
    <x v="12"/>
    <x v="78"/>
    <x v="23"/>
    <n v="0"/>
    <n v="-9282.73"/>
  </r>
  <r>
    <x v="12"/>
    <x v="78"/>
    <x v="18"/>
    <n v="0"/>
    <n v="-18556.669999999998"/>
  </r>
  <r>
    <x v="12"/>
    <x v="78"/>
    <x v="2"/>
    <n v="0"/>
    <n v="-1613.18"/>
  </r>
  <r>
    <x v="12"/>
    <x v="79"/>
    <x v="2"/>
    <n v="449.51"/>
    <n v="0"/>
  </r>
  <r>
    <x v="12"/>
    <x v="79"/>
    <x v="0"/>
    <n v="458.47"/>
    <n v="0"/>
  </r>
  <r>
    <x v="12"/>
    <x v="79"/>
    <x v="18"/>
    <n v="1001.59"/>
    <n v="0"/>
  </r>
  <r>
    <x v="12"/>
    <x v="79"/>
    <x v="23"/>
    <n v="1856.08"/>
    <n v="0"/>
  </r>
  <r>
    <x v="12"/>
    <x v="79"/>
    <x v="18"/>
    <n v="0"/>
    <n v="-17562.2"/>
  </r>
  <r>
    <x v="12"/>
    <x v="79"/>
    <x v="23"/>
    <n v="0"/>
    <n v="-8402.94"/>
  </r>
  <r>
    <x v="12"/>
    <x v="79"/>
    <x v="0"/>
    <n v="0"/>
    <n v="-3659.04"/>
  </r>
  <r>
    <x v="12"/>
    <x v="79"/>
    <x v="2"/>
    <n v="0"/>
    <n v="-1626.17"/>
  </r>
  <r>
    <x v="12"/>
    <x v="80"/>
    <x v="18"/>
    <n v="1320.5"/>
    <n v="0"/>
  </r>
  <r>
    <x v="12"/>
    <x v="80"/>
    <x v="0"/>
    <n v="983.19"/>
    <n v="0"/>
  </r>
  <r>
    <x v="12"/>
    <x v="80"/>
    <x v="23"/>
    <n v="812.59"/>
    <n v="0"/>
  </r>
  <r>
    <x v="12"/>
    <x v="80"/>
    <x v="0"/>
    <n v="0"/>
    <n v="-4162.42"/>
  </r>
  <r>
    <x v="12"/>
    <x v="80"/>
    <x v="2"/>
    <n v="219.33"/>
    <n v="0"/>
  </r>
  <r>
    <x v="12"/>
    <x v="80"/>
    <x v="18"/>
    <n v="0"/>
    <n v="-20978.02"/>
  </r>
  <r>
    <x v="12"/>
    <x v="80"/>
    <x v="2"/>
    <n v="0"/>
    <n v="-1942.36"/>
  </r>
  <r>
    <x v="12"/>
    <x v="80"/>
    <x v="23"/>
    <n v="0"/>
    <n v="-7879.45"/>
  </r>
  <r>
    <x v="12"/>
    <x v="81"/>
    <x v="23"/>
    <n v="1225.06"/>
    <n v="0"/>
  </r>
  <r>
    <x v="12"/>
    <x v="81"/>
    <x v="0"/>
    <n v="1061.5999999999999"/>
    <n v="0"/>
  </r>
  <r>
    <x v="12"/>
    <x v="81"/>
    <x v="18"/>
    <n v="798.7"/>
    <n v="0"/>
  </r>
  <r>
    <x v="12"/>
    <x v="81"/>
    <x v="2"/>
    <n v="310.66000000000003"/>
    <n v="0"/>
  </r>
  <r>
    <x v="12"/>
    <x v="81"/>
    <x v="18"/>
    <n v="0"/>
    <n v="-20904.560000000001"/>
  </r>
  <r>
    <x v="12"/>
    <x v="81"/>
    <x v="0"/>
    <n v="0"/>
    <n v="-3871.24"/>
  </r>
  <r>
    <x v="12"/>
    <x v="81"/>
    <x v="2"/>
    <n v="0"/>
    <n v="-2558.54"/>
  </r>
  <r>
    <x v="12"/>
    <x v="81"/>
    <x v="23"/>
    <n v="0"/>
    <n v="-8474.15"/>
  </r>
  <r>
    <x v="12"/>
    <x v="82"/>
    <x v="0"/>
    <n v="295.93"/>
    <n v="0"/>
  </r>
  <r>
    <x v="12"/>
    <x v="82"/>
    <x v="2"/>
    <n v="309.2"/>
    <n v="0"/>
  </r>
  <r>
    <x v="12"/>
    <x v="82"/>
    <x v="23"/>
    <n v="938.82"/>
    <n v="0"/>
  </r>
  <r>
    <x v="12"/>
    <x v="82"/>
    <x v="23"/>
    <n v="0"/>
    <n v="-8796.82"/>
  </r>
  <r>
    <x v="12"/>
    <x v="82"/>
    <x v="2"/>
    <n v="0"/>
    <n v="-2092.1799999999998"/>
  </r>
  <r>
    <x v="12"/>
    <x v="82"/>
    <x v="18"/>
    <n v="804.53"/>
    <n v="0"/>
  </r>
  <r>
    <x v="12"/>
    <x v="82"/>
    <x v="0"/>
    <n v="0"/>
    <n v="-6021.65"/>
  </r>
  <r>
    <x v="12"/>
    <x v="82"/>
    <x v="18"/>
    <n v="0"/>
    <n v="-23418.82"/>
  </r>
  <r>
    <x v="12"/>
    <x v="83"/>
    <x v="2"/>
    <n v="143.28"/>
    <n v="0"/>
  </r>
  <r>
    <x v="12"/>
    <x v="83"/>
    <x v="23"/>
    <n v="770.23"/>
    <n v="0"/>
  </r>
  <r>
    <x v="12"/>
    <x v="83"/>
    <x v="0"/>
    <n v="645.01"/>
    <n v="0"/>
  </r>
  <r>
    <x v="12"/>
    <x v="83"/>
    <x v="18"/>
    <n v="628.27"/>
    <n v="0"/>
  </r>
  <r>
    <x v="12"/>
    <x v="83"/>
    <x v="2"/>
    <n v="0"/>
    <n v="-2349.4499999999998"/>
  </r>
  <r>
    <x v="12"/>
    <x v="83"/>
    <x v="18"/>
    <n v="0"/>
    <n v="-21482.93"/>
  </r>
  <r>
    <x v="12"/>
    <x v="83"/>
    <x v="23"/>
    <n v="0"/>
    <n v="-7030.88"/>
  </r>
  <r>
    <x v="12"/>
    <x v="83"/>
    <x v="0"/>
    <n v="0"/>
    <n v="-5964.87"/>
  </r>
  <r>
    <x v="12"/>
    <x v="84"/>
    <x v="18"/>
    <n v="1542.44"/>
    <n v="0"/>
  </r>
  <r>
    <x v="12"/>
    <x v="84"/>
    <x v="23"/>
    <n v="430.97"/>
    <n v="0"/>
  </r>
  <r>
    <x v="12"/>
    <x v="84"/>
    <x v="2"/>
    <n v="227.78"/>
    <n v="0"/>
  </r>
  <r>
    <x v="12"/>
    <x v="84"/>
    <x v="0"/>
    <n v="891.21"/>
    <n v="0"/>
  </r>
  <r>
    <x v="12"/>
    <x v="84"/>
    <x v="18"/>
    <n v="0"/>
    <n v="-35359.89"/>
  </r>
  <r>
    <x v="12"/>
    <x v="84"/>
    <x v="23"/>
    <n v="0"/>
    <n v="-30075.24"/>
  </r>
  <r>
    <x v="12"/>
    <x v="84"/>
    <x v="2"/>
    <n v="0"/>
    <n v="-1874.09"/>
  </r>
  <r>
    <x v="12"/>
    <x v="84"/>
    <x v="0"/>
    <n v="0"/>
    <n v="-7578.98"/>
  </r>
  <r>
    <x v="12"/>
    <x v="85"/>
    <x v="18"/>
    <n v="726.57"/>
    <n v="0"/>
  </r>
  <r>
    <x v="12"/>
    <x v="85"/>
    <x v="23"/>
    <n v="453.67"/>
    <n v="0"/>
  </r>
  <r>
    <x v="12"/>
    <x v="85"/>
    <x v="2"/>
    <n v="141.88999999999999"/>
    <n v="0"/>
  </r>
  <r>
    <x v="12"/>
    <x v="85"/>
    <x v="0"/>
    <n v="1125"/>
    <n v="0"/>
  </r>
  <r>
    <x v="12"/>
    <x v="85"/>
    <x v="18"/>
    <n v="0"/>
    <n v="-52012.5"/>
  </r>
  <r>
    <x v="12"/>
    <x v="85"/>
    <x v="23"/>
    <n v="0"/>
    <n v="-22962.98"/>
  </r>
  <r>
    <x v="12"/>
    <x v="85"/>
    <x v="0"/>
    <n v="0"/>
    <n v="-6145.11"/>
  </r>
  <r>
    <x v="12"/>
    <x v="85"/>
    <x v="2"/>
    <n v="0"/>
    <n v="-2058.94"/>
  </r>
  <r>
    <x v="12"/>
    <x v="86"/>
    <x v="18"/>
    <n v="496.84"/>
    <n v="0"/>
  </r>
  <r>
    <x v="12"/>
    <x v="86"/>
    <x v="23"/>
    <n v="1297.57"/>
    <n v="0"/>
  </r>
  <r>
    <x v="12"/>
    <x v="86"/>
    <x v="0"/>
    <n v="293.38"/>
    <n v="0"/>
  </r>
  <r>
    <x v="12"/>
    <x v="86"/>
    <x v="2"/>
    <n v="230.37"/>
    <n v="0"/>
  </r>
  <r>
    <x v="12"/>
    <x v="86"/>
    <x v="23"/>
    <n v="0"/>
    <n v="-18033.52"/>
  </r>
  <r>
    <x v="12"/>
    <x v="86"/>
    <x v="18"/>
    <n v="0"/>
    <n v="-47581.53"/>
  </r>
  <r>
    <x v="12"/>
    <x v="86"/>
    <x v="0"/>
    <n v="0"/>
    <n v="-6089.91"/>
  </r>
  <r>
    <x v="12"/>
    <x v="86"/>
    <x v="2"/>
    <n v="0"/>
    <n v="-2027.24"/>
  </r>
  <r>
    <x v="12"/>
    <x v="87"/>
    <x v="2"/>
    <n v="80.31"/>
    <n v="0"/>
  </r>
  <r>
    <x v="12"/>
    <x v="87"/>
    <x v="18"/>
    <n v="575.04"/>
    <n v="0"/>
  </r>
  <r>
    <x v="12"/>
    <x v="87"/>
    <x v="2"/>
    <n v="0"/>
    <n v="-2885.61"/>
  </r>
  <r>
    <x v="12"/>
    <x v="87"/>
    <x v="23"/>
    <n v="882.64"/>
    <n v="0"/>
  </r>
  <r>
    <x v="12"/>
    <x v="87"/>
    <x v="0"/>
    <n v="776.69"/>
    <n v="0"/>
  </r>
  <r>
    <x v="12"/>
    <x v="87"/>
    <x v="18"/>
    <n v="0"/>
    <n v="-48876.27"/>
  </r>
  <r>
    <x v="12"/>
    <x v="87"/>
    <x v="23"/>
    <n v="0"/>
    <n v="-17970.89"/>
  </r>
  <r>
    <x v="12"/>
    <x v="87"/>
    <x v="0"/>
    <n v="0"/>
    <n v="-6751.48"/>
  </r>
  <r>
    <x v="12"/>
    <x v="0"/>
    <x v="0"/>
    <n v="583.14"/>
    <n v="0"/>
  </r>
  <r>
    <x v="12"/>
    <x v="0"/>
    <x v="23"/>
    <n v="956.97"/>
    <n v="0"/>
  </r>
  <r>
    <x v="12"/>
    <x v="0"/>
    <x v="2"/>
    <n v="227.6"/>
    <n v="0"/>
  </r>
  <r>
    <x v="12"/>
    <x v="0"/>
    <x v="18"/>
    <n v="684.32"/>
    <n v="0"/>
  </r>
  <r>
    <x v="12"/>
    <x v="0"/>
    <x v="0"/>
    <n v="0"/>
    <n v="-6849.7"/>
  </r>
  <r>
    <x v="12"/>
    <x v="0"/>
    <x v="18"/>
    <n v="0"/>
    <n v="-45923.22"/>
  </r>
  <r>
    <x v="12"/>
    <x v="0"/>
    <x v="2"/>
    <n v="0"/>
    <n v="-2223.5"/>
  </r>
  <r>
    <x v="12"/>
    <x v="0"/>
    <x v="23"/>
    <n v="0"/>
    <n v="-18077.29"/>
  </r>
  <r>
    <x v="12"/>
    <x v="1"/>
    <x v="2"/>
    <n v="220.24"/>
    <n v="0"/>
  </r>
  <r>
    <x v="12"/>
    <x v="1"/>
    <x v="23"/>
    <n v="633.59"/>
    <n v="0"/>
  </r>
  <r>
    <x v="12"/>
    <x v="1"/>
    <x v="18"/>
    <n v="268.35000000000002"/>
    <n v="0"/>
  </r>
  <r>
    <x v="12"/>
    <x v="1"/>
    <x v="0"/>
    <n v="634.94000000000005"/>
    <n v="0"/>
  </r>
  <r>
    <x v="12"/>
    <x v="1"/>
    <x v="18"/>
    <n v="0"/>
    <n v="-49082.29"/>
  </r>
  <r>
    <x v="12"/>
    <x v="1"/>
    <x v="23"/>
    <n v="0"/>
    <n v="-19047.16"/>
  </r>
  <r>
    <x v="12"/>
    <x v="1"/>
    <x v="2"/>
    <n v="0"/>
    <n v="-2840.18"/>
  </r>
  <r>
    <x v="12"/>
    <x v="1"/>
    <x v="0"/>
    <n v="0"/>
    <n v="-6497.09"/>
  </r>
  <r>
    <x v="12"/>
    <x v="2"/>
    <x v="23"/>
    <n v="2103.63"/>
    <n v="0"/>
  </r>
  <r>
    <x v="12"/>
    <x v="2"/>
    <x v="0"/>
    <n v="491.67"/>
    <n v="0"/>
  </r>
  <r>
    <x v="12"/>
    <x v="2"/>
    <x v="23"/>
    <n v="0"/>
    <n v="-18100.240000000002"/>
  </r>
  <r>
    <x v="12"/>
    <x v="2"/>
    <x v="18"/>
    <n v="511.19"/>
    <n v="0"/>
  </r>
  <r>
    <x v="12"/>
    <x v="2"/>
    <x v="2"/>
    <n v="101.39"/>
    <n v="0"/>
  </r>
  <r>
    <x v="12"/>
    <x v="2"/>
    <x v="0"/>
    <n v="0"/>
    <n v="-6467.09"/>
  </r>
  <r>
    <x v="12"/>
    <x v="2"/>
    <x v="18"/>
    <n v="0"/>
    <n v="-55367.48"/>
  </r>
  <r>
    <x v="12"/>
    <x v="2"/>
    <x v="2"/>
    <n v="0"/>
    <n v="-2892.66"/>
  </r>
  <r>
    <x v="12"/>
    <x v="3"/>
    <x v="2"/>
    <n v="29.52"/>
    <n v="0"/>
  </r>
  <r>
    <x v="12"/>
    <x v="3"/>
    <x v="0"/>
    <n v="220.18"/>
    <n v="0"/>
  </r>
  <r>
    <x v="12"/>
    <x v="3"/>
    <x v="18"/>
    <n v="582.13"/>
    <n v="0"/>
  </r>
  <r>
    <x v="12"/>
    <x v="3"/>
    <x v="23"/>
    <n v="1239.77"/>
    <n v="0"/>
  </r>
  <r>
    <x v="12"/>
    <x v="3"/>
    <x v="2"/>
    <n v="0"/>
    <n v="-2286.19"/>
  </r>
  <r>
    <x v="12"/>
    <x v="3"/>
    <x v="23"/>
    <n v="0"/>
    <n v="-18517.509999999998"/>
  </r>
  <r>
    <x v="12"/>
    <x v="3"/>
    <x v="18"/>
    <n v="0"/>
    <n v="-64670.3"/>
  </r>
  <r>
    <x v="12"/>
    <x v="3"/>
    <x v="0"/>
    <n v="0"/>
    <n v="-7849.31"/>
  </r>
  <r>
    <x v="12"/>
    <x v="4"/>
    <x v="18"/>
    <n v="202.06"/>
    <n v="0"/>
  </r>
  <r>
    <x v="12"/>
    <x v="4"/>
    <x v="2"/>
    <n v="376.85"/>
    <n v="0"/>
  </r>
  <r>
    <x v="12"/>
    <x v="4"/>
    <x v="0"/>
    <n v="179.76"/>
    <n v="0"/>
  </r>
  <r>
    <x v="12"/>
    <x v="4"/>
    <x v="18"/>
    <n v="0"/>
    <n v="-55748.06"/>
  </r>
  <r>
    <x v="12"/>
    <x v="4"/>
    <x v="0"/>
    <n v="0"/>
    <n v="-5945.16"/>
  </r>
  <r>
    <x v="12"/>
    <x v="4"/>
    <x v="23"/>
    <n v="875.58"/>
    <n v="0"/>
  </r>
  <r>
    <x v="12"/>
    <x v="4"/>
    <x v="2"/>
    <n v="0"/>
    <n v="-1750.24"/>
  </r>
  <r>
    <x v="12"/>
    <x v="4"/>
    <x v="23"/>
    <n v="0"/>
    <n v="-19823.84"/>
  </r>
  <r>
    <x v="12"/>
    <x v="5"/>
    <x v="0"/>
    <n v="453.81"/>
    <n v="0"/>
  </r>
  <r>
    <x v="12"/>
    <x v="5"/>
    <x v="2"/>
    <n v="282.49"/>
    <n v="0"/>
  </r>
  <r>
    <x v="12"/>
    <x v="5"/>
    <x v="0"/>
    <n v="0"/>
    <n v="-6969.74"/>
  </r>
  <r>
    <x v="12"/>
    <x v="5"/>
    <x v="18"/>
    <n v="371.26"/>
    <n v="0"/>
  </r>
  <r>
    <x v="12"/>
    <x v="5"/>
    <x v="23"/>
    <n v="863.83"/>
    <n v="0"/>
  </r>
  <r>
    <x v="12"/>
    <x v="5"/>
    <x v="2"/>
    <n v="0"/>
    <n v="-1978.76"/>
  </r>
  <r>
    <x v="12"/>
    <x v="5"/>
    <x v="18"/>
    <n v="0"/>
    <n v="-53401.599999999999"/>
  </r>
  <r>
    <x v="12"/>
    <x v="5"/>
    <x v="23"/>
    <n v="0"/>
    <n v="-18566.95"/>
  </r>
  <r>
    <x v="12"/>
    <x v="6"/>
    <x v="18"/>
    <n v="185.88"/>
    <n v="0"/>
  </r>
  <r>
    <x v="12"/>
    <x v="6"/>
    <x v="23"/>
    <n v="913.78"/>
    <n v="0"/>
  </r>
  <r>
    <x v="12"/>
    <x v="6"/>
    <x v="2"/>
    <n v="102.74"/>
    <n v="0"/>
  </r>
  <r>
    <x v="12"/>
    <x v="6"/>
    <x v="0"/>
    <n v="468.07"/>
    <n v="0"/>
  </r>
  <r>
    <x v="12"/>
    <x v="6"/>
    <x v="18"/>
    <n v="0"/>
    <n v="-33501.040000000001"/>
  </r>
  <r>
    <x v="12"/>
    <x v="7"/>
    <x v="18"/>
    <n v="353.93"/>
    <n v="0"/>
  </r>
  <r>
    <x v="12"/>
    <x v="7"/>
    <x v="2"/>
    <n v="318.75"/>
    <n v="0"/>
  </r>
  <r>
    <x v="12"/>
    <x v="7"/>
    <x v="23"/>
    <n v="959.26"/>
    <n v="0"/>
  </r>
  <r>
    <x v="12"/>
    <x v="7"/>
    <x v="0"/>
    <n v="588.78"/>
    <n v="0"/>
  </r>
  <r>
    <x v="12"/>
    <x v="7"/>
    <x v="23"/>
    <n v="0"/>
    <n v="-22205.61"/>
  </r>
  <r>
    <x v="12"/>
    <x v="7"/>
    <x v="2"/>
    <n v="0"/>
    <n v="-2574.81"/>
  </r>
  <r>
    <x v="12"/>
    <x v="7"/>
    <x v="0"/>
    <n v="0"/>
    <n v="-5687.88"/>
  </r>
  <r>
    <x v="12"/>
    <x v="7"/>
    <x v="18"/>
    <n v="0"/>
    <n v="-74323.759999999995"/>
  </r>
  <r>
    <x v="12"/>
    <x v="8"/>
    <x v="2"/>
    <n v="111.69"/>
    <n v="0"/>
  </r>
  <r>
    <x v="12"/>
    <x v="8"/>
    <x v="0"/>
    <n v="126.07"/>
    <n v="0"/>
  </r>
  <r>
    <x v="12"/>
    <x v="8"/>
    <x v="0"/>
    <n v="0"/>
    <n v="-7018.26"/>
  </r>
  <r>
    <x v="12"/>
    <x v="8"/>
    <x v="18"/>
    <n v="47.22"/>
    <n v="0"/>
  </r>
  <r>
    <x v="12"/>
    <x v="8"/>
    <x v="23"/>
    <n v="463.15"/>
    <n v="0"/>
  </r>
  <r>
    <x v="12"/>
    <x v="8"/>
    <x v="2"/>
    <n v="0"/>
    <n v="-2763.79"/>
  </r>
  <r>
    <x v="12"/>
    <x v="8"/>
    <x v="18"/>
    <n v="0"/>
    <n v="-88073.22"/>
  </r>
  <r>
    <x v="12"/>
    <x v="8"/>
    <x v="23"/>
    <n v="0"/>
    <n v="-21557.9"/>
  </r>
  <r>
    <x v="12"/>
    <x v="9"/>
    <x v="18"/>
    <n v="0"/>
    <n v="0"/>
  </r>
  <r>
    <x v="12"/>
    <x v="9"/>
    <x v="2"/>
    <n v="42.88"/>
    <n v="0"/>
  </r>
  <r>
    <x v="12"/>
    <x v="9"/>
    <x v="0"/>
    <n v="199.9"/>
    <n v="0"/>
  </r>
  <r>
    <x v="12"/>
    <x v="9"/>
    <x v="23"/>
    <n v="406.41"/>
    <n v="0"/>
  </r>
  <r>
    <x v="12"/>
    <x v="9"/>
    <x v="18"/>
    <n v="0"/>
    <n v="-112810.44"/>
  </r>
  <r>
    <x v="12"/>
    <x v="9"/>
    <x v="2"/>
    <n v="0"/>
    <n v="-4402.26"/>
  </r>
  <r>
    <x v="12"/>
    <x v="9"/>
    <x v="0"/>
    <n v="0"/>
    <n v="-4079.73"/>
  </r>
  <r>
    <x v="12"/>
    <x v="9"/>
    <x v="23"/>
    <n v="0"/>
    <n v="-24642.45"/>
  </r>
  <r>
    <x v="12"/>
    <x v="10"/>
    <x v="0"/>
    <n v="514.17999999999995"/>
    <n v="0"/>
  </r>
  <r>
    <x v="12"/>
    <x v="10"/>
    <x v="18"/>
    <n v="50.93"/>
    <n v="0"/>
  </r>
  <r>
    <x v="12"/>
    <x v="10"/>
    <x v="0"/>
    <n v="0"/>
    <n v="-6393.26"/>
  </r>
  <r>
    <x v="12"/>
    <x v="10"/>
    <x v="2"/>
    <n v="0"/>
    <n v="0"/>
  </r>
  <r>
    <x v="12"/>
    <x v="10"/>
    <x v="23"/>
    <n v="336.72"/>
    <n v="0"/>
  </r>
  <r>
    <x v="12"/>
    <x v="10"/>
    <x v="18"/>
    <n v="0"/>
    <n v="-65215.06"/>
  </r>
  <r>
    <x v="12"/>
    <x v="10"/>
    <x v="2"/>
    <n v="0"/>
    <n v="-7898.36"/>
  </r>
  <r>
    <x v="12"/>
    <x v="10"/>
    <x v="23"/>
    <n v="0"/>
    <n v="-34059.9"/>
  </r>
  <r>
    <x v="12"/>
    <x v="11"/>
    <x v="23"/>
    <n v="78.180000000000007"/>
    <n v="0"/>
  </r>
  <r>
    <x v="12"/>
    <x v="11"/>
    <x v="2"/>
    <n v="204.56"/>
    <n v="0"/>
  </r>
  <r>
    <x v="12"/>
    <x v="11"/>
    <x v="18"/>
    <n v="653.62"/>
    <n v="0"/>
  </r>
  <r>
    <x v="12"/>
    <x v="11"/>
    <x v="0"/>
    <n v="718.09"/>
    <n v="0"/>
  </r>
  <r>
    <x v="12"/>
    <x v="11"/>
    <x v="23"/>
    <n v="0"/>
    <n v="-38270.11"/>
  </r>
  <r>
    <x v="12"/>
    <x v="11"/>
    <x v="2"/>
    <n v="0"/>
    <n v="-11317.51"/>
  </r>
  <r>
    <x v="12"/>
    <x v="11"/>
    <x v="0"/>
    <n v="0"/>
    <n v="-6980.81"/>
  </r>
  <r>
    <x v="12"/>
    <x v="11"/>
    <x v="18"/>
    <n v="0"/>
    <n v="-63288.41"/>
  </r>
  <r>
    <x v="12"/>
    <x v="12"/>
    <x v="2"/>
    <n v="258.17"/>
    <n v="0"/>
  </r>
  <r>
    <x v="12"/>
    <x v="12"/>
    <x v="23"/>
    <n v="0"/>
    <n v="-38071.65"/>
  </r>
  <r>
    <x v="12"/>
    <x v="12"/>
    <x v="18"/>
    <n v="403.24"/>
    <n v="0"/>
  </r>
  <r>
    <x v="12"/>
    <x v="12"/>
    <x v="0"/>
    <n v="590.11"/>
    <n v="0"/>
  </r>
  <r>
    <x v="12"/>
    <x v="12"/>
    <x v="2"/>
    <n v="0"/>
    <n v="-12090.89"/>
  </r>
  <r>
    <x v="12"/>
    <x v="12"/>
    <x v="18"/>
    <n v="0"/>
    <n v="-56373.86"/>
  </r>
  <r>
    <x v="12"/>
    <x v="12"/>
    <x v="0"/>
    <n v="0"/>
    <n v="-17222.240000000002"/>
  </r>
  <r>
    <x v="12"/>
    <x v="13"/>
    <x v="18"/>
    <n v="-94.62"/>
    <n v="0"/>
  </r>
  <r>
    <x v="12"/>
    <x v="13"/>
    <x v="18"/>
    <n v="0"/>
    <n v="-59307.95"/>
  </r>
  <r>
    <x v="12"/>
    <x v="13"/>
    <x v="0"/>
    <n v="0"/>
    <n v="0"/>
  </r>
  <r>
    <x v="12"/>
    <x v="13"/>
    <x v="2"/>
    <n v="60.27"/>
    <n v="0"/>
  </r>
  <r>
    <x v="12"/>
    <x v="13"/>
    <x v="0"/>
    <n v="0"/>
    <n v="-15252.15"/>
  </r>
  <r>
    <x v="12"/>
    <x v="13"/>
    <x v="2"/>
    <n v="0"/>
    <n v="-12941.38"/>
  </r>
  <r>
    <x v="12"/>
    <x v="13"/>
    <x v="23"/>
    <n v="0"/>
    <n v="-46065.11"/>
  </r>
  <r>
    <x v="12"/>
    <x v="14"/>
    <x v="18"/>
    <n v="387.16"/>
    <n v="0"/>
  </r>
  <r>
    <x v="12"/>
    <x v="14"/>
    <x v="2"/>
    <n v="637.19000000000005"/>
    <n v="0"/>
  </r>
  <r>
    <x v="12"/>
    <x v="14"/>
    <x v="0"/>
    <n v="586"/>
    <n v="0"/>
  </r>
  <r>
    <x v="12"/>
    <x v="14"/>
    <x v="23"/>
    <n v="1466.25"/>
    <n v="0"/>
  </r>
  <r>
    <x v="12"/>
    <x v="14"/>
    <x v="2"/>
    <n v="0"/>
    <n v="-9174.7900000000009"/>
  </r>
  <r>
    <x v="12"/>
    <x v="14"/>
    <x v="0"/>
    <n v="0"/>
    <n v="-15620.61"/>
  </r>
  <r>
    <x v="12"/>
    <x v="14"/>
    <x v="23"/>
    <n v="0"/>
    <n v="-38164.21"/>
  </r>
  <r>
    <x v="12"/>
    <x v="14"/>
    <x v="18"/>
    <n v="0"/>
    <n v="-52788.06"/>
  </r>
  <r>
    <x v="12"/>
    <x v="15"/>
    <x v="23"/>
    <n v="1449.36"/>
    <n v="0"/>
  </r>
  <r>
    <x v="12"/>
    <x v="15"/>
    <x v="2"/>
    <n v="1839.09"/>
    <n v="0"/>
  </r>
  <r>
    <x v="12"/>
    <x v="15"/>
    <x v="18"/>
    <n v="1439.9"/>
    <n v="0"/>
  </r>
  <r>
    <x v="12"/>
    <x v="15"/>
    <x v="0"/>
    <n v="3772.13"/>
    <n v="0"/>
  </r>
  <r>
    <x v="12"/>
    <x v="15"/>
    <x v="23"/>
    <n v="0"/>
    <n v="-34574.06"/>
  </r>
  <r>
    <x v="12"/>
    <x v="15"/>
    <x v="18"/>
    <n v="0"/>
    <n v="-49014.96"/>
  </r>
  <r>
    <x v="12"/>
    <x v="15"/>
    <x v="2"/>
    <n v="0"/>
    <n v="-9388.92"/>
  </r>
  <r>
    <x v="12"/>
    <x v="15"/>
    <x v="0"/>
    <n v="0"/>
    <n v="-13130.83"/>
  </r>
  <r>
    <x v="12"/>
    <x v="16"/>
    <x v="0"/>
    <n v="803.42"/>
    <n v="0"/>
  </r>
  <r>
    <x v="12"/>
    <x v="16"/>
    <x v="2"/>
    <n v="655.89"/>
    <n v="0"/>
  </r>
  <r>
    <x v="12"/>
    <x v="16"/>
    <x v="23"/>
    <n v="819.29"/>
    <n v="0"/>
  </r>
  <r>
    <x v="12"/>
    <x v="16"/>
    <x v="18"/>
    <n v="1473.57"/>
    <n v="0"/>
  </r>
  <r>
    <x v="12"/>
    <x v="16"/>
    <x v="2"/>
    <n v="0"/>
    <n v="-12952.79"/>
  </r>
  <r>
    <x v="12"/>
    <x v="16"/>
    <x v="23"/>
    <n v="0"/>
    <n v="-37127"/>
  </r>
  <r>
    <x v="12"/>
    <x v="16"/>
    <x v="18"/>
    <n v="0"/>
    <n v="-61278.78"/>
  </r>
  <r>
    <x v="12"/>
    <x v="16"/>
    <x v="0"/>
    <n v="0"/>
    <n v="-14892.65"/>
  </r>
  <r>
    <x v="12"/>
    <x v="17"/>
    <x v="23"/>
    <n v="-477.1"/>
    <n v="0"/>
  </r>
  <r>
    <x v="12"/>
    <x v="17"/>
    <x v="18"/>
    <n v="49.9"/>
    <n v="0"/>
  </r>
  <r>
    <x v="12"/>
    <x v="17"/>
    <x v="0"/>
    <n v="600.1"/>
    <n v="0"/>
  </r>
  <r>
    <x v="12"/>
    <x v="17"/>
    <x v="18"/>
    <n v="0"/>
    <n v="-75582.850000000006"/>
  </r>
  <r>
    <x v="12"/>
    <x v="17"/>
    <x v="2"/>
    <n v="0"/>
    <n v="0"/>
  </r>
  <r>
    <x v="12"/>
    <x v="17"/>
    <x v="0"/>
    <n v="0"/>
    <n v="-15218.55"/>
  </r>
  <r>
    <x v="12"/>
    <x v="17"/>
    <x v="23"/>
    <n v="0"/>
    <n v="-56856.12"/>
  </r>
  <r>
    <x v="12"/>
    <x v="17"/>
    <x v="2"/>
    <n v="0"/>
    <n v="-25960.14"/>
  </r>
  <r>
    <x v="12"/>
    <x v="18"/>
    <x v="0"/>
    <n v="-13.21"/>
    <n v="0"/>
  </r>
  <r>
    <x v="12"/>
    <x v="18"/>
    <x v="18"/>
    <n v="-0.27"/>
    <n v="0"/>
  </r>
  <r>
    <x v="12"/>
    <x v="18"/>
    <x v="2"/>
    <n v="0"/>
    <n v="0"/>
  </r>
  <r>
    <x v="12"/>
    <x v="18"/>
    <x v="23"/>
    <n v="0"/>
    <n v="0"/>
  </r>
  <r>
    <x v="12"/>
    <x v="18"/>
    <x v="2"/>
    <n v="0"/>
    <n v="-32751.78"/>
  </r>
  <r>
    <x v="12"/>
    <x v="18"/>
    <x v="0"/>
    <n v="0"/>
    <n v="-13595.16"/>
  </r>
  <r>
    <x v="12"/>
    <x v="18"/>
    <x v="18"/>
    <n v="0"/>
    <n v="-60898.71"/>
  </r>
  <r>
    <x v="12"/>
    <x v="18"/>
    <x v="23"/>
    <n v="0"/>
    <n v="-55531.61"/>
  </r>
  <r>
    <x v="12"/>
    <x v="19"/>
    <x v="18"/>
    <n v="0"/>
    <n v="0"/>
  </r>
  <r>
    <x v="12"/>
    <x v="19"/>
    <x v="0"/>
    <n v="859.17"/>
    <n v="0"/>
  </r>
  <r>
    <x v="12"/>
    <x v="19"/>
    <x v="23"/>
    <n v="0"/>
    <n v="0"/>
  </r>
  <r>
    <x v="12"/>
    <x v="19"/>
    <x v="2"/>
    <n v="0"/>
    <n v="0"/>
  </r>
  <r>
    <x v="12"/>
    <x v="19"/>
    <x v="18"/>
    <n v="0"/>
    <n v="-69828.69"/>
  </r>
  <r>
    <x v="12"/>
    <x v="19"/>
    <x v="0"/>
    <n v="0"/>
    <n v="-3160.07"/>
  </r>
  <r>
    <x v="12"/>
    <x v="19"/>
    <x v="2"/>
    <n v="0"/>
    <n v="-37311.47"/>
  </r>
  <r>
    <x v="12"/>
    <x v="19"/>
    <x v="23"/>
    <n v="0"/>
    <n v="-51693.91"/>
  </r>
  <r>
    <x v="12"/>
    <x v="20"/>
    <x v="18"/>
    <n v="-65.290000000000006"/>
    <n v="0"/>
  </r>
  <r>
    <x v="12"/>
    <x v="20"/>
    <x v="23"/>
    <n v="0"/>
    <n v="-47941.65"/>
  </r>
  <r>
    <x v="12"/>
    <x v="20"/>
    <x v="18"/>
    <n v="0"/>
    <n v="-70573.289999999994"/>
  </r>
  <r>
    <x v="12"/>
    <x v="20"/>
    <x v="0"/>
    <n v="0"/>
    <n v="-3650.69"/>
  </r>
  <r>
    <x v="12"/>
    <x v="20"/>
    <x v="2"/>
    <n v="0"/>
    <n v="-41916.94"/>
  </r>
  <r>
    <x v="12"/>
    <x v="21"/>
    <x v="18"/>
    <n v="-117.7"/>
    <n v="0"/>
  </r>
  <r>
    <x v="12"/>
    <x v="21"/>
    <x v="2"/>
    <n v="0"/>
    <n v="-44238.37"/>
  </r>
  <r>
    <x v="12"/>
    <x v="21"/>
    <x v="23"/>
    <n v="0"/>
    <n v="-59346.68"/>
  </r>
  <r>
    <x v="12"/>
    <x v="21"/>
    <x v="0"/>
    <n v="0"/>
    <n v="-4430.33"/>
  </r>
  <r>
    <x v="12"/>
    <x v="21"/>
    <x v="18"/>
    <n v="0"/>
    <n v="-47695.83"/>
  </r>
  <r>
    <x v="12"/>
    <x v="22"/>
    <x v="18"/>
    <n v="-968.91"/>
    <n v="0"/>
  </r>
  <r>
    <x v="12"/>
    <x v="22"/>
    <x v="18"/>
    <n v="0"/>
    <n v="-38081.599999999999"/>
  </r>
  <r>
    <x v="12"/>
    <x v="22"/>
    <x v="23"/>
    <n v="0"/>
    <n v="-51591.82"/>
  </r>
  <r>
    <x v="12"/>
    <x v="22"/>
    <x v="2"/>
    <n v="0"/>
    <n v="-52292.65"/>
  </r>
  <r>
    <x v="12"/>
    <x v="22"/>
    <x v="0"/>
    <n v="0"/>
    <n v="-7056.17"/>
  </r>
  <r>
    <x v="12"/>
    <x v="23"/>
    <x v="23"/>
    <n v="1218.74"/>
    <n v="0"/>
  </r>
  <r>
    <x v="12"/>
    <x v="23"/>
    <x v="0"/>
    <n v="2952.32"/>
    <n v="0"/>
  </r>
  <r>
    <x v="12"/>
    <x v="23"/>
    <x v="18"/>
    <n v="-4558.57"/>
    <n v="0"/>
  </r>
  <r>
    <x v="12"/>
    <x v="23"/>
    <x v="18"/>
    <n v="0"/>
    <n v="-21637.87"/>
  </r>
  <r>
    <x v="12"/>
    <x v="23"/>
    <x v="23"/>
    <n v="0"/>
    <n v="-41218.370000000003"/>
  </r>
  <r>
    <x v="12"/>
    <x v="23"/>
    <x v="0"/>
    <n v="0"/>
    <n v="-9980.69"/>
  </r>
  <r>
    <x v="12"/>
    <x v="23"/>
    <x v="2"/>
    <n v="0"/>
    <n v="-44467.7"/>
  </r>
  <r>
    <x v="12"/>
    <x v="24"/>
    <x v="18"/>
    <n v="-298.61"/>
    <n v="0"/>
  </r>
  <r>
    <x v="12"/>
    <x v="24"/>
    <x v="0"/>
    <n v="272.61"/>
    <n v="0"/>
  </r>
  <r>
    <x v="12"/>
    <x v="24"/>
    <x v="23"/>
    <n v="814.71"/>
    <n v="0"/>
  </r>
  <r>
    <x v="12"/>
    <x v="24"/>
    <x v="18"/>
    <n v="0"/>
    <n v="-19558.150000000001"/>
  </r>
  <r>
    <x v="13"/>
    <x v="69"/>
    <x v="7"/>
    <n v="0"/>
    <n v="-26.63"/>
  </r>
  <r>
    <x v="13"/>
    <x v="69"/>
    <x v="20"/>
    <n v="0"/>
    <n v="-46.46"/>
  </r>
  <r>
    <x v="13"/>
    <x v="69"/>
    <x v="9"/>
    <n v="0"/>
    <n v="-29.89"/>
  </r>
  <r>
    <x v="13"/>
    <x v="69"/>
    <x v="5"/>
    <n v="0"/>
    <n v="-34.54"/>
  </r>
  <r>
    <x v="13"/>
    <x v="70"/>
    <x v="7"/>
    <n v="0"/>
    <n v="-47.63"/>
  </r>
  <r>
    <x v="13"/>
    <x v="70"/>
    <x v="20"/>
    <n v="0"/>
    <n v="-85.06"/>
  </r>
  <r>
    <x v="13"/>
    <x v="70"/>
    <x v="9"/>
    <n v="0"/>
    <n v="-70.91"/>
  </r>
  <r>
    <x v="13"/>
    <x v="70"/>
    <x v="5"/>
    <n v="0"/>
    <n v="-72.62"/>
  </r>
  <r>
    <x v="13"/>
    <x v="71"/>
    <x v="20"/>
    <n v="0"/>
    <n v="-112.47"/>
  </r>
  <r>
    <x v="13"/>
    <x v="71"/>
    <x v="7"/>
    <n v="0"/>
    <n v="-233.37"/>
  </r>
  <r>
    <x v="13"/>
    <x v="71"/>
    <x v="5"/>
    <n v="0"/>
    <n v="-283.62"/>
  </r>
  <r>
    <x v="13"/>
    <x v="71"/>
    <x v="9"/>
    <n v="0"/>
    <n v="-297.98"/>
  </r>
  <r>
    <x v="13"/>
    <x v="72"/>
    <x v="7"/>
    <n v="0"/>
    <n v="-391.25"/>
  </r>
  <r>
    <x v="13"/>
    <x v="72"/>
    <x v="9"/>
    <n v="0"/>
    <n v="-365.61"/>
  </r>
  <r>
    <x v="13"/>
    <x v="72"/>
    <x v="5"/>
    <n v="0"/>
    <n v="-938.77"/>
  </r>
  <r>
    <x v="13"/>
    <x v="72"/>
    <x v="20"/>
    <n v="0"/>
    <n v="-259.98"/>
  </r>
  <r>
    <x v="13"/>
    <x v="73"/>
    <x v="20"/>
    <n v="0"/>
    <n v="-541.95000000000005"/>
  </r>
  <r>
    <x v="13"/>
    <x v="73"/>
    <x v="7"/>
    <n v="0"/>
    <n v="-648.54999999999995"/>
  </r>
  <r>
    <x v="13"/>
    <x v="73"/>
    <x v="9"/>
    <n v="0"/>
    <n v="-583.42999999999995"/>
  </r>
  <r>
    <x v="13"/>
    <x v="73"/>
    <x v="5"/>
    <n v="0"/>
    <n v="-764.37"/>
  </r>
  <r>
    <x v="13"/>
    <x v="74"/>
    <x v="5"/>
    <n v="0"/>
    <n v="-743.44"/>
  </r>
  <r>
    <x v="13"/>
    <x v="74"/>
    <x v="20"/>
    <n v="0"/>
    <n v="-586.54999999999995"/>
  </r>
  <r>
    <x v="13"/>
    <x v="74"/>
    <x v="7"/>
    <n v="0"/>
    <n v="-719.89"/>
  </r>
  <r>
    <x v="13"/>
    <x v="74"/>
    <x v="9"/>
    <n v="0"/>
    <n v="-350.32"/>
  </r>
  <r>
    <x v="13"/>
    <x v="75"/>
    <x v="9"/>
    <n v="0"/>
    <n v="-349.23"/>
  </r>
  <r>
    <x v="13"/>
    <x v="75"/>
    <x v="5"/>
    <n v="0"/>
    <n v="-1788.85"/>
  </r>
  <r>
    <x v="13"/>
    <x v="75"/>
    <x v="7"/>
    <n v="0"/>
    <n v="-1261.71"/>
  </r>
  <r>
    <x v="13"/>
    <x v="75"/>
    <x v="20"/>
    <n v="0"/>
    <n v="-398.93"/>
  </r>
  <r>
    <x v="13"/>
    <x v="76"/>
    <x v="5"/>
    <n v="0"/>
    <n v="-2445.0300000000002"/>
  </r>
  <r>
    <x v="13"/>
    <x v="76"/>
    <x v="7"/>
    <n v="0"/>
    <n v="-995.82"/>
  </r>
  <r>
    <x v="13"/>
    <x v="76"/>
    <x v="9"/>
    <n v="0"/>
    <n v="-444.18"/>
  </r>
  <r>
    <x v="13"/>
    <x v="76"/>
    <x v="20"/>
    <n v="0"/>
    <n v="-420.35"/>
  </r>
  <r>
    <x v="13"/>
    <x v="88"/>
    <x v="7"/>
    <n v="0"/>
    <n v="-1447.13"/>
  </r>
  <r>
    <x v="13"/>
    <x v="88"/>
    <x v="5"/>
    <n v="0"/>
    <n v="-2165.56"/>
  </r>
  <r>
    <x v="13"/>
    <x v="88"/>
    <x v="9"/>
    <n v="0"/>
    <n v="-452.19"/>
  </r>
  <r>
    <x v="13"/>
    <x v="88"/>
    <x v="20"/>
    <n v="0"/>
    <n v="-416.09"/>
  </r>
  <r>
    <x v="13"/>
    <x v="77"/>
    <x v="5"/>
    <n v="0"/>
    <n v="-2196.37"/>
  </r>
  <r>
    <x v="13"/>
    <x v="77"/>
    <x v="7"/>
    <n v="0"/>
    <n v="-1051.75"/>
  </r>
  <r>
    <x v="13"/>
    <x v="77"/>
    <x v="20"/>
    <n v="0"/>
    <n v="-505.88"/>
  </r>
  <r>
    <x v="13"/>
    <x v="77"/>
    <x v="9"/>
    <n v="0"/>
    <n v="-347.16"/>
  </r>
  <r>
    <x v="13"/>
    <x v="78"/>
    <x v="9"/>
    <n v="0"/>
    <n v="-354.43"/>
  </r>
  <r>
    <x v="13"/>
    <x v="78"/>
    <x v="7"/>
    <n v="0"/>
    <n v="-1005.03"/>
  </r>
  <r>
    <x v="13"/>
    <x v="78"/>
    <x v="20"/>
    <n v="0"/>
    <n v="-473.74"/>
  </r>
  <r>
    <x v="13"/>
    <x v="78"/>
    <x v="5"/>
    <n v="0"/>
    <n v="-1756.29"/>
  </r>
  <r>
    <x v="13"/>
    <x v="79"/>
    <x v="20"/>
    <n v="0"/>
    <n v="-521.42999999999995"/>
  </r>
  <r>
    <x v="13"/>
    <x v="79"/>
    <x v="7"/>
    <n v="0"/>
    <n v="-1324.19"/>
  </r>
  <r>
    <x v="13"/>
    <x v="79"/>
    <x v="5"/>
    <n v="0"/>
    <n v="-1764.8"/>
  </r>
  <r>
    <x v="13"/>
    <x v="79"/>
    <x v="9"/>
    <n v="0"/>
    <n v="-402.94"/>
  </r>
  <r>
    <x v="13"/>
    <x v="80"/>
    <x v="5"/>
    <n v="0"/>
    <n v="-2038.38"/>
  </r>
  <r>
    <x v="13"/>
    <x v="80"/>
    <x v="20"/>
    <n v="0"/>
    <n v="-788.52"/>
  </r>
  <r>
    <x v="13"/>
    <x v="80"/>
    <x v="9"/>
    <n v="0"/>
    <n v="-351.87"/>
  </r>
  <r>
    <x v="13"/>
    <x v="80"/>
    <x v="7"/>
    <n v="0"/>
    <n v="-1219.92"/>
  </r>
  <r>
    <x v="13"/>
    <x v="81"/>
    <x v="9"/>
    <n v="0"/>
    <n v="-450.96"/>
  </r>
  <r>
    <x v="13"/>
    <x v="81"/>
    <x v="20"/>
    <n v="0"/>
    <n v="-936.7"/>
  </r>
  <r>
    <x v="13"/>
    <x v="81"/>
    <x v="5"/>
    <n v="0"/>
    <n v="-1923.18"/>
  </r>
  <r>
    <x v="13"/>
    <x v="81"/>
    <x v="7"/>
    <n v="0"/>
    <n v="-1287.8399999999999"/>
  </r>
  <r>
    <x v="13"/>
    <x v="82"/>
    <x v="20"/>
    <n v="0"/>
    <n v="-1288.77"/>
  </r>
  <r>
    <x v="13"/>
    <x v="82"/>
    <x v="9"/>
    <n v="0"/>
    <n v="-560.64"/>
  </r>
  <r>
    <x v="13"/>
    <x v="82"/>
    <x v="7"/>
    <n v="0"/>
    <n v="-1115.76"/>
  </r>
  <r>
    <x v="13"/>
    <x v="82"/>
    <x v="5"/>
    <n v="0"/>
    <n v="-1592.99"/>
  </r>
  <r>
    <x v="13"/>
    <x v="83"/>
    <x v="5"/>
    <n v="0"/>
    <n v="-1802.37"/>
  </r>
  <r>
    <x v="13"/>
    <x v="83"/>
    <x v="9"/>
    <n v="0"/>
    <n v="-564.41"/>
  </r>
  <r>
    <x v="13"/>
    <x v="83"/>
    <x v="7"/>
    <n v="0"/>
    <n v="-1086.6400000000001"/>
  </r>
  <r>
    <x v="13"/>
    <x v="83"/>
    <x v="20"/>
    <n v="0"/>
    <n v="-1038.1199999999999"/>
  </r>
  <r>
    <x v="13"/>
    <x v="84"/>
    <x v="5"/>
    <n v="0"/>
    <n v="-2346.9499999999998"/>
  </r>
  <r>
    <x v="13"/>
    <x v="84"/>
    <x v="9"/>
    <n v="0"/>
    <n v="-556.11"/>
  </r>
  <r>
    <x v="13"/>
    <x v="84"/>
    <x v="7"/>
    <n v="0"/>
    <n v="-1092.8900000000001"/>
  </r>
  <r>
    <x v="13"/>
    <x v="84"/>
    <x v="20"/>
    <n v="0"/>
    <n v="-1164.97"/>
  </r>
  <r>
    <x v="13"/>
    <x v="85"/>
    <x v="9"/>
    <n v="0"/>
    <n v="-766.34"/>
  </r>
  <r>
    <x v="13"/>
    <x v="85"/>
    <x v="5"/>
    <n v="0"/>
    <n v="-2530.9299999999998"/>
  </r>
  <r>
    <x v="13"/>
    <x v="85"/>
    <x v="7"/>
    <n v="0"/>
    <n v="-1443.63"/>
  </r>
  <r>
    <x v="13"/>
    <x v="85"/>
    <x v="20"/>
    <n v="0"/>
    <n v="-2449.3200000000002"/>
  </r>
  <r>
    <x v="13"/>
    <x v="86"/>
    <x v="20"/>
    <n v="0"/>
    <n v="-2362.5300000000002"/>
  </r>
  <r>
    <x v="13"/>
    <x v="86"/>
    <x v="9"/>
    <n v="0"/>
    <n v="-583.73"/>
  </r>
  <r>
    <x v="13"/>
    <x v="86"/>
    <x v="5"/>
    <n v="0"/>
    <n v="-2453.54"/>
  </r>
  <r>
    <x v="13"/>
    <x v="86"/>
    <x v="7"/>
    <n v="0"/>
    <n v="-1586.57"/>
  </r>
  <r>
    <x v="13"/>
    <x v="87"/>
    <x v="7"/>
    <n v="0"/>
    <n v="-2095.59"/>
  </r>
  <r>
    <x v="13"/>
    <x v="87"/>
    <x v="5"/>
    <n v="0"/>
    <n v="-2324.37"/>
  </r>
  <r>
    <x v="13"/>
    <x v="87"/>
    <x v="20"/>
    <n v="0"/>
    <n v="-2187.79"/>
  </r>
  <r>
    <x v="13"/>
    <x v="87"/>
    <x v="9"/>
    <n v="0"/>
    <n v="-514.42999999999995"/>
  </r>
  <r>
    <x v="13"/>
    <x v="0"/>
    <x v="5"/>
    <n v="0"/>
    <n v="-2314.71"/>
  </r>
  <r>
    <x v="13"/>
    <x v="0"/>
    <x v="20"/>
    <n v="0"/>
    <n v="-3191.32"/>
  </r>
  <r>
    <x v="13"/>
    <x v="0"/>
    <x v="7"/>
    <n v="0"/>
    <n v="-1853.01"/>
  </r>
  <r>
    <x v="13"/>
    <x v="0"/>
    <x v="9"/>
    <n v="0"/>
    <n v="-574.04999999999995"/>
  </r>
  <r>
    <x v="13"/>
    <x v="1"/>
    <x v="9"/>
    <n v="0"/>
    <n v="-530.16999999999996"/>
  </r>
  <r>
    <x v="13"/>
    <x v="1"/>
    <x v="20"/>
    <n v="0"/>
    <n v="-2900.54"/>
  </r>
  <r>
    <x v="13"/>
    <x v="1"/>
    <x v="7"/>
    <n v="0"/>
    <n v="-2392.52"/>
  </r>
  <r>
    <x v="13"/>
    <x v="1"/>
    <x v="5"/>
    <n v="0"/>
    <n v="-2016.03"/>
  </r>
  <r>
    <x v="13"/>
    <x v="2"/>
    <x v="7"/>
    <n v="0"/>
    <n v="-1568.35"/>
  </r>
  <r>
    <x v="13"/>
    <x v="2"/>
    <x v="5"/>
    <n v="0"/>
    <n v="-2053.54"/>
  </r>
  <r>
    <x v="13"/>
    <x v="2"/>
    <x v="9"/>
    <n v="0"/>
    <n v="-717.28"/>
  </r>
  <r>
    <x v="13"/>
    <x v="2"/>
    <x v="20"/>
    <n v="0"/>
    <n v="-3302.57"/>
  </r>
  <r>
    <x v="13"/>
    <x v="3"/>
    <x v="9"/>
    <n v="0"/>
    <n v="-1041.06"/>
  </r>
  <r>
    <x v="13"/>
    <x v="3"/>
    <x v="5"/>
    <n v="0"/>
    <n v="-2405.36"/>
  </r>
  <r>
    <x v="13"/>
    <x v="3"/>
    <x v="7"/>
    <n v="0"/>
    <n v="-1185.99"/>
  </r>
  <r>
    <x v="13"/>
    <x v="3"/>
    <x v="20"/>
    <n v="0"/>
    <n v="-3379.56"/>
  </r>
  <r>
    <x v="13"/>
    <x v="4"/>
    <x v="7"/>
    <n v="0"/>
    <n v="-1177.28"/>
  </r>
  <r>
    <x v="13"/>
    <x v="4"/>
    <x v="20"/>
    <n v="0"/>
    <n v="-2647.87"/>
  </r>
  <r>
    <x v="13"/>
    <x v="4"/>
    <x v="5"/>
    <n v="0"/>
    <n v="-2277.62"/>
  </r>
  <r>
    <x v="13"/>
    <x v="4"/>
    <x v="9"/>
    <n v="0"/>
    <n v="-1120.2"/>
  </r>
  <r>
    <x v="13"/>
    <x v="5"/>
    <x v="7"/>
    <n v="0"/>
    <n v="-1250.4100000000001"/>
  </r>
  <r>
    <x v="13"/>
    <x v="5"/>
    <x v="20"/>
    <n v="0"/>
    <n v="-2508.79"/>
  </r>
  <r>
    <x v="13"/>
    <x v="5"/>
    <x v="5"/>
    <n v="0"/>
    <n v="-1796.36"/>
  </r>
  <r>
    <x v="13"/>
    <x v="5"/>
    <x v="9"/>
    <n v="0"/>
    <n v="-1114.72"/>
  </r>
  <r>
    <x v="13"/>
    <x v="6"/>
    <x v="9"/>
    <n v="46.86"/>
    <n v="0"/>
  </r>
  <r>
    <x v="13"/>
    <x v="6"/>
    <x v="5"/>
    <n v="41.56"/>
    <n v="0"/>
  </r>
  <r>
    <x v="13"/>
    <x v="6"/>
    <x v="7"/>
    <n v="42.45"/>
    <n v="0"/>
  </r>
  <r>
    <x v="13"/>
    <x v="6"/>
    <x v="20"/>
    <n v="73.290000000000006"/>
    <n v="0"/>
  </r>
  <r>
    <x v="13"/>
    <x v="6"/>
    <x v="5"/>
    <n v="0"/>
    <n v="-2164.44"/>
  </r>
  <r>
    <x v="13"/>
    <x v="7"/>
    <x v="20"/>
    <n v="0"/>
    <n v="-2547.61"/>
  </r>
  <r>
    <x v="13"/>
    <x v="7"/>
    <x v="9"/>
    <n v="0"/>
    <n v="-1658.36"/>
  </r>
  <r>
    <x v="13"/>
    <x v="7"/>
    <x v="7"/>
    <n v="0"/>
    <n v="-1425.76"/>
  </r>
  <r>
    <x v="13"/>
    <x v="7"/>
    <x v="5"/>
    <n v="60.32"/>
    <n v="0"/>
  </r>
  <r>
    <x v="13"/>
    <x v="7"/>
    <x v="20"/>
    <n v="50.36"/>
    <n v="0"/>
  </r>
  <r>
    <x v="13"/>
    <x v="7"/>
    <x v="9"/>
    <n v="60.01"/>
    <n v="0"/>
  </r>
  <r>
    <x v="13"/>
    <x v="7"/>
    <x v="7"/>
    <n v="103.43"/>
    <n v="0"/>
  </r>
  <r>
    <x v="13"/>
    <x v="7"/>
    <x v="5"/>
    <n v="0"/>
    <n v="-3356.14"/>
  </r>
  <r>
    <x v="13"/>
    <x v="8"/>
    <x v="5"/>
    <n v="0"/>
    <n v="-3787.06"/>
  </r>
  <r>
    <x v="13"/>
    <x v="8"/>
    <x v="20"/>
    <n v="0"/>
    <n v="-3355.99"/>
  </r>
  <r>
    <x v="13"/>
    <x v="8"/>
    <x v="9"/>
    <n v="0"/>
    <n v="-2018.75"/>
  </r>
  <r>
    <x v="13"/>
    <x v="8"/>
    <x v="7"/>
    <n v="67.47"/>
    <n v="0"/>
  </r>
  <r>
    <x v="13"/>
    <x v="8"/>
    <x v="20"/>
    <n v="61.09"/>
    <n v="0"/>
  </r>
  <r>
    <x v="13"/>
    <x v="8"/>
    <x v="9"/>
    <n v="66.17"/>
    <n v="0"/>
  </r>
  <r>
    <x v="13"/>
    <x v="8"/>
    <x v="5"/>
    <n v="59.92"/>
    <n v="0"/>
  </r>
  <r>
    <x v="13"/>
    <x v="8"/>
    <x v="7"/>
    <n v="0"/>
    <n v="-1637.3"/>
  </r>
  <r>
    <x v="13"/>
    <x v="9"/>
    <x v="9"/>
    <n v="0"/>
    <n v="-3243.42"/>
  </r>
  <r>
    <x v="13"/>
    <x v="9"/>
    <x v="7"/>
    <n v="0"/>
    <n v="-1809.43"/>
  </r>
  <r>
    <x v="13"/>
    <x v="9"/>
    <x v="5"/>
    <n v="82.23"/>
    <n v="0"/>
  </r>
  <r>
    <x v="13"/>
    <x v="9"/>
    <x v="20"/>
    <n v="91.5"/>
    <n v="0"/>
  </r>
  <r>
    <x v="13"/>
    <x v="9"/>
    <x v="7"/>
    <n v="100.05"/>
    <n v="0"/>
  </r>
  <r>
    <x v="13"/>
    <x v="9"/>
    <x v="9"/>
    <n v="89.83"/>
    <n v="0"/>
  </r>
  <r>
    <x v="13"/>
    <x v="9"/>
    <x v="5"/>
    <n v="0"/>
    <n v="-5400.27"/>
  </r>
  <r>
    <x v="13"/>
    <x v="9"/>
    <x v="20"/>
    <n v="0"/>
    <n v="-3138.04"/>
  </r>
  <r>
    <x v="13"/>
    <x v="10"/>
    <x v="9"/>
    <n v="0"/>
    <n v="-3536.88"/>
  </r>
  <r>
    <x v="13"/>
    <x v="10"/>
    <x v="20"/>
    <n v="0"/>
    <n v="-2759.33"/>
  </r>
  <r>
    <x v="13"/>
    <x v="10"/>
    <x v="5"/>
    <n v="155.99"/>
    <n v="0"/>
  </r>
  <r>
    <x v="13"/>
    <x v="10"/>
    <x v="7"/>
    <n v="176.52"/>
    <n v="0"/>
  </r>
  <r>
    <x v="13"/>
    <x v="10"/>
    <x v="9"/>
    <n v="86.86"/>
    <n v="0"/>
  </r>
  <r>
    <x v="13"/>
    <x v="10"/>
    <x v="20"/>
    <n v="248.64"/>
    <n v="0"/>
  </r>
  <r>
    <x v="13"/>
    <x v="10"/>
    <x v="7"/>
    <n v="0"/>
    <n v="-3361.49"/>
  </r>
  <r>
    <x v="13"/>
    <x v="10"/>
    <x v="5"/>
    <n v="0"/>
    <n v="-3798.82"/>
  </r>
  <r>
    <x v="13"/>
    <x v="11"/>
    <x v="5"/>
    <n v="0"/>
    <n v="-4026.17"/>
  </r>
  <r>
    <x v="13"/>
    <x v="11"/>
    <x v="9"/>
    <n v="0"/>
    <n v="-4342.68"/>
  </r>
  <r>
    <x v="13"/>
    <x v="11"/>
    <x v="20"/>
    <n v="204.43"/>
    <n v="0"/>
  </r>
  <r>
    <x v="13"/>
    <x v="11"/>
    <x v="7"/>
    <n v="259.13"/>
    <n v="0"/>
  </r>
  <r>
    <x v="13"/>
    <x v="11"/>
    <x v="9"/>
    <n v="141.41999999999999"/>
    <n v="0"/>
  </r>
  <r>
    <x v="13"/>
    <x v="11"/>
    <x v="5"/>
    <n v="130.04"/>
    <n v="0"/>
  </r>
  <r>
    <x v="13"/>
    <x v="11"/>
    <x v="20"/>
    <n v="0"/>
    <n v="-3858.11"/>
  </r>
  <r>
    <x v="13"/>
    <x v="11"/>
    <x v="7"/>
    <n v="0"/>
    <n v="-3669.48"/>
  </r>
  <r>
    <x v="13"/>
    <x v="12"/>
    <x v="20"/>
    <n v="0"/>
    <n v="-4034.85"/>
  </r>
  <r>
    <x v="13"/>
    <x v="12"/>
    <x v="5"/>
    <n v="139.46"/>
    <n v="0"/>
  </r>
  <r>
    <x v="13"/>
    <x v="12"/>
    <x v="7"/>
    <n v="-369.85"/>
    <n v="0"/>
  </r>
  <r>
    <x v="13"/>
    <x v="12"/>
    <x v="9"/>
    <n v="114.78"/>
    <n v="0"/>
  </r>
  <r>
    <x v="13"/>
    <x v="12"/>
    <x v="20"/>
    <n v="-833.42"/>
    <n v="0"/>
  </r>
  <r>
    <x v="13"/>
    <x v="12"/>
    <x v="5"/>
    <n v="0"/>
    <n v="-3006.84"/>
  </r>
  <r>
    <x v="13"/>
    <x v="12"/>
    <x v="7"/>
    <n v="0"/>
    <n v="-6416.99"/>
  </r>
  <r>
    <x v="13"/>
    <x v="12"/>
    <x v="9"/>
    <n v="0"/>
    <n v="-5698"/>
  </r>
  <r>
    <x v="13"/>
    <x v="13"/>
    <x v="9"/>
    <n v="0"/>
    <n v="-5453.7"/>
  </r>
  <r>
    <x v="13"/>
    <x v="13"/>
    <x v="7"/>
    <n v="0"/>
    <n v="-5237.66"/>
  </r>
  <r>
    <x v="13"/>
    <x v="13"/>
    <x v="5"/>
    <n v="0"/>
    <n v="-2885.06"/>
  </r>
  <r>
    <x v="13"/>
    <x v="13"/>
    <x v="20"/>
    <n v="-3960.06"/>
    <n v="0"/>
  </r>
  <r>
    <x v="13"/>
    <x v="13"/>
    <x v="5"/>
    <n v="-2841.21"/>
    <n v="0"/>
  </r>
  <r>
    <x v="13"/>
    <x v="13"/>
    <x v="7"/>
    <n v="-7981.19"/>
    <n v="0"/>
  </r>
  <r>
    <x v="13"/>
    <x v="13"/>
    <x v="9"/>
    <n v="-5707.14"/>
    <n v="0"/>
  </r>
  <r>
    <x v="13"/>
    <x v="13"/>
    <x v="20"/>
    <n v="0"/>
    <n v="-3681.59"/>
  </r>
  <r>
    <x v="14"/>
    <x v="73"/>
    <x v="0"/>
    <n v="166.66"/>
    <n v="0"/>
  </r>
  <r>
    <x v="14"/>
    <x v="73"/>
    <x v="9"/>
    <n v="29.17"/>
    <n v="0"/>
  </r>
  <r>
    <x v="14"/>
    <x v="73"/>
    <x v="5"/>
    <n v="150.53"/>
    <n v="0"/>
  </r>
  <r>
    <x v="14"/>
    <x v="73"/>
    <x v="9"/>
    <n v="0"/>
    <n v="-27.69"/>
  </r>
  <r>
    <x v="14"/>
    <x v="73"/>
    <x v="5"/>
    <n v="0"/>
    <n v="-143.76"/>
  </r>
  <r>
    <x v="14"/>
    <x v="73"/>
    <x v="0"/>
    <n v="0"/>
    <n v="-146.02000000000001"/>
  </r>
  <r>
    <x v="14"/>
    <x v="74"/>
    <x v="5"/>
    <n v="85.49"/>
    <n v="0"/>
  </r>
  <r>
    <x v="14"/>
    <x v="74"/>
    <x v="9"/>
    <n v="39.44"/>
    <n v="0"/>
  </r>
  <r>
    <x v="14"/>
    <x v="74"/>
    <x v="0"/>
    <n v="132.9"/>
    <n v="0"/>
  </r>
  <r>
    <x v="14"/>
    <x v="74"/>
    <x v="5"/>
    <n v="0"/>
    <n v="-114.16"/>
  </r>
  <r>
    <x v="14"/>
    <x v="74"/>
    <x v="9"/>
    <n v="0"/>
    <n v="-83.94"/>
  </r>
  <r>
    <x v="14"/>
    <x v="74"/>
    <x v="0"/>
    <n v="0"/>
    <n v="-392.15"/>
  </r>
  <r>
    <x v="14"/>
    <x v="75"/>
    <x v="5"/>
    <n v="71.55"/>
    <n v="0"/>
  </r>
  <r>
    <x v="14"/>
    <x v="75"/>
    <x v="0"/>
    <n v="113.99"/>
    <n v="0"/>
  </r>
  <r>
    <x v="14"/>
    <x v="75"/>
    <x v="9"/>
    <n v="52.41"/>
    <n v="0"/>
  </r>
  <r>
    <x v="14"/>
    <x v="75"/>
    <x v="5"/>
    <n v="0"/>
    <n v="-542.62"/>
  </r>
  <r>
    <x v="14"/>
    <x v="75"/>
    <x v="9"/>
    <n v="0"/>
    <n v="-124.98"/>
  </r>
  <r>
    <x v="14"/>
    <x v="75"/>
    <x v="0"/>
    <n v="0"/>
    <n v="-587.16999999999996"/>
  </r>
  <r>
    <x v="14"/>
    <x v="76"/>
    <x v="0"/>
    <n v="82.32"/>
    <n v="0"/>
  </r>
  <r>
    <x v="14"/>
    <x v="76"/>
    <x v="9"/>
    <n v="42.18"/>
    <n v="0"/>
  </r>
  <r>
    <x v="14"/>
    <x v="76"/>
    <x v="5"/>
    <n v="44.72"/>
    <n v="0"/>
  </r>
  <r>
    <x v="14"/>
    <x v="76"/>
    <x v="0"/>
    <n v="0"/>
    <n v="-505.7"/>
  </r>
  <r>
    <x v="14"/>
    <x v="76"/>
    <x v="9"/>
    <n v="0"/>
    <n v="-219.17"/>
  </r>
  <r>
    <x v="14"/>
    <x v="76"/>
    <x v="5"/>
    <n v="0"/>
    <n v="-828.6"/>
  </r>
  <r>
    <x v="14"/>
    <x v="88"/>
    <x v="5"/>
    <n v="87.95"/>
    <n v="0"/>
  </r>
  <r>
    <x v="14"/>
    <x v="88"/>
    <x v="0"/>
    <n v="121.49"/>
    <n v="0"/>
  </r>
  <r>
    <x v="14"/>
    <x v="88"/>
    <x v="9"/>
    <n v="28.31"/>
    <n v="0"/>
  </r>
  <r>
    <x v="14"/>
    <x v="88"/>
    <x v="0"/>
    <n v="0"/>
    <n v="-518.04999999999995"/>
  </r>
  <r>
    <x v="14"/>
    <x v="88"/>
    <x v="9"/>
    <n v="0"/>
    <n v="-188.05"/>
  </r>
  <r>
    <x v="14"/>
    <x v="88"/>
    <x v="5"/>
    <n v="0"/>
    <n v="-776.35"/>
  </r>
  <r>
    <x v="14"/>
    <x v="77"/>
    <x v="0"/>
    <n v="92.9"/>
    <n v="0"/>
  </r>
  <r>
    <x v="14"/>
    <x v="77"/>
    <x v="9"/>
    <n v="27.2"/>
    <n v="0"/>
  </r>
  <r>
    <x v="14"/>
    <x v="77"/>
    <x v="0"/>
    <n v="0"/>
    <n v="-513.88"/>
  </r>
  <r>
    <x v="14"/>
    <x v="77"/>
    <x v="5"/>
    <n v="59.97"/>
    <n v="0"/>
  </r>
  <r>
    <x v="14"/>
    <x v="77"/>
    <x v="9"/>
    <n v="0"/>
    <n v="-151.44999999999999"/>
  </r>
  <r>
    <x v="14"/>
    <x v="77"/>
    <x v="5"/>
    <n v="0"/>
    <n v="-812.6"/>
  </r>
  <r>
    <x v="14"/>
    <x v="78"/>
    <x v="9"/>
    <n v="22.72"/>
    <n v="0"/>
  </r>
  <r>
    <x v="14"/>
    <x v="78"/>
    <x v="0"/>
    <n v="74.56"/>
    <n v="0"/>
  </r>
  <r>
    <x v="14"/>
    <x v="78"/>
    <x v="5"/>
    <n v="35.74"/>
    <n v="0"/>
  </r>
  <r>
    <x v="14"/>
    <x v="78"/>
    <x v="9"/>
    <n v="0"/>
    <n v="-147.22"/>
  </r>
  <r>
    <x v="14"/>
    <x v="78"/>
    <x v="5"/>
    <n v="0"/>
    <n v="-647.97"/>
  </r>
  <r>
    <x v="14"/>
    <x v="78"/>
    <x v="0"/>
    <n v="0"/>
    <n v="-495.3"/>
  </r>
  <r>
    <x v="14"/>
    <x v="79"/>
    <x v="5"/>
    <n v="51.45"/>
    <n v="0"/>
  </r>
  <r>
    <x v="14"/>
    <x v="79"/>
    <x v="0"/>
    <n v="45.46"/>
    <n v="0"/>
  </r>
  <r>
    <x v="14"/>
    <x v="79"/>
    <x v="0"/>
    <n v="0"/>
    <n v="-378.28"/>
  </r>
  <r>
    <x v="14"/>
    <x v="79"/>
    <x v="9"/>
    <n v="42.36"/>
    <n v="0"/>
  </r>
  <r>
    <x v="14"/>
    <x v="79"/>
    <x v="9"/>
    <n v="0"/>
    <n v="-165.22"/>
  </r>
  <r>
    <x v="14"/>
    <x v="79"/>
    <x v="5"/>
    <n v="0"/>
    <n v="-640.27"/>
  </r>
  <r>
    <x v="14"/>
    <x v="80"/>
    <x v="5"/>
    <n v="36.74"/>
    <n v="0"/>
  </r>
  <r>
    <x v="14"/>
    <x v="80"/>
    <x v="0"/>
    <n v="98.29"/>
    <n v="0"/>
  </r>
  <r>
    <x v="14"/>
    <x v="80"/>
    <x v="9"/>
    <n v="47.8"/>
    <n v="0"/>
  </r>
  <r>
    <x v="14"/>
    <x v="80"/>
    <x v="9"/>
    <n v="0"/>
    <n v="-154.33000000000001"/>
  </r>
  <r>
    <x v="14"/>
    <x v="80"/>
    <x v="0"/>
    <n v="0"/>
    <n v="-428.68"/>
  </r>
  <r>
    <x v="14"/>
    <x v="80"/>
    <x v="5"/>
    <n v="0"/>
    <n v="-756.51"/>
  </r>
  <r>
    <x v="14"/>
    <x v="81"/>
    <x v="9"/>
    <n v="22.95"/>
    <n v="0"/>
  </r>
  <r>
    <x v="14"/>
    <x v="81"/>
    <x v="0"/>
    <n v="101.09"/>
    <n v="0"/>
  </r>
  <r>
    <x v="14"/>
    <x v="81"/>
    <x v="5"/>
    <n v="37.909999999999997"/>
    <n v="0"/>
  </r>
  <r>
    <x v="14"/>
    <x v="81"/>
    <x v="0"/>
    <n v="0"/>
    <n v="-358.62"/>
  </r>
  <r>
    <x v="14"/>
    <x v="81"/>
    <x v="9"/>
    <n v="0"/>
    <n v="-217.66"/>
  </r>
  <r>
    <x v="14"/>
    <x v="81"/>
    <x v="5"/>
    <n v="0"/>
    <n v="-752.99"/>
  </r>
  <r>
    <x v="14"/>
    <x v="82"/>
    <x v="9"/>
    <n v="16.2"/>
    <n v="0"/>
  </r>
  <r>
    <x v="14"/>
    <x v="82"/>
    <x v="5"/>
    <n v="5.24"/>
    <n v="0"/>
  </r>
  <r>
    <x v="14"/>
    <x v="82"/>
    <x v="0"/>
    <n v="24.74"/>
    <n v="0"/>
  </r>
  <r>
    <x v="14"/>
    <x v="82"/>
    <x v="5"/>
    <n v="0"/>
    <n v="-554.09"/>
  </r>
  <r>
    <x v="14"/>
    <x v="82"/>
    <x v="0"/>
    <n v="0"/>
    <n v="-468.98"/>
  </r>
  <r>
    <x v="14"/>
    <x v="82"/>
    <x v="9"/>
    <n v="0"/>
    <n v="-284.97000000000003"/>
  </r>
  <r>
    <x v="14"/>
    <x v="83"/>
    <x v="5"/>
    <n v="29.37"/>
    <n v="0"/>
  </r>
  <r>
    <x v="14"/>
    <x v="83"/>
    <x v="0"/>
    <n v="74.64"/>
    <n v="0"/>
  </r>
  <r>
    <x v="14"/>
    <x v="83"/>
    <x v="9"/>
    <n v="9.77"/>
    <n v="0"/>
  </r>
  <r>
    <x v="14"/>
    <x v="83"/>
    <x v="0"/>
    <n v="0"/>
    <n v="-475.64"/>
  </r>
  <r>
    <x v="14"/>
    <x v="83"/>
    <x v="9"/>
    <n v="0"/>
    <n v="-283.02999999999997"/>
  </r>
  <r>
    <x v="14"/>
    <x v="83"/>
    <x v="5"/>
    <n v="0"/>
    <n v="-648.91"/>
  </r>
  <r>
    <x v="14"/>
    <x v="84"/>
    <x v="5"/>
    <n v="47.53"/>
    <n v="0"/>
  </r>
  <r>
    <x v="14"/>
    <x v="84"/>
    <x v="0"/>
    <n v="77.540000000000006"/>
    <n v="0"/>
  </r>
  <r>
    <x v="14"/>
    <x v="84"/>
    <x v="9"/>
    <n v="58.7"/>
    <n v="0"/>
  </r>
  <r>
    <x v="14"/>
    <x v="84"/>
    <x v="0"/>
    <n v="0"/>
    <n v="-589.02"/>
  </r>
  <r>
    <x v="14"/>
    <x v="84"/>
    <x v="9"/>
    <n v="0"/>
    <n v="-278.95"/>
  </r>
  <r>
    <x v="14"/>
    <x v="84"/>
    <x v="5"/>
    <n v="0"/>
    <n v="-826.06"/>
  </r>
  <r>
    <x v="14"/>
    <x v="85"/>
    <x v="0"/>
    <n v="116.92"/>
    <n v="0"/>
  </r>
  <r>
    <x v="14"/>
    <x v="85"/>
    <x v="5"/>
    <n v="34.5"/>
    <n v="0"/>
  </r>
  <r>
    <x v="14"/>
    <x v="85"/>
    <x v="9"/>
    <n v="36.15"/>
    <n v="0"/>
  </r>
  <r>
    <x v="14"/>
    <x v="85"/>
    <x v="9"/>
    <n v="0"/>
    <n v="-394.89"/>
  </r>
  <r>
    <x v="14"/>
    <x v="85"/>
    <x v="5"/>
    <n v="0"/>
    <n v="-929.94"/>
  </r>
  <r>
    <x v="14"/>
    <x v="85"/>
    <x v="0"/>
    <n v="0"/>
    <n v="-593.34"/>
  </r>
  <r>
    <x v="14"/>
    <x v="86"/>
    <x v="0"/>
    <n v="29.84"/>
    <n v="0"/>
  </r>
  <r>
    <x v="14"/>
    <x v="86"/>
    <x v="5"/>
    <n v="10.220000000000001"/>
    <n v="0"/>
  </r>
  <r>
    <x v="14"/>
    <x v="86"/>
    <x v="9"/>
    <n v="39.270000000000003"/>
    <n v="0"/>
  </r>
  <r>
    <x v="14"/>
    <x v="86"/>
    <x v="0"/>
    <n v="0"/>
    <n v="-590.63"/>
  </r>
  <r>
    <x v="14"/>
    <x v="86"/>
    <x v="5"/>
    <n v="0"/>
    <n v="-926.86"/>
  </r>
  <r>
    <x v="14"/>
    <x v="86"/>
    <x v="9"/>
    <n v="0"/>
    <n v="-299.70999999999998"/>
  </r>
  <r>
    <x v="14"/>
    <x v="87"/>
    <x v="0"/>
    <n v="79.22"/>
    <n v="0"/>
  </r>
  <r>
    <x v="14"/>
    <x v="87"/>
    <x v="9"/>
    <n v="29.65"/>
    <n v="0"/>
  </r>
  <r>
    <x v="14"/>
    <x v="87"/>
    <x v="0"/>
    <n v="0"/>
    <n v="-675.79"/>
  </r>
  <r>
    <x v="14"/>
    <x v="87"/>
    <x v="5"/>
    <n v="37.270000000000003"/>
    <n v="0"/>
  </r>
  <r>
    <x v="14"/>
    <x v="87"/>
    <x v="5"/>
    <n v="0"/>
    <n v="-888.74"/>
  </r>
  <r>
    <x v="14"/>
    <x v="87"/>
    <x v="9"/>
    <n v="0"/>
    <n v="-274.25"/>
  </r>
  <r>
    <x v="14"/>
    <x v="0"/>
    <x v="5"/>
    <n v="42.53"/>
    <n v="0"/>
  </r>
  <r>
    <x v="14"/>
    <x v="0"/>
    <x v="9"/>
    <n v="19.89"/>
    <n v="0"/>
  </r>
  <r>
    <x v="14"/>
    <x v="0"/>
    <x v="0"/>
    <n v="61.14"/>
    <n v="0"/>
  </r>
  <r>
    <x v="14"/>
    <x v="0"/>
    <x v="5"/>
    <n v="0"/>
    <n v="-918.51"/>
  </r>
  <r>
    <x v="14"/>
    <x v="0"/>
    <x v="9"/>
    <n v="0"/>
    <n v="-300.66000000000003"/>
  </r>
  <r>
    <x v="14"/>
    <x v="0"/>
    <x v="0"/>
    <n v="0"/>
    <n v="-649.94000000000005"/>
  </r>
  <r>
    <x v="14"/>
    <x v="1"/>
    <x v="5"/>
    <n v="17.399999999999999"/>
    <n v="0"/>
  </r>
  <r>
    <x v="14"/>
    <x v="1"/>
    <x v="0"/>
    <n v="94.53"/>
    <n v="0"/>
  </r>
  <r>
    <x v="14"/>
    <x v="1"/>
    <x v="0"/>
    <n v="0"/>
    <n v="-670.48"/>
  </r>
  <r>
    <x v="14"/>
    <x v="1"/>
    <x v="9"/>
    <n v="16.420000000000002"/>
    <n v="0"/>
  </r>
  <r>
    <x v="14"/>
    <x v="1"/>
    <x v="9"/>
    <n v="0"/>
    <n v="-280"/>
  </r>
  <r>
    <x v="14"/>
    <x v="1"/>
    <x v="5"/>
    <n v="0"/>
    <n v="-828.22"/>
  </r>
  <r>
    <x v="14"/>
    <x v="2"/>
    <x v="0"/>
    <n v="52.23"/>
    <n v="0"/>
  </r>
  <r>
    <x v="14"/>
    <x v="2"/>
    <x v="9"/>
    <n v="16.37"/>
    <n v="0"/>
  </r>
  <r>
    <x v="14"/>
    <x v="2"/>
    <x v="5"/>
    <n v="27.66"/>
    <n v="0"/>
  </r>
  <r>
    <x v="14"/>
    <x v="2"/>
    <x v="5"/>
    <n v="0"/>
    <n v="-833.7"/>
  </r>
  <r>
    <x v="14"/>
    <x v="2"/>
    <x v="0"/>
    <n v="0"/>
    <n v="-654.32000000000005"/>
  </r>
  <r>
    <x v="14"/>
    <x v="2"/>
    <x v="9"/>
    <n v="0"/>
    <n v="-378.74"/>
  </r>
  <r>
    <x v="14"/>
    <x v="3"/>
    <x v="5"/>
    <n v="32.130000000000003"/>
    <n v="0"/>
  </r>
  <r>
    <x v="14"/>
    <x v="3"/>
    <x v="0"/>
    <n v="56.96"/>
    <n v="0"/>
  </r>
  <r>
    <x v="14"/>
    <x v="3"/>
    <x v="9"/>
    <n v="16.23"/>
    <n v="0"/>
  </r>
  <r>
    <x v="14"/>
    <x v="3"/>
    <x v="0"/>
    <n v="0"/>
    <n v="-875.75"/>
  </r>
  <r>
    <x v="14"/>
    <x v="3"/>
    <x v="5"/>
    <n v="0"/>
    <n v="-960.56"/>
  </r>
  <r>
    <x v="14"/>
    <x v="3"/>
    <x v="9"/>
    <n v="0"/>
    <n v="-538.16999999999996"/>
  </r>
  <r>
    <x v="14"/>
    <x v="4"/>
    <x v="5"/>
    <n v="14.97"/>
    <n v="0"/>
  </r>
  <r>
    <x v="14"/>
    <x v="4"/>
    <x v="0"/>
    <n v="40.28"/>
    <n v="0"/>
  </r>
  <r>
    <x v="14"/>
    <x v="4"/>
    <x v="9"/>
    <n v="13.29"/>
    <n v="0"/>
  </r>
  <r>
    <x v="14"/>
    <x v="4"/>
    <x v="5"/>
    <n v="0"/>
    <n v="-947.15"/>
  </r>
  <r>
    <x v="14"/>
    <x v="4"/>
    <x v="9"/>
    <n v="0"/>
    <n v="-582.99"/>
  </r>
  <r>
    <x v="14"/>
    <x v="4"/>
    <x v="0"/>
    <n v="0"/>
    <n v="-667.66"/>
  </r>
  <r>
    <x v="14"/>
    <x v="5"/>
    <x v="9"/>
    <n v="26.27"/>
    <n v="0"/>
  </r>
  <r>
    <x v="14"/>
    <x v="5"/>
    <x v="0"/>
    <n v="73.45"/>
    <n v="0"/>
  </r>
  <r>
    <x v="14"/>
    <x v="5"/>
    <x v="5"/>
    <n v="17.04"/>
    <n v="0"/>
  </r>
  <r>
    <x v="14"/>
    <x v="5"/>
    <x v="9"/>
    <n v="0"/>
    <n v="-591.37"/>
  </r>
  <r>
    <x v="14"/>
    <x v="5"/>
    <x v="0"/>
    <n v="0"/>
    <n v="-775.77"/>
  </r>
  <r>
    <x v="14"/>
    <x v="5"/>
    <x v="5"/>
    <n v="0"/>
    <n v="-760.69"/>
  </r>
  <r>
    <x v="14"/>
    <x v="6"/>
    <x v="0"/>
    <n v="101.54"/>
    <n v="0"/>
  </r>
  <r>
    <x v="14"/>
    <x v="6"/>
    <x v="9"/>
    <n v="29.81"/>
    <n v="0"/>
  </r>
  <r>
    <x v="14"/>
    <x v="6"/>
    <x v="5"/>
    <n v="44.47"/>
    <n v="0"/>
  </r>
  <r>
    <x v="14"/>
    <x v="6"/>
    <x v="5"/>
    <n v="0"/>
    <n v="-884.7"/>
  </r>
  <r>
    <x v="14"/>
    <x v="7"/>
    <x v="0"/>
    <n v="91.53"/>
    <n v="0"/>
  </r>
  <r>
    <x v="14"/>
    <x v="7"/>
    <x v="9"/>
    <n v="29.98"/>
    <n v="0"/>
  </r>
  <r>
    <x v="14"/>
    <x v="7"/>
    <x v="5"/>
    <n v="49.52"/>
    <n v="0"/>
  </r>
  <r>
    <x v="14"/>
    <x v="7"/>
    <x v="5"/>
    <n v="0"/>
    <n v="-1396.27"/>
  </r>
  <r>
    <x v="14"/>
    <x v="7"/>
    <x v="9"/>
    <n v="0"/>
    <n v="-868.79"/>
  </r>
  <r>
    <x v="14"/>
    <x v="7"/>
    <x v="0"/>
    <n v="0"/>
    <n v="-650.4"/>
  </r>
  <r>
    <x v="14"/>
    <x v="8"/>
    <x v="9"/>
    <n v="42.14"/>
    <n v="0"/>
  </r>
  <r>
    <x v="14"/>
    <x v="8"/>
    <x v="5"/>
    <n v="29.65"/>
    <n v="0"/>
  </r>
  <r>
    <x v="14"/>
    <x v="8"/>
    <x v="5"/>
    <n v="0"/>
    <n v="-1594.11"/>
  </r>
  <r>
    <x v="14"/>
    <x v="8"/>
    <x v="0"/>
    <n v="45.84"/>
    <n v="0"/>
  </r>
  <r>
    <x v="14"/>
    <x v="8"/>
    <x v="9"/>
    <n v="0"/>
    <n v="-1048.3"/>
  </r>
  <r>
    <x v="14"/>
    <x v="8"/>
    <x v="0"/>
    <n v="0"/>
    <n v="-799.71"/>
  </r>
  <r>
    <x v="14"/>
    <x v="9"/>
    <x v="0"/>
    <n v="81.84"/>
    <n v="0"/>
  </r>
  <r>
    <x v="14"/>
    <x v="9"/>
    <x v="5"/>
    <n v="27.85"/>
    <n v="0"/>
  </r>
  <r>
    <x v="14"/>
    <x v="9"/>
    <x v="5"/>
    <n v="0"/>
    <n v="-2292.16"/>
  </r>
  <r>
    <x v="14"/>
    <x v="9"/>
    <x v="9"/>
    <n v="48.22"/>
    <n v="0"/>
  </r>
  <r>
    <x v="14"/>
    <x v="9"/>
    <x v="9"/>
    <n v="0"/>
    <n v="-1660.54"/>
  </r>
  <r>
    <x v="14"/>
    <x v="9"/>
    <x v="0"/>
    <n v="0"/>
    <n v="-607.58000000000004"/>
  </r>
  <r>
    <x v="14"/>
    <x v="10"/>
    <x v="0"/>
    <n v="274.35000000000002"/>
    <n v="0"/>
  </r>
  <r>
    <x v="14"/>
    <x v="10"/>
    <x v="0"/>
    <n v="0"/>
    <n v="-1137.81"/>
  </r>
  <r>
    <x v="14"/>
    <x v="10"/>
    <x v="5"/>
    <n v="52.97"/>
    <n v="0"/>
  </r>
  <r>
    <x v="14"/>
    <x v="10"/>
    <x v="9"/>
    <n v="43.05"/>
    <n v="0"/>
  </r>
  <r>
    <x v="14"/>
    <x v="10"/>
    <x v="5"/>
    <n v="0"/>
    <n v="-1646.56"/>
  </r>
  <r>
    <x v="14"/>
    <x v="10"/>
    <x v="9"/>
    <n v="0"/>
    <n v="-1795.83"/>
  </r>
  <r>
    <x v="14"/>
    <x v="11"/>
    <x v="5"/>
    <n v="56.45"/>
    <n v="0"/>
  </r>
  <r>
    <x v="14"/>
    <x v="11"/>
    <x v="9"/>
    <n v="66.260000000000005"/>
    <n v="0"/>
  </r>
  <r>
    <x v="14"/>
    <x v="11"/>
    <x v="0"/>
    <n v="154.44"/>
    <n v="0"/>
  </r>
  <r>
    <x v="14"/>
    <x v="11"/>
    <x v="9"/>
    <n v="0"/>
    <n v="-2196.9299999999998"/>
  </r>
  <r>
    <x v="14"/>
    <x v="11"/>
    <x v="5"/>
    <n v="0"/>
    <n v="-1747.19"/>
  </r>
  <r>
    <x v="14"/>
    <x v="11"/>
    <x v="0"/>
    <n v="0"/>
    <n v="-1324.8"/>
  </r>
  <r>
    <x v="14"/>
    <x v="12"/>
    <x v="0"/>
    <n v="86.4"/>
    <n v="0"/>
  </r>
  <r>
    <x v="14"/>
    <x v="12"/>
    <x v="9"/>
    <n v="111.81"/>
    <n v="0"/>
  </r>
  <r>
    <x v="14"/>
    <x v="12"/>
    <x v="9"/>
    <n v="0"/>
    <n v="-2814.89"/>
  </r>
  <r>
    <x v="14"/>
    <x v="12"/>
    <x v="5"/>
    <n v="22.61"/>
    <n v="0"/>
  </r>
  <r>
    <x v="14"/>
    <x v="12"/>
    <x v="5"/>
    <n v="0"/>
    <n v="-1382.54"/>
  </r>
  <r>
    <x v="14"/>
    <x v="12"/>
    <x v="0"/>
    <n v="0"/>
    <n v="-3231.39"/>
  </r>
  <r>
    <x v="14"/>
    <x v="13"/>
    <x v="0"/>
    <n v="0"/>
    <n v="0"/>
  </r>
  <r>
    <x v="14"/>
    <x v="13"/>
    <x v="9"/>
    <n v="0"/>
    <n v="0"/>
  </r>
  <r>
    <x v="14"/>
    <x v="13"/>
    <x v="5"/>
    <n v="-6.01"/>
    <n v="0"/>
  </r>
  <r>
    <x v="14"/>
    <x v="13"/>
    <x v="5"/>
    <n v="0"/>
    <n v="-1277.2"/>
  </r>
  <r>
    <x v="14"/>
    <x v="13"/>
    <x v="0"/>
    <n v="0"/>
    <n v="-2860.98"/>
  </r>
  <r>
    <x v="14"/>
    <x v="13"/>
    <x v="9"/>
    <n v="0"/>
    <n v="-3764.51"/>
  </r>
  <r>
    <x v="14"/>
    <x v="14"/>
    <x v="9"/>
    <n v="-117.76"/>
    <n v="0"/>
  </r>
  <r>
    <x v="14"/>
    <x v="14"/>
    <x v="5"/>
    <n v="-49.2"/>
    <n v="0"/>
  </r>
  <r>
    <x v="14"/>
    <x v="14"/>
    <x v="0"/>
    <n v="102.25"/>
    <n v="0"/>
  </r>
  <r>
    <x v="14"/>
    <x v="14"/>
    <x v="9"/>
    <n v="0"/>
    <n v="-3067.53"/>
  </r>
  <r>
    <x v="14"/>
    <x v="14"/>
    <x v="0"/>
    <n v="0"/>
    <n v="-3004.17"/>
  </r>
  <r>
    <x v="14"/>
    <x v="14"/>
    <x v="5"/>
    <n v="0"/>
    <n v="-1118.1500000000001"/>
  </r>
  <r>
    <x v="14"/>
    <x v="15"/>
    <x v="9"/>
    <n v="142.75"/>
    <n v="0"/>
  </r>
  <r>
    <x v="14"/>
    <x v="15"/>
    <x v="0"/>
    <n v="332.05"/>
    <n v="0"/>
  </r>
  <r>
    <x v="14"/>
    <x v="15"/>
    <x v="5"/>
    <n v="-10.31"/>
    <n v="0"/>
  </r>
  <r>
    <x v="14"/>
    <x v="15"/>
    <x v="0"/>
    <n v="0"/>
    <n v="-2146.71"/>
  </r>
  <r>
    <x v="14"/>
    <x v="15"/>
    <x v="9"/>
    <n v="0"/>
    <n v="-2506.9499999999998"/>
  </r>
  <r>
    <x v="14"/>
    <x v="15"/>
    <x v="5"/>
    <n v="0"/>
    <n v="-928.42"/>
  </r>
  <r>
    <x v="14"/>
    <x v="16"/>
    <x v="9"/>
    <n v="43.21"/>
    <n v="0"/>
  </r>
  <r>
    <x v="14"/>
    <x v="16"/>
    <x v="9"/>
    <n v="0"/>
    <n v="-2836.64"/>
  </r>
  <r>
    <x v="14"/>
    <x v="16"/>
    <x v="5"/>
    <n v="83.37"/>
    <n v="0"/>
  </r>
  <r>
    <x v="14"/>
    <x v="16"/>
    <x v="0"/>
    <n v="120.41"/>
    <n v="0"/>
  </r>
  <r>
    <x v="14"/>
    <x v="16"/>
    <x v="0"/>
    <n v="0"/>
    <n v="-2815.59"/>
  </r>
  <r>
    <x v="14"/>
    <x v="16"/>
    <x v="5"/>
    <n v="0"/>
    <n v="-953.02"/>
  </r>
  <r>
    <x v="14"/>
    <x v="17"/>
    <x v="5"/>
    <n v="103.82"/>
    <n v="0"/>
  </r>
  <r>
    <x v="14"/>
    <x v="17"/>
    <x v="0"/>
    <n v="109.77"/>
    <n v="0"/>
  </r>
  <r>
    <x v="14"/>
    <x v="17"/>
    <x v="9"/>
    <n v="41.08"/>
    <n v="0"/>
  </r>
  <r>
    <x v="14"/>
    <x v="17"/>
    <x v="9"/>
    <n v="0"/>
    <n v="-3573.69"/>
  </r>
  <r>
    <x v="14"/>
    <x v="17"/>
    <x v="0"/>
    <n v="0"/>
    <n v="-2894.44"/>
  </r>
  <r>
    <x v="14"/>
    <x v="17"/>
    <x v="5"/>
    <n v="0"/>
    <n v="-1491.54"/>
  </r>
  <r>
    <x v="14"/>
    <x v="18"/>
    <x v="5"/>
    <n v="0"/>
    <n v="0"/>
  </r>
  <r>
    <x v="14"/>
    <x v="18"/>
    <x v="0"/>
    <n v="0"/>
    <n v="0"/>
  </r>
  <r>
    <x v="14"/>
    <x v="18"/>
    <x v="9"/>
    <n v="0"/>
    <n v="0"/>
  </r>
  <r>
    <x v="14"/>
    <x v="18"/>
    <x v="9"/>
    <n v="0"/>
    <n v="-3811.77"/>
  </r>
  <r>
    <x v="14"/>
    <x v="18"/>
    <x v="0"/>
    <n v="0"/>
    <n v="-2629.65"/>
  </r>
  <r>
    <x v="14"/>
    <x v="18"/>
    <x v="5"/>
    <n v="0"/>
    <n v="-1528.57"/>
  </r>
  <r>
    <x v="14"/>
    <x v="19"/>
    <x v="9"/>
    <n v="3.33"/>
    <n v="0"/>
  </r>
  <r>
    <x v="14"/>
    <x v="19"/>
    <x v="0"/>
    <n v="194.28"/>
    <n v="0"/>
  </r>
  <r>
    <x v="14"/>
    <x v="19"/>
    <x v="0"/>
    <n v="0"/>
    <n v="-600.36"/>
  </r>
  <r>
    <x v="14"/>
    <x v="19"/>
    <x v="5"/>
    <n v="0"/>
    <n v="0"/>
  </r>
  <r>
    <x v="14"/>
    <x v="19"/>
    <x v="5"/>
    <n v="0"/>
    <n v="-2168.67"/>
  </r>
  <r>
    <x v="14"/>
    <x v="19"/>
    <x v="9"/>
    <n v="0"/>
    <n v="-3359"/>
  </r>
  <r>
    <x v="14"/>
    <x v="20"/>
    <x v="9"/>
    <n v="90.2"/>
    <n v="0"/>
  </r>
  <r>
    <x v="14"/>
    <x v="20"/>
    <x v="0"/>
    <n v="286.94"/>
    <n v="0"/>
  </r>
  <r>
    <x v="14"/>
    <x v="20"/>
    <x v="9"/>
    <n v="0"/>
    <n v="-4283.49"/>
  </r>
  <r>
    <x v="14"/>
    <x v="20"/>
    <x v="5"/>
    <n v="0"/>
    <n v="-2260.6"/>
  </r>
  <r>
    <x v="14"/>
    <x v="20"/>
    <x v="0"/>
    <n v="0"/>
    <n v="-721.89"/>
  </r>
  <r>
    <x v="14"/>
    <x v="21"/>
    <x v="0"/>
    <n v="176.32"/>
    <n v="0"/>
  </r>
  <r>
    <x v="14"/>
    <x v="21"/>
    <x v="5"/>
    <n v="41.06"/>
    <n v="0"/>
  </r>
  <r>
    <x v="14"/>
    <x v="21"/>
    <x v="9"/>
    <n v="51.49"/>
    <n v="0"/>
  </r>
  <r>
    <x v="14"/>
    <x v="21"/>
    <x v="9"/>
    <n v="0"/>
    <n v="-3941.68"/>
  </r>
  <r>
    <x v="14"/>
    <x v="21"/>
    <x v="5"/>
    <n v="0"/>
    <n v="-2005.74"/>
  </r>
  <r>
    <x v="14"/>
    <x v="21"/>
    <x v="0"/>
    <n v="0"/>
    <n v="-878.61"/>
  </r>
  <r>
    <x v="14"/>
    <x v="22"/>
    <x v="0"/>
    <n v="106.01"/>
    <n v="0"/>
  </r>
  <r>
    <x v="14"/>
    <x v="22"/>
    <x v="5"/>
    <n v="111.48"/>
    <n v="0"/>
  </r>
  <r>
    <x v="14"/>
    <x v="22"/>
    <x v="9"/>
    <n v="46.33"/>
    <n v="0"/>
  </r>
  <r>
    <x v="14"/>
    <x v="22"/>
    <x v="5"/>
    <n v="0"/>
    <n v="-2039.64"/>
  </r>
  <r>
    <x v="14"/>
    <x v="22"/>
    <x v="0"/>
    <n v="0"/>
    <n v="-1555.65"/>
  </r>
  <r>
    <x v="14"/>
    <x v="22"/>
    <x v="9"/>
    <n v="0"/>
    <n v="-5005.26"/>
  </r>
  <r>
    <x v="14"/>
    <x v="23"/>
    <x v="0"/>
    <n v="-1195.53"/>
    <n v="0"/>
  </r>
  <r>
    <x v="14"/>
    <x v="23"/>
    <x v="9"/>
    <n v="-3784.32"/>
    <n v="0"/>
  </r>
  <r>
    <x v="14"/>
    <x v="23"/>
    <x v="5"/>
    <n v="-1394.51"/>
    <n v="0"/>
  </r>
  <r>
    <x v="14"/>
    <x v="23"/>
    <x v="5"/>
    <n v="0"/>
    <n v="-1446.85"/>
  </r>
  <r>
    <x v="15"/>
    <x v="79"/>
    <x v="3"/>
    <n v="66.150000000000006"/>
    <n v="0"/>
  </r>
  <r>
    <x v="15"/>
    <x v="79"/>
    <x v="2"/>
    <n v="66.38"/>
    <n v="0"/>
  </r>
  <r>
    <x v="15"/>
    <x v="79"/>
    <x v="0"/>
    <n v="109.07"/>
    <n v="0"/>
  </r>
  <r>
    <x v="15"/>
    <x v="79"/>
    <x v="3"/>
    <n v="0"/>
    <n v="-45.71"/>
  </r>
  <r>
    <x v="15"/>
    <x v="79"/>
    <x v="0"/>
    <n v="0"/>
    <n v="-221.52"/>
  </r>
  <r>
    <x v="15"/>
    <x v="79"/>
    <x v="5"/>
    <n v="55.84"/>
    <n v="0"/>
  </r>
  <r>
    <x v="15"/>
    <x v="79"/>
    <x v="2"/>
    <n v="0"/>
    <n v="-61.34"/>
  </r>
  <r>
    <x v="15"/>
    <x v="79"/>
    <x v="5"/>
    <n v="0"/>
    <n v="-29.02"/>
  </r>
  <r>
    <x v="15"/>
    <x v="80"/>
    <x v="3"/>
    <n v="102.76"/>
    <n v="0"/>
  </r>
  <r>
    <x v="15"/>
    <x v="80"/>
    <x v="2"/>
    <n v="45.01"/>
    <n v="0"/>
  </r>
  <r>
    <x v="15"/>
    <x v="80"/>
    <x v="0"/>
    <n v="183.58"/>
    <n v="0"/>
  </r>
  <r>
    <x v="15"/>
    <x v="80"/>
    <x v="3"/>
    <n v="0"/>
    <n v="-253.71"/>
  </r>
  <r>
    <x v="15"/>
    <x v="80"/>
    <x v="5"/>
    <n v="80.72"/>
    <n v="0"/>
  </r>
  <r>
    <x v="15"/>
    <x v="80"/>
    <x v="5"/>
    <n v="0"/>
    <n v="-101.03"/>
  </r>
  <r>
    <x v="15"/>
    <x v="80"/>
    <x v="0"/>
    <n v="0"/>
    <n v="-294.63"/>
  </r>
  <r>
    <x v="15"/>
    <x v="80"/>
    <x v="2"/>
    <n v="0"/>
    <n v="-122.16"/>
  </r>
  <r>
    <x v="15"/>
    <x v="81"/>
    <x v="5"/>
    <n v="70.33"/>
    <n v="0"/>
  </r>
  <r>
    <x v="15"/>
    <x v="81"/>
    <x v="3"/>
    <n v="69.7"/>
    <n v="0"/>
  </r>
  <r>
    <x v="15"/>
    <x v="81"/>
    <x v="3"/>
    <n v="0"/>
    <n v="-422.96"/>
  </r>
  <r>
    <x v="15"/>
    <x v="81"/>
    <x v="5"/>
    <n v="0"/>
    <n v="-162.26"/>
  </r>
  <r>
    <x v="15"/>
    <x v="81"/>
    <x v="0"/>
    <n v="200.95"/>
    <n v="0"/>
  </r>
  <r>
    <x v="15"/>
    <x v="81"/>
    <x v="2"/>
    <n v="62.72"/>
    <n v="0"/>
  </r>
  <r>
    <x v="15"/>
    <x v="81"/>
    <x v="0"/>
    <n v="0"/>
    <n v="-364.24"/>
  </r>
  <r>
    <x v="15"/>
    <x v="81"/>
    <x v="2"/>
    <n v="0"/>
    <n v="-199.87"/>
  </r>
  <r>
    <x v="15"/>
    <x v="82"/>
    <x v="3"/>
    <n v="52.2"/>
    <n v="0"/>
  </r>
  <r>
    <x v="15"/>
    <x v="82"/>
    <x v="0"/>
    <n v="50.57"/>
    <n v="0"/>
  </r>
  <r>
    <x v="15"/>
    <x v="82"/>
    <x v="5"/>
    <n v="106.17"/>
    <n v="0"/>
  </r>
  <r>
    <x v="15"/>
    <x v="82"/>
    <x v="2"/>
    <n v="63.25"/>
    <n v="0"/>
  </r>
  <r>
    <x v="15"/>
    <x v="82"/>
    <x v="3"/>
    <n v="0"/>
    <n v="-629.76"/>
  </r>
  <r>
    <x v="15"/>
    <x v="82"/>
    <x v="5"/>
    <n v="0"/>
    <n v="-367.64"/>
  </r>
  <r>
    <x v="15"/>
    <x v="82"/>
    <x v="0"/>
    <n v="0"/>
    <n v="-613.99"/>
  </r>
  <r>
    <x v="15"/>
    <x v="82"/>
    <x v="2"/>
    <n v="0"/>
    <n v="-179.22"/>
  </r>
  <r>
    <x v="15"/>
    <x v="83"/>
    <x v="0"/>
    <n v="149.27000000000001"/>
    <n v="0"/>
  </r>
  <r>
    <x v="15"/>
    <x v="83"/>
    <x v="2"/>
    <n v="34.42"/>
    <n v="0"/>
  </r>
  <r>
    <x v="15"/>
    <x v="83"/>
    <x v="3"/>
    <n v="24.88"/>
    <n v="0"/>
  </r>
  <r>
    <x v="15"/>
    <x v="83"/>
    <x v="2"/>
    <n v="0"/>
    <n v="-198.63"/>
  </r>
  <r>
    <x v="15"/>
    <x v="83"/>
    <x v="3"/>
    <n v="0"/>
    <n v="-615.54999999999995"/>
  </r>
  <r>
    <x v="15"/>
    <x v="83"/>
    <x v="5"/>
    <n v="58.86"/>
    <n v="0"/>
  </r>
  <r>
    <x v="15"/>
    <x v="83"/>
    <x v="5"/>
    <n v="0"/>
    <n v="-358.81"/>
  </r>
  <r>
    <x v="15"/>
    <x v="83"/>
    <x v="0"/>
    <n v="0"/>
    <n v="-632.09"/>
  </r>
  <r>
    <x v="15"/>
    <x v="84"/>
    <x v="3"/>
    <n v="152.58000000000001"/>
    <n v="0"/>
  </r>
  <r>
    <x v="15"/>
    <x v="84"/>
    <x v="0"/>
    <n v="193.87"/>
    <n v="0"/>
  </r>
  <r>
    <x v="15"/>
    <x v="84"/>
    <x v="2"/>
    <n v="45.75"/>
    <n v="0"/>
  </r>
  <r>
    <x v="15"/>
    <x v="84"/>
    <x v="2"/>
    <n v="0"/>
    <n v="-209.42"/>
  </r>
  <r>
    <x v="15"/>
    <x v="84"/>
    <x v="5"/>
    <n v="99.96"/>
    <n v="0"/>
  </r>
  <r>
    <x v="15"/>
    <x v="84"/>
    <x v="0"/>
    <n v="0"/>
    <n v="-865.17"/>
  </r>
  <r>
    <x v="15"/>
    <x v="84"/>
    <x v="3"/>
    <n v="0"/>
    <n v="-675.14"/>
  </r>
  <r>
    <x v="15"/>
    <x v="84"/>
    <x v="5"/>
    <n v="0"/>
    <n v="-522.58000000000004"/>
  </r>
  <r>
    <x v="15"/>
    <x v="85"/>
    <x v="0"/>
    <n v="263.27"/>
    <n v="0"/>
  </r>
  <r>
    <x v="15"/>
    <x v="85"/>
    <x v="3"/>
    <n v="44.23"/>
    <n v="0"/>
  </r>
  <r>
    <x v="15"/>
    <x v="85"/>
    <x v="5"/>
    <n v="67.77"/>
    <n v="0"/>
  </r>
  <r>
    <x v="15"/>
    <x v="85"/>
    <x v="5"/>
    <n v="0"/>
    <n v="-650.4"/>
  </r>
  <r>
    <x v="15"/>
    <x v="85"/>
    <x v="3"/>
    <n v="0"/>
    <n v="-988.46"/>
  </r>
  <r>
    <x v="15"/>
    <x v="85"/>
    <x v="2"/>
    <n v="28.41"/>
    <n v="0"/>
  </r>
  <r>
    <x v="15"/>
    <x v="85"/>
    <x v="0"/>
    <n v="0"/>
    <n v="-849.23"/>
  </r>
  <r>
    <x v="15"/>
    <x v="85"/>
    <x v="2"/>
    <n v="0"/>
    <n v="-183.05"/>
  </r>
  <r>
    <x v="15"/>
    <x v="86"/>
    <x v="2"/>
    <n v="46.29"/>
    <n v="0"/>
  </r>
  <r>
    <x v="15"/>
    <x v="86"/>
    <x v="3"/>
    <n v="97.14"/>
    <n v="0"/>
  </r>
  <r>
    <x v="15"/>
    <x v="86"/>
    <x v="0"/>
    <n v="59.86"/>
    <n v="0"/>
  </r>
  <r>
    <x v="15"/>
    <x v="86"/>
    <x v="5"/>
    <n v="20.47"/>
    <n v="0"/>
  </r>
  <r>
    <x v="15"/>
    <x v="86"/>
    <x v="0"/>
    <n v="0"/>
    <n v="-862.42"/>
  </r>
  <r>
    <x v="15"/>
    <x v="86"/>
    <x v="2"/>
    <n v="0"/>
    <n v="-183.11"/>
  </r>
  <r>
    <x v="15"/>
    <x v="86"/>
    <x v="5"/>
    <n v="0"/>
    <n v="-646.48"/>
  </r>
  <r>
    <x v="15"/>
    <x v="86"/>
    <x v="3"/>
    <n v="0"/>
    <n v="-774.76"/>
  </r>
  <r>
    <x v="15"/>
    <x v="87"/>
    <x v="0"/>
    <n v="157.58000000000001"/>
    <n v="0"/>
  </r>
  <r>
    <x v="15"/>
    <x v="87"/>
    <x v="2"/>
    <n v="16.100000000000001"/>
    <n v="0"/>
  </r>
  <r>
    <x v="15"/>
    <x v="87"/>
    <x v="3"/>
    <n v="70.92"/>
    <n v="0"/>
  </r>
  <r>
    <x v="15"/>
    <x v="87"/>
    <x v="5"/>
    <n v="71.27"/>
    <n v="0"/>
  </r>
  <r>
    <x v="15"/>
    <x v="87"/>
    <x v="0"/>
    <n v="0"/>
    <n v="-1243.92"/>
  </r>
  <r>
    <x v="15"/>
    <x v="87"/>
    <x v="5"/>
    <n v="0"/>
    <n v="-634.62"/>
  </r>
  <r>
    <x v="15"/>
    <x v="87"/>
    <x v="2"/>
    <n v="0"/>
    <n v="-248.43"/>
  </r>
  <r>
    <x v="15"/>
    <x v="87"/>
    <x v="3"/>
    <n v="0"/>
    <n v="-671.82"/>
  </r>
  <r>
    <x v="15"/>
    <x v="0"/>
    <x v="3"/>
    <n v="30.87"/>
    <n v="0"/>
  </r>
  <r>
    <x v="15"/>
    <x v="0"/>
    <x v="3"/>
    <n v="0"/>
    <n v="-783.2"/>
  </r>
  <r>
    <x v="15"/>
    <x v="0"/>
    <x v="2"/>
    <n v="30.84"/>
    <n v="0"/>
  </r>
  <r>
    <x v="15"/>
    <x v="0"/>
    <x v="0"/>
    <n v="124.14"/>
    <n v="0"/>
  </r>
  <r>
    <x v="15"/>
    <x v="0"/>
    <x v="5"/>
    <n v="84.71"/>
    <n v="0"/>
  </r>
  <r>
    <x v="15"/>
    <x v="0"/>
    <x v="0"/>
    <n v="0"/>
    <n v="-901.31"/>
  </r>
  <r>
    <x v="15"/>
    <x v="0"/>
    <x v="2"/>
    <n v="0"/>
    <n v="-192.74"/>
  </r>
  <r>
    <x v="15"/>
    <x v="0"/>
    <x v="5"/>
    <n v="0"/>
    <n v="-664.77"/>
  </r>
  <r>
    <x v="15"/>
    <x v="1"/>
    <x v="2"/>
    <n v="40.590000000000003"/>
    <n v="0"/>
  </r>
  <r>
    <x v="15"/>
    <x v="1"/>
    <x v="0"/>
    <n v="189.25"/>
    <n v="0"/>
  </r>
  <r>
    <x v="15"/>
    <x v="1"/>
    <x v="5"/>
    <n v="34.82"/>
    <n v="0"/>
  </r>
  <r>
    <x v="15"/>
    <x v="1"/>
    <x v="3"/>
    <n v="35.33"/>
    <n v="0"/>
  </r>
  <r>
    <x v="15"/>
    <x v="1"/>
    <x v="2"/>
    <n v="0"/>
    <n v="-244.76"/>
  </r>
  <r>
    <x v="15"/>
    <x v="1"/>
    <x v="0"/>
    <n v="0"/>
    <n v="-1148.22"/>
  </r>
  <r>
    <x v="15"/>
    <x v="1"/>
    <x v="5"/>
    <n v="0"/>
    <n v="-578.78"/>
  </r>
  <r>
    <x v="15"/>
    <x v="1"/>
    <x v="3"/>
    <n v="0"/>
    <n v="-785.93"/>
  </r>
  <r>
    <x v="15"/>
    <x v="2"/>
    <x v="3"/>
    <n v="27.01"/>
    <n v="0"/>
  </r>
  <r>
    <x v="15"/>
    <x v="2"/>
    <x v="2"/>
    <n v="29.09"/>
    <n v="0"/>
  </r>
  <r>
    <x v="15"/>
    <x v="2"/>
    <x v="0"/>
    <n v="99.6"/>
    <n v="0"/>
  </r>
  <r>
    <x v="15"/>
    <x v="2"/>
    <x v="5"/>
    <n v="55.41"/>
    <n v="0"/>
  </r>
  <r>
    <x v="15"/>
    <x v="2"/>
    <x v="3"/>
    <n v="0"/>
    <n v="-1078.4000000000001"/>
  </r>
  <r>
    <x v="15"/>
    <x v="2"/>
    <x v="0"/>
    <n v="0"/>
    <n v="-896.74"/>
  </r>
  <r>
    <x v="15"/>
    <x v="2"/>
    <x v="2"/>
    <n v="0"/>
    <n v="-250.48"/>
  </r>
  <r>
    <x v="15"/>
    <x v="2"/>
    <x v="5"/>
    <n v="0"/>
    <n v="-575.23"/>
  </r>
  <r>
    <x v="15"/>
    <x v="3"/>
    <x v="3"/>
    <n v="45"/>
    <n v="0"/>
  </r>
  <r>
    <x v="15"/>
    <x v="3"/>
    <x v="5"/>
    <n v="57.36"/>
    <n v="0"/>
  </r>
  <r>
    <x v="15"/>
    <x v="3"/>
    <x v="0"/>
    <n v="91.24"/>
    <n v="0"/>
  </r>
  <r>
    <x v="15"/>
    <x v="3"/>
    <x v="2"/>
    <n v="11.76"/>
    <n v="0"/>
  </r>
  <r>
    <x v="15"/>
    <x v="3"/>
    <x v="3"/>
    <n v="0"/>
    <n v="-1552.16"/>
  </r>
  <r>
    <x v="15"/>
    <x v="3"/>
    <x v="5"/>
    <n v="0"/>
    <n v="-652.83000000000004"/>
  </r>
  <r>
    <x v="15"/>
    <x v="3"/>
    <x v="0"/>
    <n v="0"/>
    <n v="-1121.08"/>
  </r>
  <r>
    <x v="15"/>
    <x v="3"/>
    <x v="2"/>
    <n v="0"/>
    <n v="-191.92"/>
  </r>
  <r>
    <x v="15"/>
    <x v="4"/>
    <x v="0"/>
    <n v="70.400000000000006"/>
    <n v="0"/>
  </r>
  <r>
    <x v="15"/>
    <x v="4"/>
    <x v="3"/>
    <n v="54.36"/>
    <n v="0"/>
  </r>
  <r>
    <x v="15"/>
    <x v="4"/>
    <x v="5"/>
    <n v="29.92"/>
    <n v="0"/>
  </r>
  <r>
    <x v="15"/>
    <x v="4"/>
    <x v="2"/>
    <n v="70.42"/>
    <n v="0"/>
  </r>
  <r>
    <x v="15"/>
    <x v="4"/>
    <x v="2"/>
    <n v="0"/>
    <n v="-238.11"/>
  </r>
  <r>
    <x v="15"/>
    <x v="4"/>
    <x v="3"/>
    <n v="0"/>
    <n v="-1595.21"/>
  </r>
  <r>
    <x v="15"/>
    <x v="4"/>
    <x v="0"/>
    <n v="0"/>
    <n v="-832.26"/>
  </r>
  <r>
    <x v="15"/>
    <x v="4"/>
    <x v="5"/>
    <n v="0"/>
    <n v="-646.12"/>
  </r>
  <r>
    <x v="15"/>
    <x v="5"/>
    <x v="0"/>
    <n v="146.94999999999999"/>
    <n v="0"/>
  </r>
  <r>
    <x v="15"/>
    <x v="5"/>
    <x v="2"/>
    <n v="100.29"/>
    <n v="0"/>
  </r>
  <r>
    <x v="15"/>
    <x v="5"/>
    <x v="3"/>
    <n v="71.739999999999995"/>
    <n v="0"/>
  </r>
  <r>
    <x v="15"/>
    <x v="5"/>
    <x v="5"/>
    <n v="31.91"/>
    <n v="0"/>
  </r>
  <r>
    <x v="15"/>
    <x v="5"/>
    <x v="5"/>
    <n v="0"/>
    <n v="-522.44000000000005"/>
  </r>
  <r>
    <x v="15"/>
    <x v="5"/>
    <x v="2"/>
    <n v="0"/>
    <n v="-185.11"/>
  </r>
  <r>
    <x v="15"/>
    <x v="5"/>
    <x v="0"/>
    <n v="0"/>
    <n v="-988.14"/>
  </r>
  <r>
    <x v="15"/>
    <x v="5"/>
    <x v="3"/>
    <n v="0"/>
    <n v="-1704.27"/>
  </r>
  <r>
    <x v="15"/>
    <x v="6"/>
    <x v="3"/>
    <n v="80.75"/>
    <n v="0"/>
  </r>
  <r>
    <x v="15"/>
    <x v="6"/>
    <x v="0"/>
    <n v="192.58"/>
    <n v="0"/>
  </r>
  <r>
    <x v="15"/>
    <x v="6"/>
    <x v="5"/>
    <n v="59.19"/>
    <n v="0"/>
  </r>
  <r>
    <x v="15"/>
    <x v="6"/>
    <x v="5"/>
    <n v="0"/>
    <n v="-568.66999999999996"/>
  </r>
  <r>
    <x v="15"/>
    <x v="6"/>
    <x v="3"/>
    <n v="0"/>
    <n v="-998.02"/>
  </r>
  <r>
    <x v="15"/>
    <x v="6"/>
    <x v="2"/>
    <n v="41.07"/>
    <n v="0"/>
  </r>
  <r>
    <x v="15"/>
    <x v="7"/>
    <x v="3"/>
    <n v="64.05"/>
    <n v="0"/>
  </r>
  <r>
    <x v="15"/>
    <x v="7"/>
    <x v="0"/>
    <n v="215.77"/>
    <n v="0"/>
  </r>
  <r>
    <x v="15"/>
    <x v="7"/>
    <x v="3"/>
    <n v="0"/>
    <n v="-2856.85"/>
  </r>
  <r>
    <x v="15"/>
    <x v="7"/>
    <x v="2"/>
    <n v="64.47"/>
    <n v="0"/>
  </r>
  <r>
    <x v="15"/>
    <x v="7"/>
    <x v="0"/>
    <n v="0"/>
    <n v="-922.36"/>
  </r>
  <r>
    <x v="15"/>
    <x v="7"/>
    <x v="5"/>
    <n v="86.06"/>
    <n v="0"/>
  </r>
  <r>
    <x v="15"/>
    <x v="7"/>
    <x v="2"/>
    <n v="0"/>
    <n v="-698.97"/>
  </r>
  <r>
    <x v="15"/>
    <x v="7"/>
    <x v="5"/>
    <n v="0"/>
    <n v="-1129.5899999999999"/>
  </r>
  <r>
    <x v="15"/>
    <x v="8"/>
    <x v="2"/>
    <n v="55.94"/>
    <n v="0"/>
  </r>
  <r>
    <x v="15"/>
    <x v="8"/>
    <x v="5"/>
    <n v="59.43"/>
    <n v="0"/>
  </r>
  <r>
    <x v="15"/>
    <x v="8"/>
    <x v="3"/>
    <n v="70.8"/>
    <n v="0"/>
  </r>
  <r>
    <x v="15"/>
    <x v="8"/>
    <x v="0"/>
    <n v="141.63"/>
    <n v="0"/>
  </r>
  <r>
    <x v="15"/>
    <x v="8"/>
    <x v="5"/>
    <n v="0"/>
    <n v="-1388.92"/>
  </r>
  <r>
    <x v="15"/>
    <x v="8"/>
    <x v="3"/>
    <n v="0"/>
    <n v="-3756.59"/>
  </r>
  <r>
    <x v="15"/>
    <x v="8"/>
    <x v="0"/>
    <n v="0"/>
    <n v="-1037.71"/>
  </r>
  <r>
    <x v="15"/>
    <x v="8"/>
    <x v="2"/>
    <n v="0"/>
    <n v="-759.56"/>
  </r>
  <r>
    <x v="15"/>
    <x v="9"/>
    <x v="0"/>
    <n v="175.38"/>
    <n v="0"/>
  </r>
  <r>
    <x v="15"/>
    <x v="9"/>
    <x v="3"/>
    <n v="99.06"/>
    <n v="0"/>
  </r>
  <r>
    <x v="15"/>
    <x v="9"/>
    <x v="0"/>
    <n v="0"/>
    <n v="-1012.83"/>
  </r>
  <r>
    <x v="15"/>
    <x v="9"/>
    <x v="3"/>
    <n v="0"/>
    <n v="-5646.49"/>
  </r>
  <r>
    <x v="15"/>
    <x v="9"/>
    <x v="5"/>
    <n v="55.65"/>
    <n v="0"/>
  </r>
  <r>
    <x v="15"/>
    <x v="9"/>
    <x v="2"/>
    <n v="126.24"/>
    <n v="0"/>
  </r>
  <r>
    <x v="15"/>
    <x v="9"/>
    <x v="2"/>
    <n v="0"/>
    <n v="-1342.55"/>
  </r>
  <r>
    <x v="15"/>
    <x v="9"/>
    <x v="5"/>
    <n v="0"/>
    <n v="-2362.29"/>
  </r>
  <r>
    <x v="15"/>
    <x v="10"/>
    <x v="0"/>
    <n v="472.5"/>
    <n v="0"/>
  </r>
  <r>
    <x v="15"/>
    <x v="10"/>
    <x v="5"/>
    <n v="81.290000000000006"/>
    <n v="0"/>
  </r>
  <r>
    <x v="15"/>
    <x v="10"/>
    <x v="2"/>
    <n v="112.71"/>
    <n v="0"/>
  </r>
  <r>
    <x v="15"/>
    <x v="10"/>
    <x v="3"/>
    <n v="83.73"/>
    <n v="0"/>
  </r>
  <r>
    <x v="15"/>
    <x v="10"/>
    <x v="0"/>
    <n v="0"/>
    <n v="-1646.08"/>
  </r>
  <r>
    <x v="15"/>
    <x v="10"/>
    <x v="3"/>
    <n v="0"/>
    <n v="-5528.19"/>
  </r>
  <r>
    <x v="15"/>
    <x v="10"/>
    <x v="2"/>
    <n v="0"/>
    <n v="-2987.84"/>
  </r>
  <r>
    <x v="15"/>
    <x v="10"/>
    <x v="5"/>
    <n v="0"/>
    <n v="-1470.47"/>
  </r>
  <r>
    <x v="15"/>
    <x v="11"/>
    <x v="0"/>
    <n v="86.64"/>
    <n v="0"/>
  </r>
  <r>
    <x v="15"/>
    <x v="11"/>
    <x v="3"/>
    <n v="74.27"/>
    <n v="0"/>
  </r>
  <r>
    <x v="15"/>
    <x v="11"/>
    <x v="2"/>
    <n v="34.94"/>
    <n v="0"/>
  </r>
  <r>
    <x v="15"/>
    <x v="11"/>
    <x v="0"/>
    <n v="0"/>
    <n v="-1859.44"/>
  </r>
  <r>
    <x v="15"/>
    <x v="11"/>
    <x v="5"/>
    <n v="70.86"/>
    <n v="0"/>
  </r>
  <r>
    <x v="15"/>
    <x v="11"/>
    <x v="5"/>
    <n v="0"/>
    <n v="-1578.52"/>
  </r>
  <r>
    <x v="15"/>
    <x v="11"/>
    <x v="2"/>
    <n v="0"/>
    <n v="-4541.9399999999996"/>
  </r>
  <r>
    <x v="15"/>
    <x v="11"/>
    <x v="3"/>
    <n v="0"/>
    <n v="-7032.72"/>
  </r>
  <r>
    <x v="15"/>
    <x v="12"/>
    <x v="5"/>
    <n v="-1.43"/>
    <n v="0"/>
  </r>
  <r>
    <x v="15"/>
    <x v="12"/>
    <x v="2"/>
    <n v="0"/>
    <n v="0"/>
  </r>
  <r>
    <x v="15"/>
    <x v="12"/>
    <x v="3"/>
    <n v="0"/>
    <n v="0"/>
  </r>
  <r>
    <x v="15"/>
    <x v="12"/>
    <x v="0"/>
    <n v="0"/>
    <n v="0"/>
  </r>
  <r>
    <x v="15"/>
    <x v="12"/>
    <x v="5"/>
    <n v="0"/>
    <n v="-1014.49"/>
  </r>
  <r>
    <x v="15"/>
    <x v="12"/>
    <x v="2"/>
    <n v="0"/>
    <n v="-4797.03"/>
  </r>
  <r>
    <x v="15"/>
    <x v="12"/>
    <x v="0"/>
    <n v="0"/>
    <n v="-4431.45"/>
  </r>
  <r>
    <x v="15"/>
    <x v="12"/>
    <x v="3"/>
    <n v="0"/>
    <n v="-8733.39"/>
  </r>
  <r>
    <x v="15"/>
    <x v="13"/>
    <x v="2"/>
    <n v="0"/>
    <n v="0"/>
  </r>
  <r>
    <x v="15"/>
    <x v="13"/>
    <x v="0"/>
    <n v="0"/>
    <n v="0"/>
  </r>
  <r>
    <x v="15"/>
    <x v="13"/>
    <x v="5"/>
    <n v="-12.28"/>
    <n v="0"/>
  </r>
  <r>
    <x v="15"/>
    <x v="13"/>
    <x v="3"/>
    <n v="0"/>
    <n v="0"/>
  </r>
  <r>
    <x v="15"/>
    <x v="13"/>
    <x v="2"/>
    <n v="0"/>
    <n v="-5286.97"/>
  </r>
  <r>
    <x v="15"/>
    <x v="13"/>
    <x v="5"/>
    <n v="0"/>
    <n v="-869.21"/>
  </r>
  <r>
    <x v="15"/>
    <x v="13"/>
    <x v="3"/>
    <n v="0"/>
    <n v="-10738.89"/>
  </r>
  <r>
    <x v="15"/>
    <x v="13"/>
    <x v="0"/>
    <n v="0"/>
    <n v="-3953.36"/>
  </r>
  <r>
    <x v="15"/>
    <x v="14"/>
    <x v="2"/>
    <n v="0"/>
    <n v="-3363.55"/>
  </r>
  <r>
    <x v="15"/>
    <x v="14"/>
    <x v="2"/>
    <n v="17.52"/>
    <n v="0"/>
  </r>
  <r>
    <x v="15"/>
    <x v="14"/>
    <x v="0"/>
    <n v="-4040.19"/>
    <n v="0"/>
  </r>
  <r>
    <x v="15"/>
    <x v="14"/>
    <x v="5"/>
    <n v="-124.4"/>
    <n v="0"/>
  </r>
  <r>
    <x v="15"/>
    <x v="14"/>
    <x v="3"/>
    <n v="0"/>
    <n v="-9442.73"/>
  </r>
  <r>
    <x v="15"/>
    <x v="14"/>
    <x v="5"/>
    <n v="0"/>
    <n v="-712.72"/>
  </r>
  <r>
    <x v="15"/>
    <x v="14"/>
    <x v="3"/>
    <n v="18.95"/>
    <n v="0"/>
  </r>
  <r>
    <x v="15"/>
    <x v="15"/>
    <x v="3"/>
    <n v="0"/>
    <n v="-8003.67"/>
  </r>
  <r>
    <x v="15"/>
    <x v="15"/>
    <x v="3"/>
    <n v="282.60000000000002"/>
    <n v="0"/>
  </r>
  <r>
    <x v="15"/>
    <x v="15"/>
    <x v="2"/>
    <n v="304.95"/>
    <n v="0"/>
  </r>
  <r>
    <x v="15"/>
    <x v="15"/>
    <x v="5"/>
    <n v="279.91000000000003"/>
    <n v="0"/>
  </r>
  <r>
    <x v="15"/>
    <x v="15"/>
    <x v="2"/>
    <n v="0"/>
    <n v="-2700.55"/>
  </r>
  <r>
    <x v="15"/>
    <x v="15"/>
    <x v="5"/>
    <n v="0"/>
    <n v="-890.82"/>
  </r>
  <r>
    <x v="15"/>
    <x v="16"/>
    <x v="2"/>
    <n v="111.63"/>
    <n v="0"/>
  </r>
  <r>
    <x v="15"/>
    <x v="16"/>
    <x v="3"/>
    <n v="0"/>
    <n v="-9132.5499999999993"/>
  </r>
  <r>
    <x v="15"/>
    <x v="16"/>
    <x v="5"/>
    <n v="132.91"/>
    <n v="0"/>
  </r>
  <r>
    <x v="15"/>
    <x v="16"/>
    <x v="3"/>
    <n v="104.03"/>
    <n v="0"/>
  </r>
  <r>
    <x v="15"/>
    <x v="16"/>
    <x v="2"/>
    <n v="0"/>
    <n v="-3829.26"/>
  </r>
  <r>
    <x v="15"/>
    <x v="16"/>
    <x v="5"/>
    <n v="0"/>
    <n v="-1095.45"/>
  </r>
  <r>
    <x v="15"/>
    <x v="17"/>
    <x v="3"/>
    <n v="0"/>
    <n v="-11102.93"/>
  </r>
  <r>
    <x v="15"/>
    <x v="17"/>
    <x v="5"/>
    <n v="0"/>
    <n v="-2164.09"/>
  </r>
  <r>
    <x v="15"/>
    <x v="17"/>
    <x v="2"/>
    <n v="0"/>
    <n v="-7403.45"/>
  </r>
  <r>
    <x v="15"/>
    <x v="17"/>
    <x v="3"/>
    <n v="9.36"/>
    <n v="0"/>
  </r>
  <r>
    <x v="15"/>
    <x v="17"/>
    <x v="5"/>
    <n v="68.150000000000006"/>
    <n v="0"/>
  </r>
  <r>
    <x v="15"/>
    <x v="17"/>
    <x v="2"/>
    <n v="7.04"/>
    <n v="0"/>
  </r>
  <r>
    <x v="15"/>
    <x v="18"/>
    <x v="3"/>
    <n v="0"/>
    <n v="-908.54"/>
  </r>
  <r>
    <x v="15"/>
    <x v="18"/>
    <x v="3"/>
    <n v="-11164.17"/>
    <n v="0"/>
  </r>
  <r>
    <x v="15"/>
    <x v="18"/>
    <x v="5"/>
    <n v="-215.34"/>
    <n v="0"/>
  </r>
  <r>
    <x v="15"/>
    <x v="18"/>
    <x v="5"/>
    <n v="0"/>
    <n v="-2012.65"/>
  </r>
  <r>
    <x v="15"/>
    <x v="18"/>
    <x v="2"/>
    <n v="-9321.4699999999993"/>
    <n v="0"/>
  </r>
  <r>
    <x v="15"/>
    <x v="19"/>
    <x v="2"/>
    <n v="0"/>
    <n v="0"/>
  </r>
  <r>
    <x v="15"/>
    <x v="19"/>
    <x v="3"/>
    <n v="0"/>
    <n v="-591.46"/>
  </r>
  <r>
    <x v="15"/>
    <x v="19"/>
    <x v="5"/>
    <n v="0"/>
    <n v="-175.78"/>
  </r>
  <r>
    <x v="15"/>
    <x v="19"/>
    <x v="3"/>
    <n v="-194.38"/>
    <n v="0"/>
  </r>
  <r>
    <x v="15"/>
    <x v="19"/>
    <x v="5"/>
    <n v="-2302.69"/>
    <n v="0"/>
  </r>
  <r>
    <x v="15"/>
    <x v="20"/>
    <x v="3"/>
    <n v="-340.26"/>
    <n v="0"/>
  </r>
  <r>
    <x v="15"/>
    <x v="20"/>
    <x v="5"/>
    <n v="-200.58"/>
    <n v="0"/>
  </r>
  <r>
    <x v="15"/>
    <x v="20"/>
    <x v="3"/>
    <n v="0"/>
    <n v="-513.98"/>
  </r>
  <r>
    <x v="15"/>
    <x v="21"/>
    <x v="5"/>
    <n v="0"/>
    <n v="0"/>
  </r>
  <r>
    <x v="15"/>
    <x v="21"/>
    <x v="3"/>
    <n v="0"/>
    <n v="-313.14"/>
  </r>
  <r>
    <x v="15"/>
    <x v="21"/>
    <x v="3"/>
    <n v="-152.34"/>
    <n v="0"/>
  </r>
  <r>
    <x v="15"/>
    <x v="22"/>
    <x v="3"/>
    <n v="0"/>
    <n v="-150.18"/>
  </r>
  <r>
    <x v="15"/>
    <x v="22"/>
    <x v="3"/>
    <n v="-312.02999999999997"/>
    <n v="0"/>
  </r>
  <r>
    <x v="15"/>
    <x v="23"/>
    <x v="3"/>
    <n v="0"/>
    <n v="-91.45"/>
  </r>
  <r>
    <x v="15"/>
    <x v="23"/>
    <x v="5"/>
    <n v="0"/>
    <n v="0"/>
  </r>
  <r>
    <x v="15"/>
    <x v="24"/>
    <x v="3"/>
    <n v="0"/>
    <n v="-87.31"/>
  </r>
  <r>
    <x v="16"/>
    <x v="82"/>
    <x v="9"/>
    <n v="12.9"/>
    <n v="0"/>
  </r>
  <r>
    <x v="16"/>
    <x v="82"/>
    <x v="9"/>
    <n v="0"/>
    <n v="-20.97"/>
  </r>
  <r>
    <x v="16"/>
    <x v="82"/>
    <x v="0"/>
    <n v="0"/>
    <n v="-32.75"/>
  </r>
  <r>
    <x v="16"/>
    <x v="83"/>
    <x v="9"/>
    <n v="19.53"/>
    <n v="0"/>
  </r>
  <r>
    <x v="16"/>
    <x v="83"/>
    <x v="0"/>
    <n v="147.29"/>
    <n v="0"/>
  </r>
  <r>
    <x v="16"/>
    <x v="83"/>
    <x v="0"/>
    <n v="0"/>
    <n v="-78.52"/>
  </r>
  <r>
    <x v="16"/>
    <x v="83"/>
    <x v="9"/>
    <n v="0"/>
    <n v="-31.77"/>
  </r>
  <r>
    <x v="16"/>
    <x v="84"/>
    <x v="0"/>
    <n v="193.13"/>
    <n v="0"/>
  </r>
  <r>
    <x v="16"/>
    <x v="84"/>
    <x v="9"/>
    <n v="117.5"/>
    <n v="0"/>
  </r>
  <r>
    <x v="16"/>
    <x v="84"/>
    <x v="0"/>
    <n v="0"/>
    <n v="-232.6"/>
  </r>
  <r>
    <x v="16"/>
    <x v="84"/>
    <x v="9"/>
    <n v="0"/>
    <n v="-98.88"/>
  </r>
  <r>
    <x v="16"/>
    <x v="85"/>
    <x v="9"/>
    <n v="72.290000000000006"/>
    <n v="0"/>
  </r>
  <r>
    <x v="16"/>
    <x v="85"/>
    <x v="0"/>
    <n v="0"/>
    <n v="-728.76"/>
  </r>
  <r>
    <x v="16"/>
    <x v="85"/>
    <x v="9"/>
    <n v="0"/>
    <n v="-104.51"/>
  </r>
  <r>
    <x v="16"/>
    <x v="85"/>
    <x v="0"/>
    <n v="215.55"/>
    <n v="0"/>
  </r>
  <r>
    <x v="16"/>
    <x v="86"/>
    <x v="0"/>
    <n v="59.66"/>
    <n v="0"/>
  </r>
  <r>
    <x v="16"/>
    <x v="86"/>
    <x v="9"/>
    <n v="0"/>
    <n v="-84.03"/>
  </r>
  <r>
    <x v="16"/>
    <x v="86"/>
    <x v="0"/>
    <n v="0"/>
    <n v="-749.25"/>
  </r>
  <r>
    <x v="16"/>
    <x v="86"/>
    <x v="9"/>
    <n v="78.599999999999994"/>
    <n v="0"/>
  </r>
  <r>
    <x v="16"/>
    <x v="87"/>
    <x v="9"/>
    <n v="59.18"/>
    <n v="0"/>
  </r>
  <r>
    <x v="16"/>
    <x v="87"/>
    <x v="0"/>
    <n v="158.58000000000001"/>
    <n v="0"/>
  </r>
  <r>
    <x v="16"/>
    <x v="87"/>
    <x v="9"/>
    <n v="0"/>
    <n v="-155.31"/>
  </r>
  <r>
    <x v="16"/>
    <x v="87"/>
    <x v="0"/>
    <n v="0"/>
    <n v="-1166.1300000000001"/>
  </r>
  <r>
    <x v="16"/>
    <x v="0"/>
    <x v="9"/>
    <n v="41.98"/>
    <n v="0"/>
  </r>
  <r>
    <x v="16"/>
    <x v="0"/>
    <x v="0"/>
    <n v="121.78"/>
    <n v="0"/>
  </r>
  <r>
    <x v="16"/>
    <x v="0"/>
    <x v="0"/>
    <n v="0"/>
    <n v="-773.45"/>
  </r>
  <r>
    <x v="16"/>
    <x v="0"/>
    <x v="9"/>
    <n v="0"/>
    <n v="-146.01"/>
  </r>
  <r>
    <x v="16"/>
    <x v="1"/>
    <x v="9"/>
    <n v="32.83"/>
    <n v="0"/>
  </r>
  <r>
    <x v="16"/>
    <x v="1"/>
    <x v="0"/>
    <n v="0"/>
    <n v="-1124.05"/>
  </r>
  <r>
    <x v="16"/>
    <x v="1"/>
    <x v="9"/>
    <n v="0"/>
    <n v="-157.74"/>
  </r>
  <r>
    <x v="16"/>
    <x v="1"/>
    <x v="0"/>
    <n v="188.77"/>
    <n v="0"/>
  </r>
  <r>
    <x v="16"/>
    <x v="2"/>
    <x v="9"/>
    <n v="32.69"/>
    <n v="0"/>
  </r>
  <r>
    <x v="16"/>
    <x v="2"/>
    <x v="0"/>
    <n v="104.67"/>
    <n v="0"/>
  </r>
  <r>
    <x v="16"/>
    <x v="2"/>
    <x v="0"/>
    <n v="0"/>
    <n v="-761.58"/>
  </r>
  <r>
    <x v="16"/>
    <x v="2"/>
    <x v="9"/>
    <n v="0"/>
    <n v="-188.26"/>
  </r>
  <r>
    <x v="16"/>
    <x v="3"/>
    <x v="0"/>
    <n v="113.45"/>
    <n v="0"/>
  </r>
  <r>
    <x v="16"/>
    <x v="3"/>
    <x v="9"/>
    <n v="32.35"/>
    <n v="0"/>
  </r>
  <r>
    <x v="16"/>
    <x v="3"/>
    <x v="0"/>
    <n v="0"/>
    <n v="-941.34"/>
  </r>
  <r>
    <x v="16"/>
    <x v="3"/>
    <x v="9"/>
    <n v="0"/>
    <n v="-344.05"/>
  </r>
  <r>
    <x v="16"/>
    <x v="4"/>
    <x v="0"/>
    <n v="80.430000000000007"/>
    <n v="0"/>
  </r>
  <r>
    <x v="16"/>
    <x v="4"/>
    <x v="9"/>
    <n v="26.56"/>
    <n v="0"/>
  </r>
  <r>
    <x v="16"/>
    <x v="4"/>
    <x v="9"/>
    <n v="0"/>
    <n v="-401.27"/>
  </r>
  <r>
    <x v="16"/>
    <x v="4"/>
    <x v="0"/>
    <n v="0"/>
    <n v="-680.23"/>
  </r>
  <r>
    <x v="16"/>
    <x v="5"/>
    <x v="0"/>
    <n v="148.33000000000001"/>
    <n v="0"/>
  </r>
  <r>
    <x v="16"/>
    <x v="5"/>
    <x v="9"/>
    <n v="52.53"/>
    <n v="0"/>
  </r>
  <r>
    <x v="16"/>
    <x v="5"/>
    <x v="0"/>
    <n v="0"/>
    <n v="-828.37"/>
  </r>
  <r>
    <x v="16"/>
    <x v="5"/>
    <x v="9"/>
    <n v="0"/>
    <n v="-422.88"/>
  </r>
  <r>
    <x v="16"/>
    <x v="6"/>
    <x v="0"/>
    <n v="203"/>
    <n v="0"/>
  </r>
  <r>
    <x v="16"/>
    <x v="6"/>
    <x v="9"/>
    <n v="59.58"/>
    <n v="0"/>
  </r>
  <r>
    <x v="16"/>
    <x v="6"/>
    <x v="0"/>
    <n v="0"/>
    <n v="-806.75"/>
  </r>
  <r>
    <x v="16"/>
    <x v="7"/>
    <x v="9"/>
    <n v="59.79"/>
    <n v="0"/>
  </r>
  <r>
    <x v="16"/>
    <x v="7"/>
    <x v="9"/>
    <n v="0"/>
    <n v="-752.05"/>
  </r>
  <r>
    <x v="16"/>
    <x v="7"/>
    <x v="0"/>
    <n v="0"/>
    <n v="-826.28"/>
  </r>
  <r>
    <x v="16"/>
    <x v="7"/>
    <x v="0"/>
    <n v="215.5"/>
    <n v="0"/>
  </r>
  <r>
    <x v="16"/>
    <x v="8"/>
    <x v="9"/>
    <n v="84.35"/>
    <n v="0"/>
  </r>
  <r>
    <x v="16"/>
    <x v="8"/>
    <x v="0"/>
    <n v="140.49"/>
    <n v="0"/>
  </r>
  <r>
    <x v="16"/>
    <x v="8"/>
    <x v="0"/>
    <n v="0"/>
    <n v="-883.14"/>
  </r>
  <r>
    <x v="16"/>
    <x v="8"/>
    <x v="9"/>
    <n v="0"/>
    <n v="-988.32"/>
  </r>
  <r>
    <x v="16"/>
    <x v="9"/>
    <x v="9"/>
    <n v="89.04"/>
    <n v="0"/>
  </r>
  <r>
    <x v="16"/>
    <x v="9"/>
    <x v="0"/>
    <n v="0"/>
    <n v="-939.85"/>
  </r>
  <r>
    <x v="16"/>
    <x v="9"/>
    <x v="9"/>
    <n v="0"/>
    <n v="-1874.02"/>
  </r>
  <r>
    <x v="16"/>
    <x v="9"/>
    <x v="0"/>
    <n v="175.36"/>
    <n v="0"/>
  </r>
  <r>
    <x v="16"/>
    <x v="10"/>
    <x v="0"/>
    <n v="540.32000000000005"/>
    <n v="0"/>
  </r>
  <r>
    <x v="16"/>
    <x v="10"/>
    <x v="9"/>
    <n v="86.05"/>
    <n v="0"/>
  </r>
  <r>
    <x v="16"/>
    <x v="10"/>
    <x v="0"/>
    <n v="0"/>
    <n v="-1430.64"/>
  </r>
  <r>
    <x v="16"/>
    <x v="10"/>
    <x v="9"/>
    <n v="0"/>
    <n v="-2089.1"/>
  </r>
  <r>
    <x v="16"/>
    <x v="11"/>
    <x v="0"/>
    <n v="473.52"/>
    <n v="0"/>
  </r>
  <r>
    <x v="16"/>
    <x v="11"/>
    <x v="9"/>
    <n v="139.01"/>
    <n v="0"/>
  </r>
  <r>
    <x v="16"/>
    <x v="11"/>
    <x v="0"/>
    <n v="0"/>
    <n v="-1978.39"/>
  </r>
  <r>
    <x v="16"/>
    <x v="11"/>
    <x v="9"/>
    <n v="0"/>
    <n v="-2696.17"/>
  </r>
  <r>
    <x v="16"/>
    <x v="12"/>
    <x v="0"/>
    <n v="421.68"/>
    <n v="0"/>
  </r>
  <r>
    <x v="16"/>
    <x v="12"/>
    <x v="9"/>
    <n v="276.58"/>
    <n v="0"/>
  </r>
  <r>
    <x v="16"/>
    <x v="12"/>
    <x v="0"/>
    <n v="0"/>
    <n v="-5212.43"/>
  </r>
  <r>
    <x v="16"/>
    <x v="12"/>
    <x v="9"/>
    <n v="0"/>
    <n v="-3801.47"/>
  </r>
  <r>
    <x v="16"/>
    <x v="13"/>
    <x v="9"/>
    <n v="210.58"/>
    <n v="0"/>
  </r>
  <r>
    <x v="16"/>
    <x v="13"/>
    <x v="0"/>
    <n v="0"/>
    <n v="-5555.32"/>
  </r>
  <r>
    <x v="16"/>
    <x v="13"/>
    <x v="9"/>
    <n v="0"/>
    <n v="-5870.29"/>
  </r>
  <r>
    <x v="16"/>
    <x v="13"/>
    <x v="0"/>
    <n v="898.1"/>
    <n v="0"/>
  </r>
  <r>
    <x v="16"/>
    <x v="14"/>
    <x v="0"/>
    <n v="848.18"/>
    <n v="0"/>
  </r>
  <r>
    <x v="16"/>
    <x v="14"/>
    <x v="9"/>
    <n v="244.06"/>
    <n v="0"/>
  </r>
  <r>
    <x v="16"/>
    <x v="14"/>
    <x v="0"/>
    <n v="0"/>
    <n v="-5943.93"/>
  </r>
  <r>
    <x v="16"/>
    <x v="14"/>
    <x v="9"/>
    <n v="0"/>
    <n v="-4604.21"/>
  </r>
  <r>
    <x v="16"/>
    <x v="15"/>
    <x v="0"/>
    <n v="0"/>
    <n v="-5267.77"/>
  </r>
  <r>
    <x v="16"/>
    <x v="15"/>
    <x v="9"/>
    <n v="323.24"/>
    <n v="0"/>
  </r>
  <r>
    <x v="16"/>
    <x v="15"/>
    <x v="0"/>
    <n v="791.01"/>
    <n v="0"/>
  </r>
  <r>
    <x v="16"/>
    <x v="15"/>
    <x v="9"/>
    <n v="0"/>
    <n v="-3749.94"/>
  </r>
  <r>
    <x v="16"/>
    <x v="16"/>
    <x v="0"/>
    <n v="302.58"/>
    <n v="0"/>
  </r>
  <r>
    <x v="16"/>
    <x v="16"/>
    <x v="9"/>
    <n v="106.42"/>
    <n v="0"/>
  </r>
  <r>
    <x v="16"/>
    <x v="16"/>
    <x v="0"/>
    <n v="0"/>
    <n v="-5796.96"/>
  </r>
  <r>
    <x v="16"/>
    <x v="16"/>
    <x v="9"/>
    <n v="0"/>
    <n v="-4145.1000000000004"/>
  </r>
  <r>
    <x v="16"/>
    <x v="17"/>
    <x v="9"/>
    <n v="182.42"/>
    <n v="0"/>
  </r>
  <r>
    <x v="16"/>
    <x v="17"/>
    <x v="0"/>
    <n v="507.33"/>
    <n v="0"/>
  </r>
  <r>
    <x v="16"/>
    <x v="17"/>
    <x v="9"/>
    <n v="0"/>
    <n v="-5242.2"/>
  </r>
  <r>
    <x v="16"/>
    <x v="17"/>
    <x v="0"/>
    <n v="0"/>
    <n v="-5910.74"/>
  </r>
  <r>
    <x v="16"/>
    <x v="18"/>
    <x v="9"/>
    <n v="0"/>
    <n v="-5713.96"/>
  </r>
  <r>
    <x v="16"/>
    <x v="18"/>
    <x v="0"/>
    <n v="689.66"/>
    <n v="0"/>
  </r>
  <r>
    <x v="16"/>
    <x v="18"/>
    <x v="9"/>
    <n v="216.62"/>
    <n v="0"/>
  </r>
  <r>
    <x v="16"/>
    <x v="18"/>
    <x v="0"/>
    <n v="0"/>
    <n v="-5600.34"/>
  </r>
  <r>
    <x v="16"/>
    <x v="19"/>
    <x v="9"/>
    <n v="0"/>
    <n v="-4968.3599999999997"/>
  </r>
  <r>
    <x v="16"/>
    <x v="19"/>
    <x v="0"/>
    <n v="0"/>
    <n v="-6172.97"/>
  </r>
  <r>
    <x v="16"/>
    <x v="19"/>
    <x v="0"/>
    <n v="633.11"/>
    <n v="0"/>
  </r>
  <r>
    <x v="16"/>
    <x v="19"/>
    <x v="9"/>
    <n v="201.52"/>
    <n v="0"/>
  </r>
  <r>
    <x v="16"/>
    <x v="20"/>
    <x v="0"/>
    <n v="0"/>
    <n v="-6241.44"/>
  </r>
  <r>
    <x v="16"/>
    <x v="20"/>
    <x v="0"/>
    <n v="593.76"/>
    <n v="0"/>
  </r>
  <r>
    <x v="16"/>
    <x v="20"/>
    <x v="9"/>
    <n v="179.92"/>
    <n v="0"/>
  </r>
  <r>
    <x v="16"/>
    <x v="20"/>
    <x v="9"/>
    <n v="0"/>
    <n v="-6333.3"/>
  </r>
  <r>
    <x v="16"/>
    <x v="21"/>
    <x v="0"/>
    <n v="353.12"/>
    <n v="0"/>
  </r>
  <r>
    <x v="16"/>
    <x v="21"/>
    <x v="0"/>
    <n v="0"/>
    <n v="-5888.93"/>
  </r>
  <r>
    <x v="16"/>
    <x v="21"/>
    <x v="9"/>
    <n v="110.11"/>
    <n v="0"/>
  </r>
  <r>
    <x v="16"/>
    <x v="21"/>
    <x v="9"/>
    <n v="0"/>
    <n v="-5746.03"/>
  </r>
  <r>
    <x v="16"/>
    <x v="22"/>
    <x v="0"/>
    <n v="330.76"/>
    <n v="0"/>
  </r>
  <r>
    <x v="16"/>
    <x v="22"/>
    <x v="9"/>
    <n v="207.71"/>
    <n v="0"/>
  </r>
  <r>
    <x v="16"/>
    <x v="22"/>
    <x v="9"/>
    <n v="0"/>
    <n v="-7620.41"/>
  </r>
  <r>
    <x v="16"/>
    <x v="22"/>
    <x v="0"/>
    <n v="0"/>
    <n v="-5385.25"/>
  </r>
  <r>
    <x v="16"/>
    <x v="23"/>
    <x v="9"/>
    <n v="-6396.42"/>
    <n v="0"/>
  </r>
  <r>
    <x v="16"/>
    <x v="23"/>
    <x v="0"/>
    <n v="-5143.43"/>
    <n v="0"/>
  </r>
  <r>
    <x v="16"/>
    <x v="23"/>
    <x v="0"/>
    <n v="0"/>
    <n v="-4628.88"/>
  </r>
</pivotCacheRecords>
</file>

<file path=xl/pivotCache/pivotCacheRecords4.xml><?xml version="1.0" encoding="utf-8"?>
<pivotCacheRecords xmlns="http://schemas.openxmlformats.org/spreadsheetml/2006/main" xmlns:r="http://schemas.openxmlformats.org/officeDocument/2006/relationships" count="97">
  <r>
    <x v="0"/>
    <x v="0"/>
    <x v="0"/>
    <n v="0"/>
  </r>
  <r>
    <x v="1"/>
    <x v="1"/>
    <x v="1"/>
    <n v="0"/>
  </r>
  <r>
    <x v="2"/>
    <x v="2"/>
    <x v="2"/>
    <n v="0"/>
  </r>
  <r>
    <x v="1"/>
    <x v="3"/>
    <x v="3"/>
    <n v="0"/>
  </r>
  <r>
    <x v="3"/>
    <x v="4"/>
    <x v="4"/>
    <n v="0"/>
  </r>
  <r>
    <x v="4"/>
    <x v="5"/>
    <x v="5"/>
    <n v="0"/>
  </r>
  <r>
    <x v="5"/>
    <x v="3"/>
    <x v="6"/>
    <n v="0"/>
  </r>
  <r>
    <x v="6"/>
    <x v="6"/>
    <x v="7"/>
    <n v="0"/>
  </r>
  <r>
    <x v="7"/>
    <x v="3"/>
    <x v="8"/>
    <n v="0"/>
  </r>
  <r>
    <x v="0"/>
    <x v="7"/>
    <x v="9"/>
    <n v="0"/>
  </r>
  <r>
    <x v="8"/>
    <x v="8"/>
    <x v="10"/>
    <n v="0"/>
  </r>
  <r>
    <x v="2"/>
    <x v="1"/>
    <x v="11"/>
    <n v="0"/>
  </r>
  <r>
    <x v="6"/>
    <x v="2"/>
    <x v="12"/>
    <n v="0"/>
  </r>
  <r>
    <x v="8"/>
    <x v="9"/>
    <x v="13"/>
    <n v="0"/>
  </r>
  <r>
    <x v="5"/>
    <x v="1"/>
    <x v="14"/>
    <n v="0"/>
  </r>
  <r>
    <x v="6"/>
    <x v="1"/>
    <x v="15"/>
    <n v="0"/>
  </r>
  <r>
    <x v="2"/>
    <x v="10"/>
    <x v="16"/>
    <n v="0"/>
  </r>
  <r>
    <x v="2"/>
    <x v="0"/>
    <x v="17"/>
    <n v="0"/>
  </r>
  <r>
    <x v="5"/>
    <x v="7"/>
    <x v="18"/>
    <n v="0"/>
  </r>
  <r>
    <x v="4"/>
    <x v="3"/>
    <x v="19"/>
    <n v="0"/>
  </r>
  <r>
    <x v="1"/>
    <x v="11"/>
    <x v="20"/>
    <n v="0"/>
  </r>
  <r>
    <x v="6"/>
    <x v="12"/>
    <x v="21"/>
    <n v="0"/>
  </r>
  <r>
    <x v="3"/>
    <x v="5"/>
    <x v="22"/>
    <n v="0"/>
  </r>
  <r>
    <x v="0"/>
    <x v="10"/>
    <x v="23"/>
    <n v="0"/>
  </r>
  <r>
    <x v="0"/>
    <x v="0"/>
    <x v="24"/>
    <n v="20.09"/>
  </r>
  <r>
    <x v="2"/>
    <x v="2"/>
    <x v="24"/>
    <n v="12968.3"/>
  </r>
  <r>
    <x v="1"/>
    <x v="1"/>
    <x v="24"/>
    <n v="18340.71"/>
  </r>
  <r>
    <x v="1"/>
    <x v="7"/>
    <x v="24"/>
    <n v="-3839.86"/>
  </r>
  <r>
    <x v="9"/>
    <x v="2"/>
    <x v="24"/>
    <n v="6499.1"/>
  </r>
  <r>
    <x v="9"/>
    <x v="0"/>
    <x v="24"/>
    <n v="293.97000000000003"/>
  </r>
  <r>
    <x v="9"/>
    <x v="13"/>
    <x v="24"/>
    <n v="163.03"/>
  </r>
  <r>
    <x v="10"/>
    <x v="2"/>
    <x v="24"/>
    <n v="2345.3200000000002"/>
  </r>
  <r>
    <x v="3"/>
    <x v="4"/>
    <x v="24"/>
    <n v="10823.75"/>
  </r>
  <r>
    <x v="11"/>
    <x v="11"/>
    <x v="24"/>
    <n v="-3040.48"/>
  </r>
  <r>
    <x v="1"/>
    <x v="3"/>
    <x v="24"/>
    <n v="-37132.93"/>
  </r>
  <r>
    <x v="4"/>
    <x v="5"/>
    <x v="24"/>
    <n v="-11928.55"/>
  </r>
  <r>
    <x v="7"/>
    <x v="2"/>
    <x v="24"/>
    <n v="-7753.64"/>
  </r>
  <r>
    <x v="12"/>
    <x v="1"/>
    <x v="24"/>
    <n v="-43.45"/>
  </r>
  <r>
    <x v="9"/>
    <x v="14"/>
    <x v="24"/>
    <n v="383.9"/>
  </r>
  <r>
    <x v="9"/>
    <x v="9"/>
    <x v="24"/>
    <n v="-590.88"/>
  </r>
  <r>
    <x v="13"/>
    <x v="2"/>
    <x v="24"/>
    <n v="1897.73"/>
  </r>
  <r>
    <x v="5"/>
    <x v="3"/>
    <x v="24"/>
    <n v="9097.76"/>
  </r>
  <r>
    <x v="9"/>
    <x v="5"/>
    <x v="24"/>
    <n v="4308.67"/>
  </r>
  <r>
    <x v="9"/>
    <x v="15"/>
    <x v="24"/>
    <n v="317.52999999999997"/>
  </r>
  <r>
    <x v="6"/>
    <x v="2"/>
    <x v="24"/>
    <n v="10922.61"/>
  </r>
  <r>
    <x v="6"/>
    <x v="6"/>
    <x v="24"/>
    <n v="34629.49"/>
  </r>
  <r>
    <x v="8"/>
    <x v="8"/>
    <x v="24"/>
    <n v="1041.76"/>
  </r>
  <r>
    <x v="14"/>
    <x v="1"/>
    <x v="24"/>
    <n v="2879.59"/>
  </r>
  <r>
    <x v="10"/>
    <x v="12"/>
    <x v="24"/>
    <n v="-15947.73"/>
  </r>
  <r>
    <x v="13"/>
    <x v="1"/>
    <x v="24"/>
    <n v="86.73"/>
  </r>
  <r>
    <x v="13"/>
    <x v="16"/>
    <x v="24"/>
    <n v="57.3"/>
  </r>
  <r>
    <x v="15"/>
    <x v="5"/>
    <x v="24"/>
    <n v="-7601.99"/>
  </r>
  <r>
    <x v="2"/>
    <x v="1"/>
    <x v="24"/>
    <n v="37441.21"/>
  </r>
  <r>
    <x v="12"/>
    <x v="3"/>
    <x v="24"/>
    <n v="-5812.76"/>
  </r>
  <r>
    <x v="7"/>
    <x v="3"/>
    <x v="24"/>
    <n v="-10330.709999999999"/>
  </r>
  <r>
    <x v="0"/>
    <x v="7"/>
    <x v="24"/>
    <n v="-8191.11"/>
  </r>
  <r>
    <x v="9"/>
    <x v="12"/>
    <x v="24"/>
    <n v="95.93"/>
  </r>
  <r>
    <x v="3"/>
    <x v="11"/>
    <x v="24"/>
    <n v="7848.17"/>
  </r>
  <r>
    <x v="5"/>
    <x v="1"/>
    <x v="24"/>
    <n v="23669.74"/>
  </r>
  <r>
    <x v="14"/>
    <x v="11"/>
    <x v="24"/>
    <n v="-2459.67"/>
  </r>
  <r>
    <x v="8"/>
    <x v="9"/>
    <x v="24"/>
    <n v="2046.51"/>
  </r>
  <r>
    <x v="6"/>
    <x v="0"/>
    <x v="24"/>
    <n v="130.9"/>
  </r>
  <r>
    <x v="15"/>
    <x v="11"/>
    <x v="24"/>
    <n v="-5101.21"/>
  </r>
  <r>
    <x v="9"/>
    <x v="17"/>
    <x v="24"/>
    <n v="843.49"/>
  </r>
  <r>
    <x v="6"/>
    <x v="1"/>
    <x v="24"/>
    <n v="30008.42"/>
  </r>
  <r>
    <x v="9"/>
    <x v="1"/>
    <x v="24"/>
    <n v="-16733.009999999998"/>
  </r>
  <r>
    <x v="10"/>
    <x v="15"/>
    <x v="24"/>
    <n v="10418.89"/>
  </r>
  <r>
    <x v="2"/>
    <x v="10"/>
    <x v="24"/>
    <n v="11505.75"/>
  </r>
  <r>
    <x v="4"/>
    <x v="3"/>
    <x v="24"/>
    <n v="-45968.22"/>
  </r>
  <r>
    <x v="5"/>
    <x v="7"/>
    <x v="24"/>
    <n v="9263.77"/>
  </r>
  <r>
    <x v="12"/>
    <x v="18"/>
    <x v="24"/>
    <n v="-765.06"/>
  </r>
  <r>
    <x v="2"/>
    <x v="0"/>
    <x v="24"/>
    <n v="8089.02"/>
  </r>
  <r>
    <x v="10"/>
    <x v="1"/>
    <x v="24"/>
    <n v="18170.7"/>
  </r>
  <r>
    <x v="7"/>
    <x v="1"/>
    <x v="24"/>
    <n v="-666.09"/>
  </r>
  <r>
    <x v="9"/>
    <x v="19"/>
    <x v="24"/>
    <n v="34.01"/>
  </r>
  <r>
    <x v="9"/>
    <x v="11"/>
    <x v="24"/>
    <n v="74.73"/>
  </r>
  <r>
    <x v="11"/>
    <x v="1"/>
    <x v="24"/>
    <n v="4505.6899999999996"/>
  </r>
  <r>
    <x v="12"/>
    <x v="2"/>
    <x v="24"/>
    <n v="-8922.06"/>
  </r>
  <r>
    <x v="15"/>
    <x v="9"/>
    <x v="24"/>
    <n v="-2171.69"/>
  </r>
  <r>
    <x v="15"/>
    <x v="10"/>
    <x v="24"/>
    <n v="-4064.17"/>
  </r>
  <r>
    <x v="7"/>
    <x v="9"/>
    <x v="24"/>
    <n v="-1037.75"/>
  </r>
  <r>
    <x v="1"/>
    <x v="11"/>
    <x v="24"/>
    <n v="5607.87"/>
  </r>
  <r>
    <x v="9"/>
    <x v="20"/>
    <x v="24"/>
    <n v="-7960.39"/>
  </r>
  <r>
    <x v="9"/>
    <x v="4"/>
    <x v="24"/>
    <n v="-1.08"/>
  </r>
  <r>
    <x v="9"/>
    <x v="21"/>
    <x v="24"/>
    <n v="454.39"/>
  </r>
  <r>
    <x v="3"/>
    <x v="5"/>
    <x v="24"/>
    <n v="5471.8"/>
  </r>
  <r>
    <x v="6"/>
    <x v="12"/>
    <x v="24"/>
    <n v="16414.32"/>
  </r>
  <r>
    <x v="13"/>
    <x v="10"/>
    <x v="24"/>
    <n v="-3980.92"/>
  </r>
  <r>
    <x v="3"/>
    <x v="1"/>
    <x v="24"/>
    <n v="17945.509999999998"/>
  </r>
  <r>
    <x v="14"/>
    <x v="9"/>
    <x v="24"/>
    <n v="141.13"/>
  </r>
  <r>
    <x v="0"/>
    <x v="10"/>
    <x v="24"/>
    <n v="6258.72"/>
  </r>
  <r>
    <x v="9"/>
    <x v="3"/>
    <x v="24"/>
    <n v="983.5"/>
  </r>
  <r>
    <x v="9"/>
    <x v="8"/>
    <x v="24"/>
    <n v="393.29"/>
  </r>
  <r>
    <x v="9"/>
    <x v="22"/>
    <x v="24"/>
    <n v="90.41"/>
  </r>
  <r>
    <x v="9"/>
    <x v="23"/>
    <x v="24"/>
    <n v="76.8"/>
  </r>
  <r>
    <x v="9"/>
    <x v="10"/>
    <x v="24"/>
    <n v="0"/>
  </r>
  <r>
    <x v="4"/>
    <x v="9"/>
    <x v="24"/>
    <n v="1999.97"/>
  </r>
</pivotCacheRecords>
</file>

<file path=xl/pivotCache/pivotCacheRecords5.xml><?xml version="1.0" encoding="utf-8"?>
<pivotCacheRecords xmlns="http://schemas.openxmlformats.org/spreadsheetml/2006/main" xmlns:r="http://schemas.openxmlformats.org/officeDocument/2006/relationships" count="1929">
  <r>
    <x v="0"/>
    <x v="0"/>
    <x v="0"/>
    <n v="3.11"/>
  </r>
  <r>
    <x v="0"/>
    <x v="1"/>
    <x v="0"/>
    <n v="62.18"/>
  </r>
  <r>
    <x v="0"/>
    <x v="1"/>
    <x v="1"/>
    <n v="19.82"/>
  </r>
  <r>
    <x v="0"/>
    <x v="1"/>
    <x v="2"/>
    <n v="127.14"/>
  </r>
  <r>
    <x v="0"/>
    <x v="1"/>
    <x v="3"/>
    <n v="26.11"/>
  </r>
  <r>
    <x v="0"/>
    <x v="2"/>
    <x v="0"/>
    <n v="77.8"/>
  </r>
  <r>
    <x v="0"/>
    <x v="2"/>
    <x v="1"/>
    <n v="20.100000000000001"/>
  </r>
  <r>
    <x v="0"/>
    <x v="2"/>
    <x v="2"/>
    <n v="101.23"/>
  </r>
  <r>
    <x v="0"/>
    <x v="2"/>
    <x v="3"/>
    <n v="21.97"/>
  </r>
  <r>
    <x v="0"/>
    <x v="3"/>
    <x v="0"/>
    <n v="58.79"/>
  </r>
  <r>
    <x v="0"/>
    <x v="3"/>
    <x v="1"/>
    <n v="33.56"/>
  </r>
  <r>
    <x v="0"/>
    <x v="3"/>
    <x v="2"/>
    <n v="143.91"/>
  </r>
  <r>
    <x v="0"/>
    <x v="3"/>
    <x v="3"/>
    <n v="8.82"/>
  </r>
  <r>
    <x v="0"/>
    <x v="4"/>
    <x v="0"/>
    <n v="51.53"/>
  </r>
  <r>
    <x v="0"/>
    <x v="4"/>
    <x v="1"/>
    <n v="40.729999999999997"/>
  </r>
  <r>
    <x v="0"/>
    <x v="4"/>
    <x v="2"/>
    <n v="105.07"/>
  </r>
  <r>
    <x v="0"/>
    <x v="4"/>
    <x v="3"/>
    <n v="52.37"/>
  </r>
  <r>
    <x v="0"/>
    <x v="5"/>
    <x v="0"/>
    <n v="64.69"/>
  </r>
  <r>
    <x v="0"/>
    <x v="5"/>
    <x v="1"/>
    <n v="53.77"/>
  </r>
  <r>
    <x v="0"/>
    <x v="5"/>
    <x v="2"/>
    <n v="140.47999999999999"/>
  </r>
  <r>
    <x v="0"/>
    <x v="5"/>
    <x v="3"/>
    <n v="75.23"/>
  </r>
  <r>
    <x v="0"/>
    <x v="6"/>
    <x v="0"/>
    <n v="60.69"/>
  </r>
  <r>
    <x v="0"/>
    <x v="6"/>
    <x v="1"/>
    <n v="60.49"/>
  </r>
  <r>
    <x v="0"/>
    <x v="6"/>
    <x v="2"/>
    <n v="123.81"/>
  </r>
  <r>
    <x v="0"/>
    <x v="6"/>
    <x v="3"/>
    <n v="30.76"/>
  </r>
  <r>
    <x v="0"/>
    <x v="7"/>
    <x v="0"/>
    <n v="65.83"/>
  </r>
  <r>
    <x v="0"/>
    <x v="7"/>
    <x v="1"/>
    <n v="47.89"/>
  </r>
  <r>
    <x v="0"/>
    <x v="7"/>
    <x v="2"/>
    <n v="150.05000000000001"/>
  </r>
  <r>
    <x v="0"/>
    <x v="7"/>
    <x v="3"/>
    <n v="48.2"/>
  </r>
  <r>
    <x v="0"/>
    <x v="8"/>
    <x v="0"/>
    <n v="48.29"/>
  </r>
  <r>
    <x v="0"/>
    <x v="8"/>
    <x v="1"/>
    <n v="53.1"/>
  </r>
  <r>
    <x v="0"/>
    <x v="8"/>
    <x v="2"/>
    <n v="103.67"/>
  </r>
  <r>
    <x v="0"/>
    <x v="8"/>
    <x v="3"/>
    <n v="37.69"/>
  </r>
  <r>
    <x v="0"/>
    <x v="9"/>
    <x v="0"/>
    <n v="70.45"/>
  </r>
  <r>
    <x v="0"/>
    <x v="9"/>
    <x v="1"/>
    <n v="75.88"/>
  </r>
  <r>
    <x v="0"/>
    <x v="9"/>
    <x v="2"/>
    <n v="131.15"/>
  </r>
  <r>
    <x v="0"/>
    <x v="9"/>
    <x v="3"/>
    <n v="90.84"/>
  </r>
  <r>
    <x v="0"/>
    <x v="10"/>
    <x v="0"/>
    <n v="77.44"/>
  </r>
  <r>
    <x v="0"/>
    <x v="10"/>
    <x v="1"/>
    <n v="83.83"/>
  </r>
  <r>
    <x v="0"/>
    <x v="10"/>
    <x v="2"/>
    <n v="386.69"/>
  </r>
  <r>
    <x v="0"/>
    <x v="10"/>
    <x v="3"/>
    <n v="88.28"/>
  </r>
  <r>
    <x v="0"/>
    <x v="11"/>
    <x v="0"/>
    <n v="53.18"/>
  </r>
  <r>
    <x v="0"/>
    <x v="11"/>
    <x v="1"/>
    <n v="91.34"/>
  </r>
  <r>
    <x v="0"/>
    <x v="11"/>
    <x v="2"/>
    <n v="133.21"/>
  </r>
  <r>
    <x v="0"/>
    <x v="11"/>
    <x v="3"/>
    <n v="60.67"/>
  </r>
  <r>
    <x v="0"/>
    <x v="12"/>
    <x v="0"/>
    <n v="3.15"/>
  </r>
  <r>
    <x v="0"/>
    <x v="12"/>
    <x v="1"/>
    <n v="7.09"/>
  </r>
  <r>
    <x v="0"/>
    <x v="12"/>
    <x v="2"/>
    <n v="16.97"/>
  </r>
  <r>
    <x v="0"/>
    <x v="12"/>
    <x v="3"/>
    <n v="0"/>
  </r>
  <r>
    <x v="0"/>
    <x v="13"/>
    <x v="0"/>
    <n v="0"/>
  </r>
  <r>
    <x v="0"/>
    <x v="13"/>
    <x v="1"/>
    <n v="0"/>
  </r>
  <r>
    <x v="0"/>
    <x v="13"/>
    <x v="2"/>
    <n v="0"/>
  </r>
  <r>
    <x v="0"/>
    <x v="13"/>
    <x v="3"/>
    <n v="0"/>
  </r>
  <r>
    <x v="0"/>
    <x v="14"/>
    <x v="0"/>
    <n v="53.92"/>
  </r>
  <r>
    <x v="0"/>
    <x v="14"/>
    <x v="1"/>
    <n v="0"/>
  </r>
  <r>
    <x v="0"/>
    <x v="14"/>
    <x v="2"/>
    <n v="240.62"/>
  </r>
  <r>
    <x v="0"/>
    <x v="14"/>
    <x v="3"/>
    <n v="-92.54"/>
  </r>
  <r>
    <x v="0"/>
    <x v="15"/>
    <x v="0"/>
    <n v="163.21"/>
  </r>
  <r>
    <x v="0"/>
    <x v="15"/>
    <x v="1"/>
    <n v="183.45"/>
  </r>
  <r>
    <x v="0"/>
    <x v="15"/>
    <x v="2"/>
    <n v="427.14"/>
  </r>
  <r>
    <x v="0"/>
    <x v="15"/>
    <x v="3"/>
    <n v="232.09"/>
  </r>
  <r>
    <x v="0"/>
    <x v="16"/>
    <x v="0"/>
    <n v="85.93"/>
  </r>
  <r>
    <x v="0"/>
    <x v="16"/>
    <x v="1"/>
    <n v="71.430000000000007"/>
  </r>
  <r>
    <x v="0"/>
    <x v="16"/>
    <x v="2"/>
    <n v="162.55000000000001"/>
  </r>
  <r>
    <x v="0"/>
    <x v="16"/>
    <x v="3"/>
    <n v="71.17"/>
  </r>
  <r>
    <x v="0"/>
    <x v="17"/>
    <x v="0"/>
    <n v="34.159999999999997"/>
  </r>
  <r>
    <x v="0"/>
    <x v="17"/>
    <x v="1"/>
    <n v="14.13"/>
  </r>
  <r>
    <x v="0"/>
    <x v="17"/>
    <x v="2"/>
    <n v="114.21"/>
  </r>
  <r>
    <x v="0"/>
    <x v="17"/>
    <x v="3"/>
    <n v="9.7899999999999991"/>
  </r>
  <r>
    <x v="0"/>
    <x v="18"/>
    <x v="0"/>
    <n v="12.87"/>
  </r>
  <r>
    <x v="0"/>
    <x v="18"/>
    <x v="1"/>
    <n v="0"/>
  </r>
  <r>
    <x v="0"/>
    <x v="18"/>
    <x v="2"/>
    <n v="0"/>
  </r>
  <r>
    <x v="0"/>
    <x v="18"/>
    <x v="3"/>
    <n v="0"/>
  </r>
  <r>
    <x v="0"/>
    <x v="19"/>
    <x v="0"/>
    <n v="0"/>
  </r>
  <r>
    <x v="0"/>
    <x v="19"/>
    <x v="1"/>
    <n v="0"/>
  </r>
  <r>
    <x v="0"/>
    <x v="19"/>
    <x v="2"/>
    <n v="-2651.35"/>
  </r>
  <r>
    <x v="0"/>
    <x v="19"/>
    <x v="3"/>
    <n v="0"/>
  </r>
  <r>
    <x v="0"/>
    <x v="20"/>
    <x v="0"/>
    <n v="0"/>
  </r>
  <r>
    <x v="0"/>
    <x v="20"/>
    <x v="1"/>
    <n v="0"/>
  </r>
  <r>
    <x v="0"/>
    <x v="21"/>
    <x v="0"/>
    <n v="-1812.28"/>
  </r>
  <r>
    <x v="0"/>
    <x v="21"/>
    <x v="3"/>
    <n v="-1048.22"/>
  </r>
  <r>
    <x v="0"/>
    <x v="22"/>
    <x v="1"/>
    <n v="-6669.37"/>
  </r>
  <r>
    <x v="0"/>
    <x v="22"/>
    <x v="3"/>
    <n v="-8635.2900000000009"/>
  </r>
  <r>
    <x v="1"/>
    <x v="15"/>
    <x v="4"/>
    <n v="281.27"/>
  </r>
  <r>
    <x v="1"/>
    <x v="15"/>
    <x v="5"/>
    <n v="117.4"/>
  </r>
  <r>
    <x v="1"/>
    <x v="16"/>
    <x v="4"/>
    <n v="212.09"/>
  </r>
  <r>
    <x v="1"/>
    <x v="16"/>
    <x v="5"/>
    <n v="65.59"/>
  </r>
  <r>
    <x v="1"/>
    <x v="17"/>
    <x v="4"/>
    <n v="58.15"/>
  </r>
  <r>
    <x v="1"/>
    <x v="17"/>
    <x v="5"/>
    <n v="109.3"/>
  </r>
  <r>
    <x v="1"/>
    <x v="18"/>
    <x v="4"/>
    <n v="263.64"/>
  </r>
  <r>
    <x v="1"/>
    <x v="18"/>
    <x v="5"/>
    <n v="113.51"/>
  </r>
  <r>
    <x v="1"/>
    <x v="19"/>
    <x v="4"/>
    <n v="188.21"/>
  </r>
  <r>
    <x v="1"/>
    <x v="19"/>
    <x v="5"/>
    <n v="101.23"/>
  </r>
  <r>
    <x v="1"/>
    <x v="20"/>
    <x v="4"/>
    <n v="266.2"/>
  </r>
  <r>
    <x v="1"/>
    <x v="20"/>
    <x v="5"/>
    <n v="96.22"/>
  </r>
  <r>
    <x v="1"/>
    <x v="21"/>
    <x v="4"/>
    <n v="161.33000000000001"/>
  </r>
  <r>
    <x v="1"/>
    <x v="21"/>
    <x v="5"/>
    <n v="91.74"/>
  </r>
  <r>
    <x v="1"/>
    <x v="22"/>
    <x v="4"/>
    <n v="256.38"/>
  </r>
  <r>
    <x v="1"/>
    <x v="22"/>
    <x v="5"/>
    <n v="130.31"/>
  </r>
  <r>
    <x v="1"/>
    <x v="23"/>
    <x v="4"/>
    <n v="258.41000000000003"/>
  </r>
  <r>
    <x v="1"/>
    <x v="23"/>
    <x v="5"/>
    <n v="121.65"/>
  </r>
  <r>
    <x v="1"/>
    <x v="24"/>
    <x v="4"/>
    <n v="201.63"/>
  </r>
  <r>
    <x v="1"/>
    <x v="24"/>
    <x v="5"/>
    <n v="99.58"/>
  </r>
  <r>
    <x v="2"/>
    <x v="25"/>
    <x v="1"/>
    <n v="246.65"/>
  </r>
  <r>
    <x v="2"/>
    <x v="25"/>
    <x v="6"/>
    <n v="466.21"/>
  </r>
  <r>
    <x v="2"/>
    <x v="25"/>
    <x v="7"/>
    <n v="130.25"/>
  </r>
  <r>
    <x v="2"/>
    <x v="25"/>
    <x v="3"/>
    <n v="562.94000000000005"/>
  </r>
  <r>
    <x v="2"/>
    <x v="26"/>
    <x v="1"/>
    <n v="253.38"/>
  </r>
  <r>
    <x v="2"/>
    <x v="26"/>
    <x v="6"/>
    <n v="258.67"/>
  </r>
  <r>
    <x v="2"/>
    <x v="26"/>
    <x v="7"/>
    <n v="66.900000000000006"/>
  </r>
  <r>
    <x v="2"/>
    <x v="26"/>
    <x v="3"/>
    <n v="232.65"/>
  </r>
  <r>
    <x v="2"/>
    <x v="27"/>
    <x v="1"/>
    <n v="283.57"/>
  </r>
  <r>
    <x v="2"/>
    <x v="27"/>
    <x v="6"/>
    <n v="211.61"/>
  </r>
  <r>
    <x v="2"/>
    <x v="27"/>
    <x v="7"/>
    <n v="83.32"/>
  </r>
  <r>
    <x v="2"/>
    <x v="27"/>
    <x v="3"/>
    <n v="263.5"/>
  </r>
  <r>
    <x v="2"/>
    <x v="28"/>
    <x v="1"/>
    <n v="169.79"/>
  </r>
  <r>
    <x v="2"/>
    <x v="28"/>
    <x v="6"/>
    <n v="226.33"/>
  </r>
  <r>
    <x v="2"/>
    <x v="28"/>
    <x v="7"/>
    <n v="55.91"/>
  </r>
  <r>
    <x v="2"/>
    <x v="28"/>
    <x v="3"/>
    <n v="223.05"/>
  </r>
  <r>
    <x v="2"/>
    <x v="29"/>
    <x v="1"/>
    <n v="166.29"/>
  </r>
  <r>
    <x v="2"/>
    <x v="29"/>
    <x v="6"/>
    <n v="313.63"/>
  </r>
  <r>
    <x v="2"/>
    <x v="29"/>
    <x v="7"/>
    <n v="110.18"/>
  </r>
  <r>
    <x v="2"/>
    <x v="29"/>
    <x v="3"/>
    <n v="289.93"/>
  </r>
  <r>
    <x v="2"/>
    <x v="30"/>
    <x v="1"/>
    <n v="227.73"/>
  </r>
  <r>
    <x v="2"/>
    <x v="30"/>
    <x v="6"/>
    <n v="351.56"/>
  </r>
  <r>
    <x v="2"/>
    <x v="30"/>
    <x v="7"/>
    <n v="215.01"/>
  </r>
  <r>
    <x v="2"/>
    <x v="30"/>
    <x v="3"/>
    <n v="667.67"/>
  </r>
  <r>
    <x v="2"/>
    <x v="31"/>
    <x v="1"/>
    <n v="178.18"/>
  </r>
  <r>
    <x v="2"/>
    <x v="31"/>
    <x v="6"/>
    <n v="295.31"/>
  </r>
  <r>
    <x v="2"/>
    <x v="31"/>
    <x v="7"/>
    <n v="175.76"/>
  </r>
  <r>
    <x v="2"/>
    <x v="31"/>
    <x v="3"/>
    <n v="538.62"/>
  </r>
  <r>
    <x v="2"/>
    <x v="32"/>
    <x v="1"/>
    <n v="211.79"/>
  </r>
  <r>
    <x v="2"/>
    <x v="32"/>
    <x v="6"/>
    <n v="531.74"/>
  </r>
  <r>
    <x v="2"/>
    <x v="32"/>
    <x v="7"/>
    <n v="247.82"/>
  </r>
  <r>
    <x v="2"/>
    <x v="32"/>
    <x v="3"/>
    <n v="1082.74"/>
  </r>
  <r>
    <x v="2"/>
    <x v="33"/>
    <x v="1"/>
    <n v="302.76"/>
  </r>
  <r>
    <x v="2"/>
    <x v="33"/>
    <x v="6"/>
    <n v="511.49"/>
  </r>
  <r>
    <x v="2"/>
    <x v="33"/>
    <x v="7"/>
    <n v="187.73"/>
  </r>
  <r>
    <x v="2"/>
    <x v="33"/>
    <x v="3"/>
    <n v="1219.56"/>
  </r>
  <r>
    <x v="2"/>
    <x v="34"/>
    <x v="1"/>
    <n v="203.61"/>
  </r>
  <r>
    <x v="2"/>
    <x v="34"/>
    <x v="6"/>
    <n v="430.41"/>
  </r>
  <r>
    <x v="2"/>
    <x v="34"/>
    <x v="7"/>
    <n v="160.66999999999999"/>
  </r>
  <r>
    <x v="2"/>
    <x v="34"/>
    <x v="3"/>
    <n v="718.43"/>
  </r>
  <r>
    <x v="2"/>
    <x v="35"/>
    <x v="1"/>
    <n v="179.03"/>
  </r>
  <r>
    <x v="2"/>
    <x v="35"/>
    <x v="6"/>
    <n v="430.4"/>
  </r>
  <r>
    <x v="2"/>
    <x v="35"/>
    <x v="7"/>
    <n v="284.95999999999998"/>
  </r>
  <r>
    <x v="2"/>
    <x v="35"/>
    <x v="3"/>
    <n v="399.95"/>
  </r>
  <r>
    <x v="2"/>
    <x v="36"/>
    <x v="1"/>
    <n v="137.02000000000001"/>
  </r>
  <r>
    <x v="2"/>
    <x v="36"/>
    <x v="6"/>
    <n v="285.70999999999998"/>
  </r>
  <r>
    <x v="2"/>
    <x v="36"/>
    <x v="7"/>
    <n v="227.13"/>
  </r>
  <r>
    <x v="2"/>
    <x v="36"/>
    <x v="3"/>
    <n v="284.63"/>
  </r>
  <r>
    <x v="2"/>
    <x v="37"/>
    <x v="1"/>
    <n v="386.7"/>
  </r>
  <r>
    <x v="2"/>
    <x v="37"/>
    <x v="6"/>
    <n v="501.5"/>
  </r>
  <r>
    <x v="2"/>
    <x v="37"/>
    <x v="7"/>
    <n v="338.66"/>
  </r>
  <r>
    <x v="2"/>
    <x v="37"/>
    <x v="3"/>
    <n v="554.74"/>
  </r>
  <r>
    <x v="2"/>
    <x v="38"/>
    <x v="1"/>
    <n v="218.19"/>
  </r>
  <r>
    <x v="2"/>
    <x v="38"/>
    <x v="6"/>
    <n v="277.77"/>
  </r>
  <r>
    <x v="2"/>
    <x v="38"/>
    <x v="7"/>
    <n v="139.81"/>
  </r>
  <r>
    <x v="2"/>
    <x v="38"/>
    <x v="3"/>
    <n v="308.93"/>
  </r>
  <r>
    <x v="2"/>
    <x v="39"/>
    <x v="1"/>
    <n v="85.76"/>
  </r>
  <r>
    <x v="2"/>
    <x v="39"/>
    <x v="6"/>
    <n v="210.48"/>
  </r>
  <r>
    <x v="2"/>
    <x v="39"/>
    <x v="7"/>
    <n v="117.26"/>
  </r>
  <r>
    <x v="2"/>
    <x v="39"/>
    <x v="3"/>
    <n v="288.18"/>
  </r>
  <r>
    <x v="2"/>
    <x v="40"/>
    <x v="1"/>
    <n v="187.68"/>
  </r>
  <r>
    <x v="2"/>
    <x v="40"/>
    <x v="6"/>
    <n v="268.93"/>
  </r>
  <r>
    <x v="2"/>
    <x v="40"/>
    <x v="7"/>
    <n v="136.74"/>
  </r>
  <r>
    <x v="2"/>
    <x v="40"/>
    <x v="3"/>
    <n v="348.88"/>
  </r>
  <r>
    <x v="2"/>
    <x v="41"/>
    <x v="1"/>
    <n v="64.41"/>
  </r>
  <r>
    <x v="2"/>
    <x v="41"/>
    <x v="6"/>
    <n v="265.04000000000002"/>
  </r>
  <r>
    <x v="2"/>
    <x v="41"/>
    <x v="7"/>
    <n v="129.52000000000001"/>
  </r>
  <r>
    <x v="2"/>
    <x v="41"/>
    <x v="3"/>
    <n v="308.88"/>
  </r>
  <r>
    <x v="2"/>
    <x v="42"/>
    <x v="1"/>
    <n v="140.69999999999999"/>
  </r>
  <r>
    <x v="2"/>
    <x v="42"/>
    <x v="6"/>
    <n v="231.65"/>
  </r>
  <r>
    <x v="2"/>
    <x v="42"/>
    <x v="7"/>
    <n v="85.79"/>
  </r>
  <r>
    <x v="2"/>
    <x v="42"/>
    <x v="3"/>
    <n v="335.07"/>
  </r>
  <r>
    <x v="2"/>
    <x v="43"/>
    <x v="1"/>
    <n v="145.04"/>
  </r>
  <r>
    <x v="2"/>
    <x v="43"/>
    <x v="6"/>
    <n v="338.15"/>
  </r>
  <r>
    <x v="2"/>
    <x v="43"/>
    <x v="7"/>
    <n v="75.36"/>
  </r>
  <r>
    <x v="2"/>
    <x v="43"/>
    <x v="3"/>
    <n v="254.27"/>
  </r>
  <r>
    <x v="2"/>
    <x v="44"/>
    <x v="1"/>
    <n v="113.32"/>
  </r>
  <r>
    <x v="2"/>
    <x v="44"/>
    <x v="6"/>
    <n v="236.02"/>
  </r>
  <r>
    <x v="2"/>
    <x v="44"/>
    <x v="7"/>
    <n v="60.78"/>
  </r>
  <r>
    <x v="2"/>
    <x v="44"/>
    <x v="3"/>
    <n v="193.12"/>
  </r>
  <r>
    <x v="2"/>
    <x v="45"/>
    <x v="1"/>
    <n v="174.43"/>
  </r>
  <r>
    <x v="2"/>
    <x v="45"/>
    <x v="6"/>
    <n v="322.88"/>
  </r>
  <r>
    <x v="2"/>
    <x v="45"/>
    <x v="7"/>
    <n v="250.71"/>
  </r>
  <r>
    <x v="2"/>
    <x v="45"/>
    <x v="3"/>
    <n v="313.66000000000003"/>
  </r>
  <r>
    <x v="2"/>
    <x v="46"/>
    <x v="1"/>
    <n v="231.75"/>
  </r>
  <r>
    <x v="2"/>
    <x v="46"/>
    <x v="6"/>
    <n v="412.96"/>
  </r>
  <r>
    <x v="2"/>
    <x v="46"/>
    <x v="7"/>
    <n v="101.82"/>
  </r>
  <r>
    <x v="2"/>
    <x v="46"/>
    <x v="3"/>
    <n v="424.19"/>
  </r>
  <r>
    <x v="2"/>
    <x v="47"/>
    <x v="1"/>
    <n v="234.6"/>
  </r>
  <r>
    <x v="2"/>
    <x v="47"/>
    <x v="6"/>
    <n v="634.08000000000004"/>
  </r>
  <r>
    <x v="2"/>
    <x v="47"/>
    <x v="7"/>
    <n v="214.88"/>
  </r>
  <r>
    <x v="2"/>
    <x v="47"/>
    <x v="3"/>
    <n v="515.23"/>
  </r>
  <r>
    <x v="2"/>
    <x v="48"/>
    <x v="1"/>
    <n v="103.19"/>
  </r>
  <r>
    <x v="2"/>
    <x v="48"/>
    <x v="6"/>
    <n v="259.54000000000002"/>
  </r>
  <r>
    <x v="2"/>
    <x v="48"/>
    <x v="7"/>
    <n v="66.099999999999994"/>
  </r>
  <r>
    <x v="2"/>
    <x v="48"/>
    <x v="3"/>
    <n v="355.92"/>
  </r>
  <r>
    <x v="2"/>
    <x v="49"/>
    <x v="1"/>
    <n v="260.45"/>
  </r>
  <r>
    <x v="2"/>
    <x v="49"/>
    <x v="6"/>
    <n v="381.25"/>
  </r>
  <r>
    <x v="2"/>
    <x v="49"/>
    <x v="7"/>
    <n v="110.16"/>
  </r>
  <r>
    <x v="2"/>
    <x v="49"/>
    <x v="3"/>
    <n v="491.92"/>
  </r>
  <r>
    <x v="2"/>
    <x v="50"/>
    <x v="1"/>
    <n v="209.13"/>
  </r>
  <r>
    <x v="2"/>
    <x v="50"/>
    <x v="6"/>
    <n v="354.64"/>
  </r>
  <r>
    <x v="2"/>
    <x v="50"/>
    <x v="7"/>
    <n v="112.79"/>
  </r>
  <r>
    <x v="2"/>
    <x v="50"/>
    <x v="3"/>
    <n v="291.98"/>
  </r>
  <r>
    <x v="2"/>
    <x v="51"/>
    <x v="1"/>
    <n v="270.2"/>
  </r>
  <r>
    <x v="2"/>
    <x v="51"/>
    <x v="6"/>
    <n v="387.78"/>
  </r>
  <r>
    <x v="2"/>
    <x v="51"/>
    <x v="7"/>
    <n v="91.41"/>
  </r>
  <r>
    <x v="2"/>
    <x v="51"/>
    <x v="3"/>
    <n v="292.93"/>
  </r>
  <r>
    <x v="2"/>
    <x v="52"/>
    <x v="1"/>
    <n v="238.85"/>
  </r>
  <r>
    <x v="2"/>
    <x v="52"/>
    <x v="6"/>
    <n v="433.81"/>
  </r>
  <r>
    <x v="2"/>
    <x v="52"/>
    <x v="7"/>
    <n v="79.44"/>
  </r>
  <r>
    <x v="2"/>
    <x v="52"/>
    <x v="3"/>
    <n v="230.53"/>
  </r>
  <r>
    <x v="2"/>
    <x v="53"/>
    <x v="1"/>
    <n v="253.71"/>
  </r>
  <r>
    <x v="2"/>
    <x v="53"/>
    <x v="6"/>
    <n v="380.98"/>
  </r>
  <r>
    <x v="2"/>
    <x v="53"/>
    <x v="7"/>
    <n v="64.44"/>
  </r>
  <r>
    <x v="2"/>
    <x v="53"/>
    <x v="3"/>
    <n v="173.66"/>
  </r>
  <r>
    <x v="2"/>
    <x v="54"/>
    <x v="1"/>
    <n v="488.14"/>
  </r>
  <r>
    <x v="2"/>
    <x v="54"/>
    <x v="6"/>
    <n v="426.53"/>
  </r>
  <r>
    <x v="2"/>
    <x v="54"/>
    <x v="7"/>
    <n v="116.99"/>
  </r>
  <r>
    <x v="2"/>
    <x v="54"/>
    <x v="3"/>
    <n v="409.81"/>
  </r>
  <r>
    <x v="2"/>
    <x v="55"/>
    <x v="1"/>
    <n v="210.88"/>
  </r>
  <r>
    <x v="2"/>
    <x v="55"/>
    <x v="6"/>
    <n v="472.03"/>
  </r>
  <r>
    <x v="2"/>
    <x v="55"/>
    <x v="7"/>
    <n v="105.9"/>
  </r>
  <r>
    <x v="2"/>
    <x v="55"/>
    <x v="3"/>
    <n v="191.96"/>
  </r>
  <r>
    <x v="2"/>
    <x v="56"/>
    <x v="1"/>
    <n v="202.8"/>
  </r>
  <r>
    <x v="2"/>
    <x v="56"/>
    <x v="6"/>
    <n v="389.41"/>
  </r>
  <r>
    <x v="2"/>
    <x v="56"/>
    <x v="7"/>
    <n v="160.57"/>
  </r>
  <r>
    <x v="2"/>
    <x v="56"/>
    <x v="3"/>
    <n v="215.61"/>
  </r>
  <r>
    <x v="2"/>
    <x v="57"/>
    <x v="1"/>
    <n v="93.32"/>
  </r>
  <r>
    <x v="2"/>
    <x v="57"/>
    <x v="6"/>
    <n v="326.36"/>
  </r>
  <r>
    <x v="2"/>
    <x v="57"/>
    <x v="7"/>
    <n v="79.260000000000005"/>
  </r>
  <r>
    <x v="2"/>
    <x v="57"/>
    <x v="3"/>
    <n v="-82.82"/>
  </r>
  <r>
    <x v="2"/>
    <x v="58"/>
    <x v="1"/>
    <n v="272.25"/>
  </r>
  <r>
    <x v="2"/>
    <x v="58"/>
    <x v="6"/>
    <n v="463.71"/>
  </r>
  <r>
    <x v="2"/>
    <x v="58"/>
    <x v="7"/>
    <n v="240.17"/>
  </r>
  <r>
    <x v="2"/>
    <x v="58"/>
    <x v="3"/>
    <n v="518.96"/>
  </r>
  <r>
    <x v="2"/>
    <x v="59"/>
    <x v="1"/>
    <n v="92.63"/>
  </r>
  <r>
    <x v="2"/>
    <x v="59"/>
    <x v="6"/>
    <n v="429.82"/>
  </r>
  <r>
    <x v="2"/>
    <x v="59"/>
    <x v="7"/>
    <n v="783.64"/>
  </r>
  <r>
    <x v="2"/>
    <x v="59"/>
    <x v="3"/>
    <n v="260.22000000000003"/>
  </r>
  <r>
    <x v="2"/>
    <x v="60"/>
    <x v="1"/>
    <n v="274.86"/>
  </r>
  <r>
    <x v="2"/>
    <x v="60"/>
    <x v="6"/>
    <n v="578.99"/>
  </r>
  <r>
    <x v="2"/>
    <x v="60"/>
    <x v="7"/>
    <n v="229.07"/>
  </r>
  <r>
    <x v="2"/>
    <x v="60"/>
    <x v="3"/>
    <n v="356.2"/>
  </r>
  <r>
    <x v="2"/>
    <x v="61"/>
    <x v="1"/>
    <n v="135.72999999999999"/>
  </r>
  <r>
    <x v="2"/>
    <x v="61"/>
    <x v="6"/>
    <n v="67.239999999999995"/>
  </r>
  <r>
    <x v="2"/>
    <x v="61"/>
    <x v="7"/>
    <n v="92.18"/>
  </r>
  <r>
    <x v="2"/>
    <x v="61"/>
    <x v="3"/>
    <n v="120.55"/>
  </r>
  <r>
    <x v="2"/>
    <x v="62"/>
    <x v="1"/>
    <n v="52"/>
  </r>
  <r>
    <x v="2"/>
    <x v="62"/>
    <x v="6"/>
    <n v="51.68"/>
  </r>
  <r>
    <x v="2"/>
    <x v="62"/>
    <x v="7"/>
    <n v="19.93"/>
  </r>
  <r>
    <x v="2"/>
    <x v="62"/>
    <x v="3"/>
    <n v="32.880000000000003"/>
  </r>
  <r>
    <x v="2"/>
    <x v="63"/>
    <x v="1"/>
    <n v="136.77000000000001"/>
  </r>
  <r>
    <x v="2"/>
    <x v="63"/>
    <x v="6"/>
    <n v="200.16"/>
  </r>
  <r>
    <x v="2"/>
    <x v="63"/>
    <x v="7"/>
    <n v="130.18"/>
  </r>
  <r>
    <x v="2"/>
    <x v="63"/>
    <x v="3"/>
    <n v="175.5"/>
  </r>
  <r>
    <x v="2"/>
    <x v="64"/>
    <x v="1"/>
    <n v="167.24"/>
  </r>
  <r>
    <x v="2"/>
    <x v="64"/>
    <x v="6"/>
    <n v="182.77"/>
  </r>
  <r>
    <x v="2"/>
    <x v="64"/>
    <x v="7"/>
    <n v="48.9"/>
  </r>
  <r>
    <x v="2"/>
    <x v="64"/>
    <x v="3"/>
    <n v="286.52999999999997"/>
  </r>
  <r>
    <x v="2"/>
    <x v="65"/>
    <x v="1"/>
    <n v="117.47"/>
  </r>
  <r>
    <x v="2"/>
    <x v="65"/>
    <x v="6"/>
    <n v="334.51"/>
  </r>
  <r>
    <x v="2"/>
    <x v="65"/>
    <x v="7"/>
    <n v="-3270.58"/>
  </r>
  <r>
    <x v="2"/>
    <x v="65"/>
    <x v="3"/>
    <n v="175.54"/>
  </r>
  <r>
    <x v="2"/>
    <x v="66"/>
    <x v="1"/>
    <n v="229.03"/>
  </r>
  <r>
    <x v="2"/>
    <x v="66"/>
    <x v="6"/>
    <n v="532.79999999999995"/>
  </r>
  <r>
    <x v="2"/>
    <x v="66"/>
    <x v="3"/>
    <n v="509.2"/>
  </r>
  <r>
    <x v="2"/>
    <x v="67"/>
    <x v="1"/>
    <n v="255.38"/>
  </r>
  <r>
    <x v="2"/>
    <x v="67"/>
    <x v="6"/>
    <n v="302.58"/>
  </r>
  <r>
    <x v="2"/>
    <x v="67"/>
    <x v="3"/>
    <n v="475.78"/>
  </r>
  <r>
    <x v="2"/>
    <x v="68"/>
    <x v="1"/>
    <n v="207.27"/>
  </r>
  <r>
    <x v="2"/>
    <x v="68"/>
    <x v="6"/>
    <n v="423.05"/>
  </r>
  <r>
    <x v="2"/>
    <x v="68"/>
    <x v="3"/>
    <n v="524.73"/>
  </r>
  <r>
    <x v="2"/>
    <x v="69"/>
    <x v="1"/>
    <n v="184.66"/>
  </r>
  <r>
    <x v="2"/>
    <x v="69"/>
    <x v="6"/>
    <n v="278.3"/>
  </r>
  <r>
    <x v="2"/>
    <x v="69"/>
    <x v="3"/>
    <n v="263.49"/>
  </r>
  <r>
    <x v="2"/>
    <x v="70"/>
    <x v="1"/>
    <n v="107.96"/>
  </r>
  <r>
    <x v="2"/>
    <x v="70"/>
    <x v="6"/>
    <n v="187.67"/>
  </r>
  <r>
    <x v="2"/>
    <x v="70"/>
    <x v="3"/>
    <n v="285.39999999999998"/>
  </r>
  <r>
    <x v="2"/>
    <x v="71"/>
    <x v="1"/>
    <n v="163.06"/>
  </r>
  <r>
    <x v="2"/>
    <x v="71"/>
    <x v="6"/>
    <n v="226.12"/>
  </r>
  <r>
    <x v="2"/>
    <x v="71"/>
    <x v="7"/>
    <n v="-10.9"/>
  </r>
  <r>
    <x v="2"/>
    <x v="71"/>
    <x v="3"/>
    <n v="248.55"/>
  </r>
  <r>
    <x v="2"/>
    <x v="72"/>
    <x v="1"/>
    <n v="278.60000000000002"/>
  </r>
  <r>
    <x v="2"/>
    <x v="72"/>
    <x v="6"/>
    <n v="371.26"/>
  </r>
  <r>
    <x v="2"/>
    <x v="72"/>
    <x v="3"/>
    <n v="155.83000000000001"/>
  </r>
  <r>
    <x v="2"/>
    <x v="73"/>
    <x v="1"/>
    <n v="103.78"/>
  </r>
  <r>
    <x v="2"/>
    <x v="73"/>
    <x v="6"/>
    <n v="370.1"/>
  </r>
  <r>
    <x v="2"/>
    <x v="73"/>
    <x v="3"/>
    <n v="162.4"/>
  </r>
  <r>
    <x v="2"/>
    <x v="74"/>
    <x v="1"/>
    <n v="102.94"/>
  </r>
  <r>
    <x v="2"/>
    <x v="74"/>
    <x v="6"/>
    <n v="-11651.5"/>
  </r>
  <r>
    <x v="2"/>
    <x v="74"/>
    <x v="3"/>
    <n v="124.61"/>
  </r>
  <r>
    <x v="2"/>
    <x v="75"/>
    <x v="1"/>
    <n v="225.99"/>
  </r>
  <r>
    <x v="2"/>
    <x v="75"/>
    <x v="3"/>
    <n v="167.38"/>
  </r>
  <r>
    <x v="2"/>
    <x v="76"/>
    <x v="1"/>
    <n v="-8669.77"/>
  </r>
  <r>
    <x v="2"/>
    <x v="76"/>
    <x v="7"/>
    <n v="-10750"/>
  </r>
  <r>
    <x v="2"/>
    <x v="76"/>
    <x v="3"/>
    <n v="-11450.17"/>
  </r>
  <r>
    <x v="2"/>
    <x v="77"/>
    <x v="5"/>
    <n v="0"/>
  </r>
  <r>
    <x v="2"/>
    <x v="77"/>
    <x v="6"/>
    <n v="-251.17"/>
  </r>
  <r>
    <x v="2"/>
    <x v="77"/>
    <x v="7"/>
    <n v="-150.21"/>
  </r>
  <r>
    <x v="2"/>
    <x v="78"/>
    <x v="6"/>
    <n v="-201.16"/>
  </r>
  <r>
    <x v="2"/>
    <x v="79"/>
    <x v="8"/>
    <n v="0"/>
  </r>
  <r>
    <x v="2"/>
    <x v="79"/>
    <x v="6"/>
    <n v="162.05000000000001"/>
  </r>
  <r>
    <x v="2"/>
    <x v="80"/>
    <x v="9"/>
    <n v="0"/>
  </r>
  <r>
    <x v="2"/>
    <x v="80"/>
    <x v="8"/>
    <n v="293.97000000000003"/>
  </r>
  <r>
    <x v="2"/>
    <x v="80"/>
    <x v="10"/>
    <n v="-1.08"/>
  </r>
  <r>
    <x v="2"/>
    <x v="80"/>
    <x v="7"/>
    <n v="152.13999999999999"/>
  </r>
  <r>
    <x v="2"/>
    <x v="80"/>
    <x v="11"/>
    <n v="0"/>
  </r>
  <r>
    <x v="2"/>
    <x v="81"/>
    <x v="12"/>
    <n v="34.01"/>
  </r>
  <r>
    <x v="2"/>
    <x v="81"/>
    <x v="13"/>
    <n v="550.29"/>
  </r>
  <r>
    <x v="2"/>
    <x v="81"/>
    <x v="1"/>
    <n v="0"/>
  </r>
  <r>
    <x v="2"/>
    <x v="81"/>
    <x v="5"/>
    <n v="0"/>
  </r>
  <r>
    <x v="2"/>
    <x v="81"/>
    <x v="6"/>
    <n v="-280.38"/>
  </r>
  <r>
    <x v="2"/>
    <x v="81"/>
    <x v="7"/>
    <n v="-58.94"/>
  </r>
  <r>
    <x v="2"/>
    <x v="82"/>
    <x v="5"/>
    <n v="393.29"/>
  </r>
  <r>
    <x v="2"/>
    <x v="82"/>
    <x v="11"/>
    <n v="74.73"/>
  </r>
  <r>
    <x v="2"/>
    <x v="82"/>
    <x v="3"/>
    <n v="205.2"/>
  </r>
  <r>
    <x v="2"/>
    <x v="83"/>
    <x v="13"/>
    <n v="-459.88"/>
  </r>
  <r>
    <x v="2"/>
    <x v="83"/>
    <x v="3"/>
    <n v="0"/>
  </r>
  <r>
    <x v="2"/>
    <x v="84"/>
    <x v="14"/>
    <n v="454.39"/>
  </r>
  <r>
    <x v="2"/>
    <x v="84"/>
    <x v="15"/>
    <n v="843.49"/>
  </r>
  <r>
    <x v="2"/>
    <x v="85"/>
    <x v="6"/>
    <n v="-569.71"/>
  </r>
  <r>
    <x v="2"/>
    <x v="85"/>
    <x v="3"/>
    <n v="0"/>
  </r>
  <r>
    <x v="2"/>
    <x v="86"/>
    <x v="16"/>
    <n v="317.52999999999997"/>
  </r>
  <r>
    <x v="2"/>
    <x v="87"/>
    <x v="9"/>
    <n v="163.03"/>
  </r>
  <r>
    <x v="2"/>
    <x v="87"/>
    <x v="17"/>
    <n v="222.47"/>
  </r>
  <r>
    <x v="2"/>
    <x v="87"/>
    <x v="18"/>
    <n v="0"/>
  </r>
  <r>
    <x v="2"/>
    <x v="87"/>
    <x v="19"/>
    <n v="76.8"/>
  </r>
  <r>
    <x v="2"/>
    <x v="0"/>
    <x v="4"/>
    <n v="-590.88"/>
  </r>
  <r>
    <x v="2"/>
    <x v="0"/>
    <x v="20"/>
    <n v="0"/>
  </r>
  <r>
    <x v="2"/>
    <x v="0"/>
    <x v="15"/>
    <n v="0"/>
  </r>
  <r>
    <x v="2"/>
    <x v="0"/>
    <x v="18"/>
    <n v="383.9"/>
  </r>
  <r>
    <x v="2"/>
    <x v="1"/>
    <x v="6"/>
    <n v="274.92"/>
  </r>
  <r>
    <x v="2"/>
    <x v="3"/>
    <x v="1"/>
    <n v="-327.39999999999998"/>
  </r>
  <r>
    <x v="2"/>
    <x v="4"/>
    <x v="17"/>
    <n v="-126.54"/>
  </r>
  <r>
    <x v="2"/>
    <x v="8"/>
    <x v="2"/>
    <n v="751.52"/>
  </r>
  <r>
    <x v="2"/>
    <x v="9"/>
    <x v="2"/>
    <n v="704.69"/>
  </r>
  <r>
    <x v="2"/>
    <x v="10"/>
    <x v="2"/>
    <n v="1888.24"/>
  </r>
  <r>
    <x v="2"/>
    <x v="11"/>
    <x v="2"/>
    <n v="2277.4499999999998"/>
  </r>
  <r>
    <x v="2"/>
    <x v="12"/>
    <x v="2"/>
    <n v="-11364.58"/>
  </r>
  <r>
    <x v="2"/>
    <x v="13"/>
    <x v="2"/>
    <n v="-10117.709999999999"/>
  </r>
  <r>
    <x v="2"/>
    <x v="14"/>
    <x v="2"/>
    <n v="1016.08"/>
  </r>
  <r>
    <x v="2"/>
    <x v="15"/>
    <x v="2"/>
    <n v="804.41"/>
  </r>
  <r>
    <x v="2"/>
    <x v="16"/>
    <x v="2"/>
    <n v="321.81"/>
  </r>
  <r>
    <x v="2"/>
    <x v="17"/>
    <x v="2"/>
    <n v="361.81"/>
  </r>
  <r>
    <x v="2"/>
    <x v="18"/>
    <x v="2"/>
    <n v="412.72"/>
  </r>
  <r>
    <x v="2"/>
    <x v="19"/>
    <x v="2"/>
    <n v="-2666.94"/>
  </r>
  <r>
    <x v="2"/>
    <x v="20"/>
    <x v="2"/>
    <n v="-949.98"/>
  </r>
  <r>
    <x v="2"/>
    <x v="21"/>
    <x v="2"/>
    <n v="260.45999999999998"/>
  </r>
  <r>
    <x v="2"/>
    <x v="22"/>
    <x v="2"/>
    <n v="-432.99"/>
  </r>
  <r>
    <x v="3"/>
    <x v="51"/>
    <x v="20"/>
    <n v="14.05"/>
  </r>
  <r>
    <x v="3"/>
    <x v="51"/>
    <x v="2"/>
    <n v="86.73"/>
  </r>
  <r>
    <x v="3"/>
    <x v="51"/>
    <x v="21"/>
    <n v="12.77"/>
  </r>
  <r>
    <x v="3"/>
    <x v="51"/>
    <x v="3"/>
    <n v="97.31"/>
  </r>
  <r>
    <x v="3"/>
    <x v="52"/>
    <x v="20"/>
    <n v="81.739999999999995"/>
  </r>
  <r>
    <x v="3"/>
    <x v="52"/>
    <x v="3"/>
    <n v="176.15"/>
  </r>
  <r>
    <x v="3"/>
    <x v="53"/>
    <x v="20"/>
    <n v="109.78"/>
  </r>
  <r>
    <x v="3"/>
    <x v="53"/>
    <x v="3"/>
    <n v="130.32"/>
  </r>
  <r>
    <x v="3"/>
    <x v="54"/>
    <x v="20"/>
    <n v="160.80000000000001"/>
  </r>
  <r>
    <x v="3"/>
    <x v="54"/>
    <x v="3"/>
    <n v="312.32"/>
  </r>
  <r>
    <x v="3"/>
    <x v="55"/>
    <x v="20"/>
    <n v="194.19"/>
  </r>
  <r>
    <x v="3"/>
    <x v="55"/>
    <x v="3"/>
    <n v="175.46"/>
  </r>
  <r>
    <x v="3"/>
    <x v="56"/>
    <x v="20"/>
    <n v="117.66"/>
  </r>
  <r>
    <x v="3"/>
    <x v="56"/>
    <x v="3"/>
    <n v="177.75"/>
  </r>
  <r>
    <x v="3"/>
    <x v="57"/>
    <x v="20"/>
    <n v="97.75"/>
  </r>
  <r>
    <x v="3"/>
    <x v="57"/>
    <x v="3"/>
    <n v="171.17"/>
  </r>
  <r>
    <x v="3"/>
    <x v="58"/>
    <x v="20"/>
    <n v="194.58"/>
  </r>
  <r>
    <x v="3"/>
    <x v="58"/>
    <x v="3"/>
    <n v="392.77"/>
  </r>
  <r>
    <x v="3"/>
    <x v="59"/>
    <x v="20"/>
    <n v="83.23"/>
  </r>
  <r>
    <x v="3"/>
    <x v="59"/>
    <x v="3"/>
    <n v="199.93"/>
  </r>
  <r>
    <x v="3"/>
    <x v="60"/>
    <x v="20"/>
    <n v="172.42"/>
  </r>
  <r>
    <x v="3"/>
    <x v="60"/>
    <x v="3"/>
    <n v="267.16000000000003"/>
  </r>
  <r>
    <x v="3"/>
    <x v="61"/>
    <x v="20"/>
    <n v="98.11"/>
  </r>
  <r>
    <x v="3"/>
    <x v="61"/>
    <x v="3"/>
    <n v="90.43"/>
  </r>
  <r>
    <x v="3"/>
    <x v="62"/>
    <x v="20"/>
    <n v="70.75"/>
  </r>
  <r>
    <x v="3"/>
    <x v="62"/>
    <x v="3"/>
    <n v="41.21"/>
  </r>
  <r>
    <x v="3"/>
    <x v="63"/>
    <x v="20"/>
    <n v="55.41"/>
  </r>
  <r>
    <x v="3"/>
    <x v="63"/>
    <x v="3"/>
    <n v="130.94"/>
  </r>
  <r>
    <x v="3"/>
    <x v="64"/>
    <x v="20"/>
    <n v="124.53"/>
  </r>
  <r>
    <x v="3"/>
    <x v="64"/>
    <x v="3"/>
    <n v="274.29000000000002"/>
  </r>
  <r>
    <x v="3"/>
    <x v="65"/>
    <x v="20"/>
    <n v="154.5"/>
  </r>
  <r>
    <x v="3"/>
    <x v="65"/>
    <x v="3"/>
    <n v="139.97"/>
  </r>
  <r>
    <x v="3"/>
    <x v="66"/>
    <x v="20"/>
    <n v="169.33"/>
  </r>
  <r>
    <x v="3"/>
    <x v="66"/>
    <x v="3"/>
    <n v="388.74"/>
  </r>
  <r>
    <x v="3"/>
    <x v="67"/>
    <x v="20"/>
    <n v="171.58"/>
  </r>
  <r>
    <x v="3"/>
    <x v="67"/>
    <x v="3"/>
    <n v="349.1"/>
  </r>
  <r>
    <x v="3"/>
    <x v="68"/>
    <x v="20"/>
    <n v="233.67"/>
  </r>
  <r>
    <x v="3"/>
    <x v="68"/>
    <x v="3"/>
    <n v="393.43"/>
  </r>
  <r>
    <x v="3"/>
    <x v="69"/>
    <x v="20"/>
    <n v="142.81"/>
  </r>
  <r>
    <x v="3"/>
    <x v="69"/>
    <x v="3"/>
    <n v="197.65"/>
  </r>
  <r>
    <x v="3"/>
    <x v="70"/>
    <x v="20"/>
    <n v="200.71"/>
  </r>
  <r>
    <x v="3"/>
    <x v="70"/>
    <x v="3"/>
    <n v="214.16"/>
  </r>
  <r>
    <x v="3"/>
    <x v="71"/>
    <x v="20"/>
    <n v="159.68"/>
  </r>
  <r>
    <x v="3"/>
    <x v="71"/>
    <x v="3"/>
    <n v="186.4"/>
  </r>
  <r>
    <x v="3"/>
    <x v="72"/>
    <x v="20"/>
    <n v="108.69"/>
  </r>
  <r>
    <x v="3"/>
    <x v="72"/>
    <x v="3"/>
    <n v="144.05000000000001"/>
  </r>
  <r>
    <x v="3"/>
    <x v="73"/>
    <x v="20"/>
    <n v="64.13"/>
  </r>
  <r>
    <x v="3"/>
    <x v="73"/>
    <x v="3"/>
    <n v="196.37"/>
  </r>
  <r>
    <x v="3"/>
    <x v="74"/>
    <x v="20"/>
    <n v="43.21"/>
  </r>
  <r>
    <x v="3"/>
    <x v="74"/>
    <x v="3"/>
    <n v="153.01"/>
  </r>
  <r>
    <x v="3"/>
    <x v="75"/>
    <x v="20"/>
    <n v="144.72"/>
  </r>
  <r>
    <x v="3"/>
    <x v="75"/>
    <x v="21"/>
    <n v="44.53"/>
  </r>
  <r>
    <x v="3"/>
    <x v="75"/>
    <x v="3"/>
    <n v="124.42"/>
  </r>
  <r>
    <x v="3"/>
    <x v="76"/>
    <x v="20"/>
    <n v="134"/>
  </r>
  <r>
    <x v="3"/>
    <x v="76"/>
    <x v="3"/>
    <n v="165.82"/>
  </r>
  <r>
    <x v="3"/>
    <x v="88"/>
    <x v="20"/>
    <n v="105.53"/>
  </r>
  <r>
    <x v="3"/>
    <x v="88"/>
    <x v="3"/>
    <n v="219.39"/>
  </r>
  <r>
    <x v="3"/>
    <x v="77"/>
    <x v="20"/>
    <n v="100.81"/>
  </r>
  <r>
    <x v="3"/>
    <x v="77"/>
    <x v="3"/>
    <n v="83.69"/>
  </r>
  <r>
    <x v="3"/>
    <x v="78"/>
    <x v="20"/>
    <n v="82.07"/>
  </r>
  <r>
    <x v="3"/>
    <x v="78"/>
    <x v="3"/>
    <n v="82.9"/>
  </r>
  <r>
    <x v="3"/>
    <x v="79"/>
    <x v="20"/>
    <n v="74.83"/>
  </r>
  <r>
    <x v="3"/>
    <x v="79"/>
    <x v="3"/>
    <n v="210.52"/>
  </r>
  <r>
    <x v="3"/>
    <x v="80"/>
    <x v="20"/>
    <n v="80.19"/>
  </r>
  <r>
    <x v="3"/>
    <x v="80"/>
    <x v="3"/>
    <n v="62.78"/>
  </r>
  <r>
    <x v="3"/>
    <x v="81"/>
    <x v="20"/>
    <n v="91.19"/>
  </r>
  <r>
    <x v="3"/>
    <x v="81"/>
    <x v="3"/>
    <n v="89.44"/>
  </r>
  <r>
    <x v="3"/>
    <x v="82"/>
    <x v="20"/>
    <n v="42.82"/>
  </r>
  <r>
    <x v="3"/>
    <x v="82"/>
    <x v="3"/>
    <n v="87.92"/>
  </r>
  <r>
    <x v="3"/>
    <x v="83"/>
    <x v="20"/>
    <n v="27.41"/>
  </r>
  <r>
    <x v="3"/>
    <x v="83"/>
    <x v="3"/>
    <n v="50.51"/>
  </r>
  <r>
    <x v="3"/>
    <x v="84"/>
    <x v="20"/>
    <n v="101.26"/>
  </r>
  <r>
    <x v="3"/>
    <x v="84"/>
    <x v="3"/>
    <n v="62.51"/>
  </r>
  <r>
    <x v="3"/>
    <x v="85"/>
    <x v="20"/>
    <n v="133.30000000000001"/>
  </r>
  <r>
    <x v="3"/>
    <x v="85"/>
    <x v="3"/>
    <n v="40.69"/>
  </r>
  <r>
    <x v="3"/>
    <x v="86"/>
    <x v="20"/>
    <n v="88.58"/>
  </r>
  <r>
    <x v="3"/>
    <x v="86"/>
    <x v="3"/>
    <n v="70.05"/>
  </r>
  <r>
    <x v="3"/>
    <x v="87"/>
    <x v="20"/>
    <n v="43.9"/>
  </r>
  <r>
    <x v="3"/>
    <x v="87"/>
    <x v="3"/>
    <n v="19.22"/>
  </r>
  <r>
    <x v="3"/>
    <x v="0"/>
    <x v="20"/>
    <n v="72.66"/>
  </r>
  <r>
    <x v="3"/>
    <x v="0"/>
    <x v="3"/>
    <n v="47.47"/>
  </r>
  <r>
    <x v="3"/>
    <x v="1"/>
    <x v="20"/>
    <n v="44.52"/>
  </r>
  <r>
    <x v="3"/>
    <x v="1"/>
    <x v="3"/>
    <n v="58.47"/>
  </r>
  <r>
    <x v="3"/>
    <x v="2"/>
    <x v="20"/>
    <n v="59.74"/>
  </r>
  <r>
    <x v="3"/>
    <x v="2"/>
    <x v="3"/>
    <n v="42.42"/>
  </r>
  <r>
    <x v="3"/>
    <x v="3"/>
    <x v="20"/>
    <n v="44.84"/>
  </r>
  <r>
    <x v="3"/>
    <x v="3"/>
    <x v="3"/>
    <n v="-4620.58"/>
  </r>
  <r>
    <x v="3"/>
    <x v="4"/>
    <x v="20"/>
    <n v="31.76"/>
  </r>
  <r>
    <x v="3"/>
    <x v="5"/>
    <x v="20"/>
    <n v="89.38"/>
  </r>
  <r>
    <x v="3"/>
    <x v="6"/>
    <x v="20"/>
    <n v="72.569999999999993"/>
  </r>
  <r>
    <x v="3"/>
    <x v="7"/>
    <x v="20"/>
    <n v="97.06"/>
  </r>
  <r>
    <x v="3"/>
    <x v="8"/>
    <x v="20"/>
    <n v="89.6"/>
  </r>
  <r>
    <x v="3"/>
    <x v="9"/>
    <x v="20"/>
    <n v="133.66999999999999"/>
  </r>
  <r>
    <x v="3"/>
    <x v="10"/>
    <x v="20"/>
    <n v="354.62"/>
  </r>
  <r>
    <x v="3"/>
    <x v="11"/>
    <x v="20"/>
    <n v="314.56"/>
  </r>
  <r>
    <x v="3"/>
    <x v="12"/>
    <x v="20"/>
    <n v="76.06"/>
  </r>
  <r>
    <x v="3"/>
    <x v="13"/>
    <x v="20"/>
    <n v="31.25"/>
  </r>
  <r>
    <x v="3"/>
    <x v="14"/>
    <x v="20"/>
    <n v="45.96"/>
  </r>
  <r>
    <x v="3"/>
    <x v="15"/>
    <x v="20"/>
    <n v="273"/>
  </r>
  <r>
    <x v="3"/>
    <x v="16"/>
    <x v="20"/>
    <n v="166.64"/>
  </r>
  <r>
    <x v="3"/>
    <x v="17"/>
    <x v="20"/>
    <n v="59.38"/>
  </r>
  <r>
    <x v="3"/>
    <x v="18"/>
    <x v="20"/>
    <n v="30.67"/>
  </r>
  <r>
    <x v="3"/>
    <x v="19"/>
    <x v="20"/>
    <n v="102.71"/>
  </r>
  <r>
    <x v="3"/>
    <x v="20"/>
    <x v="20"/>
    <n v="538.72"/>
  </r>
  <r>
    <x v="3"/>
    <x v="21"/>
    <x v="20"/>
    <n v="79.069999999999993"/>
  </r>
  <r>
    <x v="3"/>
    <x v="22"/>
    <x v="20"/>
    <n v="210.98"/>
  </r>
  <r>
    <x v="3"/>
    <x v="23"/>
    <x v="20"/>
    <n v="218.64"/>
  </r>
  <r>
    <x v="3"/>
    <x v="24"/>
    <x v="20"/>
    <n v="-11492.9"/>
  </r>
  <r>
    <x v="4"/>
    <x v="73"/>
    <x v="17"/>
    <n v="904.94"/>
  </r>
  <r>
    <x v="4"/>
    <x v="73"/>
    <x v="2"/>
    <n v="845.24"/>
  </r>
  <r>
    <x v="4"/>
    <x v="73"/>
    <x v="16"/>
    <n v="988.36"/>
  </r>
  <r>
    <x v="4"/>
    <x v="73"/>
    <x v="3"/>
    <n v="268.14"/>
  </r>
  <r>
    <x v="4"/>
    <x v="74"/>
    <x v="17"/>
    <n v="765.61"/>
  </r>
  <r>
    <x v="4"/>
    <x v="74"/>
    <x v="2"/>
    <n v="662.73"/>
  </r>
  <r>
    <x v="4"/>
    <x v="74"/>
    <x v="16"/>
    <n v="1293"/>
  </r>
  <r>
    <x v="4"/>
    <x v="74"/>
    <x v="3"/>
    <n v="255.18"/>
  </r>
  <r>
    <x v="4"/>
    <x v="75"/>
    <x v="17"/>
    <n v="790.48"/>
  </r>
  <r>
    <x v="4"/>
    <x v="75"/>
    <x v="2"/>
    <n v="622.54"/>
  </r>
  <r>
    <x v="4"/>
    <x v="75"/>
    <x v="16"/>
    <n v="886.74"/>
  </r>
  <r>
    <x v="4"/>
    <x v="75"/>
    <x v="3"/>
    <n v="207.45"/>
  </r>
  <r>
    <x v="4"/>
    <x v="76"/>
    <x v="17"/>
    <n v="869.26"/>
  </r>
  <r>
    <x v="4"/>
    <x v="76"/>
    <x v="2"/>
    <n v="533.69000000000005"/>
  </r>
  <r>
    <x v="4"/>
    <x v="76"/>
    <x v="16"/>
    <n v="602.99"/>
  </r>
  <r>
    <x v="4"/>
    <x v="76"/>
    <x v="3"/>
    <n v="289.54000000000002"/>
  </r>
  <r>
    <x v="4"/>
    <x v="88"/>
    <x v="17"/>
    <n v="811.49"/>
  </r>
  <r>
    <x v="4"/>
    <x v="88"/>
    <x v="2"/>
    <n v="627.67999999999995"/>
  </r>
  <r>
    <x v="4"/>
    <x v="88"/>
    <x v="16"/>
    <n v="341.52"/>
  </r>
  <r>
    <x v="4"/>
    <x v="88"/>
    <x v="3"/>
    <n v="365.86"/>
  </r>
  <r>
    <x v="4"/>
    <x v="77"/>
    <x v="17"/>
    <n v="404.94"/>
  </r>
  <r>
    <x v="4"/>
    <x v="77"/>
    <x v="2"/>
    <n v="524.91999999999996"/>
  </r>
  <r>
    <x v="4"/>
    <x v="77"/>
    <x v="16"/>
    <n v="1285.75"/>
  </r>
  <r>
    <x v="4"/>
    <x v="77"/>
    <x v="3"/>
    <n v="139.58000000000001"/>
  </r>
  <r>
    <x v="4"/>
    <x v="78"/>
    <x v="17"/>
    <n v="369.55"/>
  </r>
  <r>
    <x v="4"/>
    <x v="78"/>
    <x v="2"/>
    <n v="412.65"/>
  </r>
  <r>
    <x v="4"/>
    <x v="78"/>
    <x v="16"/>
    <n v="985.63"/>
  </r>
  <r>
    <x v="4"/>
    <x v="78"/>
    <x v="3"/>
    <n v="138.26"/>
  </r>
  <r>
    <x v="4"/>
    <x v="79"/>
    <x v="17"/>
    <n v="687.78"/>
  </r>
  <r>
    <x v="4"/>
    <x v="79"/>
    <x v="2"/>
    <n v="308.82"/>
  </r>
  <r>
    <x v="4"/>
    <x v="79"/>
    <x v="16"/>
    <n v="1351.77"/>
  </r>
  <r>
    <x v="4"/>
    <x v="79"/>
    <x v="3"/>
    <n v="350.97"/>
  </r>
  <r>
    <x v="4"/>
    <x v="80"/>
    <x v="17"/>
    <n v="832.17"/>
  </r>
  <r>
    <x v="4"/>
    <x v="80"/>
    <x v="2"/>
    <n v="618.26"/>
  </r>
  <r>
    <x v="4"/>
    <x v="80"/>
    <x v="16"/>
    <n v="542.48"/>
  </r>
  <r>
    <x v="4"/>
    <x v="80"/>
    <x v="3"/>
    <n v="104.78"/>
  </r>
  <r>
    <x v="4"/>
    <x v="81"/>
    <x v="17"/>
    <n v="454.15"/>
  </r>
  <r>
    <x v="4"/>
    <x v="81"/>
    <x v="2"/>
    <n v="656.96"/>
  </r>
  <r>
    <x v="4"/>
    <x v="81"/>
    <x v="16"/>
    <n v="1112.8699999999999"/>
  </r>
  <r>
    <x v="4"/>
    <x v="81"/>
    <x v="3"/>
    <n v="149.22"/>
  </r>
  <r>
    <x v="4"/>
    <x v="82"/>
    <x v="17"/>
    <n v="389.78"/>
  </r>
  <r>
    <x v="4"/>
    <x v="82"/>
    <x v="2"/>
    <n v="181.66"/>
  </r>
  <r>
    <x v="4"/>
    <x v="82"/>
    <x v="16"/>
    <n v="702.75"/>
  </r>
  <r>
    <x v="4"/>
    <x v="82"/>
    <x v="3"/>
    <n v="159.19"/>
  </r>
  <r>
    <x v="4"/>
    <x v="83"/>
    <x v="17"/>
    <n v="376.37"/>
  </r>
  <r>
    <x v="4"/>
    <x v="83"/>
    <x v="2"/>
    <n v="467.68"/>
  </r>
  <r>
    <x v="4"/>
    <x v="83"/>
    <x v="16"/>
    <n v="723.65"/>
  </r>
  <r>
    <x v="4"/>
    <x v="83"/>
    <x v="3"/>
    <n v="84.2"/>
  </r>
  <r>
    <x v="4"/>
    <x v="84"/>
    <x v="17"/>
    <n v="930.43"/>
  </r>
  <r>
    <x v="4"/>
    <x v="84"/>
    <x v="2"/>
    <n v="484.51"/>
  </r>
  <r>
    <x v="4"/>
    <x v="84"/>
    <x v="16"/>
    <n v="338.03"/>
  </r>
  <r>
    <x v="4"/>
    <x v="84"/>
    <x v="3"/>
    <n v="104.23"/>
  </r>
  <r>
    <x v="4"/>
    <x v="85"/>
    <x v="17"/>
    <n v="438.21"/>
  </r>
  <r>
    <x v="4"/>
    <x v="85"/>
    <x v="2"/>
    <n v="719.71"/>
  </r>
  <r>
    <x v="4"/>
    <x v="85"/>
    <x v="16"/>
    <n v="346.13"/>
  </r>
  <r>
    <x v="4"/>
    <x v="85"/>
    <x v="3"/>
    <n v="67.87"/>
  </r>
  <r>
    <x v="4"/>
    <x v="86"/>
    <x v="17"/>
    <n v="254.09"/>
  </r>
  <r>
    <x v="4"/>
    <x v="86"/>
    <x v="2"/>
    <n v="176.28"/>
  </r>
  <r>
    <x v="4"/>
    <x v="86"/>
    <x v="16"/>
    <n v="918.5"/>
  </r>
  <r>
    <x v="4"/>
    <x v="86"/>
    <x v="3"/>
    <n v="116.75"/>
  </r>
  <r>
    <x v="4"/>
    <x v="87"/>
    <x v="17"/>
    <n v="380.53"/>
  </r>
  <r>
    <x v="4"/>
    <x v="87"/>
    <x v="2"/>
    <n v="364.18"/>
  </r>
  <r>
    <x v="4"/>
    <x v="87"/>
    <x v="16"/>
    <n v="617.76"/>
  </r>
  <r>
    <x v="4"/>
    <x v="87"/>
    <x v="3"/>
    <n v="32.159999999999997"/>
  </r>
  <r>
    <x v="4"/>
    <x v="0"/>
    <x v="17"/>
    <n v="454.51"/>
  </r>
  <r>
    <x v="4"/>
    <x v="0"/>
    <x v="2"/>
    <n v="333.28"/>
  </r>
  <r>
    <x v="4"/>
    <x v="0"/>
    <x v="16"/>
    <n v="541.84"/>
  </r>
  <r>
    <x v="4"/>
    <x v="0"/>
    <x v="3"/>
    <n v="79.03"/>
  </r>
  <r>
    <x v="4"/>
    <x v="1"/>
    <x v="17"/>
    <n v="308.66000000000003"/>
  </r>
  <r>
    <x v="4"/>
    <x v="1"/>
    <x v="2"/>
    <n v="534.28"/>
  </r>
  <r>
    <x v="4"/>
    <x v="1"/>
    <x v="16"/>
    <n v="343.21"/>
  </r>
  <r>
    <x v="4"/>
    <x v="1"/>
    <x v="3"/>
    <n v="98.98"/>
  </r>
  <r>
    <x v="4"/>
    <x v="2"/>
    <x v="17"/>
    <n v="411.43"/>
  </r>
  <r>
    <x v="4"/>
    <x v="2"/>
    <x v="2"/>
    <n v="278.33999999999997"/>
  </r>
  <r>
    <x v="4"/>
    <x v="2"/>
    <x v="16"/>
    <n v="3080.93"/>
  </r>
  <r>
    <x v="4"/>
    <x v="2"/>
    <x v="3"/>
    <n v="70.67"/>
  </r>
  <r>
    <x v="4"/>
    <x v="3"/>
    <x v="17"/>
    <n v="448.34"/>
  </r>
  <r>
    <x v="4"/>
    <x v="3"/>
    <x v="2"/>
    <n v="329.69"/>
  </r>
  <r>
    <x v="4"/>
    <x v="3"/>
    <x v="16"/>
    <n v="1177.01"/>
  </r>
  <r>
    <x v="4"/>
    <x v="3"/>
    <x v="3"/>
    <n v="28.19"/>
  </r>
  <r>
    <x v="4"/>
    <x v="4"/>
    <x v="17"/>
    <n v="289.58"/>
  </r>
  <r>
    <x v="4"/>
    <x v="4"/>
    <x v="2"/>
    <n v="196.93"/>
  </r>
  <r>
    <x v="4"/>
    <x v="4"/>
    <x v="16"/>
    <n v="1014.75"/>
  </r>
  <r>
    <x v="4"/>
    <x v="4"/>
    <x v="3"/>
    <n v="137.03"/>
  </r>
  <r>
    <x v="4"/>
    <x v="5"/>
    <x v="17"/>
    <n v="418.81"/>
  </r>
  <r>
    <x v="4"/>
    <x v="5"/>
    <x v="2"/>
    <n v="585.13"/>
  </r>
  <r>
    <x v="4"/>
    <x v="5"/>
    <x v="16"/>
    <n v="552.15"/>
  </r>
  <r>
    <x v="4"/>
    <x v="5"/>
    <x v="3"/>
    <n v="296.2"/>
  </r>
  <r>
    <x v="4"/>
    <x v="6"/>
    <x v="17"/>
    <n v="221.53"/>
  </r>
  <r>
    <x v="4"/>
    <x v="6"/>
    <x v="2"/>
    <n v="477.66"/>
  </r>
  <r>
    <x v="4"/>
    <x v="6"/>
    <x v="16"/>
    <n v="662.25"/>
  </r>
  <r>
    <x v="4"/>
    <x v="6"/>
    <x v="3"/>
    <n v="-1198.1600000000001"/>
  </r>
  <r>
    <x v="4"/>
    <x v="7"/>
    <x v="17"/>
    <n v="437.3"/>
  </r>
  <r>
    <x v="4"/>
    <x v="7"/>
    <x v="2"/>
    <n v="619.30999999999995"/>
  </r>
  <r>
    <x v="4"/>
    <x v="7"/>
    <x v="16"/>
    <n v="1479.39"/>
  </r>
  <r>
    <x v="4"/>
    <x v="8"/>
    <x v="17"/>
    <n v="392.83"/>
  </r>
  <r>
    <x v="4"/>
    <x v="8"/>
    <x v="2"/>
    <n v="451.19"/>
  </r>
  <r>
    <x v="4"/>
    <x v="8"/>
    <x v="16"/>
    <n v="546.17999999999995"/>
  </r>
  <r>
    <x v="4"/>
    <x v="9"/>
    <x v="17"/>
    <n v="405.28"/>
  </r>
  <r>
    <x v="4"/>
    <x v="9"/>
    <x v="2"/>
    <n v="417.41"/>
  </r>
  <r>
    <x v="4"/>
    <x v="9"/>
    <x v="16"/>
    <n v="2316.64"/>
  </r>
  <r>
    <x v="4"/>
    <x v="10"/>
    <x v="17"/>
    <n v="264.08999999999997"/>
  </r>
  <r>
    <x v="4"/>
    <x v="10"/>
    <x v="2"/>
    <n v="978.15"/>
  </r>
  <r>
    <x v="4"/>
    <x v="10"/>
    <x v="16"/>
    <n v="6686.38"/>
  </r>
  <r>
    <x v="4"/>
    <x v="11"/>
    <x v="17"/>
    <n v="705.21"/>
  </r>
  <r>
    <x v="4"/>
    <x v="11"/>
    <x v="2"/>
    <n v="1297.75"/>
  </r>
  <r>
    <x v="4"/>
    <x v="11"/>
    <x v="16"/>
    <n v="908.16"/>
  </r>
  <r>
    <x v="4"/>
    <x v="12"/>
    <x v="17"/>
    <n v="480.63"/>
  </r>
  <r>
    <x v="4"/>
    <x v="12"/>
    <x v="2"/>
    <n v="946.78"/>
  </r>
  <r>
    <x v="4"/>
    <x v="12"/>
    <x v="16"/>
    <n v="853.73"/>
  </r>
  <r>
    <x v="4"/>
    <x v="13"/>
    <x v="17"/>
    <n v="417.55"/>
  </r>
  <r>
    <x v="4"/>
    <x v="13"/>
    <x v="2"/>
    <n v="476.08"/>
  </r>
  <r>
    <x v="4"/>
    <x v="13"/>
    <x v="16"/>
    <n v="527.66999999999996"/>
  </r>
  <r>
    <x v="4"/>
    <x v="14"/>
    <x v="17"/>
    <n v="-1736.46"/>
  </r>
  <r>
    <x v="4"/>
    <x v="14"/>
    <x v="2"/>
    <n v="359.76"/>
  </r>
  <r>
    <x v="4"/>
    <x v="14"/>
    <x v="16"/>
    <n v="601.38"/>
  </r>
  <r>
    <x v="4"/>
    <x v="15"/>
    <x v="17"/>
    <n v="936.37"/>
  </r>
  <r>
    <x v="4"/>
    <x v="15"/>
    <x v="2"/>
    <n v="2214.6999999999998"/>
  </r>
  <r>
    <x v="4"/>
    <x v="15"/>
    <x v="16"/>
    <n v="856.73"/>
  </r>
  <r>
    <x v="4"/>
    <x v="16"/>
    <x v="17"/>
    <n v="870.08"/>
  </r>
  <r>
    <x v="4"/>
    <x v="16"/>
    <x v="2"/>
    <n v="819.47"/>
  </r>
  <r>
    <x v="4"/>
    <x v="16"/>
    <x v="16"/>
    <n v="488.24"/>
  </r>
  <r>
    <x v="4"/>
    <x v="17"/>
    <x v="17"/>
    <n v="818.98"/>
  </r>
  <r>
    <x v="4"/>
    <x v="17"/>
    <x v="2"/>
    <n v="1379.78"/>
  </r>
  <r>
    <x v="4"/>
    <x v="17"/>
    <x v="16"/>
    <n v="1014.89"/>
  </r>
  <r>
    <x v="4"/>
    <x v="18"/>
    <x v="17"/>
    <n v="48.38"/>
  </r>
  <r>
    <x v="4"/>
    <x v="18"/>
    <x v="2"/>
    <n v="68.39"/>
  </r>
  <r>
    <x v="4"/>
    <x v="18"/>
    <x v="16"/>
    <n v="46.83"/>
  </r>
  <r>
    <x v="4"/>
    <x v="19"/>
    <x v="17"/>
    <n v="368.5"/>
  </r>
  <r>
    <x v="4"/>
    <x v="19"/>
    <x v="2"/>
    <n v="1205.24"/>
  </r>
  <r>
    <x v="4"/>
    <x v="19"/>
    <x v="16"/>
    <n v="776.03"/>
  </r>
  <r>
    <x v="4"/>
    <x v="20"/>
    <x v="17"/>
    <n v="880.38"/>
  </r>
  <r>
    <x v="4"/>
    <x v="20"/>
    <x v="2"/>
    <n v="1333.05"/>
  </r>
  <r>
    <x v="4"/>
    <x v="20"/>
    <x v="16"/>
    <n v="1773.74"/>
  </r>
  <r>
    <x v="4"/>
    <x v="21"/>
    <x v="17"/>
    <n v="988.37"/>
  </r>
  <r>
    <x v="4"/>
    <x v="21"/>
    <x v="2"/>
    <n v="918.49"/>
  </r>
  <r>
    <x v="4"/>
    <x v="21"/>
    <x v="16"/>
    <n v="586.79999999999995"/>
  </r>
  <r>
    <x v="4"/>
    <x v="22"/>
    <x v="17"/>
    <n v="-34437.86"/>
  </r>
  <r>
    <x v="4"/>
    <x v="22"/>
    <x v="2"/>
    <n v="-6257.67"/>
  </r>
  <r>
    <x v="4"/>
    <x v="22"/>
    <x v="16"/>
    <n v="-29453.97"/>
  </r>
  <r>
    <x v="5"/>
    <x v="50"/>
    <x v="2"/>
    <n v="1008.89"/>
  </r>
  <r>
    <x v="5"/>
    <x v="50"/>
    <x v="11"/>
    <n v="242.1"/>
  </r>
  <r>
    <x v="5"/>
    <x v="51"/>
    <x v="2"/>
    <n v="1174"/>
  </r>
  <r>
    <x v="5"/>
    <x v="51"/>
    <x v="11"/>
    <n v="434.14"/>
  </r>
  <r>
    <x v="5"/>
    <x v="52"/>
    <x v="2"/>
    <n v="787.35"/>
  </r>
  <r>
    <x v="5"/>
    <x v="52"/>
    <x v="11"/>
    <n v="239.77"/>
  </r>
  <r>
    <x v="5"/>
    <x v="53"/>
    <x v="2"/>
    <n v="1190.8599999999999"/>
  </r>
  <r>
    <x v="5"/>
    <x v="53"/>
    <x v="11"/>
    <n v="357.54"/>
  </r>
  <r>
    <x v="5"/>
    <x v="54"/>
    <x v="2"/>
    <n v="1253.44"/>
  </r>
  <r>
    <x v="5"/>
    <x v="54"/>
    <x v="11"/>
    <n v="397.15"/>
  </r>
  <r>
    <x v="5"/>
    <x v="55"/>
    <x v="2"/>
    <n v="1265.06"/>
  </r>
  <r>
    <x v="5"/>
    <x v="55"/>
    <x v="11"/>
    <n v="226.6"/>
  </r>
  <r>
    <x v="5"/>
    <x v="56"/>
    <x v="2"/>
    <n v="1053.24"/>
  </r>
  <r>
    <x v="5"/>
    <x v="56"/>
    <x v="11"/>
    <n v="239.38"/>
  </r>
  <r>
    <x v="5"/>
    <x v="57"/>
    <x v="2"/>
    <n v="1371.54"/>
  </r>
  <r>
    <x v="5"/>
    <x v="57"/>
    <x v="11"/>
    <n v="271.79000000000002"/>
  </r>
  <r>
    <x v="5"/>
    <x v="58"/>
    <x v="2"/>
    <n v="1576.57"/>
  </r>
  <r>
    <x v="5"/>
    <x v="58"/>
    <x v="11"/>
    <n v="378.12"/>
  </r>
  <r>
    <x v="5"/>
    <x v="59"/>
    <x v="2"/>
    <n v="1265.6500000000001"/>
  </r>
  <r>
    <x v="5"/>
    <x v="59"/>
    <x v="11"/>
    <n v="170.47"/>
  </r>
  <r>
    <x v="5"/>
    <x v="60"/>
    <x v="2"/>
    <n v="1341.63"/>
  </r>
  <r>
    <x v="5"/>
    <x v="60"/>
    <x v="11"/>
    <n v="425.09"/>
  </r>
  <r>
    <x v="5"/>
    <x v="61"/>
    <x v="2"/>
    <n v="330.16"/>
  </r>
  <r>
    <x v="5"/>
    <x v="61"/>
    <x v="11"/>
    <n v="238.73"/>
  </r>
  <r>
    <x v="5"/>
    <x v="62"/>
    <x v="2"/>
    <n v="285.7"/>
  </r>
  <r>
    <x v="5"/>
    <x v="62"/>
    <x v="11"/>
    <n v="146.79"/>
  </r>
  <r>
    <x v="5"/>
    <x v="63"/>
    <x v="2"/>
    <n v="815.9"/>
  </r>
  <r>
    <x v="5"/>
    <x v="63"/>
    <x v="11"/>
    <n v="163.87"/>
  </r>
  <r>
    <x v="5"/>
    <x v="64"/>
    <x v="2"/>
    <n v="573.20000000000005"/>
  </r>
  <r>
    <x v="5"/>
    <x v="64"/>
    <x v="11"/>
    <n v="3175.85"/>
  </r>
  <r>
    <x v="5"/>
    <x v="65"/>
    <x v="2"/>
    <n v="1250.23"/>
  </r>
  <r>
    <x v="5"/>
    <x v="65"/>
    <x v="11"/>
    <n v="239.61"/>
  </r>
  <r>
    <x v="5"/>
    <x v="66"/>
    <x v="2"/>
    <n v="1409.52"/>
  </r>
  <r>
    <x v="5"/>
    <x v="66"/>
    <x v="11"/>
    <n v="415.31"/>
  </r>
  <r>
    <x v="5"/>
    <x v="67"/>
    <x v="2"/>
    <n v="1794.98"/>
  </r>
  <r>
    <x v="5"/>
    <x v="67"/>
    <x v="11"/>
    <n v="261.23"/>
  </r>
  <r>
    <x v="5"/>
    <x v="68"/>
    <x v="2"/>
    <n v="1868.18"/>
  </r>
  <r>
    <x v="5"/>
    <x v="68"/>
    <x v="11"/>
    <n v="391.46"/>
  </r>
  <r>
    <x v="5"/>
    <x v="69"/>
    <x v="2"/>
    <n v="889.81"/>
  </r>
  <r>
    <x v="5"/>
    <x v="69"/>
    <x v="11"/>
    <n v="241.29"/>
  </r>
  <r>
    <x v="5"/>
    <x v="70"/>
    <x v="2"/>
    <n v="1017.79"/>
  </r>
  <r>
    <x v="5"/>
    <x v="70"/>
    <x v="11"/>
    <n v="206.71"/>
  </r>
  <r>
    <x v="5"/>
    <x v="71"/>
    <x v="2"/>
    <n v="990.78"/>
  </r>
  <r>
    <x v="5"/>
    <x v="71"/>
    <x v="11"/>
    <n v="-2.12"/>
  </r>
  <r>
    <x v="5"/>
    <x v="72"/>
    <x v="2"/>
    <n v="966.52"/>
  </r>
  <r>
    <x v="5"/>
    <x v="72"/>
    <x v="11"/>
    <n v="293.32"/>
  </r>
  <r>
    <x v="5"/>
    <x v="73"/>
    <x v="2"/>
    <n v="1434.27"/>
  </r>
  <r>
    <x v="5"/>
    <x v="73"/>
    <x v="11"/>
    <n v="163.32"/>
  </r>
  <r>
    <x v="5"/>
    <x v="74"/>
    <x v="2"/>
    <n v="1227.49"/>
  </r>
  <r>
    <x v="5"/>
    <x v="74"/>
    <x v="11"/>
    <n v="197.62"/>
  </r>
  <r>
    <x v="5"/>
    <x v="75"/>
    <x v="2"/>
    <n v="755.33"/>
  </r>
  <r>
    <x v="5"/>
    <x v="75"/>
    <x v="11"/>
    <n v="262.33999999999997"/>
  </r>
  <r>
    <x v="5"/>
    <x v="76"/>
    <x v="2"/>
    <n v="411.65"/>
  </r>
  <r>
    <x v="5"/>
    <x v="76"/>
    <x v="11"/>
    <n v="212.99"/>
  </r>
  <r>
    <x v="5"/>
    <x v="88"/>
    <x v="2"/>
    <n v="607.29"/>
  </r>
  <r>
    <x v="5"/>
    <x v="88"/>
    <x v="11"/>
    <n v="141.63999999999999"/>
  </r>
  <r>
    <x v="5"/>
    <x v="77"/>
    <x v="2"/>
    <n v="431"/>
  </r>
  <r>
    <x v="5"/>
    <x v="77"/>
    <x v="11"/>
    <n v="137.38999999999999"/>
  </r>
  <r>
    <x v="5"/>
    <x v="78"/>
    <x v="2"/>
    <n v="372.84"/>
  </r>
  <r>
    <x v="5"/>
    <x v="78"/>
    <x v="11"/>
    <n v="114.03"/>
  </r>
  <r>
    <x v="5"/>
    <x v="79"/>
    <x v="2"/>
    <n v="227.19"/>
  </r>
  <r>
    <x v="5"/>
    <x v="79"/>
    <x v="11"/>
    <n v="179.03"/>
  </r>
  <r>
    <x v="5"/>
    <x v="80"/>
    <x v="2"/>
    <n v="491.54"/>
  </r>
  <r>
    <x v="5"/>
    <x v="80"/>
    <x v="11"/>
    <n v="240.3"/>
  </r>
  <r>
    <x v="5"/>
    <x v="81"/>
    <x v="2"/>
    <n v="530.75"/>
  </r>
  <r>
    <x v="5"/>
    <x v="81"/>
    <x v="11"/>
    <n v="130.86000000000001"/>
  </r>
  <r>
    <x v="5"/>
    <x v="82"/>
    <x v="2"/>
    <n v="147.94"/>
  </r>
  <r>
    <x v="5"/>
    <x v="82"/>
    <x v="11"/>
    <n v="114.43"/>
  </r>
  <r>
    <x v="5"/>
    <x v="83"/>
    <x v="10"/>
    <n v="218.22"/>
  </r>
  <r>
    <x v="5"/>
    <x v="83"/>
    <x v="2"/>
    <n v="-14172.78"/>
  </r>
  <r>
    <x v="5"/>
    <x v="83"/>
    <x v="6"/>
    <n v="72.069999999999993"/>
  </r>
  <r>
    <x v="5"/>
    <x v="83"/>
    <x v="11"/>
    <n v="-3199.98"/>
  </r>
  <r>
    <x v="5"/>
    <x v="84"/>
    <x v="10"/>
    <n v="380.1"/>
  </r>
  <r>
    <x v="5"/>
    <x v="84"/>
    <x v="6"/>
    <n v="170.05"/>
  </r>
  <r>
    <x v="5"/>
    <x v="85"/>
    <x v="10"/>
    <n v="309.64999999999998"/>
  </r>
  <r>
    <x v="5"/>
    <x v="85"/>
    <x v="6"/>
    <n v="219.51"/>
  </r>
  <r>
    <x v="5"/>
    <x v="86"/>
    <x v="10"/>
    <n v="303.83"/>
  </r>
  <r>
    <x v="5"/>
    <x v="86"/>
    <x v="6"/>
    <n v="160.55000000000001"/>
  </r>
  <r>
    <x v="5"/>
    <x v="87"/>
    <x v="10"/>
    <n v="140.26"/>
  </r>
  <r>
    <x v="5"/>
    <x v="87"/>
    <x v="6"/>
    <n v="150.69999999999999"/>
  </r>
  <r>
    <x v="5"/>
    <x v="0"/>
    <x v="10"/>
    <n v="336.48"/>
  </r>
  <r>
    <x v="5"/>
    <x v="0"/>
    <x v="6"/>
    <n v="81.47"/>
  </r>
  <r>
    <x v="5"/>
    <x v="1"/>
    <x v="10"/>
    <n v="379.98"/>
  </r>
  <r>
    <x v="5"/>
    <x v="1"/>
    <x v="6"/>
    <n v="37.770000000000003"/>
  </r>
  <r>
    <x v="5"/>
    <x v="2"/>
    <x v="10"/>
    <n v="329.85"/>
  </r>
  <r>
    <x v="5"/>
    <x v="2"/>
    <x v="6"/>
    <n v="25.38"/>
  </r>
  <r>
    <x v="5"/>
    <x v="3"/>
    <x v="10"/>
    <n v="308.48"/>
  </r>
  <r>
    <x v="5"/>
    <x v="3"/>
    <x v="6"/>
    <n v="-37.31"/>
  </r>
  <r>
    <x v="5"/>
    <x v="4"/>
    <x v="10"/>
    <n v="151.93"/>
  </r>
  <r>
    <x v="5"/>
    <x v="4"/>
    <x v="6"/>
    <n v="27.14"/>
  </r>
  <r>
    <x v="5"/>
    <x v="5"/>
    <x v="10"/>
    <n v="342.55"/>
  </r>
  <r>
    <x v="5"/>
    <x v="5"/>
    <x v="6"/>
    <n v="45.6"/>
  </r>
  <r>
    <x v="5"/>
    <x v="6"/>
    <x v="10"/>
    <n v="322.89"/>
  </r>
  <r>
    <x v="5"/>
    <x v="6"/>
    <x v="6"/>
    <n v="118.64"/>
  </r>
  <r>
    <x v="5"/>
    <x v="7"/>
    <x v="10"/>
    <n v="609.88"/>
  </r>
  <r>
    <x v="5"/>
    <x v="7"/>
    <x v="6"/>
    <n v="126.55"/>
  </r>
  <r>
    <x v="5"/>
    <x v="8"/>
    <x v="10"/>
    <n v="144.76"/>
  </r>
  <r>
    <x v="5"/>
    <x v="8"/>
    <x v="6"/>
    <n v="164.47"/>
  </r>
  <r>
    <x v="5"/>
    <x v="9"/>
    <x v="10"/>
    <n v="460.09"/>
  </r>
  <r>
    <x v="5"/>
    <x v="9"/>
    <x v="6"/>
    <n v="201.9"/>
  </r>
  <r>
    <x v="5"/>
    <x v="10"/>
    <x v="10"/>
    <n v="542.05999999999995"/>
  </r>
  <r>
    <x v="5"/>
    <x v="10"/>
    <x v="6"/>
    <n v="237"/>
  </r>
  <r>
    <x v="5"/>
    <x v="11"/>
    <x v="10"/>
    <n v="624.64"/>
  </r>
  <r>
    <x v="5"/>
    <x v="11"/>
    <x v="6"/>
    <n v="416.22"/>
  </r>
  <r>
    <x v="5"/>
    <x v="12"/>
    <x v="10"/>
    <n v="277.11"/>
  </r>
  <r>
    <x v="5"/>
    <x v="12"/>
    <x v="6"/>
    <n v="129.19"/>
  </r>
  <r>
    <x v="5"/>
    <x v="13"/>
    <x v="10"/>
    <n v="36.17"/>
  </r>
  <r>
    <x v="5"/>
    <x v="13"/>
    <x v="6"/>
    <n v="0"/>
  </r>
  <r>
    <x v="5"/>
    <x v="14"/>
    <x v="10"/>
    <n v="688.2"/>
  </r>
  <r>
    <x v="5"/>
    <x v="14"/>
    <x v="6"/>
    <n v="416.55"/>
  </r>
  <r>
    <x v="5"/>
    <x v="15"/>
    <x v="10"/>
    <n v="568.35"/>
  </r>
  <r>
    <x v="5"/>
    <x v="15"/>
    <x v="6"/>
    <n v="491.97"/>
  </r>
  <r>
    <x v="5"/>
    <x v="16"/>
    <x v="10"/>
    <n v="405.08"/>
  </r>
  <r>
    <x v="5"/>
    <x v="16"/>
    <x v="6"/>
    <n v="201.09"/>
  </r>
  <r>
    <x v="5"/>
    <x v="17"/>
    <x v="10"/>
    <n v="404.62"/>
  </r>
  <r>
    <x v="5"/>
    <x v="17"/>
    <x v="6"/>
    <n v="554.71"/>
  </r>
  <r>
    <x v="5"/>
    <x v="18"/>
    <x v="10"/>
    <n v="44.97"/>
  </r>
  <r>
    <x v="5"/>
    <x v="18"/>
    <x v="6"/>
    <n v="17.059999999999999"/>
  </r>
  <r>
    <x v="5"/>
    <x v="19"/>
    <x v="10"/>
    <n v="696.26"/>
  </r>
  <r>
    <x v="5"/>
    <x v="19"/>
    <x v="6"/>
    <n v="421.22"/>
  </r>
  <r>
    <x v="5"/>
    <x v="20"/>
    <x v="10"/>
    <n v="1039.1199999999999"/>
  </r>
  <r>
    <x v="5"/>
    <x v="20"/>
    <x v="6"/>
    <n v="531.79999999999995"/>
  </r>
  <r>
    <x v="5"/>
    <x v="21"/>
    <x v="10"/>
    <n v="496.45"/>
  </r>
  <r>
    <x v="5"/>
    <x v="21"/>
    <x v="6"/>
    <n v="253.68"/>
  </r>
  <r>
    <x v="5"/>
    <x v="22"/>
    <x v="10"/>
    <n v="231.43"/>
  </r>
  <r>
    <x v="5"/>
    <x v="22"/>
    <x v="6"/>
    <n v="90.54"/>
  </r>
  <r>
    <x v="5"/>
    <x v="24"/>
    <x v="10"/>
    <n v="55.46"/>
  </r>
  <r>
    <x v="5"/>
    <x v="24"/>
    <x v="6"/>
    <n v="206.84"/>
  </r>
  <r>
    <x v="6"/>
    <x v="55"/>
    <x v="4"/>
    <n v="14.8"/>
  </r>
  <r>
    <x v="6"/>
    <x v="55"/>
    <x v="1"/>
    <n v="22.02"/>
  </r>
  <r>
    <x v="6"/>
    <x v="55"/>
    <x v="6"/>
    <n v="29.68"/>
  </r>
  <r>
    <x v="6"/>
    <x v="56"/>
    <x v="4"/>
    <n v="494.55"/>
  </r>
  <r>
    <x v="6"/>
    <x v="56"/>
    <x v="1"/>
    <n v="243.1"/>
  </r>
  <r>
    <x v="6"/>
    <x v="56"/>
    <x v="6"/>
    <n v="502.44"/>
  </r>
  <r>
    <x v="6"/>
    <x v="57"/>
    <x v="4"/>
    <n v="424.27"/>
  </r>
  <r>
    <x v="6"/>
    <x v="57"/>
    <x v="1"/>
    <n v="131.94999999999999"/>
  </r>
  <r>
    <x v="6"/>
    <x v="57"/>
    <x v="6"/>
    <n v="361.97"/>
  </r>
  <r>
    <x v="6"/>
    <x v="58"/>
    <x v="4"/>
    <n v="659.5"/>
  </r>
  <r>
    <x v="6"/>
    <x v="58"/>
    <x v="1"/>
    <n v="371.68"/>
  </r>
  <r>
    <x v="6"/>
    <x v="58"/>
    <x v="6"/>
    <n v="526.37"/>
  </r>
  <r>
    <x v="6"/>
    <x v="59"/>
    <x v="4"/>
    <n v="674.96"/>
  </r>
  <r>
    <x v="6"/>
    <x v="59"/>
    <x v="1"/>
    <n v="151.46"/>
  </r>
  <r>
    <x v="6"/>
    <x v="59"/>
    <x v="6"/>
    <n v="426.15"/>
  </r>
  <r>
    <x v="6"/>
    <x v="60"/>
    <x v="4"/>
    <n v="530.13"/>
  </r>
  <r>
    <x v="6"/>
    <x v="60"/>
    <x v="1"/>
    <n v="348.48"/>
  </r>
  <r>
    <x v="6"/>
    <x v="60"/>
    <x v="6"/>
    <n v="471.47"/>
  </r>
  <r>
    <x v="6"/>
    <x v="61"/>
    <x v="4"/>
    <n v="82.5"/>
  </r>
  <r>
    <x v="6"/>
    <x v="61"/>
    <x v="1"/>
    <n v="259.77999999999997"/>
  </r>
  <r>
    <x v="6"/>
    <x v="61"/>
    <x v="6"/>
    <n v="68.94"/>
  </r>
  <r>
    <x v="6"/>
    <x v="62"/>
    <x v="4"/>
    <n v="101.41"/>
  </r>
  <r>
    <x v="6"/>
    <x v="62"/>
    <x v="1"/>
    <n v="65.38"/>
  </r>
  <r>
    <x v="6"/>
    <x v="62"/>
    <x v="6"/>
    <n v="80.7"/>
  </r>
  <r>
    <x v="6"/>
    <x v="63"/>
    <x v="4"/>
    <n v="224.17"/>
  </r>
  <r>
    <x v="6"/>
    <x v="63"/>
    <x v="1"/>
    <n v="172.54"/>
  </r>
  <r>
    <x v="6"/>
    <x v="63"/>
    <x v="6"/>
    <n v="214.96"/>
  </r>
  <r>
    <x v="6"/>
    <x v="64"/>
    <x v="4"/>
    <n v="205.63"/>
  </r>
  <r>
    <x v="6"/>
    <x v="64"/>
    <x v="1"/>
    <n v="240"/>
  </r>
  <r>
    <x v="6"/>
    <x v="64"/>
    <x v="6"/>
    <n v="234.29"/>
  </r>
  <r>
    <x v="6"/>
    <x v="65"/>
    <x v="4"/>
    <n v="188.07"/>
  </r>
  <r>
    <x v="6"/>
    <x v="65"/>
    <x v="1"/>
    <n v="173.97"/>
  </r>
  <r>
    <x v="6"/>
    <x v="65"/>
    <x v="6"/>
    <n v="426.8"/>
  </r>
  <r>
    <x v="6"/>
    <x v="66"/>
    <x v="4"/>
    <n v="900.46"/>
  </r>
  <r>
    <x v="6"/>
    <x v="66"/>
    <x v="1"/>
    <n v="285.19"/>
  </r>
  <r>
    <x v="6"/>
    <x v="66"/>
    <x v="6"/>
    <n v="417.17"/>
  </r>
  <r>
    <x v="6"/>
    <x v="67"/>
    <x v="4"/>
    <n v="1300.1600000000001"/>
  </r>
  <r>
    <x v="6"/>
    <x v="67"/>
    <x v="1"/>
    <n v="328.12"/>
  </r>
  <r>
    <x v="6"/>
    <x v="67"/>
    <x v="6"/>
    <n v="409.49"/>
  </r>
  <r>
    <x v="6"/>
    <x v="68"/>
    <x v="4"/>
    <n v="1214.83"/>
  </r>
  <r>
    <x v="6"/>
    <x v="68"/>
    <x v="1"/>
    <n v="308.57"/>
  </r>
  <r>
    <x v="6"/>
    <x v="68"/>
    <x v="6"/>
    <n v="501.75"/>
  </r>
  <r>
    <x v="6"/>
    <x v="69"/>
    <x v="4"/>
    <n v="646.17999999999995"/>
  </r>
  <r>
    <x v="6"/>
    <x v="69"/>
    <x v="1"/>
    <n v="240.42"/>
  </r>
  <r>
    <x v="6"/>
    <x v="69"/>
    <x v="6"/>
    <n v="281.13"/>
  </r>
  <r>
    <x v="6"/>
    <x v="70"/>
    <x v="4"/>
    <n v="-3194.44"/>
  </r>
  <r>
    <x v="6"/>
    <x v="70"/>
    <x v="1"/>
    <n v="-1713.17"/>
  </r>
  <r>
    <x v="6"/>
    <x v="70"/>
    <x v="6"/>
    <n v="-1485.97"/>
  </r>
  <r>
    <x v="6"/>
    <x v="71"/>
    <x v="4"/>
    <n v="630.23"/>
  </r>
  <r>
    <x v="6"/>
    <x v="71"/>
    <x v="1"/>
    <n v="426.28"/>
  </r>
  <r>
    <x v="6"/>
    <x v="71"/>
    <x v="6"/>
    <n v="269.69"/>
  </r>
  <r>
    <x v="6"/>
    <x v="72"/>
    <x v="4"/>
    <n v="1502.97"/>
  </r>
  <r>
    <x v="6"/>
    <x v="72"/>
    <x v="1"/>
    <n v="778.72"/>
  </r>
  <r>
    <x v="6"/>
    <x v="72"/>
    <x v="6"/>
    <n v="500.8"/>
  </r>
  <r>
    <x v="6"/>
    <x v="73"/>
    <x v="4"/>
    <n v="1569.5"/>
  </r>
  <r>
    <x v="6"/>
    <x v="73"/>
    <x v="1"/>
    <n v="387.12"/>
  </r>
  <r>
    <x v="6"/>
    <x v="73"/>
    <x v="6"/>
    <n v="651.11"/>
  </r>
  <r>
    <x v="6"/>
    <x v="74"/>
    <x v="4"/>
    <n v="854.18"/>
  </r>
  <r>
    <x v="6"/>
    <x v="74"/>
    <x v="1"/>
    <n v="516.55999999999995"/>
  </r>
  <r>
    <x v="6"/>
    <x v="74"/>
    <x v="6"/>
    <n v="535.54999999999995"/>
  </r>
  <r>
    <x v="6"/>
    <x v="75"/>
    <x v="4"/>
    <n v="775.59"/>
  </r>
  <r>
    <x v="6"/>
    <x v="75"/>
    <x v="1"/>
    <n v="563.17999999999995"/>
  </r>
  <r>
    <x v="6"/>
    <x v="75"/>
    <x v="6"/>
    <n v="403.17"/>
  </r>
  <r>
    <x v="6"/>
    <x v="76"/>
    <x v="4"/>
    <n v="447.61"/>
  </r>
  <r>
    <x v="6"/>
    <x v="76"/>
    <x v="1"/>
    <n v="431.56"/>
  </r>
  <r>
    <x v="6"/>
    <x v="76"/>
    <x v="6"/>
    <n v="455.37"/>
  </r>
  <r>
    <x v="6"/>
    <x v="88"/>
    <x v="4"/>
    <n v="879.24"/>
  </r>
  <r>
    <x v="6"/>
    <x v="88"/>
    <x v="1"/>
    <n v="259.32"/>
  </r>
  <r>
    <x v="6"/>
    <x v="88"/>
    <x v="6"/>
    <n v="726.88"/>
  </r>
  <r>
    <x v="6"/>
    <x v="77"/>
    <x v="4"/>
    <n v="589.54999999999995"/>
  </r>
  <r>
    <x v="6"/>
    <x v="77"/>
    <x v="1"/>
    <n v="264.13"/>
  </r>
  <r>
    <x v="6"/>
    <x v="77"/>
    <x v="6"/>
    <n v="338.61"/>
  </r>
  <r>
    <x v="6"/>
    <x v="78"/>
    <x v="4"/>
    <n v="358.16"/>
  </r>
  <r>
    <x v="6"/>
    <x v="78"/>
    <x v="1"/>
    <n v="172.44"/>
  </r>
  <r>
    <x v="6"/>
    <x v="78"/>
    <x v="6"/>
    <n v="329.79"/>
  </r>
  <r>
    <x v="6"/>
    <x v="79"/>
    <x v="4"/>
    <n v="514.6"/>
  </r>
  <r>
    <x v="6"/>
    <x v="79"/>
    <x v="1"/>
    <n v="478.02"/>
  </r>
  <r>
    <x v="6"/>
    <x v="79"/>
    <x v="6"/>
    <n v="346.46"/>
  </r>
  <r>
    <x v="6"/>
    <x v="80"/>
    <x v="4"/>
    <n v="424.83"/>
  </r>
  <r>
    <x v="6"/>
    <x v="80"/>
    <x v="1"/>
    <n v="507.3"/>
  </r>
  <r>
    <x v="6"/>
    <x v="80"/>
    <x v="6"/>
    <n v="497.57"/>
  </r>
  <r>
    <x v="6"/>
    <x v="81"/>
    <x v="4"/>
    <n v="379.21"/>
  </r>
  <r>
    <x v="6"/>
    <x v="81"/>
    <x v="1"/>
    <n v="291.18"/>
  </r>
  <r>
    <x v="6"/>
    <x v="81"/>
    <x v="6"/>
    <n v="261.22000000000003"/>
  </r>
  <r>
    <x v="6"/>
    <x v="82"/>
    <x v="4"/>
    <n v="82.24"/>
  </r>
  <r>
    <x v="6"/>
    <x v="82"/>
    <x v="1"/>
    <n v="185.94"/>
  </r>
  <r>
    <x v="6"/>
    <x v="82"/>
    <x v="6"/>
    <n v="123.78"/>
  </r>
  <r>
    <x v="6"/>
    <x v="83"/>
    <x v="4"/>
    <n v="293.98"/>
  </r>
  <r>
    <x v="6"/>
    <x v="83"/>
    <x v="1"/>
    <n v="121.7"/>
  </r>
  <r>
    <x v="6"/>
    <x v="83"/>
    <x v="6"/>
    <n v="83.74"/>
  </r>
  <r>
    <x v="6"/>
    <x v="84"/>
    <x v="4"/>
    <n v="469.9"/>
  </r>
  <r>
    <x v="6"/>
    <x v="84"/>
    <x v="1"/>
    <n v="702.62"/>
  </r>
  <r>
    <x v="6"/>
    <x v="84"/>
    <x v="6"/>
    <n v="142.34"/>
  </r>
  <r>
    <x v="6"/>
    <x v="85"/>
    <x v="4"/>
    <n v="298.27999999999997"/>
  </r>
  <r>
    <x v="6"/>
    <x v="85"/>
    <x v="1"/>
    <n v="220.72"/>
  </r>
  <r>
    <x v="6"/>
    <x v="85"/>
    <x v="6"/>
    <n v="581"/>
  </r>
  <r>
    <x v="6"/>
    <x v="86"/>
    <x v="4"/>
    <n v="101.32"/>
  </r>
  <r>
    <x v="6"/>
    <x v="86"/>
    <x v="1"/>
    <n v="482.37"/>
  </r>
  <r>
    <x v="6"/>
    <x v="86"/>
    <x v="6"/>
    <n v="323.95"/>
  </r>
  <r>
    <x v="6"/>
    <x v="87"/>
    <x v="4"/>
    <n v="263.99"/>
  </r>
  <r>
    <x v="6"/>
    <x v="87"/>
    <x v="1"/>
    <n v="175.87"/>
  </r>
  <r>
    <x v="6"/>
    <x v="87"/>
    <x v="6"/>
    <n v="343.47"/>
  </r>
  <r>
    <x v="6"/>
    <x v="0"/>
    <x v="4"/>
    <n v="388.39"/>
  </r>
  <r>
    <x v="6"/>
    <x v="0"/>
    <x v="1"/>
    <n v="154.12"/>
  </r>
  <r>
    <x v="6"/>
    <x v="0"/>
    <x v="6"/>
    <n v="283.37"/>
  </r>
  <r>
    <x v="6"/>
    <x v="1"/>
    <x v="4"/>
    <n v="145.85"/>
  </r>
  <r>
    <x v="6"/>
    <x v="1"/>
    <x v="1"/>
    <n v="228.4"/>
  </r>
  <r>
    <x v="6"/>
    <x v="1"/>
    <x v="6"/>
    <n v="211.13"/>
  </r>
  <r>
    <x v="6"/>
    <x v="2"/>
    <x v="4"/>
    <n v="274.60000000000002"/>
  </r>
  <r>
    <x v="6"/>
    <x v="2"/>
    <x v="1"/>
    <n v="134.28"/>
  </r>
  <r>
    <x v="6"/>
    <x v="2"/>
    <x v="6"/>
    <n v="168.19"/>
  </r>
  <r>
    <x v="6"/>
    <x v="3"/>
    <x v="4"/>
    <n v="285.55"/>
  </r>
  <r>
    <x v="6"/>
    <x v="3"/>
    <x v="1"/>
    <n v="224.84"/>
  </r>
  <r>
    <x v="6"/>
    <x v="3"/>
    <x v="6"/>
    <n v="41.36"/>
  </r>
  <r>
    <x v="6"/>
    <x v="4"/>
    <x v="4"/>
    <n v="110.66"/>
  </r>
  <r>
    <x v="6"/>
    <x v="4"/>
    <x v="1"/>
    <n v="271.27999999999997"/>
  </r>
  <r>
    <x v="6"/>
    <x v="4"/>
    <x v="6"/>
    <n v="144.06"/>
  </r>
  <r>
    <x v="6"/>
    <x v="5"/>
    <x v="4"/>
    <n v="80.430000000000007"/>
  </r>
  <r>
    <x v="6"/>
    <x v="5"/>
    <x v="1"/>
    <n v="358.71"/>
  </r>
  <r>
    <x v="6"/>
    <x v="5"/>
    <x v="6"/>
    <n v="91.3"/>
  </r>
  <r>
    <x v="6"/>
    <x v="6"/>
    <x v="4"/>
    <n v="221.2"/>
  </r>
  <r>
    <x v="6"/>
    <x v="6"/>
    <x v="1"/>
    <n v="403.95"/>
  </r>
  <r>
    <x v="6"/>
    <x v="6"/>
    <x v="6"/>
    <n v="237.03"/>
  </r>
  <r>
    <x v="6"/>
    <x v="7"/>
    <x v="4"/>
    <n v="501.05"/>
  </r>
  <r>
    <x v="6"/>
    <x v="7"/>
    <x v="1"/>
    <n v="319.77"/>
  </r>
  <r>
    <x v="6"/>
    <x v="7"/>
    <x v="6"/>
    <n v="-295.63"/>
  </r>
  <r>
    <x v="6"/>
    <x v="8"/>
    <x v="4"/>
    <n v="269.19"/>
  </r>
  <r>
    <x v="6"/>
    <x v="8"/>
    <x v="1"/>
    <n v="350.48"/>
  </r>
  <r>
    <x v="6"/>
    <x v="8"/>
    <x v="6"/>
    <n v="-329.76"/>
  </r>
  <r>
    <x v="6"/>
    <x v="9"/>
    <x v="4"/>
    <n v="90.65"/>
  </r>
  <r>
    <x v="6"/>
    <x v="9"/>
    <x v="1"/>
    <n v="95.12"/>
  </r>
  <r>
    <x v="6"/>
    <x v="9"/>
    <x v="6"/>
    <n v="2.88"/>
  </r>
  <r>
    <x v="6"/>
    <x v="10"/>
    <x v="4"/>
    <n v="42.51"/>
  </r>
  <r>
    <x v="6"/>
    <x v="10"/>
    <x v="6"/>
    <n v="-112.4"/>
  </r>
  <r>
    <x v="6"/>
    <x v="11"/>
    <x v="4"/>
    <n v="28.49"/>
  </r>
  <r>
    <x v="6"/>
    <x v="12"/>
    <x v="4"/>
    <n v="-50.07"/>
  </r>
  <r>
    <x v="6"/>
    <x v="13"/>
    <x v="4"/>
    <n v="-60.12"/>
  </r>
  <r>
    <x v="6"/>
    <x v="14"/>
    <x v="4"/>
    <n v="-15230.97"/>
  </r>
  <r>
    <x v="6"/>
    <x v="14"/>
    <x v="1"/>
    <n v="47.1"/>
  </r>
  <r>
    <x v="6"/>
    <x v="14"/>
    <x v="6"/>
    <n v="63.04"/>
  </r>
  <r>
    <x v="6"/>
    <x v="15"/>
    <x v="1"/>
    <n v="517.51"/>
  </r>
  <r>
    <x v="6"/>
    <x v="15"/>
    <x v="6"/>
    <n v="439.43"/>
  </r>
  <r>
    <x v="6"/>
    <x v="16"/>
    <x v="1"/>
    <n v="140.81"/>
  </r>
  <r>
    <x v="6"/>
    <x v="16"/>
    <x v="6"/>
    <n v="253.86"/>
  </r>
  <r>
    <x v="6"/>
    <x v="17"/>
    <x v="1"/>
    <n v="0"/>
  </r>
  <r>
    <x v="6"/>
    <x v="17"/>
    <x v="6"/>
    <n v="0"/>
  </r>
  <r>
    <x v="6"/>
    <x v="18"/>
    <x v="1"/>
    <n v="-41956.26"/>
  </r>
  <r>
    <x v="6"/>
    <x v="18"/>
    <x v="6"/>
    <n v="-11247.33"/>
  </r>
  <r>
    <x v="6"/>
    <x v="19"/>
    <x v="4"/>
    <n v="0"/>
  </r>
  <r>
    <x v="6"/>
    <x v="19"/>
    <x v="1"/>
    <n v="0"/>
  </r>
  <r>
    <x v="6"/>
    <x v="19"/>
    <x v="6"/>
    <n v="0"/>
  </r>
  <r>
    <x v="6"/>
    <x v="20"/>
    <x v="1"/>
    <n v="0"/>
  </r>
  <r>
    <x v="6"/>
    <x v="21"/>
    <x v="4"/>
    <n v="0"/>
  </r>
  <r>
    <x v="6"/>
    <x v="22"/>
    <x v="1"/>
    <n v="-5247.01"/>
  </r>
  <r>
    <x v="6"/>
    <x v="22"/>
    <x v="6"/>
    <n v="0"/>
  </r>
  <r>
    <x v="6"/>
    <x v="23"/>
    <x v="4"/>
    <n v="0"/>
  </r>
  <r>
    <x v="6"/>
    <x v="23"/>
    <x v="1"/>
    <n v="-10605.84"/>
  </r>
  <r>
    <x v="6"/>
    <x v="23"/>
    <x v="6"/>
    <n v="-12260.92"/>
  </r>
  <r>
    <x v="7"/>
    <x v="65"/>
    <x v="22"/>
    <n v="96.16"/>
  </r>
  <r>
    <x v="7"/>
    <x v="65"/>
    <x v="1"/>
    <n v="109.34"/>
  </r>
  <r>
    <x v="7"/>
    <x v="65"/>
    <x v="2"/>
    <n v="362.77"/>
  </r>
  <r>
    <x v="7"/>
    <x v="66"/>
    <x v="22"/>
    <n v="662.65"/>
  </r>
  <r>
    <x v="7"/>
    <x v="66"/>
    <x v="1"/>
    <n v="285.95"/>
  </r>
  <r>
    <x v="7"/>
    <x v="66"/>
    <x v="2"/>
    <n v="1216.69"/>
  </r>
  <r>
    <x v="7"/>
    <x v="67"/>
    <x v="22"/>
    <n v="797.6"/>
  </r>
  <r>
    <x v="7"/>
    <x v="67"/>
    <x v="1"/>
    <n v="329.56"/>
  </r>
  <r>
    <x v="7"/>
    <x v="67"/>
    <x v="2"/>
    <n v="1502.32"/>
  </r>
  <r>
    <x v="7"/>
    <x v="68"/>
    <x v="22"/>
    <n v="689.28"/>
  </r>
  <r>
    <x v="7"/>
    <x v="68"/>
    <x v="1"/>
    <n v="308.57"/>
  </r>
  <r>
    <x v="7"/>
    <x v="68"/>
    <x v="2"/>
    <n v="1355.75"/>
  </r>
  <r>
    <x v="7"/>
    <x v="69"/>
    <x v="22"/>
    <n v="425.48"/>
  </r>
  <r>
    <x v="7"/>
    <x v="69"/>
    <x v="1"/>
    <n v="240.42"/>
  </r>
  <r>
    <x v="7"/>
    <x v="69"/>
    <x v="2"/>
    <n v="790.81"/>
  </r>
  <r>
    <x v="7"/>
    <x v="70"/>
    <x v="22"/>
    <n v="371.38"/>
  </r>
  <r>
    <x v="7"/>
    <x v="70"/>
    <x v="1"/>
    <n v="150.82"/>
  </r>
  <r>
    <x v="7"/>
    <x v="70"/>
    <x v="2"/>
    <n v="646.17999999999995"/>
  </r>
  <r>
    <x v="7"/>
    <x v="71"/>
    <x v="22"/>
    <n v="403.01"/>
  </r>
  <r>
    <x v="7"/>
    <x v="71"/>
    <x v="1"/>
    <n v="238.49"/>
  </r>
  <r>
    <x v="7"/>
    <x v="71"/>
    <x v="2"/>
    <n v="812"/>
  </r>
  <r>
    <x v="7"/>
    <x v="72"/>
    <x v="22"/>
    <n v="446.4"/>
  </r>
  <r>
    <x v="7"/>
    <x v="72"/>
    <x v="1"/>
    <n v="389.69"/>
  </r>
  <r>
    <x v="7"/>
    <x v="72"/>
    <x v="2"/>
    <n v="663.69"/>
  </r>
  <r>
    <x v="7"/>
    <x v="73"/>
    <x v="22"/>
    <n v="335.6"/>
  </r>
  <r>
    <x v="7"/>
    <x v="73"/>
    <x v="1"/>
    <n v="193.57"/>
  </r>
  <r>
    <x v="7"/>
    <x v="73"/>
    <x v="2"/>
    <n v="1068.5999999999999"/>
  </r>
  <r>
    <x v="7"/>
    <x v="74"/>
    <x v="22"/>
    <n v="386.78"/>
  </r>
  <r>
    <x v="7"/>
    <x v="74"/>
    <x v="1"/>
    <n v="258.27"/>
  </r>
  <r>
    <x v="7"/>
    <x v="74"/>
    <x v="2"/>
    <n v="640.25"/>
  </r>
  <r>
    <x v="7"/>
    <x v="75"/>
    <x v="22"/>
    <n v="194.93"/>
  </r>
  <r>
    <x v="7"/>
    <x v="75"/>
    <x v="1"/>
    <n v="281.55"/>
  </r>
  <r>
    <x v="7"/>
    <x v="75"/>
    <x v="2"/>
    <n v="594.76"/>
  </r>
  <r>
    <x v="7"/>
    <x v="76"/>
    <x v="22"/>
    <n v="396.39"/>
  </r>
  <r>
    <x v="7"/>
    <x v="76"/>
    <x v="1"/>
    <n v="216.07"/>
  </r>
  <r>
    <x v="7"/>
    <x v="76"/>
    <x v="2"/>
    <n v="386.56"/>
  </r>
  <r>
    <x v="7"/>
    <x v="88"/>
    <x v="22"/>
    <n v="304.75"/>
  </r>
  <r>
    <x v="7"/>
    <x v="88"/>
    <x v="1"/>
    <n v="129.57"/>
  </r>
  <r>
    <x v="7"/>
    <x v="88"/>
    <x v="2"/>
    <n v="607.27"/>
  </r>
  <r>
    <x v="7"/>
    <x v="77"/>
    <x v="22"/>
    <n v="170.92"/>
  </r>
  <r>
    <x v="7"/>
    <x v="77"/>
    <x v="1"/>
    <n v="132.08000000000001"/>
  </r>
  <r>
    <x v="7"/>
    <x v="77"/>
    <x v="2"/>
    <n v="464.39"/>
  </r>
  <r>
    <x v="7"/>
    <x v="78"/>
    <x v="22"/>
    <n v="138.65"/>
  </r>
  <r>
    <x v="7"/>
    <x v="78"/>
    <x v="1"/>
    <n v="86.21"/>
  </r>
  <r>
    <x v="7"/>
    <x v="78"/>
    <x v="2"/>
    <n v="372.83"/>
  </r>
  <r>
    <x v="7"/>
    <x v="79"/>
    <x v="22"/>
    <n v="217.03"/>
  </r>
  <r>
    <x v="7"/>
    <x v="79"/>
    <x v="1"/>
    <n v="240.16"/>
  </r>
  <r>
    <x v="7"/>
    <x v="79"/>
    <x v="2"/>
    <n v="227.19"/>
  </r>
  <r>
    <x v="7"/>
    <x v="80"/>
    <x v="22"/>
    <n v="160.4"/>
  </r>
  <r>
    <x v="7"/>
    <x v="80"/>
    <x v="1"/>
    <n v="253.55"/>
  </r>
  <r>
    <x v="7"/>
    <x v="80"/>
    <x v="2"/>
    <n v="491.53"/>
  </r>
  <r>
    <x v="7"/>
    <x v="81"/>
    <x v="22"/>
    <n v="168.54"/>
  </r>
  <r>
    <x v="7"/>
    <x v="81"/>
    <x v="1"/>
    <n v="167.51"/>
  </r>
  <r>
    <x v="7"/>
    <x v="81"/>
    <x v="2"/>
    <n v="530.75"/>
  </r>
  <r>
    <x v="7"/>
    <x v="82"/>
    <x v="22"/>
    <n v="206.54"/>
  </r>
  <r>
    <x v="7"/>
    <x v="82"/>
    <x v="1"/>
    <n v="127.26"/>
  </r>
  <r>
    <x v="7"/>
    <x v="82"/>
    <x v="2"/>
    <n v="126.48"/>
  </r>
  <r>
    <x v="7"/>
    <x v="83"/>
    <x v="22"/>
    <n v="-2500"/>
  </r>
  <r>
    <x v="7"/>
    <x v="83"/>
    <x v="1"/>
    <n v="-1884.57"/>
  </r>
  <r>
    <x v="7"/>
    <x v="83"/>
    <x v="2"/>
    <n v="-8799.57"/>
  </r>
  <r>
    <x v="7"/>
    <x v="84"/>
    <x v="22"/>
    <n v="142.31"/>
  </r>
  <r>
    <x v="7"/>
    <x v="84"/>
    <x v="1"/>
    <n v="350.67"/>
  </r>
  <r>
    <x v="7"/>
    <x v="84"/>
    <x v="2"/>
    <n v="479.6"/>
  </r>
  <r>
    <x v="7"/>
    <x v="85"/>
    <x v="22"/>
    <n v="101.52"/>
  </r>
  <r>
    <x v="7"/>
    <x v="85"/>
    <x v="1"/>
    <n v="110.36"/>
  </r>
  <r>
    <x v="7"/>
    <x v="85"/>
    <x v="2"/>
    <n v="565.87"/>
  </r>
  <r>
    <x v="7"/>
    <x v="86"/>
    <x v="22"/>
    <n v="89.66"/>
  </r>
  <r>
    <x v="7"/>
    <x v="86"/>
    <x v="1"/>
    <n v="241.16"/>
  </r>
  <r>
    <x v="7"/>
    <x v="86"/>
    <x v="2"/>
    <n v="146.65"/>
  </r>
  <r>
    <x v="7"/>
    <x v="87"/>
    <x v="22"/>
    <n v="99.71"/>
  </r>
  <r>
    <x v="7"/>
    <x v="87"/>
    <x v="1"/>
    <n v="176.06"/>
  </r>
  <r>
    <x v="7"/>
    <x v="87"/>
    <x v="2"/>
    <n v="388.37"/>
  </r>
  <r>
    <x v="7"/>
    <x v="0"/>
    <x v="22"/>
    <n v="144.83000000000001"/>
  </r>
  <r>
    <x v="7"/>
    <x v="0"/>
    <x v="1"/>
    <n v="76.91"/>
  </r>
  <r>
    <x v="7"/>
    <x v="0"/>
    <x v="2"/>
    <n v="283.7"/>
  </r>
  <r>
    <x v="7"/>
    <x v="1"/>
    <x v="22"/>
    <n v="166.45"/>
  </r>
  <r>
    <x v="7"/>
    <x v="1"/>
    <x v="1"/>
    <n v="88.03"/>
  </r>
  <r>
    <x v="7"/>
    <x v="1"/>
    <x v="2"/>
    <n v="423.23"/>
  </r>
  <r>
    <x v="7"/>
    <x v="2"/>
    <x v="22"/>
    <n v="189.11"/>
  </r>
  <r>
    <x v="7"/>
    <x v="2"/>
    <x v="1"/>
    <n v="67"/>
  </r>
  <r>
    <x v="7"/>
    <x v="2"/>
    <x v="2"/>
    <n v="245.39"/>
  </r>
  <r>
    <x v="7"/>
    <x v="3"/>
    <x v="22"/>
    <n v="72.84"/>
  </r>
  <r>
    <x v="7"/>
    <x v="3"/>
    <x v="1"/>
    <n v="112.35"/>
  </r>
  <r>
    <x v="7"/>
    <x v="3"/>
    <x v="2"/>
    <n v="232.14"/>
  </r>
  <r>
    <x v="7"/>
    <x v="4"/>
    <x v="22"/>
    <n v="68.959999999999994"/>
  </r>
  <r>
    <x v="7"/>
    <x v="4"/>
    <x v="1"/>
    <n v="135.83000000000001"/>
  </r>
  <r>
    <x v="7"/>
    <x v="4"/>
    <x v="2"/>
    <n v="213"/>
  </r>
  <r>
    <x v="7"/>
    <x v="5"/>
    <x v="22"/>
    <n v="248.48"/>
  </r>
  <r>
    <x v="7"/>
    <x v="5"/>
    <x v="1"/>
    <n v="179.43"/>
  </r>
  <r>
    <x v="7"/>
    <x v="5"/>
    <x v="2"/>
    <n v="374.36"/>
  </r>
  <r>
    <x v="7"/>
    <x v="6"/>
    <x v="22"/>
    <n v="183.49"/>
  </r>
  <r>
    <x v="7"/>
    <x v="6"/>
    <x v="1"/>
    <n v="201.95"/>
  </r>
  <r>
    <x v="7"/>
    <x v="6"/>
    <x v="2"/>
    <n v="436.81"/>
  </r>
  <r>
    <x v="7"/>
    <x v="7"/>
    <x v="22"/>
    <n v="157.76"/>
  </r>
  <r>
    <x v="7"/>
    <x v="7"/>
    <x v="1"/>
    <n v="159.71"/>
  </r>
  <r>
    <x v="7"/>
    <x v="7"/>
    <x v="2"/>
    <n v="588.35"/>
  </r>
  <r>
    <x v="7"/>
    <x v="8"/>
    <x v="22"/>
    <n v="234.36"/>
  </r>
  <r>
    <x v="7"/>
    <x v="8"/>
    <x v="1"/>
    <n v="176.58"/>
  </r>
  <r>
    <x v="7"/>
    <x v="8"/>
    <x v="2"/>
    <n v="347.21"/>
  </r>
  <r>
    <x v="7"/>
    <x v="9"/>
    <x v="22"/>
    <n v="215.2"/>
  </r>
  <r>
    <x v="7"/>
    <x v="9"/>
    <x v="1"/>
    <n v="283.95"/>
  </r>
  <r>
    <x v="7"/>
    <x v="9"/>
    <x v="2"/>
    <n v="444.21"/>
  </r>
  <r>
    <x v="7"/>
    <x v="10"/>
    <x v="22"/>
    <n v="228.74"/>
  </r>
  <r>
    <x v="7"/>
    <x v="10"/>
    <x v="1"/>
    <n v="283.52"/>
  </r>
  <r>
    <x v="7"/>
    <x v="10"/>
    <x v="2"/>
    <n v="1297.67"/>
  </r>
  <r>
    <x v="7"/>
    <x v="11"/>
    <x v="22"/>
    <n v="304.27"/>
  </r>
  <r>
    <x v="7"/>
    <x v="11"/>
    <x v="1"/>
    <n v="421.28"/>
  </r>
  <r>
    <x v="7"/>
    <x v="11"/>
    <x v="2"/>
    <n v="1188.75"/>
  </r>
  <r>
    <x v="7"/>
    <x v="12"/>
    <x v="22"/>
    <n v="362.76"/>
  </r>
  <r>
    <x v="7"/>
    <x v="12"/>
    <x v="1"/>
    <n v="209.48"/>
  </r>
  <r>
    <x v="7"/>
    <x v="12"/>
    <x v="2"/>
    <n v="753.36"/>
  </r>
  <r>
    <x v="7"/>
    <x v="13"/>
    <x v="22"/>
    <n v="124.94"/>
  </r>
  <r>
    <x v="7"/>
    <x v="13"/>
    <x v="1"/>
    <n v="96.25"/>
  </r>
  <r>
    <x v="7"/>
    <x v="13"/>
    <x v="2"/>
    <n v="209.74"/>
  </r>
  <r>
    <x v="7"/>
    <x v="14"/>
    <x v="22"/>
    <n v="293.32"/>
  </r>
  <r>
    <x v="7"/>
    <x v="14"/>
    <x v="1"/>
    <n v="750.42"/>
  </r>
  <r>
    <x v="7"/>
    <x v="14"/>
    <x v="2"/>
    <n v="1473.87"/>
  </r>
  <r>
    <x v="7"/>
    <x v="15"/>
    <x v="22"/>
    <n v="685.85"/>
  </r>
  <r>
    <x v="7"/>
    <x v="15"/>
    <x v="1"/>
    <n v="777.73"/>
  </r>
  <r>
    <x v="7"/>
    <x v="15"/>
    <x v="2"/>
    <n v="2036.75"/>
  </r>
  <r>
    <x v="7"/>
    <x v="16"/>
    <x v="22"/>
    <n v="452.69"/>
  </r>
  <r>
    <x v="7"/>
    <x v="16"/>
    <x v="1"/>
    <n v="309.22000000000003"/>
  </r>
  <r>
    <x v="7"/>
    <x v="16"/>
    <x v="2"/>
    <n v="796.23"/>
  </r>
  <r>
    <x v="7"/>
    <x v="17"/>
    <x v="22"/>
    <n v="486.87"/>
  </r>
  <r>
    <x v="7"/>
    <x v="17"/>
    <x v="1"/>
    <n v="454.6"/>
  </r>
  <r>
    <x v="7"/>
    <x v="17"/>
    <x v="2"/>
    <n v="1514.94"/>
  </r>
  <r>
    <x v="7"/>
    <x v="18"/>
    <x v="22"/>
    <n v="52.35"/>
  </r>
  <r>
    <x v="7"/>
    <x v="18"/>
    <x v="1"/>
    <n v="0"/>
  </r>
  <r>
    <x v="7"/>
    <x v="18"/>
    <x v="2"/>
    <n v="38.14"/>
  </r>
  <r>
    <x v="7"/>
    <x v="19"/>
    <x v="22"/>
    <n v="0"/>
  </r>
  <r>
    <x v="7"/>
    <x v="19"/>
    <x v="1"/>
    <n v="96.2"/>
  </r>
  <r>
    <x v="7"/>
    <x v="19"/>
    <x v="2"/>
    <n v="1099"/>
  </r>
  <r>
    <x v="7"/>
    <x v="20"/>
    <x v="1"/>
    <n v="432.56"/>
  </r>
  <r>
    <x v="7"/>
    <x v="20"/>
    <x v="2"/>
    <n v="1524.56"/>
  </r>
  <r>
    <x v="7"/>
    <x v="21"/>
    <x v="1"/>
    <n v="218.49"/>
  </r>
  <r>
    <x v="7"/>
    <x v="21"/>
    <x v="2"/>
    <n v="743.92"/>
  </r>
  <r>
    <x v="7"/>
    <x v="22"/>
    <x v="1"/>
    <n v="144.54"/>
  </r>
  <r>
    <x v="7"/>
    <x v="22"/>
    <x v="2"/>
    <n v="434.75"/>
  </r>
  <r>
    <x v="7"/>
    <x v="23"/>
    <x v="1"/>
    <n v="170.44"/>
  </r>
  <r>
    <x v="7"/>
    <x v="23"/>
    <x v="2"/>
    <n v="852.97"/>
  </r>
  <r>
    <x v="7"/>
    <x v="24"/>
    <x v="22"/>
    <n v="278.86"/>
  </r>
  <r>
    <x v="7"/>
    <x v="24"/>
    <x v="1"/>
    <n v="143.05000000000001"/>
  </r>
  <r>
    <x v="7"/>
    <x v="24"/>
    <x v="2"/>
    <n v="647.53"/>
  </r>
  <r>
    <x v="8"/>
    <x v="72"/>
    <x v="8"/>
    <n v="372.88"/>
  </r>
  <r>
    <x v="8"/>
    <x v="72"/>
    <x v="20"/>
    <n v="287.51"/>
  </r>
  <r>
    <x v="8"/>
    <x v="72"/>
    <x v="2"/>
    <n v="934.07"/>
  </r>
  <r>
    <x v="8"/>
    <x v="72"/>
    <x v="3"/>
    <n v="388.16"/>
  </r>
  <r>
    <x v="8"/>
    <x v="73"/>
    <x v="8"/>
    <n v="397.18"/>
  </r>
  <r>
    <x v="8"/>
    <x v="73"/>
    <x v="20"/>
    <n v="285.49"/>
  </r>
  <r>
    <x v="8"/>
    <x v="73"/>
    <x v="2"/>
    <n v="1807.59"/>
  </r>
  <r>
    <x v="8"/>
    <x v="73"/>
    <x v="3"/>
    <n v="648.64"/>
  </r>
  <r>
    <x v="8"/>
    <x v="74"/>
    <x v="8"/>
    <n v="307.89"/>
  </r>
  <r>
    <x v="8"/>
    <x v="74"/>
    <x v="20"/>
    <n v="189.28"/>
  </r>
  <r>
    <x v="8"/>
    <x v="74"/>
    <x v="2"/>
    <n v="1282.8499999999999"/>
  </r>
  <r>
    <x v="8"/>
    <x v="74"/>
    <x v="3"/>
    <n v="508.46"/>
  </r>
  <r>
    <x v="8"/>
    <x v="75"/>
    <x v="8"/>
    <n v="238.88"/>
  </r>
  <r>
    <x v="8"/>
    <x v="75"/>
    <x v="20"/>
    <n v="485.95"/>
  </r>
  <r>
    <x v="8"/>
    <x v="75"/>
    <x v="2"/>
    <n v="1190.49"/>
  </r>
  <r>
    <x v="8"/>
    <x v="75"/>
    <x v="3"/>
    <n v="423.29"/>
  </r>
  <r>
    <x v="8"/>
    <x v="76"/>
    <x v="8"/>
    <n v="316.99"/>
  </r>
  <r>
    <x v="8"/>
    <x v="76"/>
    <x v="20"/>
    <n v="433.05"/>
  </r>
  <r>
    <x v="8"/>
    <x v="76"/>
    <x v="2"/>
    <n v="791.52"/>
  </r>
  <r>
    <x v="8"/>
    <x v="76"/>
    <x v="3"/>
    <n v="530.49"/>
  </r>
  <r>
    <x v="8"/>
    <x v="88"/>
    <x v="8"/>
    <n v="330.67"/>
  </r>
  <r>
    <x v="8"/>
    <x v="88"/>
    <x v="20"/>
    <n v="288.27999999999997"/>
  </r>
  <r>
    <x v="8"/>
    <x v="88"/>
    <x v="2"/>
    <n v="1255.04"/>
  </r>
  <r>
    <x v="8"/>
    <x v="88"/>
    <x v="3"/>
    <n v="752.68"/>
  </r>
  <r>
    <x v="8"/>
    <x v="77"/>
    <x v="8"/>
    <n v="146.15"/>
  </r>
  <r>
    <x v="8"/>
    <x v="77"/>
    <x v="20"/>
    <n v="243.17"/>
  </r>
  <r>
    <x v="8"/>
    <x v="77"/>
    <x v="2"/>
    <n v="928.73"/>
  </r>
  <r>
    <x v="8"/>
    <x v="77"/>
    <x v="3"/>
    <n v="283.04000000000002"/>
  </r>
  <r>
    <x v="8"/>
    <x v="78"/>
    <x v="8"/>
    <n v="152.61000000000001"/>
  </r>
  <r>
    <x v="8"/>
    <x v="78"/>
    <x v="20"/>
    <n v="197.01"/>
  </r>
  <r>
    <x v="8"/>
    <x v="78"/>
    <x v="2"/>
    <n v="745.73"/>
  </r>
  <r>
    <x v="8"/>
    <x v="78"/>
    <x v="3"/>
    <n v="309.26"/>
  </r>
  <r>
    <x v="8"/>
    <x v="79"/>
    <x v="8"/>
    <n v="225.25"/>
  </r>
  <r>
    <x v="8"/>
    <x v="79"/>
    <x v="20"/>
    <n v="195.03"/>
  </r>
  <r>
    <x v="8"/>
    <x v="79"/>
    <x v="2"/>
    <n v="454.51"/>
  </r>
  <r>
    <x v="8"/>
    <x v="79"/>
    <x v="3"/>
    <n v="449.51"/>
  </r>
  <r>
    <x v="8"/>
    <x v="80"/>
    <x v="8"/>
    <n v="246.05"/>
  </r>
  <r>
    <x v="8"/>
    <x v="80"/>
    <x v="20"/>
    <n v="290.43"/>
  </r>
  <r>
    <x v="8"/>
    <x v="80"/>
    <x v="2"/>
    <n v="983.2"/>
  </r>
  <r>
    <x v="8"/>
    <x v="80"/>
    <x v="3"/>
    <n v="219.33"/>
  </r>
  <r>
    <x v="8"/>
    <x v="81"/>
    <x v="8"/>
    <n v="178.43"/>
  </r>
  <r>
    <x v="8"/>
    <x v="81"/>
    <x v="20"/>
    <n v="342.76"/>
  </r>
  <r>
    <x v="8"/>
    <x v="81"/>
    <x v="2"/>
    <n v="1011.27"/>
  </r>
  <r>
    <x v="8"/>
    <x v="81"/>
    <x v="3"/>
    <n v="253.09"/>
  </r>
  <r>
    <x v="8"/>
    <x v="82"/>
    <x v="8"/>
    <n v="92.51"/>
  </r>
  <r>
    <x v="8"/>
    <x v="82"/>
    <x v="20"/>
    <n v="148.84"/>
  </r>
  <r>
    <x v="8"/>
    <x v="82"/>
    <x v="2"/>
    <n v="245.59"/>
  </r>
  <r>
    <x v="8"/>
    <x v="82"/>
    <x v="3"/>
    <n v="249.95"/>
  </r>
  <r>
    <x v="8"/>
    <x v="83"/>
    <x v="8"/>
    <n v="198.36"/>
  </r>
  <r>
    <x v="8"/>
    <x v="83"/>
    <x v="20"/>
    <n v="95.8"/>
  </r>
  <r>
    <x v="8"/>
    <x v="83"/>
    <x v="2"/>
    <n v="746.31"/>
  </r>
  <r>
    <x v="8"/>
    <x v="83"/>
    <x v="3"/>
    <n v="172.1"/>
  </r>
  <r>
    <x v="8"/>
    <x v="84"/>
    <x v="8"/>
    <n v="270.16000000000003"/>
  </r>
  <r>
    <x v="8"/>
    <x v="84"/>
    <x v="20"/>
    <n v="344.29"/>
  </r>
  <r>
    <x v="8"/>
    <x v="84"/>
    <x v="2"/>
    <n v="129.44"/>
  </r>
  <r>
    <x v="8"/>
    <x v="84"/>
    <x v="3"/>
    <n v="227.78"/>
  </r>
  <r>
    <x v="8"/>
    <x v="85"/>
    <x v="8"/>
    <n v="206.95"/>
  </r>
  <r>
    <x v="8"/>
    <x v="85"/>
    <x v="20"/>
    <n v="446.28"/>
  </r>
  <r>
    <x v="8"/>
    <x v="85"/>
    <x v="2"/>
    <n v="1246.81"/>
  </r>
  <r>
    <x v="8"/>
    <x v="85"/>
    <x v="3"/>
    <n v="141.88999999999999"/>
  </r>
  <r>
    <x v="8"/>
    <x v="86"/>
    <x v="8"/>
    <n v="171.05"/>
  </r>
  <r>
    <x v="8"/>
    <x v="86"/>
    <x v="20"/>
    <n v="298.26"/>
  </r>
  <r>
    <x v="8"/>
    <x v="86"/>
    <x v="2"/>
    <n v="293.38"/>
  </r>
  <r>
    <x v="8"/>
    <x v="86"/>
    <x v="3"/>
    <n v="230.38"/>
  </r>
  <r>
    <x v="8"/>
    <x v="87"/>
    <x v="8"/>
    <n v="134.88999999999999"/>
  </r>
  <r>
    <x v="8"/>
    <x v="87"/>
    <x v="20"/>
    <n v="148.65"/>
  </r>
  <r>
    <x v="8"/>
    <x v="87"/>
    <x v="2"/>
    <n v="773.68"/>
  </r>
  <r>
    <x v="8"/>
    <x v="87"/>
    <x v="3"/>
    <n v="80.31"/>
  </r>
  <r>
    <x v="8"/>
    <x v="0"/>
    <x v="8"/>
    <n v="242.15"/>
  </r>
  <r>
    <x v="8"/>
    <x v="0"/>
    <x v="20"/>
    <n v="257.11"/>
  </r>
  <r>
    <x v="8"/>
    <x v="0"/>
    <x v="2"/>
    <n v="565.54"/>
  </r>
  <r>
    <x v="8"/>
    <x v="0"/>
    <x v="3"/>
    <n v="152.66"/>
  </r>
  <r>
    <x v="8"/>
    <x v="1"/>
    <x v="8"/>
    <n v="140.44"/>
  </r>
  <r>
    <x v="8"/>
    <x v="1"/>
    <x v="20"/>
    <n v="202.07"/>
  </r>
  <r>
    <x v="8"/>
    <x v="1"/>
    <x v="2"/>
    <n v="846.67"/>
  </r>
  <r>
    <x v="8"/>
    <x v="1"/>
    <x v="3"/>
    <n v="202.81"/>
  </r>
  <r>
    <x v="8"/>
    <x v="2"/>
    <x v="8"/>
    <n v="182.53"/>
  </r>
  <r>
    <x v="8"/>
    <x v="2"/>
    <x v="20"/>
    <n v="253.35"/>
  </r>
  <r>
    <x v="8"/>
    <x v="2"/>
    <x v="2"/>
    <n v="489.07"/>
  </r>
  <r>
    <x v="8"/>
    <x v="2"/>
    <x v="3"/>
    <n v="144.86000000000001"/>
  </r>
  <r>
    <x v="8"/>
    <x v="3"/>
    <x v="8"/>
    <n v="199.53"/>
  </r>
  <r>
    <x v="8"/>
    <x v="3"/>
    <x v="20"/>
    <n v="202.3"/>
  </r>
  <r>
    <x v="8"/>
    <x v="3"/>
    <x v="2"/>
    <n v="461.84"/>
  </r>
  <r>
    <x v="8"/>
    <x v="3"/>
    <x v="3"/>
    <n v="59.1"/>
  </r>
  <r>
    <x v="8"/>
    <x v="4"/>
    <x v="8"/>
    <n v="139.24"/>
  </r>
  <r>
    <x v="8"/>
    <x v="4"/>
    <x v="20"/>
    <n v="124.53"/>
  </r>
  <r>
    <x v="8"/>
    <x v="4"/>
    <x v="2"/>
    <n v="202.53"/>
  </r>
  <r>
    <x v="8"/>
    <x v="4"/>
    <x v="3"/>
    <n v="349.78"/>
  </r>
  <r>
    <x v="8"/>
    <x v="5"/>
    <x v="8"/>
    <n v="101.08"/>
  </r>
  <r>
    <x v="8"/>
    <x v="5"/>
    <x v="20"/>
    <n v="306.77"/>
  </r>
  <r>
    <x v="8"/>
    <x v="5"/>
    <x v="2"/>
    <n v="118.16"/>
  </r>
  <r>
    <x v="8"/>
    <x v="5"/>
    <x v="3"/>
    <n v="505.05"/>
  </r>
  <r>
    <x v="8"/>
    <x v="6"/>
    <x v="8"/>
    <n v="90.2"/>
  </r>
  <r>
    <x v="8"/>
    <x v="6"/>
    <x v="20"/>
    <n v="238.78"/>
  </r>
  <r>
    <x v="8"/>
    <x v="6"/>
    <x v="2"/>
    <n v="873.65"/>
  </r>
  <r>
    <x v="8"/>
    <x v="6"/>
    <x v="3"/>
    <n v="205.78"/>
  </r>
  <r>
    <x v="8"/>
    <x v="7"/>
    <x v="8"/>
    <n v="233.76"/>
  </r>
  <r>
    <x v="8"/>
    <x v="7"/>
    <x v="20"/>
    <n v="164.88"/>
  </r>
  <r>
    <x v="8"/>
    <x v="7"/>
    <x v="2"/>
    <n v="1176.53"/>
  </r>
  <r>
    <x v="8"/>
    <x v="7"/>
    <x v="3"/>
    <n v="320.48"/>
  </r>
  <r>
    <x v="8"/>
    <x v="8"/>
    <x v="8"/>
    <n v="129.93"/>
  </r>
  <r>
    <x v="8"/>
    <x v="8"/>
    <x v="20"/>
    <n v="269.45"/>
  </r>
  <r>
    <x v="8"/>
    <x v="8"/>
    <x v="2"/>
    <n v="698.6"/>
  </r>
  <r>
    <x v="8"/>
    <x v="8"/>
    <x v="3"/>
    <n v="279.35000000000002"/>
  </r>
  <r>
    <x v="8"/>
    <x v="9"/>
    <x v="8"/>
    <n v="332.7"/>
  </r>
  <r>
    <x v="8"/>
    <x v="9"/>
    <x v="20"/>
    <n v="460"/>
  </r>
  <r>
    <x v="8"/>
    <x v="9"/>
    <x v="2"/>
    <n v="888.74"/>
  </r>
  <r>
    <x v="8"/>
    <x v="9"/>
    <x v="3"/>
    <n v="632.04999999999995"/>
  </r>
  <r>
    <x v="8"/>
    <x v="10"/>
    <x v="8"/>
    <n v="-423.28"/>
  </r>
  <r>
    <x v="8"/>
    <x v="10"/>
    <x v="20"/>
    <n v="1020.76"/>
  </r>
  <r>
    <x v="8"/>
    <x v="10"/>
    <x v="2"/>
    <n v="2555.77"/>
  </r>
  <r>
    <x v="8"/>
    <x v="10"/>
    <x v="3"/>
    <n v="616.38"/>
  </r>
  <r>
    <x v="8"/>
    <x v="11"/>
    <x v="8"/>
    <n v="98.16"/>
  </r>
  <r>
    <x v="8"/>
    <x v="11"/>
    <x v="20"/>
    <n v="710.23"/>
  </r>
  <r>
    <x v="8"/>
    <x v="11"/>
    <x v="2"/>
    <n v="1974.5"/>
  </r>
  <r>
    <x v="8"/>
    <x v="11"/>
    <x v="3"/>
    <n v="603.76"/>
  </r>
  <r>
    <x v="8"/>
    <x v="12"/>
    <x v="8"/>
    <n v="-80.59"/>
  </r>
  <r>
    <x v="8"/>
    <x v="12"/>
    <x v="20"/>
    <n v="153.09"/>
  </r>
  <r>
    <x v="8"/>
    <x v="12"/>
    <x v="2"/>
    <n v="409.11"/>
  </r>
  <r>
    <x v="8"/>
    <x v="12"/>
    <x v="3"/>
    <n v="228.92"/>
  </r>
  <r>
    <x v="8"/>
    <x v="13"/>
    <x v="8"/>
    <n v="0"/>
  </r>
  <r>
    <x v="8"/>
    <x v="13"/>
    <x v="20"/>
    <n v="0"/>
  </r>
  <r>
    <x v="8"/>
    <x v="13"/>
    <x v="2"/>
    <n v="0"/>
  </r>
  <r>
    <x v="8"/>
    <x v="13"/>
    <x v="3"/>
    <n v="31.66"/>
  </r>
  <r>
    <x v="8"/>
    <x v="14"/>
    <x v="8"/>
    <n v="562.87"/>
  </r>
  <r>
    <x v="8"/>
    <x v="14"/>
    <x v="20"/>
    <n v="-112.52"/>
  </r>
  <r>
    <x v="8"/>
    <x v="14"/>
    <x v="2"/>
    <n v="1838.35"/>
  </r>
  <r>
    <x v="8"/>
    <x v="14"/>
    <x v="3"/>
    <n v="164.9"/>
  </r>
  <r>
    <x v="8"/>
    <x v="15"/>
    <x v="8"/>
    <n v="821.48"/>
  </r>
  <r>
    <x v="8"/>
    <x v="15"/>
    <x v="20"/>
    <n v="1005.96"/>
  </r>
  <r>
    <x v="8"/>
    <x v="15"/>
    <x v="2"/>
    <n v="3625.33"/>
  </r>
  <r>
    <x v="8"/>
    <x v="15"/>
    <x v="3"/>
    <n v="1675.92"/>
  </r>
  <r>
    <x v="8"/>
    <x v="16"/>
    <x v="8"/>
    <n v="445.07"/>
  </r>
  <r>
    <x v="8"/>
    <x v="16"/>
    <x v="20"/>
    <n v="623.85"/>
  </r>
  <r>
    <x v="8"/>
    <x v="16"/>
    <x v="2"/>
    <n v="1367.51"/>
  </r>
  <r>
    <x v="8"/>
    <x v="16"/>
    <x v="3"/>
    <n v="621.84"/>
  </r>
  <r>
    <x v="8"/>
    <x v="17"/>
    <x v="8"/>
    <n v="283.47000000000003"/>
  </r>
  <r>
    <x v="8"/>
    <x v="17"/>
    <x v="20"/>
    <n v="104.61"/>
  </r>
  <r>
    <x v="8"/>
    <x v="17"/>
    <x v="2"/>
    <n v="710.81"/>
  </r>
  <r>
    <x v="8"/>
    <x v="17"/>
    <x v="3"/>
    <n v="304.64"/>
  </r>
  <r>
    <x v="8"/>
    <x v="18"/>
    <x v="8"/>
    <n v="25.75"/>
  </r>
  <r>
    <x v="8"/>
    <x v="18"/>
    <x v="20"/>
    <n v="0"/>
  </r>
  <r>
    <x v="8"/>
    <x v="18"/>
    <x v="2"/>
    <n v="0"/>
  </r>
  <r>
    <x v="8"/>
    <x v="18"/>
    <x v="3"/>
    <n v="0"/>
  </r>
  <r>
    <x v="8"/>
    <x v="19"/>
    <x v="8"/>
    <n v="0"/>
  </r>
  <r>
    <x v="8"/>
    <x v="19"/>
    <x v="20"/>
    <n v="165.74"/>
  </r>
  <r>
    <x v="8"/>
    <x v="19"/>
    <x v="2"/>
    <n v="1663.5"/>
  </r>
  <r>
    <x v="8"/>
    <x v="19"/>
    <x v="3"/>
    <n v="0"/>
  </r>
  <r>
    <x v="8"/>
    <x v="20"/>
    <x v="8"/>
    <n v="577.63"/>
  </r>
  <r>
    <x v="8"/>
    <x v="20"/>
    <x v="20"/>
    <n v="535.32000000000005"/>
  </r>
  <r>
    <x v="8"/>
    <x v="20"/>
    <x v="2"/>
    <n v="2106.94"/>
  </r>
  <r>
    <x v="8"/>
    <x v="21"/>
    <x v="8"/>
    <n v="0"/>
  </r>
  <r>
    <x v="8"/>
    <x v="21"/>
    <x v="20"/>
    <n v="99.39"/>
  </r>
  <r>
    <x v="8"/>
    <x v="21"/>
    <x v="2"/>
    <n v="47.85"/>
  </r>
  <r>
    <x v="8"/>
    <x v="22"/>
    <x v="20"/>
    <n v="0"/>
  </r>
  <r>
    <x v="8"/>
    <x v="23"/>
    <x v="2"/>
    <n v="0"/>
  </r>
  <r>
    <x v="8"/>
    <x v="24"/>
    <x v="20"/>
    <n v="0"/>
  </r>
  <r>
    <x v="9"/>
    <x v="72"/>
    <x v="8"/>
    <n v="71.91"/>
  </r>
  <r>
    <x v="9"/>
    <x v="72"/>
    <x v="22"/>
    <n v="40.93"/>
  </r>
  <r>
    <x v="9"/>
    <x v="72"/>
    <x v="20"/>
    <n v="48.13"/>
  </r>
  <r>
    <x v="9"/>
    <x v="73"/>
    <x v="8"/>
    <n v="421.9"/>
  </r>
  <r>
    <x v="9"/>
    <x v="73"/>
    <x v="22"/>
    <n v="348.05"/>
  </r>
  <r>
    <x v="9"/>
    <x v="73"/>
    <x v="20"/>
    <n v="118.76"/>
  </r>
  <r>
    <x v="9"/>
    <x v="74"/>
    <x v="8"/>
    <n v="307.89"/>
  </r>
  <r>
    <x v="9"/>
    <x v="74"/>
    <x v="22"/>
    <n v="408.85"/>
  </r>
  <r>
    <x v="9"/>
    <x v="74"/>
    <x v="20"/>
    <n v="94.63"/>
  </r>
  <r>
    <x v="9"/>
    <x v="75"/>
    <x v="8"/>
    <n v="238.88"/>
  </r>
  <r>
    <x v="9"/>
    <x v="75"/>
    <x v="22"/>
    <n v="194.95"/>
  </r>
  <r>
    <x v="9"/>
    <x v="75"/>
    <x v="20"/>
    <n v="243.11"/>
  </r>
  <r>
    <x v="9"/>
    <x v="76"/>
    <x v="8"/>
    <n v="316.99"/>
  </r>
  <r>
    <x v="9"/>
    <x v="76"/>
    <x v="22"/>
    <n v="353.23"/>
  </r>
  <r>
    <x v="9"/>
    <x v="76"/>
    <x v="20"/>
    <n v="216.51"/>
  </r>
  <r>
    <x v="9"/>
    <x v="88"/>
    <x v="8"/>
    <n v="330.67"/>
  </r>
  <r>
    <x v="9"/>
    <x v="88"/>
    <x v="22"/>
    <n v="304.52"/>
  </r>
  <r>
    <x v="9"/>
    <x v="88"/>
    <x v="20"/>
    <n v="143.27000000000001"/>
  </r>
  <r>
    <x v="9"/>
    <x v="77"/>
    <x v="8"/>
    <n v="146.15"/>
  </r>
  <r>
    <x v="9"/>
    <x v="77"/>
    <x v="22"/>
    <n v="170.92"/>
  </r>
  <r>
    <x v="9"/>
    <x v="77"/>
    <x v="20"/>
    <n v="169.86"/>
  </r>
  <r>
    <x v="9"/>
    <x v="78"/>
    <x v="8"/>
    <n v="152.62"/>
  </r>
  <r>
    <x v="9"/>
    <x v="78"/>
    <x v="22"/>
    <n v="138.65"/>
  </r>
  <r>
    <x v="9"/>
    <x v="78"/>
    <x v="20"/>
    <n v="97.21"/>
  </r>
  <r>
    <x v="9"/>
    <x v="79"/>
    <x v="8"/>
    <n v="225.27"/>
  </r>
  <r>
    <x v="9"/>
    <x v="79"/>
    <x v="22"/>
    <n v="217.01"/>
  </r>
  <r>
    <x v="9"/>
    <x v="79"/>
    <x v="20"/>
    <n v="97.51"/>
  </r>
  <r>
    <x v="9"/>
    <x v="80"/>
    <x v="8"/>
    <n v="246.05"/>
  </r>
  <r>
    <x v="9"/>
    <x v="80"/>
    <x v="22"/>
    <n v="160.41999999999999"/>
  </r>
  <r>
    <x v="9"/>
    <x v="80"/>
    <x v="20"/>
    <n v="145.25"/>
  </r>
  <r>
    <x v="9"/>
    <x v="81"/>
    <x v="8"/>
    <n v="177.78"/>
  </r>
  <r>
    <x v="9"/>
    <x v="81"/>
    <x v="22"/>
    <n v="168.53"/>
  </r>
  <r>
    <x v="9"/>
    <x v="81"/>
    <x v="20"/>
    <n v="171.39"/>
  </r>
  <r>
    <x v="9"/>
    <x v="82"/>
    <x v="8"/>
    <n v="96.28"/>
  </r>
  <r>
    <x v="9"/>
    <x v="82"/>
    <x v="22"/>
    <n v="206.55"/>
  </r>
  <r>
    <x v="9"/>
    <x v="82"/>
    <x v="20"/>
    <n v="74.44"/>
  </r>
  <r>
    <x v="9"/>
    <x v="83"/>
    <x v="8"/>
    <n v="198.8"/>
  </r>
  <r>
    <x v="9"/>
    <x v="83"/>
    <x v="22"/>
    <n v="115.16"/>
  </r>
  <r>
    <x v="9"/>
    <x v="83"/>
    <x v="20"/>
    <n v="47.9"/>
  </r>
  <r>
    <x v="9"/>
    <x v="84"/>
    <x v="8"/>
    <n v="277.36"/>
  </r>
  <r>
    <x v="9"/>
    <x v="84"/>
    <x v="22"/>
    <n v="142.32"/>
  </r>
  <r>
    <x v="9"/>
    <x v="84"/>
    <x v="20"/>
    <n v="172.18"/>
  </r>
  <r>
    <x v="9"/>
    <x v="85"/>
    <x v="8"/>
    <n v="206.96"/>
  </r>
  <r>
    <x v="9"/>
    <x v="85"/>
    <x v="22"/>
    <n v="101.52"/>
  </r>
  <r>
    <x v="9"/>
    <x v="85"/>
    <x v="20"/>
    <n v="223.9"/>
  </r>
  <r>
    <x v="9"/>
    <x v="86"/>
    <x v="8"/>
    <n v="171.05"/>
  </r>
  <r>
    <x v="9"/>
    <x v="86"/>
    <x v="22"/>
    <n v="124.34"/>
  </r>
  <r>
    <x v="9"/>
    <x v="86"/>
    <x v="20"/>
    <n v="149.1"/>
  </r>
  <r>
    <x v="9"/>
    <x v="87"/>
    <x v="8"/>
    <n v="134.88999999999999"/>
  </r>
  <r>
    <x v="9"/>
    <x v="87"/>
    <x v="22"/>
    <n v="108.47"/>
  </r>
  <r>
    <x v="9"/>
    <x v="87"/>
    <x v="20"/>
    <n v="74.33"/>
  </r>
  <r>
    <x v="9"/>
    <x v="0"/>
    <x v="8"/>
    <n v="231.09"/>
  </r>
  <r>
    <x v="9"/>
    <x v="0"/>
    <x v="22"/>
    <n v="144.76"/>
  </r>
  <r>
    <x v="9"/>
    <x v="0"/>
    <x v="20"/>
    <n v="128.65"/>
  </r>
  <r>
    <x v="9"/>
    <x v="1"/>
    <x v="8"/>
    <n v="127.79"/>
  </r>
  <r>
    <x v="9"/>
    <x v="1"/>
    <x v="22"/>
    <n v="166.74"/>
  </r>
  <r>
    <x v="9"/>
    <x v="1"/>
    <x v="20"/>
    <n v="101.03"/>
  </r>
  <r>
    <x v="9"/>
    <x v="2"/>
    <x v="8"/>
    <n v="182.3"/>
  </r>
  <r>
    <x v="9"/>
    <x v="2"/>
    <x v="22"/>
    <n v="189.11"/>
  </r>
  <r>
    <x v="9"/>
    <x v="2"/>
    <x v="20"/>
    <n v="126.7"/>
  </r>
  <r>
    <x v="9"/>
    <x v="3"/>
    <x v="8"/>
    <n v="170.6"/>
  </r>
  <r>
    <x v="9"/>
    <x v="3"/>
    <x v="22"/>
    <n v="72.69"/>
  </r>
  <r>
    <x v="9"/>
    <x v="3"/>
    <x v="20"/>
    <n v="101.18"/>
  </r>
  <r>
    <x v="9"/>
    <x v="4"/>
    <x v="8"/>
    <n v="124.13"/>
  </r>
  <r>
    <x v="9"/>
    <x v="4"/>
    <x v="22"/>
    <n v="68.959999999999994"/>
  </r>
  <r>
    <x v="9"/>
    <x v="4"/>
    <x v="20"/>
    <n v="64.349999999999994"/>
  </r>
  <r>
    <x v="9"/>
    <x v="5"/>
    <x v="8"/>
    <n v="86.04"/>
  </r>
  <r>
    <x v="9"/>
    <x v="5"/>
    <x v="22"/>
    <n v="208.43"/>
  </r>
  <r>
    <x v="9"/>
    <x v="5"/>
    <x v="20"/>
    <n v="152.9"/>
  </r>
  <r>
    <x v="9"/>
    <x v="6"/>
    <x v="8"/>
    <n v="90.27"/>
  </r>
  <r>
    <x v="9"/>
    <x v="6"/>
    <x v="22"/>
    <n v="183.21"/>
  </r>
  <r>
    <x v="9"/>
    <x v="6"/>
    <x v="20"/>
    <n v="119.39"/>
  </r>
  <r>
    <x v="9"/>
    <x v="7"/>
    <x v="8"/>
    <n v="212.92"/>
  </r>
  <r>
    <x v="9"/>
    <x v="7"/>
    <x v="22"/>
    <n v="157.76"/>
  </r>
  <r>
    <x v="9"/>
    <x v="7"/>
    <x v="20"/>
    <n v="111.69"/>
  </r>
  <r>
    <x v="9"/>
    <x v="8"/>
    <x v="8"/>
    <n v="127.45"/>
  </r>
  <r>
    <x v="9"/>
    <x v="8"/>
    <x v="22"/>
    <n v="234.37"/>
  </r>
  <r>
    <x v="9"/>
    <x v="8"/>
    <x v="20"/>
    <n v="134.74"/>
  </r>
  <r>
    <x v="9"/>
    <x v="9"/>
    <x v="8"/>
    <n v="329.72"/>
  </r>
  <r>
    <x v="9"/>
    <x v="9"/>
    <x v="22"/>
    <n v="215.57"/>
  </r>
  <r>
    <x v="9"/>
    <x v="9"/>
    <x v="20"/>
    <n v="230.02"/>
  </r>
  <r>
    <x v="9"/>
    <x v="10"/>
    <x v="8"/>
    <n v="-411.06"/>
  </r>
  <r>
    <x v="9"/>
    <x v="10"/>
    <x v="22"/>
    <n v="229.25"/>
  </r>
  <r>
    <x v="9"/>
    <x v="10"/>
    <x v="20"/>
    <n v="510.98"/>
  </r>
  <r>
    <x v="9"/>
    <x v="11"/>
    <x v="8"/>
    <n v="145.88999999999999"/>
  </r>
  <r>
    <x v="9"/>
    <x v="11"/>
    <x v="22"/>
    <n v="303.7"/>
  </r>
  <r>
    <x v="9"/>
    <x v="11"/>
    <x v="20"/>
    <n v="509.12"/>
  </r>
  <r>
    <x v="9"/>
    <x v="12"/>
    <x v="8"/>
    <n v="456.44"/>
  </r>
  <r>
    <x v="9"/>
    <x v="12"/>
    <x v="22"/>
    <n v="376.66"/>
  </r>
  <r>
    <x v="9"/>
    <x v="12"/>
    <x v="20"/>
    <n v="128.38999999999999"/>
  </r>
  <r>
    <x v="9"/>
    <x v="13"/>
    <x v="8"/>
    <n v="365.14"/>
  </r>
  <r>
    <x v="9"/>
    <x v="13"/>
    <x v="22"/>
    <n v="232.89"/>
  </r>
  <r>
    <x v="9"/>
    <x v="13"/>
    <x v="20"/>
    <n v="100.58"/>
  </r>
  <r>
    <x v="9"/>
    <x v="14"/>
    <x v="8"/>
    <n v="927.25"/>
  </r>
  <r>
    <x v="9"/>
    <x v="14"/>
    <x v="22"/>
    <n v="381.74"/>
  </r>
  <r>
    <x v="9"/>
    <x v="14"/>
    <x v="20"/>
    <n v="317.73"/>
  </r>
  <r>
    <x v="9"/>
    <x v="15"/>
    <x v="8"/>
    <n v="1019.4"/>
  </r>
  <r>
    <x v="9"/>
    <x v="15"/>
    <x v="22"/>
    <n v="684.69"/>
  </r>
  <r>
    <x v="9"/>
    <x v="15"/>
    <x v="20"/>
    <n v="528.46"/>
  </r>
  <r>
    <x v="9"/>
    <x v="16"/>
    <x v="8"/>
    <n v="541.05999999999995"/>
  </r>
  <r>
    <x v="9"/>
    <x v="16"/>
    <x v="22"/>
    <n v="452.6"/>
  </r>
  <r>
    <x v="9"/>
    <x v="16"/>
    <x v="20"/>
    <n v="337.72"/>
  </r>
  <r>
    <x v="9"/>
    <x v="17"/>
    <x v="8"/>
    <n v="604.11"/>
  </r>
  <r>
    <x v="9"/>
    <x v="17"/>
    <x v="22"/>
    <n v="519.9"/>
  </r>
  <r>
    <x v="9"/>
    <x v="17"/>
    <x v="20"/>
    <n v="106.92"/>
  </r>
  <r>
    <x v="9"/>
    <x v="18"/>
    <x v="8"/>
    <n v="189.6"/>
  </r>
  <r>
    <x v="9"/>
    <x v="18"/>
    <x v="22"/>
    <n v="224.09"/>
  </r>
  <r>
    <x v="9"/>
    <x v="18"/>
    <x v="20"/>
    <n v="55.21"/>
  </r>
  <r>
    <x v="9"/>
    <x v="19"/>
    <x v="8"/>
    <n v="20.23"/>
  </r>
  <r>
    <x v="9"/>
    <x v="19"/>
    <x v="22"/>
    <n v="0"/>
  </r>
  <r>
    <x v="9"/>
    <x v="19"/>
    <x v="20"/>
    <n v="-9.09"/>
  </r>
  <r>
    <x v="9"/>
    <x v="20"/>
    <x v="8"/>
    <n v="48.24"/>
  </r>
  <r>
    <x v="9"/>
    <x v="20"/>
    <x v="20"/>
    <n v="114.57"/>
  </r>
  <r>
    <x v="9"/>
    <x v="21"/>
    <x v="20"/>
    <n v="0"/>
  </r>
  <r>
    <x v="9"/>
    <x v="22"/>
    <x v="8"/>
    <n v="-3513.31"/>
  </r>
  <r>
    <x v="9"/>
    <x v="22"/>
    <x v="22"/>
    <n v="-10351.299999999999"/>
  </r>
  <r>
    <x v="9"/>
    <x v="23"/>
    <x v="8"/>
    <n v="-5776.66"/>
  </r>
  <r>
    <x v="9"/>
    <x v="23"/>
    <x v="22"/>
    <n v="-6205.05"/>
  </r>
  <r>
    <x v="9"/>
    <x v="24"/>
    <x v="22"/>
    <n v="13.7"/>
  </r>
  <r>
    <x v="10"/>
    <x v="72"/>
    <x v="22"/>
    <n v="81.89"/>
  </r>
  <r>
    <x v="10"/>
    <x v="72"/>
    <x v="1"/>
    <n v="129.52000000000001"/>
  </r>
  <r>
    <x v="10"/>
    <x v="72"/>
    <x v="2"/>
    <n v="194.75"/>
  </r>
  <r>
    <x v="10"/>
    <x v="72"/>
    <x v="11"/>
    <n v="163.06"/>
  </r>
  <r>
    <x v="10"/>
    <x v="73"/>
    <x v="22"/>
    <n v="696.05"/>
  </r>
  <r>
    <x v="10"/>
    <x v="73"/>
    <x v="1"/>
    <n v="386.83"/>
  </r>
  <r>
    <x v="10"/>
    <x v="73"/>
    <x v="2"/>
    <n v="1805.81"/>
  </r>
  <r>
    <x v="10"/>
    <x v="73"/>
    <x v="11"/>
    <n v="325.76"/>
  </r>
  <r>
    <x v="10"/>
    <x v="74"/>
    <x v="22"/>
    <n v="817.75"/>
  </r>
  <r>
    <x v="10"/>
    <x v="74"/>
    <x v="1"/>
    <n v="516.28"/>
  </r>
  <r>
    <x v="10"/>
    <x v="74"/>
    <x v="2"/>
    <n v="1232.29"/>
  </r>
  <r>
    <x v="10"/>
    <x v="74"/>
    <x v="11"/>
    <n v="395.1"/>
  </r>
  <r>
    <x v="10"/>
    <x v="75"/>
    <x v="22"/>
    <n v="389.62"/>
  </r>
  <r>
    <x v="10"/>
    <x v="75"/>
    <x v="1"/>
    <n v="564.02"/>
  </r>
  <r>
    <x v="10"/>
    <x v="75"/>
    <x v="2"/>
    <n v="1139.96"/>
  </r>
  <r>
    <x v="10"/>
    <x v="75"/>
    <x v="11"/>
    <n v="524.23"/>
  </r>
  <r>
    <x v="10"/>
    <x v="76"/>
    <x v="22"/>
    <n v="706.17"/>
  </r>
  <r>
    <x v="10"/>
    <x v="76"/>
    <x v="1"/>
    <n v="432.09"/>
  </r>
  <r>
    <x v="10"/>
    <x v="76"/>
    <x v="2"/>
    <n v="818.31"/>
  </r>
  <r>
    <x v="10"/>
    <x v="76"/>
    <x v="11"/>
    <n v="422.78"/>
  </r>
  <r>
    <x v="10"/>
    <x v="88"/>
    <x v="22"/>
    <n v="581.98"/>
  </r>
  <r>
    <x v="10"/>
    <x v="88"/>
    <x v="1"/>
    <n v="259.32"/>
  </r>
  <r>
    <x v="10"/>
    <x v="88"/>
    <x v="2"/>
    <n v="1214.6400000000001"/>
  </r>
  <r>
    <x v="10"/>
    <x v="88"/>
    <x v="11"/>
    <n v="283.39"/>
  </r>
  <r>
    <x v="10"/>
    <x v="77"/>
    <x v="22"/>
    <n v="-3384.62"/>
  </r>
  <r>
    <x v="10"/>
    <x v="77"/>
    <x v="1"/>
    <n v="-880.06"/>
  </r>
  <r>
    <x v="10"/>
    <x v="77"/>
    <x v="2"/>
    <n v="-5726.25"/>
  </r>
  <r>
    <x v="10"/>
    <x v="77"/>
    <x v="11"/>
    <n v="-1675.86"/>
  </r>
  <r>
    <x v="10"/>
    <x v="79"/>
    <x v="22"/>
    <n v="424.11"/>
  </r>
  <r>
    <x v="10"/>
    <x v="79"/>
    <x v="1"/>
    <n v="432.52"/>
  </r>
  <r>
    <x v="10"/>
    <x v="79"/>
    <x v="2"/>
    <n v="806.5"/>
  </r>
  <r>
    <x v="10"/>
    <x v="79"/>
    <x v="11"/>
    <n v="358.38"/>
  </r>
  <r>
    <x v="10"/>
    <x v="80"/>
    <x v="22"/>
    <n v="311.97000000000003"/>
  </r>
  <r>
    <x v="10"/>
    <x v="80"/>
    <x v="1"/>
    <n v="512.58000000000004"/>
  </r>
  <r>
    <x v="10"/>
    <x v="80"/>
    <x v="2"/>
    <n v="965.64"/>
  </r>
  <r>
    <x v="10"/>
    <x v="80"/>
    <x v="11"/>
    <n v="452.62"/>
  </r>
  <r>
    <x v="10"/>
    <x v="81"/>
    <x v="22"/>
    <n v="337.07"/>
  </r>
  <r>
    <x v="10"/>
    <x v="81"/>
    <x v="1"/>
    <n v="304.11"/>
  </r>
  <r>
    <x v="10"/>
    <x v="81"/>
    <x v="2"/>
    <n v="1004.81"/>
  </r>
  <r>
    <x v="10"/>
    <x v="81"/>
    <x v="11"/>
    <n v="261.25"/>
  </r>
  <r>
    <x v="10"/>
    <x v="82"/>
    <x v="22"/>
    <n v="413.67"/>
  </r>
  <r>
    <x v="10"/>
    <x v="82"/>
    <x v="1"/>
    <n v="257.91000000000003"/>
  </r>
  <r>
    <x v="10"/>
    <x v="82"/>
    <x v="2"/>
    <n v="253.02"/>
  </r>
  <r>
    <x v="10"/>
    <x v="82"/>
    <x v="11"/>
    <n v="227.8"/>
  </r>
  <r>
    <x v="10"/>
    <x v="83"/>
    <x v="22"/>
    <n v="230.34"/>
  </r>
  <r>
    <x v="10"/>
    <x v="83"/>
    <x v="1"/>
    <n v="121.7"/>
  </r>
  <r>
    <x v="10"/>
    <x v="83"/>
    <x v="2"/>
    <n v="746.32"/>
  </r>
  <r>
    <x v="10"/>
    <x v="83"/>
    <x v="11"/>
    <n v="97.68"/>
  </r>
  <r>
    <x v="10"/>
    <x v="84"/>
    <x v="22"/>
    <n v="284.61"/>
  </r>
  <r>
    <x v="10"/>
    <x v="84"/>
    <x v="1"/>
    <n v="702.62"/>
  </r>
  <r>
    <x v="10"/>
    <x v="84"/>
    <x v="2"/>
    <n v="888.05"/>
  </r>
  <r>
    <x v="10"/>
    <x v="84"/>
    <x v="11"/>
    <n v="582.64"/>
  </r>
  <r>
    <x v="10"/>
    <x v="85"/>
    <x v="22"/>
    <n v="203.01"/>
  </r>
  <r>
    <x v="10"/>
    <x v="85"/>
    <x v="1"/>
    <n v="220.72"/>
  </r>
  <r>
    <x v="10"/>
    <x v="85"/>
    <x v="2"/>
    <n v="1282.8599999999999"/>
  </r>
  <r>
    <x v="10"/>
    <x v="85"/>
    <x v="11"/>
    <n v="359.9"/>
  </r>
  <r>
    <x v="10"/>
    <x v="86"/>
    <x v="22"/>
    <n v="184.79"/>
  </r>
  <r>
    <x v="10"/>
    <x v="86"/>
    <x v="1"/>
    <n v="482.37"/>
  </r>
  <r>
    <x v="10"/>
    <x v="86"/>
    <x v="2"/>
    <n v="293.38"/>
  </r>
  <r>
    <x v="10"/>
    <x v="86"/>
    <x v="11"/>
    <n v="389.23"/>
  </r>
  <r>
    <x v="10"/>
    <x v="87"/>
    <x v="22"/>
    <n v="199.44"/>
  </r>
  <r>
    <x v="10"/>
    <x v="87"/>
    <x v="1"/>
    <n v="352.17"/>
  </r>
  <r>
    <x v="10"/>
    <x v="87"/>
    <x v="2"/>
    <n v="773.68"/>
  </r>
  <r>
    <x v="10"/>
    <x v="87"/>
    <x v="11"/>
    <n v="292.10000000000002"/>
  </r>
  <r>
    <x v="10"/>
    <x v="0"/>
    <x v="22"/>
    <n v="289.35000000000002"/>
  </r>
  <r>
    <x v="10"/>
    <x v="0"/>
    <x v="1"/>
    <n v="153.88999999999999"/>
  </r>
  <r>
    <x v="10"/>
    <x v="0"/>
    <x v="2"/>
    <n v="567.21"/>
  </r>
  <r>
    <x v="10"/>
    <x v="0"/>
    <x v="11"/>
    <n v="202.39"/>
  </r>
  <r>
    <x v="10"/>
    <x v="1"/>
    <x v="22"/>
    <n v="332.79"/>
  </r>
  <r>
    <x v="10"/>
    <x v="1"/>
    <x v="1"/>
    <n v="176.1"/>
  </r>
  <r>
    <x v="10"/>
    <x v="1"/>
    <x v="2"/>
    <n v="844.59"/>
  </r>
  <r>
    <x v="10"/>
    <x v="1"/>
    <x v="11"/>
    <n v="163.88"/>
  </r>
  <r>
    <x v="10"/>
    <x v="2"/>
    <x v="22"/>
    <n v="233.69"/>
  </r>
  <r>
    <x v="10"/>
    <x v="2"/>
    <x v="1"/>
    <n v="134.28"/>
  </r>
  <r>
    <x v="10"/>
    <x v="2"/>
    <x v="2"/>
    <n v="315.10000000000002"/>
  </r>
  <r>
    <x v="10"/>
    <x v="2"/>
    <x v="11"/>
    <n v="163.28"/>
  </r>
  <r>
    <x v="10"/>
    <x v="3"/>
    <x v="1"/>
    <n v="224.84"/>
  </r>
  <r>
    <x v="10"/>
    <x v="3"/>
    <x v="2"/>
    <n v="65.36"/>
  </r>
  <r>
    <x v="10"/>
    <x v="3"/>
    <x v="11"/>
    <n v="162.30000000000001"/>
  </r>
  <r>
    <x v="10"/>
    <x v="4"/>
    <x v="1"/>
    <n v="271.27999999999997"/>
  </r>
  <r>
    <x v="10"/>
    <x v="4"/>
    <x v="2"/>
    <n v="422.2"/>
  </r>
  <r>
    <x v="10"/>
    <x v="4"/>
    <x v="11"/>
    <n v="132.18"/>
  </r>
  <r>
    <x v="10"/>
    <x v="5"/>
    <x v="22"/>
    <n v="386.46"/>
  </r>
  <r>
    <x v="10"/>
    <x v="5"/>
    <x v="1"/>
    <n v="359.16"/>
  </r>
  <r>
    <x v="10"/>
    <x v="5"/>
    <x v="2"/>
    <n v="745.76"/>
  </r>
  <r>
    <x v="10"/>
    <x v="5"/>
    <x v="11"/>
    <n v="264.45"/>
  </r>
  <r>
    <x v="10"/>
    <x v="6"/>
    <x v="22"/>
    <n v="245.22"/>
  </r>
  <r>
    <x v="10"/>
    <x v="6"/>
    <x v="1"/>
    <n v="403.95"/>
  </r>
  <r>
    <x v="10"/>
    <x v="6"/>
    <x v="2"/>
    <n v="587.03"/>
  </r>
  <r>
    <x v="10"/>
    <x v="6"/>
    <x v="11"/>
    <n v="298.45"/>
  </r>
  <r>
    <x v="10"/>
    <x v="7"/>
    <x v="22"/>
    <n v="127.93"/>
  </r>
  <r>
    <x v="10"/>
    <x v="7"/>
    <x v="1"/>
    <n v="319.77"/>
  </r>
  <r>
    <x v="10"/>
    <x v="7"/>
    <x v="2"/>
    <n v="678.16"/>
  </r>
  <r>
    <x v="10"/>
    <x v="7"/>
    <x v="11"/>
    <n v="300.49"/>
  </r>
  <r>
    <x v="10"/>
    <x v="8"/>
    <x v="22"/>
    <n v="410.84"/>
  </r>
  <r>
    <x v="10"/>
    <x v="8"/>
    <x v="1"/>
    <n v="350.78"/>
  </r>
  <r>
    <x v="10"/>
    <x v="8"/>
    <x v="2"/>
    <n v="469.14"/>
  </r>
  <r>
    <x v="10"/>
    <x v="8"/>
    <x v="11"/>
    <n v="307.83999999999997"/>
  </r>
  <r>
    <x v="10"/>
    <x v="9"/>
    <x v="22"/>
    <n v="401.95"/>
  </r>
  <r>
    <x v="10"/>
    <x v="9"/>
    <x v="1"/>
    <n v="417.16"/>
  </r>
  <r>
    <x v="10"/>
    <x v="9"/>
    <x v="2"/>
    <n v="732.64"/>
  </r>
  <r>
    <x v="10"/>
    <x v="9"/>
    <x v="11"/>
    <n v="311.3"/>
  </r>
  <r>
    <x v="10"/>
    <x v="10"/>
    <x v="22"/>
    <n v="231.85"/>
  </r>
  <r>
    <x v="10"/>
    <x v="10"/>
    <x v="1"/>
    <n v="191.47"/>
  </r>
  <r>
    <x v="10"/>
    <x v="10"/>
    <x v="2"/>
    <n v="867.86"/>
  </r>
  <r>
    <x v="10"/>
    <x v="10"/>
    <x v="11"/>
    <n v="66.13"/>
  </r>
  <r>
    <x v="10"/>
    <x v="11"/>
    <x v="22"/>
    <n v="262.58"/>
  </r>
  <r>
    <x v="10"/>
    <x v="11"/>
    <x v="1"/>
    <n v="280.31"/>
  </r>
  <r>
    <x v="10"/>
    <x v="11"/>
    <x v="2"/>
    <n v="609.4"/>
  </r>
  <r>
    <x v="10"/>
    <x v="11"/>
    <x v="11"/>
    <n v="283.74"/>
  </r>
  <r>
    <x v="10"/>
    <x v="12"/>
    <x v="22"/>
    <n v="0"/>
  </r>
  <r>
    <x v="10"/>
    <x v="12"/>
    <x v="1"/>
    <n v="0"/>
  </r>
  <r>
    <x v="10"/>
    <x v="12"/>
    <x v="2"/>
    <n v="0"/>
  </r>
  <r>
    <x v="10"/>
    <x v="12"/>
    <x v="11"/>
    <n v="0"/>
  </r>
  <r>
    <x v="10"/>
    <x v="13"/>
    <x v="22"/>
    <n v="79.92"/>
  </r>
  <r>
    <x v="10"/>
    <x v="13"/>
    <x v="1"/>
    <n v="0"/>
  </r>
  <r>
    <x v="10"/>
    <x v="13"/>
    <x v="2"/>
    <n v="0"/>
  </r>
  <r>
    <x v="10"/>
    <x v="13"/>
    <x v="11"/>
    <n v="0"/>
  </r>
  <r>
    <x v="10"/>
    <x v="14"/>
    <x v="22"/>
    <n v="-9320.2900000000009"/>
  </r>
  <r>
    <x v="10"/>
    <x v="14"/>
    <x v="1"/>
    <n v="47.1"/>
  </r>
  <r>
    <x v="10"/>
    <x v="14"/>
    <x v="2"/>
    <n v="1402.43"/>
  </r>
  <r>
    <x v="10"/>
    <x v="14"/>
    <x v="11"/>
    <n v="-1227"/>
  </r>
  <r>
    <x v="10"/>
    <x v="15"/>
    <x v="1"/>
    <n v="610.07000000000005"/>
  </r>
  <r>
    <x v="10"/>
    <x v="15"/>
    <x v="2"/>
    <n v="1011.54"/>
  </r>
  <r>
    <x v="10"/>
    <x v="15"/>
    <x v="11"/>
    <n v="649.70000000000005"/>
  </r>
  <r>
    <x v="10"/>
    <x v="16"/>
    <x v="1"/>
    <n v="47.19"/>
  </r>
  <r>
    <x v="10"/>
    <x v="16"/>
    <x v="2"/>
    <n v="361.09"/>
  </r>
  <r>
    <x v="10"/>
    <x v="16"/>
    <x v="11"/>
    <n v="68.680000000000007"/>
  </r>
  <r>
    <x v="10"/>
    <x v="17"/>
    <x v="1"/>
    <n v="0"/>
  </r>
  <r>
    <x v="10"/>
    <x v="17"/>
    <x v="2"/>
    <n v="0"/>
  </r>
  <r>
    <x v="10"/>
    <x v="17"/>
    <x v="11"/>
    <n v="0"/>
  </r>
  <r>
    <x v="10"/>
    <x v="18"/>
    <x v="1"/>
    <n v="-12589.23"/>
  </r>
  <r>
    <x v="10"/>
    <x v="18"/>
    <x v="2"/>
    <n v="0"/>
  </r>
  <r>
    <x v="10"/>
    <x v="18"/>
    <x v="11"/>
    <n v="0"/>
  </r>
  <r>
    <x v="10"/>
    <x v="19"/>
    <x v="1"/>
    <n v="0"/>
  </r>
  <r>
    <x v="10"/>
    <x v="19"/>
    <x v="2"/>
    <n v="967.43"/>
  </r>
  <r>
    <x v="10"/>
    <x v="19"/>
    <x v="11"/>
    <n v="0"/>
  </r>
  <r>
    <x v="10"/>
    <x v="20"/>
    <x v="1"/>
    <n v="0"/>
  </r>
  <r>
    <x v="10"/>
    <x v="20"/>
    <x v="11"/>
    <n v="0"/>
  </r>
  <r>
    <x v="10"/>
    <x v="21"/>
    <x v="11"/>
    <n v="0"/>
  </r>
  <r>
    <x v="10"/>
    <x v="22"/>
    <x v="1"/>
    <n v="0"/>
  </r>
  <r>
    <x v="10"/>
    <x v="22"/>
    <x v="11"/>
    <n v="0"/>
  </r>
  <r>
    <x v="10"/>
    <x v="23"/>
    <x v="1"/>
    <n v="-33325.75"/>
  </r>
  <r>
    <x v="10"/>
    <x v="23"/>
    <x v="2"/>
    <n v="0"/>
  </r>
  <r>
    <x v="11"/>
    <x v="73"/>
    <x v="17"/>
    <n v="1374.38"/>
  </r>
  <r>
    <x v="11"/>
    <x v="73"/>
    <x v="2"/>
    <n v="1533.05"/>
  </r>
  <r>
    <x v="11"/>
    <x v="73"/>
    <x v="3"/>
    <n v="532.39"/>
  </r>
  <r>
    <x v="11"/>
    <x v="73"/>
    <x v="23"/>
    <n v="1549.18"/>
  </r>
  <r>
    <x v="11"/>
    <x v="74"/>
    <x v="8"/>
    <n v="130.9"/>
  </r>
  <r>
    <x v="11"/>
    <x v="74"/>
    <x v="17"/>
    <n v="1318.58"/>
  </r>
  <r>
    <x v="11"/>
    <x v="74"/>
    <x v="2"/>
    <n v="1232.1600000000001"/>
  </r>
  <r>
    <x v="11"/>
    <x v="74"/>
    <x v="3"/>
    <n v="508.44"/>
  </r>
  <r>
    <x v="11"/>
    <x v="74"/>
    <x v="23"/>
    <n v="1889.98"/>
  </r>
  <r>
    <x v="11"/>
    <x v="75"/>
    <x v="17"/>
    <n v="1314.08"/>
  </r>
  <r>
    <x v="11"/>
    <x v="75"/>
    <x v="2"/>
    <n v="1139.95"/>
  </r>
  <r>
    <x v="11"/>
    <x v="75"/>
    <x v="3"/>
    <n v="423.29"/>
  </r>
  <r>
    <x v="11"/>
    <x v="75"/>
    <x v="23"/>
    <n v="1733.29"/>
  </r>
  <r>
    <x v="11"/>
    <x v="76"/>
    <x v="17"/>
    <n v="1563.82"/>
  </r>
  <r>
    <x v="11"/>
    <x v="76"/>
    <x v="2"/>
    <n v="818.31"/>
  </r>
  <r>
    <x v="11"/>
    <x v="76"/>
    <x v="3"/>
    <n v="531.87"/>
  </r>
  <r>
    <x v="11"/>
    <x v="76"/>
    <x v="23"/>
    <n v="993.12"/>
  </r>
  <r>
    <x v="11"/>
    <x v="88"/>
    <x v="17"/>
    <n v="1316.37"/>
  </r>
  <r>
    <x v="11"/>
    <x v="88"/>
    <x v="2"/>
    <n v="1214.6500000000001"/>
  </r>
  <r>
    <x v="11"/>
    <x v="88"/>
    <x v="3"/>
    <n v="752.67"/>
  </r>
  <r>
    <x v="11"/>
    <x v="88"/>
    <x v="23"/>
    <n v="746.13"/>
  </r>
  <r>
    <x v="11"/>
    <x v="77"/>
    <x v="17"/>
    <n v="748.15"/>
  </r>
  <r>
    <x v="11"/>
    <x v="77"/>
    <x v="2"/>
    <n v="928.73"/>
  </r>
  <r>
    <x v="11"/>
    <x v="77"/>
    <x v="3"/>
    <n v="283.05"/>
  </r>
  <r>
    <x v="11"/>
    <x v="77"/>
    <x v="23"/>
    <n v="1625.02"/>
  </r>
  <r>
    <x v="11"/>
    <x v="78"/>
    <x v="17"/>
    <n v="603.58000000000004"/>
  </r>
  <r>
    <x v="11"/>
    <x v="78"/>
    <x v="2"/>
    <n v="745.73"/>
  </r>
  <r>
    <x v="11"/>
    <x v="78"/>
    <x v="3"/>
    <n v="309.25"/>
  </r>
  <r>
    <x v="11"/>
    <x v="78"/>
    <x v="23"/>
    <n v="1644.53"/>
  </r>
  <r>
    <x v="11"/>
    <x v="79"/>
    <x v="17"/>
    <n v="1001.59"/>
  </r>
  <r>
    <x v="11"/>
    <x v="79"/>
    <x v="2"/>
    <n v="458.47"/>
  </r>
  <r>
    <x v="11"/>
    <x v="79"/>
    <x v="3"/>
    <n v="449.51"/>
  </r>
  <r>
    <x v="11"/>
    <x v="79"/>
    <x v="23"/>
    <n v="1856.08"/>
  </r>
  <r>
    <x v="11"/>
    <x v="80"/>
    <x v="17"/>
    <n v="1320.5"/>
  </r>
  <r>
    <x v="11"/>
    <x v="80"/>
    <x v="2"/>
    <n v="983.19"/>
  </r>
  <r>
    <x v="11"/>
    <x v="80"/>
    <x v="3"/>
    <n v="219.33"/>
  </r>
  <r>
    <x v="11"/>
    <x v="80"/>
    <x v="23"/>
    <n v="812.59"/>
  </r>
  <r>
    <x v="11"/>
    <x v="81"/>
    <x v="17"/>
    <n v="798.7"/>
  </r>
  <r>
    <x v="11"/>
    <x v="81"/>
    <x v="2"/>
    <n v="1061.5999999999999"/>
  </r>
  <r>
    <x v="11"/>
    <x v="81"/>
    <x v="3"/>
    <n v="310.66000000000003"/>
  </r>
  <r>
    <x v="11"/>
    <x v="81"/>
    <x v="23"/>
    <n v="1225.06"/>
  </r>
  <r>
    <x v="11"/>
    <x v="82"/>
    <x v="17"/>
    <n v="804.53"/>
  </r>
  <r>
    <x v="11"/>
    <x v="82"/>
    <x v="2"/>
    <n v="295.93"/>
  </r>
  <r>
    <x v="11"/>
    <x v="82"/>
    <x v="3"/>
    <n v="309.2"/>
  </r>
  <r>
    <x v="11"/>
    <x v="82"/>
    <x v="23"/>
    <n v="938.82"/>
  </r>
  <r>
    <x v="11"/>
    <x v="83"/>
    <x v="17"/>
    <n v="628.27"/>
  </r>
  <r>
    <x v="11"/>
    <x v="83"/>
    <x v="2"/>
    <n v="645.01"/>
  </r>
  <r>
    <x v="11"/>
    <x v="83"/>
    <x v="3"/>
    <n v="143.28"/>
  </r>
  <r>
    <x v="11"/>
    <x v="83"/>
    <x v="23"/>
    <n v="770.23"/>
  </r>
  <r>
    <x v="11"/>
    <x v="84"/>
    <x v="17"/>
    <n v="1542.44"/>
  </r>
  <r>
    <x v="11"/>
    <x v="84"/>
    <x v="2"/>
    <n v="891.21"/>
  </r>
  <r>
    <x v="11"/>
    <x v="84"/>
    <x v="3"/>
    <n v="227.78"/>
  </r>
  <r>
    <x v="11"/>
    <x v="84"/>
    <x v="23"/>
    <n v="430.97"/>
  </r>
  <r>
    <x v="11"/>
    <x v="85"/>
    <x v="17"/>
    <n v="726.57"/>
  </r>
  <r>
    <x v="11"/>
    <x v="85"/>
    <x v="2"/>
    <n v="1125"/>
  </r>
  <r>
    <x v="11"/>
    <x v="85"/>
    <x v="3"/>
    <n v="141.88999999999999"/>
  </r>
  <r>
    <x v="11"/>
    <x v="85"/>
    <x v="23"/>
    <n v="453.67"/>
  </r>
  <r>
    <x v="11"/>
    <x v="86"/>
    <x v="17"/>
    <n v="496.84"/>
  </r>
  <r>
    <x v="11"/>
    <x v="86"/>
    <x v="2"/>
    <n v="293.38"/>
  </r>
  <r>
    <x v="11"/>
    <x v="86"/>
    <x v="3"/>
    <n v="230.37"/>
  </r>
  <r>
    <x v="11"/>
    <x v="86"/>
    <x v="23"/>
    <n v="1297.57"/>
  </r>
  <r>
    <x v="11"/>
    <x v="87"/>
    <x v="17"/>
    <n v="575.04"/>
  </r>
  <r>
    <x v="11"/>
    <x v="87"/>
    <x v="2"/>
    <n v="776.69"/>
  </r>
  <r>
    <x v="11"/>
    <x v="87"/>
    <x v="3"/>
    <n v="80.31"/>
  </r>
  <r>
    <x v="11"/>
    <x v="87"/>
    <x v="23"/>
    <n v="882.64"/>
  </r>
  <r>
    <x v="11"/>
    <x v="0"/>
    <x v="17"/>
    <n v="684.32"/>
  </r>
  <r>
    <x v="11"/>
    <x v="0"/>
    <x v="2"/>
    <n v="583.14"/>
  </r>
  <r>
    <x v="11"/>
    <x v="0"/>
    <x v="3"/>
    <n v="227.6"/>
  </r>
  <r>
    <x v="11"/>
    <x v="0"/>
    <x v="23"/>
    <n v="956.97"/>
  </r>
  <r>
    <x v="11"/>
    <x v="1"/>
    <x v="17"/>
    <n v="268.35000000000002"/>
  </r>
  <r>
    <x v="11"/>
    <x v="1"/>
    <x v="2"/>
    <n v="634.94000000000005"/>
  </r>
  <r>
    <x v="11"/>
    <x v="1"/>
    <x v="3"/>
    <n v="220.24"/>
  </r>
  <r>
    <x v="11"/>
    <x v="1"/>
    <x v="23"/>
    <n v="633.59"/>
  </r>
  <r>
    <x v="11"/>
    <x v="2"/>
    <x v="17"/>
    <n v="511.19"/>
  </r>
  <r>
    <x v="11"/>
    <x v="2"/>
    <x v="2"/>
    <n v="491.67"/>
  </r>
  <r>
    <x v="11"/>
    <x v="2"/>
    <x v="3"/>
    <n v="101.39"/>
  </r>
  <r>
    <x v="11"/>
    <x v="2"/>
    <x v="23"/>
    <n v="2103.63"/>
  </r>
  <r>
    <x v="11"/>
    <x v="3"/>
    <x v="17"/>
    <n v="582.13"/>
  </r>
  <r>
    <x v="11"/>
    <x v="3"/>
    <x v="2"/>
    <n v="220.18"/>
  </r>
  <r>
    <x v="11"/>
    <x v="3"/>
    <x v="3"/>
    <n v="29.52"/>
  </r>
  <r>
    <x v="11"/>
    <x v="3"/>
    <x v="23"/>
    <n v="1239.77"/>
  </r>
  <r>
    <x v="11"/>
    <x v="4"/>
    <x v="17"/>
    <n v="202.06"/>
  </r>
  <r>
    <x v="11"/>
    <x v="4"/>
    <x v="2"/>
    <n v="179.76"/>
  </r>
  <r>
    <x v="11"/>
    <x v="4"/>
    <x v="3"/>
    <n v="376.85"/>
  </r>
  <r>
    <x v="11"/>
    <x v="4"/>
    <x v="23"/>
    <n v="875.58"/>
  </r>
  <r>
    <x v="11"/>
    <x v="5"/>
    <x v="17"/>
    <n v="371.26"/>
  </r>
  <r>
    <x v="11"/>
    <x v="5"/>
    <x v="2"/>
    <n v="453.81"/>
  </r>
  <r>
    <x v="11"/>
    <x v="5"/>
    <x v="3"/>
    <n v="282.49"/>
  </r>
  <r>
    <x v="11"/>
    <x v="5"/>
    <x v="23"/>
    <n v="863.83"/>
  </r>
  <r>
    <x v="11"/>
    <x v="6"/>
    <x v="17"/>
    <n v="185.88"/>
  </r>
  <r>
    <x v="11"/>
    <x v="6"/>
    <x v="2"/>
    <n v="468.07"/>
  </r>
  <r>
    <x v="11"/>
    <x v="6"/>
    <x v="3"/>
    <n v="102.74"/>
  </r>
  <r>
    <x v="11"/>
    <x v="6"/>
    <x v="23"/>
    <n v="913.78"/>
  </r>
  <r>
    <x v="11"/>
    <x v="7"/>
    <x v="17"/>
    <n v="353.93"/>
  </r>
  <r>
    <x v="11"/>
    <x v="7"/>
    <x v="2"/>
    <n v="588.78"/>
  </r>
  <r>
    <x v="11"/>
    <x v="7"/>
    <x v="3"/>
    <n v="318.75"/>
  </r>
  <r>
    <x v="11"/>
    <x v="7"/>
    <x v="23"/>
    <n v="959.26"/>
  </r>
  <r>
    <x v="11"/>
    <x v="8"/>
    <x v="17"/>
    <n v="47.22"/>
  </r>
  <r>
    <x v="11"/>
    <x v="8"/>
    <x v="2"/>
    <n v="126.07"/>
  </r>
  <r>
    <x v="11"/>
    <x v="8"/>
    <x v="3"/>
    <n v="111.69"/>
  </r>
  <r>
    <x v="11"/>
    <x v="8"/>
    <x v="23"/>
    <n v="463.15"/>
  </r>
  <r>
    <x v="11"/>
    <x v="9"/>
    <x v="17"/>
    <n v="0"/>
  </r>
  <r>
    <x v="11"/>
    <x v="9"/>
    <x v="2"/>
    <n v="199.9"/>
  </r>
  <r>
    <x v="11"/>
    <x v="9"/>
    <x v="3"/>
    <n v="42.88"/>
  </r>
  <r>
    <x v="11"/>
    <x v="9"/>
    <x v="23"/>
    <n v="406.41"/>
  </r>
  <r>
    <x v="11"/>
    <x v="10"/>
    <x v="17"/>
    <n v="50.93"/>
  </r>
  <r>
    <x v="11"/>
    <x v="10"/>
    <x v="2"/>
    <n v="514.17999999999995"/>
  </r>
  <r>
    <x v="11"/>
    <x v="10"/>
    <x v="3"/>
    <n v="0"/>
  </r>
  <r>
    <x v="11"/>
    <x v="10"/>
    <x v="23"/>
    <n v="336.72"/>
  </r>
  <r>
    <x v="11"/>
    <x v="11"/>
    <x v="17"/>
    <n v="653.62"/>
  </r>
  <r>
    <x v="11"/>
    <x v="11"/>
    <x v="2"/>
    <n v="718.09"/>
  </r>
  <r>
    <x v="11"/>
    <x v="11"/>
    <x v="3"/>
    <n v="204.56"/>
  </r>
  <r>
    <x v="11"/>
    <x v="11"/>
    <x v="23"/>
    <n v="78.180000000000007"/>
  </r>
  <r>
    <x v="11"/>
    <x v="12"/>
    <x v="17"/>
    <n v="403.24"/>
  </r>
  <r>
    <x v="11"/>
    <x v="12"/>
    <x v="2"/>
    <n v="590.11"/>
  </r>
  <r>
    <x v="11"/>
    <x v="12"/>
    <x v="3"/>
    <n v="258.17"/>
  </r>
  <r>
    <x v="11"/>
    <x v="13"/>
    <x v="17"/>
    <n v="-94.62"/>
  </r>
  <r>
    <x v="11"/>
    <x v="13"/>
    <x v="2"/>
    <n v="0"/>
  </r>
  <r>
    <x v="11"/>
    <x v="13"/>
    <x v="3"/>
    <n v="60.27"/>
  </r>
  <r>
    <x v="11"/>
    <x v="14"/>
    <x v="17"/>
    <n v="387.16"/>
  </r>
  <r>
    <x v="11"/>
    <x v="14"/>
    <x v="2"/>
    <n v="586"/>
  </r>
  <r>
    <x v="11"/>
    <x v="14"/>
    <x v="3"/>
    <n v="637.19000000000005"/>
  </r>
  <r>
    <x v="11"/>
    <x v="14"/>
    <x v="23"/>
    <n v="1466.25"/>
  </r>
  <r>
    <x v="11"/>
    <x v="15"/>
    <x v="17"/>
    <n v="1439.9"/>
  </r>
  <r>
    <x v="11"/>
    <x v="15"/>
    <x v="2"/>
    <n v="3772.13"/>
  </r>
  <r>
    <x v="11"/>
    <x v="15"/>
    <x v="3"/>
    <n v="1839.09"/>
  </r>
  <r>
    <x v="11"/>
    <x v="15"/>
    <x v="23"/>
    <n v="1449.36"/>
  </r>
  <r>
    <x v="11"/>
    <x v="16"/>
    <x v="17"/>
    <n v="1473.57"/>
  </r>
  <r>
    <x v="11"/>
    <x v="16"/>
    <x v="2"/>
    <n v="803.42"/>
  </r>
  <r>
    <x v="11"/>
    <x v="16"/>
    <x v="3"/>
    <n v="655.89"/>
  </r>
  <r>
    <x v="11"/>
    <x v="16"/>
    <x v="23"/>
    <n v="819.29"/>
  </r>
  <r>
    <x v="11"/>
    <x v="17"/>
    <x v="17"/>
    <n v="49.9"/>
  </r>
  <r>
    <x v="11"/>
    <x v="17"/>
    <x v="2"/>
    <n v="600.1"/>
  </r>
  <r>
    <x v="11"/>
    <x v="17"/>
    <x v="3"/>
    <n v="0"/>
  </r>
  <r>
    <x v="11"/>
    <x v="17"/>
    <x v="23"/>
    <n v="-477.1"/>
  </r>
  <r>
    <x v="11"/>
    <x v="18"/>
    <x v="17"/>
    <n v="-0.27"/>
  </r>
  <r>
    <x v="11"/>
    <x v="18"/>
    <x v="2"/>
    <n v="-13.21"/>
  </r>
  <r>
    <x v="11"/>
    <x v="18"/>
    <x v="3"/>
    <n v="0"/>
  </r>
  <r>
    <x v="11"/>
    <x v="18"/>
    <x v="23"/>
    <n v="0"/>
  </r>
  <r>
    <x v="11"/>
    <x v="19"/>
    <x v="17"/>
    <n v="0"/>
  </r>
  <r>
    <x v="11"/>
    <x v="19"/>
    <x v="2"/>
    <n v="859.17"/>
  </r>
  <r>
    <x v="11"/>
    <x v="19"/>
    <x v="3"/>
    <n v="0"/>
  </r>
  <r>
    <x v="11"/>
    <x v="19"/>
    <x v="23"/>
    <n v="0"/>
  </r>
  <r>
    <x v="11"/>
    <x v="20"/>
    <x v="17"/>
    <n v="-65.290000000000006"/>
  </r>
  <r>
    <x v="11"/>
    <x v="21"/>
    <x v="17"/>
    <n v="-117.7"/>
  </r>
  <r>
    <x v="11"/>
    <x v="22"/>
    <x v="17"/>
    <n v="-968.91"/>
  </r>
  <r>
    <x v="11"/>
    <x v="23"/>
    <x v="17"/>
    <n v="-4558.57"/>
  </r>
  <r>
    <x v="11"/>
    <x v="23"/>
    <x v="2"/>
    <n v="2952.32"/>
  </r>
  <r>
    <x v="11"/>
    <x v="23"/>
    <x v="23"/>
    <n v="1218.74"/>
  </r>
  <r>
    <x v="11"/>
    <x v="24"/>
    <x v="17"/>
    <n v="-3419.62"/>
  </r>
  <r>
    <x v="11"/>
    <x v="24"/>
    <x v="2"/>
    <n v="731.59"/>
  </r>
  <r>
    <x v="11"/>
    <x v="24"/>
    <x v="23"/>
    <n v="1473.2"/>
  </r>
  <r>
    <x v="12"/>
    <x v="6"/>
    <x v="4"/>
    <n v="41.56"/>
  </r>
  <r>
    <x v="12"/>
    <x v="6"/>
    <x v="20"/>
    <n v="73.290000000000006"/>
  </r>
  <r>
    <x v="12"/>
    <x v="6"/>
    <x v="6"/>
    <n v="42.45"/>
  </r>
  <r>
    <x v="12"/>
    <x v="6"/>
    <x v="11"/>
    <n v="46.86"/>
  </r>
  <r>
    <x v="12"/>
    <x v="7"/>
    <x v="4"/>
    <n v="60.32"/>
  </r>
  <r>
    <x v="12"/>
    <x v="7"/>
    <x v="20"/>
    <n v="50.36"/>
  </r>
  <r>
    <x v="12"/>
    <x v="7"/>
    <x v="6"/>
    <n v="103.43"/>
  </r>
  <r>
    <x v="12"/>
    <x v="7"/>
    <x v="11"/>
    <n v="60.01"/>
  </r>
  <r>
    <x v="12"/>
    <x v="8"/>
    <x v="4"/>
    <n v="59.92"/>
  </r>
  <r>
    <x v="12"/>
    <x v="8"/>
    <x v="20"/>
    <n v="61.09"/>
  </r>
  <r>
    <x v="12"/>
    <x v="8"/>
    <x v="6"/>
    <n v="67.47"/>
  </r>
  <r>
    <x v="12"/>
    <x v="8"/>
    <x v="11"/>
    <n v="66.17"/>
  </r>
  <r>
    <x v="12"/>
    <x v="9"/>
    <x v="4"/>
    <n v="82.23"/>
  </r>
  <r>
    <x v="12"/>
    <x v="9"/>
    <x v="20"/>
    <n v="91.5"/>
  </r>
  <r>
    <x v="12"/>
    <x v="9"/>
    <x v="6"/>
    <n v="100.05"/>
  </r>
  <r>
    <x v="12"/>
    <x v="9"/>
    <x v="11"/>
    <n v="89.83"/>
  </r>
  <r>
    <x v="12"/>
    <x v="10"/>
    <x v="4"/>
    <n v="155.99"/>
  </r>
  <r>
    <x v="12"/>
    <x v="10"/>
    <x v="20"/>
    <n v="248.64"/>
  </r>
  <r>
    <x v="12"/>
    <x v="10"/>
    <x v="6"/>
    <n v="176.52"/>
  </r>
  <r>
    <x v="12"/>
    <x v="10"/>
    <x v="11"/>
    <n v="86.86"/>
  </r>
  <r>
    <x v="12"/>
    <x v="11"/>
    <x v="4"/>
    <n v="130.04"/>
  </r>
  <r>
    <x v="12"/>
    <x v="11"/>
    <x v="20"/>
    <n v="204.43"/>
  </r>
  <r>
    <x v="12"/>
    <x v="11"/>
    <x v="6"/>
    <n v="259.13"/>
  </r>
  <r>
    <x v="12"/>
    <x v="11"/>
    <x v="11"/>
    <n v="141.41999999999999"/>
  </r>
  <r>
    <x v="12"/>
    <x v="12"/>
    <x v="4"/>
    <n v="139.46"/>
  </r>
  <r>
    <x v="12"/>
    <x v="12"/>
    <x v="20"/>
    <n v="-833.42"/>
  </r>
  <r>
    <x v="12"/>
    <x v="12"/>
    <x v="6"/>
    <n v="-369.85"/>
  </r>
  <r>
    <x v="12"/>
    <x v="12"/>
    <x v="11"/>
    <n v="114.78"/>
  </r>
  <r>
    <x v="12"/>
    <x v="13"/>
    <x v="4"/>
    <n v="-2841.21"/>
  </r>
  <r>
    <x v="12"/>
    <x v="13"/>
    <x v="20"/>
    <n v="-3960.06"/>
  </r>
  <r>
    <x v="12"/>
    <x v="13"/>
    <x v="6"/>
    <n v="-7981.19"/>
  </r>
  <r>
    <x v="12"/>
    <x v="13"/>
    <x v="11"/>
    <n v="-5707.14"/>
  </r>
  <r>
    <x v="13"/>
    <x v="73"/>
    <x v="4"/>
    <n v="150.53"/>
  </r>
  <r>
    <x v="13"/>
    <x v="73"/>
    <x v="2"/>
    <n v="166.66"/>
  </r>
  <r>
    <x v="13"/>
    <x v="73"/>
    <x v="11"/>
    <n v="29.17"/>
  </r>
  <r>
    <x v="13"/>
    <x v="74"/>
    <x v="4"/>
    <n v="85.49"/>
  </r>
  <r>
    <x v="13"/>
    <x v="74"/>
    <x v="2"/>
    <n v="132.9"/>
  </r>
  <r>
    <x v="13"/>
    <x v="74"/>
    <x v="11"/>
    <n v="39.44"/>
  </r>
  <r>
    <x v="13"/>
    <x v="75"/>
    <x v="4"/>
    <n v="71.55"/>
  </r>
  <r>
    <x v="13"/>
    <x v="75"/>
    <x v="2"/>
    <n v="113.99"/>
  </r>
  <r>
    <x v="13"/>
    <x v="75"/>
    <x v="11"/>
    <n v="52.41"/>
  </r>
  <r>
    <x v="13"/>
    <x v="76"/>
    <x v="4"/>
    <n v="44.72"/>
  </r>
  <r>
    <x v="13"/>
    <x v="76"/>
    <x v="2"/>
    <n v="82.32"/>
  </r>
  <r>
    <x v="13"/>
    <x v="76"/>
    <x v="11"/>
    <n v="42.18"/>
  </r>
  <r>
    <x v="13"/>
    <x v="88"/>
    <x v="4"/>
    <n v="87.95"/>
  </r>
  <r>
    <x v="13"/>
    <x v="88"/>
    <x v="2"/>
    <n v="121.49"/>
  </r>
  <r>
    <x v="13"/>
    <x v="88"/>
    <x v="11"/>
    <n v="28.31"/>
  </r>
  <r>
    <x v="13"/>
    <x v="77"/>
    <x v="4"/>
    <n v="59.97"/>
  </r>
  <r>
    <x v="13"/>
    <x v="77"/>
    <x v="2"/>
    <n v="92.9"/>
  </r>
  <r>
    <x v="13"/>
    <x v="77"/>
    <x v="11"/>
    <n v="27.2"/>
  </r>
  <r>
    <x v="13"/>
    <x v="78"/>
    <x v="4"/>
    <n v="35.74"/>
  </r>
  <r>
    <x v="13"/>
    <x v="78"/>
    <x v="2"/>
    <n v="74.56"/>
  </r>
  <r>
    <x v="13"/>
    <x v="78"/>
    <x v="11"/>
    <n v="22.72"/>
  </r>
  <r>
    <x v="13"/>
    <x v="79"/>
    <x v="4"/>
    <n v="51.45"/>
  </r>
  <r>
    <x v="13"/>
    <x v="79"/>
    <x v="2"/>
    <n v="45.46"/>
  </r>
  <r>
    <x v="13"/>
    <x v="79"/>
    <x v="11"/>
    <n v="42.36"/>
  </r>
  <r>
    <x v="13"/>
    <x v="80"/>
    <x v="4"/>
    <n v="36.74"/>
  </r>
  <r>
    <x v="13"/>
    <x v="80"/>
    <x v="2"/>
    <n v="98.29"/>
  </r>
  <r>
    <x v="13"/>
    <x v="80"/>
    <x v="11"/>
    <n v="47.8"/>
  </r>
  <r>
    <x v="13"/>
    <x v="81"/>
    <x v="4"/>
    <n v="37.909999999999997"/>
  </r>
  <r>
    <x v="13"/>
    <x v="81"/>
    <x v="2"/>
    <n v="101.09"/>
  </r>
  <r>
    <x v="13"/>
    <x v="81"/>
    <x v="11"/>
    <n v="22.95"/>
  </r>
  <r>
    <x v="13"/>
    <x v="82"/>
    <x v="4"/>
    <n v="5.24"/>
  </r>
  <r>
    <x v="13"/>
    <x v="82"/>
    <x v="2"/>
    <n v="24.74"/>
  </r>
  <r>
    <x v="13"/>
    <x v="82"/>
    <x v="11"/>
    <n v="16.2"/>
  </r>
  <r>
    <x v="13"/>
    <x v="83"/>
    <x v="4"/>
    <n v="29.37"/>
  </r>
  <r>
    <x v="13"/>
    <x v="83"/>
    <x v="2"/>
    <n v="74.64"/>
  </r>
  <r>
    <x v="13"/>
    <x v="83"/>
    <x v="11"/>
    <n v="9.77"/>
  </r>
  <r>
    <x v="13"/>
    <x v="84"/>
    <x v="4"/>
    <n v="47.53"/>
  </r>
  <r>
    <x v="13"/>
    <x v="84"/>
    <x v="2"/>
    <n v="77.540000000000006"/>
  </r>
  <r>
    <x v="13"/>
    <x v="84"/>
    <x v="11"/>
    <n v="58.7"/>
  </r>
  <r>
    <x v="13"/>
    <x v="85"/>
    <x v="4"/>
    <n v="34.5"/>
  </r>
  <r>
    <x v="13"/>
    <x v="85"/>
    <x v="2"/>
    <n v="116.92"/>
  </r>
  <r>
    <x v="13"/>
    <x v="85"/>
    <x v="11"/>
    <n v="36.15"/>
  </r>
  <r>
    <x v="13"/>
    <x v="86"/>
    <x v="4"/>
    <n v="10.220000000000001"/>
  </r>
  <r>
    <x v="13"/>
    <x v="86"/>
    <x v="2"/>
    <n v="29.84"/>
  </r>
  <r>
    <x v="13"/>
    <x v="86"/>
    <x v="11"/>
    <n v="39.270000000000003"/>
  </r>
  <r>
    <x v="13"/>
    <x v="87"/>
    <x v="4"/>
    <n v="37.270000000000003"/>
  </r>
  <r>
    <x v="13"/>
    <x v="87"/>
    <x v="2"/>
    <n v="79.22"/>
  </r>
  <r>
    <x v="13"/>
    <x v="87"/>
    <x v="11"/>
    <n v="29.65"/>
  </r>
  <r>
    <x v="13"/>
    <x v="0"/>
    <x v="4"/>
    <n v="42.53"/>
  </r>
  <r>
    <x v="13"/>
    <x v="0"/>
    <x v="2"/>
    <n v="61.14"/>
  </r>
  <r>
    <x v="13"/>
    <x v="0"/>
    <x v="11"/>
    <n v="19.89"/>
  </r>
  <r>
    <x v="13"/>
    <x v="1"/>
    <x v="4"/>
    <n v="17.399999999999999"/>
  </r>
  <r>
    <x v="13"/>
    <x v="1"/>
    <x v="2"/>
    <n v="94.53"/>
  </r>
  <r>
    <x v="13"/>
    <x v="1"/>
    <x v="11"/>
    <n v="16.420000000000002"/>
  </r>
  <r>
    <x v="13"/>
    <x v="2"/>
    <x v="4"/>
    <n v="27.66"/>
  </r>
  <r>
    <x v="13"/>
    <x v="2"/>
    <x v="2"/>
    <n v="52.23"/>
  </r>
  <r>
    <x v="13"/>
    <x v="2"/>
    <x v="11"/>
    <n v="16.37"/>
  </r>
  <r>
    <x v="13"/>
    <x v="3"/>
    <x v="4"/>
    <n v="32.130000000000003"/>
  </r>
  <r>
    <x v="13"/>
    <x v="3"/>
    <x v="2"/>
    <n v="56.96"/>
  </r>
  <r>
    <x v="13"/>
    <x v="3"/>
    <x v="11"/>
    <n v="16.23"/>
  </r>
  <r>
    <x v="13"/>
    <x v="4"/>
    <x v="4"/>
    <n v="14.97"/>
  </r>
  <r>
    <x v="13"/>
    <x v="4"/>
    <x v="2"/>
    <n v="40.28"/>
  </r>
  <r>
    <x v="13"/>
    <x v="4"/>
    <x v="11"/>
    <n v="13.29"/>
  </r>
  <r>
    <x v="13"/>
    <x v="5"/>
    <x v="4"/>
    <n v="17.04"/>
  </r>
  <r>
    <x v="13"/>
    <x v="5"/>
    <x v="2"/>
    <n v="73.45"/>
  </r>
  <r>
    <x v="13"/>
    <x v="5"/>
    <x v="11"/>
    <n v="26.27"/>
  </r>
  <r>
    <x v="13"/>
    <x v="6"/>
    <x v="4"/>
    <n v="44.47"/>
  </r>
  <r>
    <x v="13"/>
    <x v="6"/>
    <x v="2"/>
    <n v="101.54"/>
  </r>
  <r>
    <x v="13"/>
    <x v="6"/>
    <x v="11"/>
    <n v="29.81"/>
  </r>
  <r>
    <x v="13"/>
    <x v="7"/>
    <x v="4"/>
    <n v="49.52"/>
  </r>
  <r>
    <x v="13"/>
    <x v="7"/>
    <x v="2"/>
    <n v="91.53"/>
  </r>
  <r>
    <x v="13"/>
    <x v="7"/>
    <x v="11"/>
    <n v="29.98"/>
  </r>
  <r>
    <x v="13"/>
    <x v="8"/>
    <x v="4"/>
    <n v="29.65"/>
  </r>
  <r>
    <x v="13"/>
    <x v="8"/>
    <x v="2"/>
    <n v="45.84"/>
  </r>
  <r>
    <x v="13"/>
    <x v="8"/>
    <x v="11"/>
    <n v="42.14"/>
  </r>
  <r>
    <x v="13"/>
    <x v="9"/>
    <x v="4"/>
    <n v="27.85"/>
  </r>
  <r>
    <x v="13"/>
    <x v="9"/>
    <x v="2"/>
    <n v="81.84"/>
  </r>
  <r>
    <x v="13"/>
    <x v="9"/>
    <x v="11"/>
    <n v="48.22"/>
  </r>
  <r>
    <x v="13"/>
    <x v="10"/>
    <x v="4"/>
    <n v="52.97"/>
  </r>
  <r>
    <x v="13"/>
    <x v="10"/>
    <x v="2"/>
    <n v="274.35000000000002"/>
  </r>
  <r>
    <x v="13"/>
    <x v="10"/>
    <x v="11"/>
    <n v="43.05"/>
  </r>
  <r>
    <x v="13"/>
    <x v="11"/>
    <x v="4"/>
    <n v="56.45"/>
  </r>
  <r>
    <x v="13"/>
    <x v="11"/>
    <x v="2"/>
    <n v="154.44"/>
  </r>
  <r>
    <x v="13"/>
    <x v="11"/>
    <x v="11"/>
    <n v="66.260000000000005"/>
  </r>
  <r>
    <x v="13"/>
    <x v="12"/>
    <x v="4"/>
    <n v="22.61"/>
  </r>
  <r>
    <x v="13"/>
    <x v="12"/>
    <x v="2"/>
    <n v="86.4"/>
  </r>
  <r>
    <x v="13"/>
    <x v="12"/>
    <x v="11"/>
    <n v="111.81"/>
  </r>
  <r>
    <x v="13"/>
    <x v="13"/>
    <x v="4"/>
    <n v="-6.01"/>
  </r>
  <r>
    <x v="13"/>
    <x v="13"/>
    <x v="2"/>
    <n v="0"/>
  </r>
  <r>
    <x v="13"/>
    <x v="13"/>
    <x v="11"/>
    <n v="0"/>
  </r>
  <r>
    <x v="13"/>
    <x v="14"/>
    <x v="4"/>
    <n v="-49.2"/>
  </r>
  <r>
    <x v="13"/>
    <x v="14"/>
    <x v="2"/>
    <n v="102.25"/>
  </r>
  <r>
    <x v="13"/>
    <x v="14"/>
    <x v="11"/>
    <n v="-117.76"/>
  </r>
  <r>
    <x v="13"/>
    <x v="15"/>
    <x v="4"/>
    <n v="-10.31"/>
  </r>
  <r>
    <x v="13"/>
    <x v="15"/>
    <x v="2"/>
    <n v="332.05"/>
  </r>
  <r>
    <x v="13"/>
    <x v="15"/>
    <x v="11"/>
    <n v="142.75"/>
  </r>
  <r>
    <x v="13"/>
    <x v="16"/>
    <x v="4"/>
    <n v="83.37"/>
  </r>
  <r>
    <x v="13"/>
    <x v="16"/>
    <x v="2"/>
    <n v="120.41"/>
  </r>
  <r>
    <x v="13"/>
    <x v="16"/>
    <x v="11"/>
    <n v="43.21"/>
  </r>
  <r>
    <x v="13"/>
    <x v="17"/>
    <x v="4"/>
    <n v="103.82"/>
  </r>
  <r>
    <x v="13"/>
    <x v="17"/>
    <x v="2"/>
    <n v="109.77"/>
  </r>
  <r>
    <x v="13"/>
    <x v="17"/>
    <x v="11"/>
    <n v="41.08"/>
  </r>
  <r>
    <x v="13"/>
    <x v="18"/>
    <x v="4"/>
    <n v="0"/>
  </r>
  <r>
    <x v="13"/>
    <x v="18"/>
    <x v="2"/>
    <n v="0"/>
  </r>
  <r>
    <x v="13"/>
    <x v="18"/>
    <x v="11"/>
    <n v="0"/>
  </r>
  <r>
    <x v="13"/>
    <x v="19"/>
    <x v="4"/>
    <n v="0"/>
  </r>
  <r>
    <x v="13"/>
    <x v="19"/>
    <x v="2"/>
    <n v="194.28"/>
  </r>
  <r>
    <x v="13"/>
    <x v="19"/>
    <x v="11"/>
    <n v="3.33"/>
  </r>
  <r>
    <x v="13"/>
    <x v="20"/>
    <x v="2"/>
    <n v="286.94"/>
  </r>
  <r>
    <x v="13"/>
    <x v="20"/>
    <x v="11"/>
    <n v="90.2"/>
  </r>
  <r>
    <x v="13"/>
    <x v="21"/>
    <x v="4"/>
    <n v="41.06"/>
  </r>
  <r>
    <x v="13"/>
    <x v="21"/>
    <x v="2"/>
    <n v="176.32"/>
  </r>
  <r>
    <x v="13"/>
    <x v="21"/>
    <x v="11"/>
    <n v="51.49"/>
  </r>
  <r>
    <x v="13"/>
    <x v="22"/>
    <x v="4"/>
    <n v="111.48"/>
  </r>
  <r>
    <x v="13"/>
    <x v="22"/>
    <x v="2"/>
    <n v="106.01"/>
  </r>
  <r>
    <x v="13"/>
    <x v="22"/>
    <x v="11"/>
    <n v="46.33"/>
  </r>
  <r>
    <x v="13"/>
    <x v="23"/>
    <x v="4"/>
    <n v="-1394.51"/>
  </r>
  <r>
    <x v="13"/>
    <x v="23"/>
    <x v="2"/>
    <n v="-1195.53"/>
  </r>
  <r>
    <x v="13"/>
    <x v="23"/>
    <x v="11"/>
    <n v="-3784.32"/>
  </r>
  <r>
    <x v="14"/>
    <x v="79"/>
    <x v="4"/>
    <n v="55.84"/>
  </r>
  <r>
    <x v="14"/>
    <x v="79"/>
    <x v="1"/>
    <n v="66.150000000000006"/>
  </r>
  <r>
    <x v="14"/>
    <x v="79"/>
    <x v="2"/>
    <n v="109.07"/>
  </r>
  <r>
    <x v="14"/>
    <x v="79"/>
    <x v="3"/>
    <n v="66.38"/>
  </r>
  <r>
    <x v="14"/>
    <x v="80"/>
    <x v="4"/>
    <n v="80.72"/>
  </r>
  <r>
    <x v="14"/>
    <x v="80"/>
    <x v="1"/>
    <n v="102.76"/>
  </r>
  <r>
    <x v="14"/>
    <x v="80"/>
    <x v="2"/>
    <n v="183.58"/>
  </r>
  <r>
    <x v="14"/>
    <x v="80"/>
    <x v="3"/>
    <n v="45.01"/>
  </r>
  <r>
    <x v="14"/>
    <x v="81"/>
    <x v="4"/>
    <n v="70.33"/>
  </r>
  <r>
    <x v="14"/>
    <x v="81"/>
    <x v="1"/>
    <n v="69.7"/>
  </r>
  <r>
    <x v="14"/>
    <x v="81"/>
    <x v="2"/>
    <n v="200.95"/>
  </r>
  <r>
    <x v="14"/>
    <x v="81"/>
    <x v="3"/>
    <n v="62.72"/>
  </r>
  <r>
    <x v="14"/>
    <x v="82"/>
    <x v="4"/>
    <n v="106.17"/>
  </r>
  <r>
    <x v="14"/>
    <x v="82"/>
    <x v="1"/>
    <n v="52.2"/>
  </r>
  <r>
    <x v="14"/>
    <x v="82"/>
    <x v="2"/>
    <n v="50.57"/>
  </r>
  <r>
    <x v="14"/>
    <x v="82"/>
    <x v="3"/>
    <n v="63.25"/>
  </r>
  <r>
    <x v="14"/>
    <x v="83"/>
    <x v="4"/>
    <n v="58.86"/>
  </r>
  <r>
    <x v="14"/>
    <x v="83"/>
    <x v="1"/>
    <n v="24.88"/>
  </r>
  <r>
    <x v="14"/>
    <x v="83"/>
    <x v="2"/>
    <n v="149.27000000000001"/>
  </r>
  <r>
    <x v="14"/>
    <x v="83"/>
    <x v="3"/>
    <n v="34.42"/>
  </r>
  <r>
    <x v="14"/>
    <x v="84"/>
    <x v="4"/>
    <n v="99.96"/>
  </r>
  <r>
    <x v="14"/>
    <x v="84"/>
    <x v="1"/>
    <n v="152.58000000000001"/>
  </r>
  <r>
    <x v="14"/>
    <x v="84"/>
    <x v="2"/>
    <n v="193.87"/>
  </r>
  <r>
    <x v="14"/>
    <x v="84"/>
    <x v="3"/>
    <n v="45.75"/>
  </r>
  <r>
    <x v="14"/>
    <x v="85"/>
    <x v="4"/>
    <n v="67.77"/>
  </r>
  <r>
    <x v="14"/>
    <x v="85"/>
    <x v="1"/>
    <n v="44.23"/>
  </r>
  <r>
    <x v="14"/>
    <x v="85"/>
    <x v="2"/>
    <n v="263.27"/>
  </r>
  <r>
    <x v="14"/>
    <x v="85"/>
    <x v="3"/>
    <n v="28.41"/>
  </r>
  <r>
    <x v="14"/>
    <x v="86"/>
    <x v="4"/>
    <n v="20.47"/>
  </r>
  <r>
    <x v="14"/>
    <x v="86"/>
    <x v="1"/>
    <n v="97.14"/>
  </r>
  <r>
    <x v="14"/>
    <x v="86"/>
    <x v="2"/>
    <n v="59.86"/>
  </r>
  <r>
    <x v="14"/>
    <x v="86"/>
    <x v="3"/>
    <n v="46.29"/>
  </r>
  <r>
    <x v="14"/>
    <x v="87"/>
    <x v="4"/>
    <n v="71.27"/>
  </r>
  <r>
    <x v="14"/>
    <x v="87"/>
    <x v="1"/>
    <n v="70.92"/>
  </r>
  <r>
    <x v="14"/>
    <x v="87"/>
    <x v="2"/>
    <n v="157.58000000000001"/>
  </r>
  <r>
    <x v="14"/>
    <x v="87"/>
    <x v="3"/>
    <n v="16.100000000000001"/>
  </r>
  <r>
    <x v="14"/>
    <x v="0"/>
    <x v="4"/>
    <n v="84.71"/>
  </r>
  <r>
    <x v="14"/>
    <x v="0"/>
    <x v="1"/>
    <n v="30.87"/>
  </r>
  <r>
    <x v="14"/>
    <x v="0"/>
    <x v="2"/>
    <n v="124.14"/>
  </r>
  <r>
    <x v="14"/>
    <x v="0"/>
    <x v="3"/>
    <n v="30.84"/>
  </r>
  <r>
    <x v="14"/>
    <x v="1"/>
    <x v="4"/>
    <n v="34.82"/>
  </r>
  <r>
    <x v="14"/>
    <x v="1"/>
    <x v="1"/>
    <n v="35.33"/>
  </r>
  <r>
    <x v="14"/>
    <x v="1"/>
    <x v="2"/>
    <n v="189.25"/>
  </r>
  <r>
    <x v="14"/>
    <x v="1"/>
    <x v="3"/>
    <n v="40.590000000000003"/>
  </r>
  <r>
    <x v="14"/>
    <x v="2"/>
    <x v="4"/>
    <n v="55.41"/>
  </r>
  <r>
    <x v="14"/>
    <x v="2"/>
    <x v="1"/>
    <n v="27.01"/>
  </r>
  <r>
    <x v="14"/>
    <x v="2"/>
    <x v="2"/>
    <n v="99.6"/>
  </r>
  <r>
    <x v="14"/>
    <x v="2"/>
    <x v="3"/>
    <n v="29.09"/>
  </r>
  <r>
    <x v="14"/>
    <x v="3"/>
    <x v="4"/>
    <n v="57.36"/>
  </r>
  <r>
    <x v="14"/>
    <x v="3"/>
    <x v="1"/>
    <n v="45"/>
  </r>
  <r>
    <x v="14"/>
    <x v="3"/>
    <x v="2"/>
    <n v="91.24"/>
  </r>
  <r>
    <x v="14"/>
    <x v="3"/>
    <x v="3"/>
    <n v="11.76"/>
  </r>
  <r>
    <x v="14"/>
    <x v="4"/>
    <x v="4"/>
    <n v="29.92"/>
  </r>
  <r>
    <x v="14"/>
    <x v="4"/>
    <x v="1"/>
    <n v="54.36"/>
  </r>
  <r>
    <x v="14"/>
    <x v="4"/>
    <x v="2"/>
    <n v="70.400000000000006"/>
  </r>
  <r>
    <x v="14"/>
    <x v="4"/>
    <x v="3"/>
    <n v="70.42"/>
  </r>
  <r>
    <x v="14"/>
    <x v="5"/>
    <x v="4"/>
    <n v="31.91"/>
  </r>
  <r>
    <x v="14"/>
    <x v="5"/>
    <x v="1"/>
    <n v="71.739999999999995"/>
  </r>
  <r>
    <x v="14"/>
    <x v="5"/>
    <x v="2"/>
    <n v="146.94999999999999"/>
  </r>
  <r>
    <x v="14"/>
    <x v="5"/>
    <x v="3"/>
    <n v="100.29"/>
  </r>
  <r>
    <x v="14"/>
    <x v="6"/>
    <x v="4"/>
    <n v="59.19"/>
  </r>
  <r>
    <x v="14"/>
    <x v="6"/>
    <x v="1"/>
    <n v="80.75"/>
  </r>
  <r>
    <x v="14"/>
    <x v="6"/>
    <x v="2"/>
    <n v="192.58"/>
  </r>
  <r>
    <x v="14"/>
    <x v="6"/>
    <x v="3"/>
    <n v="41.07"/>
  </r>
  <r>
    <x v="14"/>
    <x v="7"/>
    <x v="4"/>
    <n v="86.06"/>
  </r>
  <r>
    <x v="14"/>
    <x v="7"/>
    <x v="1"/>
    <n v="64.05"/>
  </r>
  <r>
    <x v="14"/>
    <x v="7"/>
    <x v="2"/>
    <n v="215.77"/>
  </r>
  <r>
    <x v="14"/>
    <x v="7"/>
    <x v="3"/>
    <n v="64.47"/>
  </r>
  <r>
    <x v="14"/>
    <x v="8"/>
    <x v="4"/>
    <n v="59.43"/>
  </r>
  <r>
    <x v="14"/>
    <x v="8"/>
    <x v="1"/>
    <n v="70.8"/>
  </r>
  <r>
    <x v="14"/>
    <x v="8"/>
    <x v="2"/>
    <n v="141.63"/>
  </r>
  <r>
    <x v="14"/>
    <x v="8"/>
    <x v="3"/>
    <n v="55.94"/>
  </r>
  <r>
    <x v="14"/>
    <x v="9"/>
    <x v="4"/>
    <n v="55.65"/>
  </r>
  <r>
    <x v="14"/>
    <x v="9"/>
    <x v="1"/>
    <n v="99.06"/>
  </r>
  <r>
    <x v="14"/>
    <x v="9"/>
    <x v="2"/>
    <n v="175.38"/>
  </r>
  <r>
    <x v="14"/>
    <x v="9"/>
    <x v="3"/>
    <n v="126.24"/>
  </r>
  <r>
    <x v="14"/>
    <x v="10"/>
    <x v="4"/>
    <n v="81.290000000000006"/>
  </r>
  <r>
    <x v="14"/>
    <x v="10"/>
    <x v="1"/>
    <n v="83.73"/>
  </r>
  <r>
    <x v="14"/>
    <x v="10"/>
    <x v="2"/>
    <n v="472.5"/>
  </r>
  <r>
    <x v="14"/>
    <x v="10"/>
    <x v="3"/>
    <n v="112.71"/>
  </r>
  <r>
    <x v="14"/>
    <x v="11"/>
    <x v="4"/>
    <n v="70.86"/>
  </r>
  <r>
    <x v="14"/>
    <x v="11"/>
    <x v="1"/>
    <n v="74.27"/>
  </r>
  <r>
    <x v="14"/>
    <x v="11"/>
    <x v="2"/>
    <n v="86.64"/>
  </r>
  <r>
    <x v="14"/>
    <x v="11"/>
    <x v="3"/>
    <n v="34.94"/>
  </r>
  <r>
    <x v="14"/>
    <x v="12"/>
    <x v="4"/>
    <n v="-1.43"/>
  </r>
  <r>
    <x v="14"/>
    <x v="12"/>
    <x v="1"/>
    <n v="0"/>
  </r>
  <r>
    <x v="14"/>
    <x v="12"/>
    <x v="2"/>
    <n v="0"/>
  </r>
  <r>
    <x v="14"/>
    <x v="12"/>
    <x v="3"/>
    <n v="0"/>
  </r>
  <r>
    <x v="14"/>
    <x v="13"/>
    <x v="4"/>
    <n v="-12.28"/>
  </r>
  <r>
    <x v="14"/>
    <x v="13"/>
    <x v="1"/>
    <n v="0"/>
  </r>
  <r>
    <x v="14"/>
    <x v="13"/>
    <x v="2"/>
    <n v="0"/>
  </r>
  <r>
    <x v="14"/>
    <x v="13"/>
    <x v="3"/>
    <n v="0"/>
  </r>
  <r>
    <x v="14"/>
    <x v="14"/>
    <x v="4"/>
    <n v="-124.4"/>
  </r>
  <r>
    <x v="14"/>
    <x v="14"/>
    <x v="1"/>
    <n v="18.95"/>
  </r>
  <r>
    <x v="14"/>
    <x v="14"/>
    <x v="2"/>
    <n v="-4040.19"/>
  </r>
  <r>
    <x v="14"/>
    <x v="14"/>
    <x v="3"/>
    <n v="17.52"/>
  </r>
  <r>
    <x v="14"/>
    <x v="15"/>
    <x v="4"/>
    <n v="279.91000000000003"/>
  </r>
  <r>
    <x v="14"/>
    <x v="15"/>
    <x v="1"/>
    <n v="282.60000000000002"/>
  </r>
  <r>
    <x v="14"/>
    <x v="15"/>
    <x v="3"/>
    <n v="304.95"/>
  </r>
  <r>
    <x v="14"/>
    <x v="16"/>
    <x v="4"/>
    <n v="132.91"/>
  </r>
  <r>
    <x v="14"/>
    <x v="16"/>
    <x v="1"/>
    <n v="104.03"/>
  </r>
  <r>
    <x v="14"/>
    <x v="16"/>
    <x v="3"/>
    <n v="111.63"/>
  </r>
  <r>
    <x v="14"/>
    <x v="17"/>
    <x v="4"/>
    <n v="68.150000000000006"/>
  </r>
  <r>
    <x v="14"/>
    <x v="17"/>
    <x v="1"/>
    <n v="9.36"/>
  </r>
  <r>
    <x v="14"/>
    <x v="17"/>
    <x v="3"/>
    <n v="7.04"/>
  </r>
  <r>
    <x v="14"/>
    <x v="18"/>
    <x v="4"/>
    <n v="-215.34"/>
  </r>
  <r>
    <x v="14"/>
    <x v="18"/>
    <x v="1"/>
    <n v="-11164.17"/>
  </r>
  <r>
    <x v="14"/>
    <x v="18"/>
    <x v="3"/>
    <n v="-9321.4699999999993"/>
  </r>
  <r>
    <x v="14"/>
    <x v="19"/>
    <x v="4"/>
    <n v="-2302.69"/>
  </r>
  <r>
    <x v="14"/>
    <x v="19"/>
    <x v="1"/>
    <n v="-194.38"/>
  </r>
  <r>
    <x v="14"/>
    <x v="19"/>
    <x v="3"/>
    <n v="0"/>
  </r>
  <r>
    <x v="14"/>
    <x v="20"/>
    <x v="4"/>
    <n v="-200.58"/>
  </r>
  <r>
    <x v="14"/>
    <x v="20"/>
    <x v="1"/>
    <n v="-340.26"/>
  </r>
  <r>
    <x v="14"/>
    <x v="21"/>
    <x v="4"/>
    <n v="0"/>
  </r>
  <r>
    <x v="14"/>
    <x v="21"/>
    <x v="1"/>
    <n v="-152.34"/>
  </r>
  <r>
    <x v="14"/>
    <x v="22"/>
    <x v="1"/>
    <n v="-312.02999999999997"/>
  </r>
  <r>
    <x v="14"/>
    <x v="23"/>
    <x v="4"/>
    <n v="0"/>
  </r>
  <r>
    <x v="15"/>
    <x v="82"/>
    <x v="11"/>
    <n v="12.9"/>
  </r>
  <r>
    <x v="15"/>
    <x v="83"/>
    <x v="2"/>
    <n v="147.29"/>
  </r>
  <r>
    <x v="15"/>
    <x v="83"/>
    <x v="11"/>
    <n v="19.53"/>
  </r>
  <r>
    <x v="15"/>
    <x v="84"/>
    <x v="2"/>
    <n v="193.13"/>
  </r>
  <r>
    <x v="15"/>
    <x v="84"/>
    <x v="11"/>
    <n v="117.5"/>
  </r>
  <r>
    <x v="15"/>
    <x v="85"/>
    <x v="2"/>
    <n v="215.55"/>
  </r>
  <r>
    <x v="15"/>
    <x v="85"/>
    <x v="11"/>
    <n v="72.290000000000006"/>
  </r>
  <r>
    <x v="15"/>
    <x v="86"/>
    <x v="2"/>
    <n v="59.66"/>
  </r>
  <r>
    <x v="15"/>
    <x v="86"/>
    <x v="11"/>
    <n v="78.599999999999994"/>
  </r>
  <r>
    <x v="15"/>
    <x v="87"/>
    <x v="2"/>
    <n v="158.58000000000001"/>
  </r>
  <r>
    <x v="15"/>
    <x v="87"/>
    <x v="11"/>
    <n v="59.18"/>
  </r>
  <r>
    <x v="15"/>
    <x v="0"/>
    <x v="2"/>
    <n v="121.78"/>
  </r>
  <r>
    <x v="15"/>
    <x v="0"/>
    <x v="11"/>
    <n v="41.98"/>
  </r>
  <r>
    <x v="15"/>
    <x v="1"/>
    <x v="2"/>
    <n v="188.77"/>
  </r>
  <r>
    <x v="15"/>
    <x v="1"/>
    <x v="11"/>
    <n v="32.83"/>
  </r>
  <r>
    <x v="15"/>
    <x v="2"/>
    <x v="2"/>
    <n v="104.67"/>
  </r>
  <r>
    <x v="15"/>
    <x v="2"/>
    <x v="11"/>
    <n v="32.69"/>
  </r>
  <r>
    <x v="15"/>
    <x v="3"/>
    <x v="2"/>
    <n v="113.45"/>
  </r>
  <r>
    <x v="15"/>
    <x v="3"/>
    <x v="11"/>
    <n v="32.35"/>
  </r>
  <r>
    <x v="15"/>
    <x v="4"/>
    <x v="2"/>
    <n v="80.430000000000007"/>
  </r>
  <r>
    <x v="15"/>
    <x v="4"/>
    <x v="11"/>
    <n v="26.56"/>
  </r>
  <r>
    <x v="15"/>
    <x v="5"/>
    <x v="2"/>
    <n v="148.33000000000001"/>
  </r>
  <r>
    <x v="15"/>
    <x v="5"/>
    <x v="11"/>
    <n v="52.53"/>
  </r>
  <r>
    <x v="15"/>
    <x v="6"/>
    <x v="2"/>
    <n v="203"/>
  </r>
  <r>
    <x v="15"/>
    <x v="6"/>
    <x v="11"/>
    <n v="59.58"/>
  </r>
  <r>
    <x v="15"/>
    <x v="7"/>
    <x v="2"/>
    <n v="215.5"/>
  </r>
  <r>
    <x v="15"/>
    <x v="7"/>
    <x v="11"/>
    <n v="59.79"/>
  </r>
  <r>
    <x v="15"/>
    <x v="8"/>
    <x v="2"/>
    <n v="140.49"/>
  </r>
  <r>
    <x v="15"/>
    <x v="8"/>
    <x v="11"/>
    <n v="84.35"/>
  </r>
  <r>
    <x v="15"/>
    <x v="9"/>
    <x v="2"/>
    <n v="175.36"/>
  </r>
  <r>
    <x v="15"/>
    <x v="9"/>
    <x v="11"/>
    <n v="89.04"/>
  </r>
  <r>
    <x v="15"/>
    <x v="10"/>
    <x v="2"/>
    <n v="540.32000000000005"/>
  </r>
  <r>
    <x v="15"/>
    <x v="10"/>
    <x v="11"/>
    <n v="86.05"/>
  </r>
  <r>
    <x v="15"/>
    <x v="11"/>
    <x v="2"/>
    <n v="473.52"/>
  </r>
  <r>
    <x v="15"/>
    <x v="11"/>
    <x v="11"/>
    <n v="139.01"/>
  </r>
  <r>
    <x v="15"/>
    <x v="12"/>
    <x v="2"/>
    <n v="421.68"/>
  </r>
  <r>
    <x v="15"/>
    <x v="12"/>
    <x v="11"/>
    <n v="276.58"/>
  </r>
  <r>
    <x v="15"/>
    <x v="13"/>
    <x v="2"/>
    <n v="898.1"/>
  </r>
  <r>
    <x v="15"/>
    <x v="13"/>
    <x v="11"/>
    <n v="210.58"/>
  </r>
  <r>
    <x v="15"/>
    <x v="14"/>
    <x v="2"/>
    <n v="848.18"/>
  </r>
  <r>
    <x v="15"/>
    <x v="14"/>
    <x v="11"/>
    <n v="244.06"/>
  </r>
  <r>
    <x v="15"/>
    <x v="15"/>
    <x v="2"/>
    <n v="791.01"/>
  </r>
  <r>
    <x v="15"/>
    <x v="15"/>
    <x v="11"/>
    <n v="323.24"/>
  </r>
  <r>
    <x v="15"/>
    <x v="16"/>
    <x v="2"/>
    <n v="302.58"/>
  </r>
  <r>
    <x v="15"/>
    <x v="16"/>
    <x v="11"/>
    <n v="106.42"/>
  </r>
  <r>
    <x v="15"/>
    <x v="17"/>
    <x v="2"/>
    <n v="507.33"/>
  </r>
  <r>
    <x v="15"/>
    <x v="17"/>
    <x v="11"/>
    <n v="182.42"/>
  </r>
  <r>
    <x v="15"/>
    <x v="18"/>
    <x v="2"/>
    <n v="689.66"/>
  </r>
  <r>
    <x v="15"/>
    <x v="18"/>
    <x v="11"/>
    <n v="216.62"/>
  </r>
  <r>
    <x v="15"/>
    <x v="19"/>
    <x v="2"/>
    <n v="633.11"/>
  </r>
  <r>
    <x v="15"/>
    <x v="19"/>
    <x v="11"/>
    <n v="201.52"/>
  </r>
  <r>
    <x v="15"/>
    <x v="20"/>
    <x v="2"/>
    <n v="593.76"/>
  </r>
  <r>
    <x v="15"/>
    <x v="20"/>
    <x v="11"/>
    <n v="179.92"/>
  </r>
  <r>
    <x v="15"/>
    <x v="21"/>
    <x v="2"/>
    <n v="353.12"/>
  </r>
  <r>
    <x v="15"/>
    <x v="21"/>
    <x v="11"/>
    <n v="110.11"/>
  </r>
  <r>
    <x v="15"/>
    <x v="22"/>
    <x v="2"/>
    <n v="330.76"/>
  </r>
  <r>
    <x v="15"/>
    <x v="22"/>
    <x v="11"/>
    <n v="207.71"/>
  </r>
  <r>
    <x v="15"/>
    <x v="23"/>
    <x v="2"/>
    <n v="-5143.43"/>
  </r>
  <r>
    <x v="15"/>
    <x v="23"/>
    <x v="11"/>
    <n v="-6396.42"/>
  </r>
</pivotCacheRecords>
</file>

<file path=xl/pivotCache/pivotCacheRecords6.xml><?xml version="1.0" encoding="utf-8"?>
<pivotCacheRecords xmlns="http://schemas.openxmlformats.org/spreadsheetml/2006/main" xmlns:r="http://schemas.openxmlformats.org/officeDocument/2006/relationships" count="1820">
  <r>
    <x v="0"/>
    <x v="0"/>
    <x v="0"/>
    <n v="-15.17"/>
  </r>
  <r>
    <x v="0"/>
    <x v="0"/>
    <x v="1"/>
    <n v="-5.66"/>
  </r>
  <r>
    <x v="0"/>
    <x v="1"/>
    <x v="0"/>
    <n v="-158.80000000000001"/>
  </r>
  <r>
    <x v="0"/>
    <x v="1"/>
    <x v="2"/>
    <n v="-17.829999999999998"/>
  </r>
  <r>
    <x v="0"/>
    <x v="1"/>
    <x v="1"/>
    <n v="-177.59"/>
  </r>
  <r>
    <x v="0"/>
    <x v="1"/>
    <x v="3"/>
    <n v="-53.11"/>
  </r>
  <r>
    <x v="0"/>
    <x v="2"/>
    <x v="0"/>
    <n v="-169.31"/>
  </r>
  <r>
    <x v="0"/>
    <x v="2"/>
    <x v="2"/>
    <n v="-73.78"/>
  </r>
  <r>
    <x v="0"/>
    <x v="2"/>
    <x v="1"/>
    <n v="-261.95"/>
  </r>
  <r>
    <x v="0"/>
    <x v="2"/>
    <x v="3"/>
    <n v="-56.46"/>
  </r>
  <r>
    <x v="0"/>
    <x v="3"/>
    <x v="0"/>
    <n v="-381.19"/>
  </r>
  <r>
    <x v="0"/>
    <x v="3"/>
    <x v="2"/>
    <n v="-191.73"/>
  </r>
  <r>
    <x v="0"/>
    <x v="3"/>
    <x v="1"/>
    <n v="-566.79999999999995"/>
  </r>
  <r>
    <x v="0"/>
    <x v="3"/>
    <x v="3"/>
    <n v="-44.52"/>
  </r>
  <r>
    <x v="0"/>
    <x v="4"/>
    <x v="0"/>
    <n v="-426.85"/>
  </r>
  <r>
    <x v="0"/>
    <x v="4"/>
    <x v="2"/>
    <n v="-217.81"/>
  </r>
  <r>
    <x v="0"/>
    <x v="4"/>
    <x v="1"/>
    <n v="-483.42"/>
  </r>
  <r>
    <x v="0"/>
    <x v="4"/>
    <x v="3"/>
    <n v="-139.94999999999999"/>
  </r>
  <r>
    <x v="0"/>
    <x v="5"/>
    <x v="0"/>
    <n v="-477.2"/>
  </r>
  <r>
    <x v="0"/>
    <x v="5"/>
    <x v="2"/>
    <n v="-252.84"/>
  </r>
  <r>
    <x v="0"/>
    <x v="5"/>
    <x v="1"/>
    <n v="-602.55999999999995"/>
  </r>
  <r>
    <x v="0"/>
    <x v="5"/>
    <x v="3"/>
    <n v="-113.59"/>
  </r>
  <r>
    <x v="0"/>
    <x v="6"/>
    <x v="0"/>
    <n v="-399.63"/>
  </r>
  <r>
    <x v="0"/>
    <x v="6"/>
    <x v="2"/>
    <n v="-173.54"/>
  </r>
  <r>
    <x v="0"/>
    <x v="7"/>
    <x v="0"/>
    <n v="-567.51"/>
  </r>
  <r>
    <x v="0"/>
    <x v="7"/>
    <x v="2"/>
    <n v="-672.59"/>
  </r>
  <r>
    <x v="0"/>
    <x v="7"/>
    <x v="1"/>
    <n v="-596.25"/>
  </r>
  <r>
    <x v="0"/>
    <x v="7"/>
    <x v="3"/>
    <n v="-457.18"/>
  </r>
  <r>
    <x v="0"/>
    <x v="8"/>
    <x v="0"/>
    <n v="-477.94"/>
  </r>
  <r>
    <x v="0"/>
    <x v="8"/>
    <x v="2"/>
    <n v="-1064.6300000000001"/>
  </r>
  <r>
    <x v="0"/>
    <x v="8"/>
    <x v="1"/>
    <n v="-659.02"/>
  </r>
  <r>
    <x v="0"/>
    <x v="8"/>
    <x v="3"/>
    <n v="-499.53"/>
  </r>
  <r>
    <x v="0"/>
    <x v="9"/>
    <x v="0"/>
    <n v="-685.92"/>
  </r>
  <r>
    <x v="0"/>
    <x v="9"/>
    <x v="2"/>
    <n v="-1997.07"/>
  </r>
  <r>
    <x v="0"/>
    <x v="9"/>
    <x v="1"/>
    <n v="-699.48"/>
  </r>
  <r>
    <x v="0"/>
    <x v="9"/>
    <x v="3"/>
    <n v="-913.95"/>
  </r>
  <r>
    <x v="0"/>
    <x v="10"/>
    <x v="0"/>
    <n v="-459.98"/>
  </r>
  <r>
    <x v="0"/>
    <x v="10"/>
    <x v="2"/>
    <n v="-1983.49"/>
  </r>
  <r>
    <x v="0"/>
    <x v="10"/>
    <x v="1"/>
    <n v="-997.41"/>
  </r>
  <r>
    <x v="0"/>
    <x v="10"/>
    <x v="3"/>
    <n v="-2133.79"/>
  </r>
  <r>
    <x v="0"/>
    <x v="11"/>
    <x v="0"/>
    <n v="-1497.18"/>
  </r>
  <r>
    <x v="0"/>
    <x v="11"/>
    <x v="2"/>
    <n v="-2751.22"/>
  </r>
  <r>
    <x v="0"/>
    <x v="11"/>
    <x v="1"/>
    <n v="-1130.4000000000001"/>
  </r>
  <r>
    <x v="0"/>
    <x v="11"/>
    <x v="3"/>
    <n v="-3399.23"/>
  </r>
  <r>
    <x v="0"/>
    <x v="12"/>
    <x v="0"/>
    <n v="-1523.26"/>
  </r>
  <r>
    <x v="0"/>
    <x v="12"/>
    <x v="2"/>
    <n v="-3683.41"/>
  </r>
  <r>
    <x v="0"/>
    <x v="12"/>
    <x v="1"/>
    <n v="-2959.82"/>
  </r>
  <r>
    <x v="0"/>
    <x v="12"/>
    <x v="3"/>
    <n v="-3611"/>
  </r>
  <r>
    <x v="0"/>
    <x v="13"/>
    <x v="0"/>
    <n v="-1638.9"/>
  </r>
  <r>
    <x v="0"/>
    <x v="13"/>
    <x v="2"/>
    <n v="-4780.83"/>
  </r>
  <r>
    <x v="0"/>
    <x v="13"/>
    <x v="1"/>
    <n v="-2621.92"/>
  </r>
  <r>
    <x v="0"/>
    <x v="13"/>
    <x v="3"/>
    <n v="-4020.72"/>
  </r>
  <r>
    <x v="0"/>
    <x v="14"/>
    <x v="0"/>
    <n v="-1840.67"/>
  </r>
  <r>
    <x v="0"/>
    <x v="14"/>
    <x v="2"/>
    <n v="-4047.81"/>
  </r>
  <r>
    <x v="0"/>
    <x v="14"/>
    <x v="1"/>
    <n v="-2888.14"/>
  </r>
  <r>
    <x v="0"/>
    <x v="14"/>
    <x v="3"/>
    <n v="-2352.4299999999998"/>
  </r>
  <r>
    <x v="0"/>
    <x v="15"/>
    <x v="0"/>
    <n v="-1070.3900000000001"/>
  </r>
  <r>
    <x v="0"/>
    <x v="15"/>
    <x v="2"/>
    <n v="-3313.5"/>
  </r>
  <r>
    <x v="0"/>
    <x v="15"/>
    <x v="1"/>
    <n v="-2166.37"/>
  </r>
  <r>
    <x v="0"/>
    <x v="15"/>
    <x v="3"/>
    <n v="-1858.68"/>
  </r>
  <r>
    <x v="0"/>
    <x v="16"/>
    <x v="0"/>
    <n v="-988.39"/>
  </r>
  <r>
    <x v="0"/>
    <x v="16"/>
    <x v="2"/>
    <n v="-3941.09"/>
  </r>
  <r>
    <x v="0"/>
    <x v="16"/>
    <x v="1"/>
    <n v="-2836.62"/>
  </r>
  <r>
    <x v="0"/>
    <x v="16"/>
    <x v="3"/>
    <n v="-2660.81"/>
  </r>
  <r>
    <x v="0"/>
    <x v="17"/>
    <x v="0"/>
    <n v="-788.26"/>
  </r>
  <r>
    <x v="0"/>
    <x v="17"/>
    <x v="2"/>
    <n v="-5075.3900000000003"/>
  </r>
  <r>
    <x v="0"/>
    <x v="17"/>
    <x v="1"/>
    <n v="-3026.35"/>
  </r>
  <r>
    <x v="0"/>
    <x v="17"/>
    <x v="3"/>
    <n v="-5450.81"/>
  </r>
  <r>
    <x v="0"/>
    <x v="18"/>
    <x v="0"/>
    <n v="-1306.05"/>
  </r>
  <r>
    <x v="0"/>
    <x v="18"/>
    <x v="2"/>
    <n v="-5618.79"/>
  </r>
  <r>
    <x v="0"/>
    <x v="18"/>
    <x v="1"/>
    <n v="-2726.86"/>
  </r>
  <r>
    <x v="0"/>
    <x v="18"/>
    <x v="3"/>
    <n v="-6899.98"/>
  </r>
  <r>
    <x v="0"/>
    <x v="19"/>
    <x v="0"/>
    <n v="-897.85"/>
  </r>
  <r>
    <x v="0"/>
    <x v="19"/>
    <x v="2"/>
    <n v="-5066.7"/>
  </r>
  <r>
    <x v="0"/>
    <x v="19"/>
    <x v="3"/>
    <n v="-7874.18"/>
  </r>
  <r>
    <x v="0"/>
    <x v="20"/>
    <x v="0"/>
    <n v="-1484.2"/>
  </r>
  <r>
    <x v="0"/>
    <x v="20"/>
    <x v="2"/>
    <n v="-6133.76"/>
  </r>
  <r>
    <x v="0"/>
    <x v="20"/>
    <x v="3"/>
    <n v="-8856.82"/>
  </r>
  <r>
    <x v="0"/>
    <x v="21"/>
    <x v="2"/>
    <n v="-5668.23"/>
  </r>
  <r>
    <x v="0"/>
    <x v="21"/>
    <x v="3"/>
    <n v="-8290.23"/>
  </r>
  <r>
    <x v="0"/>
    <x v="22"/>
    <x v="2"/>
    <n v="-3127.63"/>
  </r>
  <r>
    <x v="1"/>
    <x v="15"/>
    <x v="4"/>
    <n v="-259.77999999999997"/>
  </r>
  <r>
    <x v="1"/>
    <x v="15"/>
    <x v="5"/>
    <n v="-143.71"/>
  </r>
  <r>
    <x v="1"/>
    <x v="16"/>
    <x v="4"/>
    <n v="-883.6"/>
  </r>
  <r>
    <x v="1"/>
    <x v="16"/>
    <x v="5"/>
    <n v="-165.82"/>
  </r>
  <r>
    <x v="1"/>
    <x v="17"/>
    <x v="4"/>
    <n v="-3542.73"/>
  </r>
  <r>
    <x v="1"/>
    <x v="17"/>
    <x v="5"/>
    <n v="-159.36000000000001"/>
  </r>
  <r>
    <x v="1"/>
    <x v="18"/>
    <x v="4"/>
    <n v="-3791.74"/>
  </r>
  <r>
    <x v="1"/>
    <x v="18"/>
    <x v="5"/>
    <n v="-315.35000000000002"/>
  </r>
  <r>
    <x v="1"/>
    <x v="19"/>
    <x v="4"/>
    <n v="-6992.87"/>
  </r>
  <r>
    <x v="1"/>
    <x v="19"/>
    <x v="5"/>
    <n v="-757.78"/>
  </r>
  <r>
    <x v="1"/>
    <x v="20"/>
    <x v="4"/>
    <n v="-7629.96"/>
  </r>
  <r>
    <x v="1"/>
    <x v="20"/>
    <x v="5"/>
    <n v="-819.46"/>
  </r>
  <r>
    <x v="1"/>
    <x v="21"/>
    <x v="4"/>
    <n v="-6343.66"/>
  </r>
  <r>
    <x v="1"/>
    <x v="21"/>
    <x v="5"/>
    <n v="-840.49"/>
  </r>
  <r>
    <x v="1"/>
    <x v="22"/>
    <x v="4"/>
    <n v="-6352.26"/>
  </r>
  <r>
    <x v="1"/>
    <x v="22"/>
    <x v="5"/>
    <n v="-1067.82"/>
  </r>
  <r>
    <x v="1"/>
    <x v="23"/>
    <x v="4"/>
    <n v="-4565.07"/>
  </r>
  <r>
    <x v="1"/>
    <x v="23"/>
    <x v="5"/>
    <n v="-734.06"/>
  </r>
  <r>
    <x v="1"/>
    <x v="24"/>
    <x v="4"/>
    <n v="-4298.68"/>
  </r>
  <r>
    <x v="2"/>
    <x v="25"/>
    <x v="6"/>
    <n v="-357.51"/>
  </r>
  <r>
    <x v="2"/>
    <x v="26"/>
    <x v="7"/>
    <n v="87.13"/>
  </r>
  <r>
    <x v="2"/>
    <x v="27"/>
    <x v="8"/>
    <n v="219.7"/>
  </r>
  <r>
    <x v="2"/>
    <x v="0"/>
    <x v="4"/>
    <n v="-399.66"/>
  </r>
  <r>
    <x v="2"/>
    <x v="1"/>
    <x v="6"/>
    <n v="292.52"/>
  </r>
  <r>
    <x v="2"/>
    <x v="4"/>
    <x v="8"/>
    <n v="-110.6"/>
  </r>
  <r>
    <x v="2"/>
    <x v="8"/>
    <x v="1"/>
    <n v="-241.04"/>
  </r>
  <r>
    <x v="2"/>
    <x v="9"/>
    <x v="1"/>
    <n v="-1749.41"/>
  </r>
  <r>
    <x v="2"/>
    <x v="10"/>
    <x v="1"/>
    <n v="-6380.65"/>
  </r>
  <r>
    <x v="2"/>
    <x v="11"/>
    <x v="1"/>
    <n v="-9563.2199999999993"/>
  </r>
  <r>
    <x v="2"/>
    <x v="12"/>
    <x v="1"/>
    <n v="-9367.66"/>
  </r>
  <r>
    <x v="2"/>
    <x v="13"/>
    <x v="1"/>
    <n v="-686.69"/>
  </r>
  <r>
    <x v="2"/>
    <x v="14"/>
    <x v="1"/>
    <n v="-1433.69"/>
  </r>
  <r>
    <x v="2"/>
    <x v="15"/>
    <x v="1"/>
    <n v="-2038.5"/>
  </r>
  <r>
    <x v="2"/>
    <x v="16"/>
    <x v="1"/>
    <n v="-2144.09"/>
  </r>
  <r>
    <x v="2"/>
    <x v="17"/>
    <x v="1"/>
    <n v="-2193.5100000000002"/>
  </r>
  <r>
    <x v="2"/>
    <x v="18"/>
    <x v="1"/>
    <n v="-2659.73"/>
  </r>
  <r>
    <x v="2"/>
    <x v="19"/>
    <x v="1"/>
    <n v="-1338.84"/>
  </r>
  <r>
    <x v="2"/>
    <x v="20"/>
    <x v="1"/>
    <n v="-485.76"/>
  </r>
  <r>
    <x v="2"/>
    <x v="21"/>
    <x v="1"/>
    <n v="-427.21"/>
  </r>
  <r>
    <x v="2"/>
    <x v="22"/>
    <x v="1"/>
    <n v="-1042.1099999999999"/>
  </r>
  <r>
    <x v="3"/>
    <x v="28"/>
    <x v="9"/>
    <n v="-15.67"/>
  </r>
  <r>
    <x v="3"/>
    <x v="28"/>
    <x v="10"/>
    <n v="-19.13"/>
  </r>
  <r>
    <x v="3"/>
    <x v="28"/>
    <x v="3"/>
    <n v="-218"/>
  </r>
  <r>
    <x v="3"/>
    <x v="29"/>
    <x v="9"/>
    <n v="-151.26"/>
  </r>
  <r>
    <x v="3"/>
    <x v="29"/>
    <x v="10"/>
    <n v="-154.76"/>
  </r>
  <r>
    <x v="3"/>
    <x v="29"/>
    <x v="3"/>
    <n v="-358.6"/>
  </r>
  <r>
    <x v="3"/>
    <x v="30"/>
    <x v="9"/>
    <n v="-270.62"/>
  </r>
  <r>
    <x v="3"/>
    <x v="30"/>
    <x v="10"/>
    <n v="-80.77"/>
  </r>
  <r>
    <x v="3"/>
    <x v="30"/>
    <x v="3"/>
    <n v="-387.19"/>
  </r>
  <r>
    <x v="3"/>
    <x v="31"/>
    <x v="9"/>
    <n v="-1152.5"/>
  </r>
  <r>
    <x v="3"/>
    <x v="31"/>
    <x v="10"/>
    <n v="-50.87"/>
  </r>
  <r>
    <x v="3"/>
    <x v="31"/>
    <x v="3"/>
    <n v="-589.82000000000005"/>
  </r>
  <r>
    <x v="3"/>
    <x v="32"/>
    <x v="9"/>
    <n v="-1005.12"/>
  </r>
  <r>
    <x v="3"/>
    <x v="32"/>
    <x v="10"/>
    <n v="-37.590000000000003"/>
  </r>
  <r>
    <x v="3"/>
    <x v="32"/>
    <x v="3"/>
    <n v="-1243.4000000000001"/>
  </r>
  <r>
    <x v="3"/>
    <x v="33"/>
    <x v="9"/>
    <n v="-1129.02"/>
  </r>
  <r>
    <x v="3"/>
    <x v="33"/>
    <x v="10"/>
    <n v="-132.06"/>
  </r>
  <r>
    <x v="3"/>
    <x v="33"/>
    <x v="3"/>
    <n v="-2131.69"/>
  </r>
  <r>
    <x v="3"/>
    <x v="34"/>
    <x v="9"/>
    <n v="-1618.87"/>
  </r>
  <r>
    <x v="3"/>
    <x v="34"/>
    <x v="10"/>
    <n v="-164.54"/>
  </r>
  <r>
    <x v="3"/>
    <x v="34"/>
    <x v="3"/>
    <n v="-3385.26"/>
  </r>
  <r>
    <x v="3"/>
    <x v="35"/>
    <x v="9"/>
    <n v="-1169.8699999999999"/>
  </r>
  <r>
    <x v="3"/>
    <x v="35"/>
    <x v="10"/>
    <n v="-148.76"/>
  </r>
  <r>
    <x v="3"/>
    <x v="35"/>
    <x v="3"/>
    <n v="-3935.53"/>
  </r>
  <r>
    <x v="3"/>
    <x v="36"/>
    <x v="9"/>
    <n v="-1124.8399999999999"/>
  </r>
  <r>
    <x v="3"/>
    <x v="36"/>
    <x v="10"/>
    <n v="-165.55"/>
  </r>
  <r>
    <x v="3"/>
    <x v="36"/>
    <x v="3"/>
    <n v="-4390.3999999999996"/>
  </r>
  <r>
    <x v="3"/>
    <x v="37"/>
    <x v="9"/>
    <n v="-1232.4000000000001"/>
  </r>
  <r>
    <x v="3"/>
    <x v="37"/>
    <x v="10"/>
    <n v="-166.76"/>
  </r>
  <r>
    <x v="3"/>
    <x v="37"/>
    <x v="3"/>
    <n v="-5605.83"/>
  </r>
  <r>
    <x v="3"/>
    <x v="38"/>
    <x v="9"/>
    <n v="-1937.49"/>
  </r>
  <r>
    <x v="3"/>
    <x v="38"/>
    <x v="10"/>
    <n v="-94.9"/>
  </r>
  <r>
    <x v="3"/>
    <x v="38"/>
    <x v="3"/>
    <n v="-6811.76"/>
  </r>
  <r>
    <x v="3"/>
    <x v="39"/>
    <x v="9"/>
    <n v="-1790.7"/>
  </r>
  <r>
    <x v="3"/>
    <x v="39"/>
    <x v="10"/>
    <n v="-91.93"/>
  </r>
  <r>
    <x v="3"/>
    <x v="39"/>
    <x v="3"/>
    <n v="-5866.81"/>
  </r>
  <r>
    <x v="3"/>
    <x v="40"/>
    <x v="9"/>
    <n v="-2327.19"/>
  </r>
  <r>
    <x v="3"/>
    <x v="40"/>
    <x v="10"/>
    <n v="-75.72"/>
  </r>
  <r>
    <x v="3"/>
    <x v="40"/>
    <x v="3"/>
    <n v="-6122.46"/>
  </r>
  <r>
    <x v="3"/>
    <x v="41"/>
    <x v="9"/>
    <n v="-2034.3"/>
  </r>
  <r>
    <x v="3"/>
    <x v="41"/>
    <x v="10"/>
    <n v="-160.91999999999999"/>
  </r>
  <r>
    <x v="3"/>
    <x v="41"/>
    <x v="3"/>
    <n v="-4318.2700000000004"/>
  </r>
  <r>
    <x v="3"/>
    <x v="42"/>
    <x v="9"/>
    <n v="-2972.54"/>
  </r>
  <r>
    <x v="3"/>
    <x v="42"/>
    <x v="10"/>
    <n v="-168.31"/>
  </r>
  <r>
    <x v="3"/>
    <x v="42"/>
    <x v="3"/>
    <n v="-4298.4799999999996"/>
  </r>
  <r>
    <x v="3"/>
    <x v="43"/>
    <x v="9"/>
    <n v="-1980.6"/>
  </r>
  <r>
    <x v="3"/>
    <x v="43"/>
    <x v="10"/>
    <n v="-106.84"/>
  </r>
  <r>
    <x v="3"/>
    <x v="43"/>
    <x v="3"/>
    <n v="-4364.59"/>
  </r>
  <r>
    <x v="3"/>
    <x v="44"/>
    <x v="9"/>
    <n v="-3380.91"/>
  </r>
  <r>
    <x v="3"/>
    <x v="44"/>
    <x v="10"/>
    <n v="-94.19"/>
  </r>
  <r>
    <x v="3"/>
    <x v="44"/>
    <x v="3"/>
    <n v="-4151.4799999999996"/>
  </r>
  <r>
    <x v="3"/>
    <x v="45"/>
    <x v="9"/>
    <n v="-2406.79"/>
  </r>
  <r>
    <x v="3"/>
    <x v="45"/>
    <x v="10"/>
    <n v="-152.78"/>
  </r>
  <r>
    <x v="3"/>
    <x v="45"/>
    <x v="3"/>
    <n v="-4455.42"/>
  </r>
  <r>
    <x v="3"/>
    <x v="46"/>
    <x v="9"/>
    <n v="-2644.86"/>
  </r>
  <r>
    <x v="3"/>
    <x v="46"/>
    <x v="10"/>
    <n v="-139.51"/>
  </r>
  <r>
    <x v="3"/>
    <x v="46"/>
    <x v="3"/>
    <n v="-4152.45"/>
  </r>
  <r>
    <x v="3"/>
    <x v="47"/>
    <x v="9"/>
    <n v="-2332.84"/>
  </r>
  <r>
    <x v="3"/>
    <x v="47"/>
    <x v="10"/>
    <n v="-112.09"/>
  </r>
  <r>
    <x v="3"/>
    <x v="47"/>
    <x v="3"/>
    <n v="-4992.4799999999996"/>
  </r>
  <r>
    <x v="3"/>
    <x v="48"/>
    <x v="9"/>
    <n v="-2240.1"/>
  </r>
  <r>
    <x v="3"/>
    <x v="48"/>
    <x v="10"/>
    <n v="-102.2"/>
  </r>
  <r>
    <x v="3"/>
    <x v="48"/>
    <x v="3"/>
    <n v="-4100.1499999999996"/>
  </r>
  <r>
    <x v="3"/>
    <x v="49"/>
    <x v="9"/>
    <n v="-2249.38"/>
  </r>
  <r>
    <x v="3"/>
    <x v="49"/>
    <x v="10"/>
    <n v="-55.38"/>
  </r>
  <r>
    <x v="3"/>
    <x v="49"/>
    <x v="3"/>
    <n v="-4395.49"/>
  </r>
  <r>
    <x v="3"/>
    <x v="50"/>
    <x v="9"/>
    <n v="-2517.62"/>
  </r>
  <r>
    <x v="3"/>
    <x v="50"/>
    <x v="3"/>
    <n v="-4737.3900000000003"/>
  </r>
  <r>
    <x v="3"/>
    <x v="51"/>
    <x v="9"/>
    <n v="-2591.83"/>
  </r>
  <r>
    <x v="3"/>
    <x v="51"/>
    <x v="3"/>
    <n v="-5155.76"/>
  </r>
  <r>
    <x v="3"/>
    <x v="52"/>
    <x v="9"/>
    <n v="-2394.33"/>
  </r>
  <r>
    <x v="3"/>
    <x v="52"/>
    <x v="3"/>
    <n v="-4201.1499999999996"/>
  </r>
  <r>
    <x v="3"/>
    <x v="53"/>
    <x v="9"/>
    <n v="-2959.18"/>
  </r>
  <r>
    <x v="3"/>
    <x v="53"/>
    <x v="3"/>
    <n v="-4555.17"/>
  </r>
  <r>
    <x v="3"/>
    <x v="54"/>
    <x v="9"/>
    <n v="-2884.89"/>
  </r>
  <r>
    <x v="3"/>
    <x v="54"/>
    <x v="3"/>
    <n v="-4450.88"/>
  </r>
  <r>
    <x v="3"/>
    <x v="55"/>
    <x v="9"/>
    <n v="-3055.58"/>
  </r>
  <r>
    <x v="3"/>
    <x v="55"/>
    <x v="3"/>
    <n v="-4461.22"/>
  </r>
  <r>
    <x v="3"/>
    <x v="56"/>
    <x v="9"/>
    <n v="-3829.93"/>
  </r>
  <r>
    <x v="3"/>
    <x v="56"/>
    <x v="3"/>
    <n v="-4381.53"/>
  </r>
  <r>
    <x v="3"/>
    <x v="57"/>
    <x v="9"/>
    <n v="-4220.75"/>
  </r>
  <r>
    <x v="3"/>
    <x v="57"/>
    <x v="3"/>
    <n v="-4361"/>
  </r>
  <r>
    <x v="3"/>
    <x v="58"/>
    <x v="9"/>
    <n v="-5171.38"/>
  </r>
  <r>
    <x v="3"/>
    <x v="58"/>
    <x v="3"/>
    <n v="-4491.4799999999996"/>
  </r>
  <r>
    <x v="3"/>
    <x v="59"/>
    <x v="9"/>
    <n v="-4266.3100000000004"/>
  </r>
  <r>
    <x v="3"/>
    <x v="59"/>
    <x v="3"/>
    <n v="-4469.25"/>
  </r>
  <r>
    <x v="3"/>
    <x v="60"/>
    <x v="9"/>
    <n v="-4766.79"/>
  </r>
  <r>
    <x v="3"/>
    <x v="60"/>
    <x v="3"/>
    <n v="-4762.55"/>
  </r>
  <r>
    <x v="3"/>
    <x v="25"/>
    <x v="9"/>
    <n v="-8490.9599999999991"/>
  </r>
  <r>
    <x v="3"/>
    <x v="25"/>
    <x v="3"/>
    <n v="-4624.41"/>
  </r>
  <r>
    <x v="3"/>
    <x v="26"/>
    <x v="9"/>
    <n v="-8285.4699999999993"/>
  </r>
  <r>
    <x v="3"/>
    <x v="26"/>
    <x v="3"/>
    <n v="-4634.3"/>
  </r>
  <r>
    <x v="3"/>
    <x v="27"/>
    <x v="9"/>
    <n v="-7898.85"/>
  </r>
  <r>
    <x v="3"/>
    <x v="27"/>
    <x v="3"/>
    <n v="-4550.3999999999996"/>
  </r>
  <r>
    <x v="3"/>
    <x v="0"/>
    <x v="9"/>
    <n v="-11034.28"/>
  </r>
  <r>
    <x v="3"/>
    <x v="0"/>
    <x v="3"/>
    <n v="-4743.3900000000003"/>
  </r>
  <r>
    <x v="3"/>
    <x v="1"/>
    <x v="9"/>
    <n v="-9730.8700000000008"/>
  </r>
  <r>
    <x v="3"/>
    <x v="1"/>
    <x v="3"/>
    <n v="-4598.24"/>
  </r>
  <r>
    <x v="3"/>
    <x v="2"/>
    <x v="9"/>
    <n v="-11352.41"/>
  </r>
  <r>
    <x v="3"/>
    <x v="2"/>
    <x v="3"/>
    <n v="-4604.57"/>
  </r>
  <r>
    <x v="3"/>
    <x v="3"/>
    <x v="9"/>
    <n v="-11882.74"/>
  </r>
  <r>
    <x v="3"/>
    <x v="4"/>
    <x v="9"/>
    <n v="-9002.89"/>
  </r>
  <r>
    <x v="3"/>
    <x v="5"/>
    <x v="9"/>
    <n v="-8361.07"/>
  </r>
  <r>
    <x v="3"/>
    <x v="6"/>
    <x v="9"/>
    <n v="-7033.79"/>
  </r>
  <r>
    <x v="3"/>
    <x v="7"/>
    <x v="9"/>
    <n v="-8767.7000000000007"/>
  </r>
  <r>
    <x v="3"/>
    <x v="8"/>
    <x v="9"/>
    <n v="-11991.5"/>
  </r>
  <r>
    <x v="3"/>
    <x v="9"/>
    <x v="9"/>
    <n v="-11140.94"/>
  </r>
  <r>
    <x v="3"/>
    <x v="10"/>
    <x v="9"/>
    <n v="-9669.6"/>
  </r>
  <r>
    <x v="3"/>
    <x v="11"/>
    <x v="9"/>
    <n v="-9773.3799999999992"/>
  </r>
  <r>
    <x v="3"/>
    <x v="12"/>
    <x v="9"/>
    <n v="-17188.98"/>
  </r>
  <r>
    <x v="3"/>
    <x v="13"/>
    <x v="9"/>
    <n v="-15898.02"/>
  </r>
  <r>
    <x v="3"/>
    <x v="14"/>
    <x v="9"/>
    <n v="-15302.01"/>
  </r>
  <r>
    <x v="3"/>
    <x v="15"/>
    <x v="9"/>
    <n v="-12118.01"/>
  </r>
  <r>
    <x v="3"/>
    <x v="16"/>
    <x v="9"/>
    <n v="-14420.71"/>
  </r>
  <r>
    <x v="3"/>
    <x v="17"/>
    <x v="9"/>
    <n v="-15321.94"/>
  </r>
  <r>
    <x v="3"/>
    <x v="18"/>
    <x v="9"/>
    <n v="-15813.4"/>
  </r>
  <r>
    <x v="3"/>
    <x v="19"/>
    <x v="9"/>
    <n v="-9928.49"/>
  </r>
  <r>
    <x v="3"/>
    <x v="20"/>
    <x v="9"/>
    <n v="-12218.11"/>
  </r>
  <r>
    <x v="3"/>
    <x v="21"/>
    <x v="9"/>
    <n v="-11193.48"/>
  </r>
  <r>
    <x v="3"/>
    <x v="22"/>
    <x v="9"/>
    <n v="-13362.14"/>
  </r>
  <r>
    <x v="3"/>
    <x v="23"/>
    <x v="9"/>
    <n v="-12237.26"/>
  </r>
  <r>
    <x v="3"/>
    <x v="24"/>
    <x v="9"/>
    <n v="-10461.200000000001"/>
  </r>
  <r>
    <x v="4"/>
    <x v="48"/>
    <x v="8"/>
    <n v="-549.16999999999996"/>
  </r>
  <r>
    <x v="4"/>
    <x v="48"/>
    <x v="1"/>
    <n v="-783.57"/>
  </r>
  <r>
    <x v="4"/>
    <x v="48"/>
    <x v="11"/>
    <n v="-2328.4299999999998"/>
  </r>
  <r>
    <x v="4"/>
    <x v="48"/>
    <x v="3"/>
    <n v="-847.35"/>
  </r>
  <r>
    <x v="4"/>
    <x v="49"/>
    <x v="8"/>
    <n v="-2453.88"/>
  </r>
  <r>
    <x v="4"/>
    <x v="49"/>
    <x v="1"/>
    <n v="-1885.58"/>
  </r>
  <r>
    <x v="4"/>
    <x v="49"/>
    <x v="11"/>
    <n v="-2715.77"/>
  </r>
  <r>
    <x v="4"/>
    <x v="49"/>
    <x v="3"/>
    <n v="-540.17999999999995"/>
  </r>
  <r>
    <x v="4"/>
    <x v="50"/>
    <x v="8"/>
    <n v="-8872.1299999999992"/>
  </r>
  <r>
    <x v="4"/>
    <x v="50"/>
    <x v="1"/>
    <n v="-2797.67"/>
  </r>
  <r>
    <x v="4"/>
    <x v="50"/>
    <x v="11"/>
    <n v="-7658.07"/>
  </r>
  <r>
    <x v="4"/>
    <x v="50"/>
    <x v="3"/>
    <n v="-634.13"/>
  </r>
  <r>
    <x v="4"/>
    <x v="51"/>
    <x v="8"/>
    <n v="-12393.72"/>
  </r>
  <r>
    <x v="4"/>
    <x v="51"/>
    <x v="1"/>
    <n v="-2390.61"/>
  </r>
  <r>
    <x v="4"/>
    <x v="51"/>
    <x v="11"/>
    <n v="-6906.77"/>
  </r>
  <r>
    <x v="4"/>
    <x v="51"/>
    <x v="3"/>
    <n v="-1010.97"/>
  </r>
  <r>
    <x v="4"/>
    <x v="52"/>
    <x v="8"/>
    <n v="-11955.21"/>
  </r>
  <r>
    <x v="4"/>
    <x v="52"/>
    <x v="1"/>
    <n v="-2534.61"/>
  </r>
  <r>
    <x v="4"/>
    <x v="52"/>
    <x v="11"/>
    <n v="-5883.47"/>
  </r>
  <r>
    <x v="4"/>
    <x v="52"/>
    <x v="3"/>
    <n v="-1160.96"/>
  </r>
  <r>
    <x v="4"/>
    <x v="53"/>
    <x v="8"/>
    <n v="-11697.65"/>
  </r>
  <r>
    <x v="4"/>
    <x v="53"/>
    <x v="1"/>
    <n v="-2520.54"/>
  </r>
  <r>
    <x v="4"/>
    <x v="53"/>
    <x v="11"/>
    <n v="-7948.65"/>
  </r>
  <r>
    <x v="4"/>
    <x v="53"/>
    <x v="3"/>
    <n v="-859"/>
  </r>
  <r>
    <x v="4"/>
    <x v="54"/>
    <x v="8"/>
    <n v="-9389.2999999999993"/>
  </r>
  <r>
    <x v="4"/>
    <x v="54"/>
    <x v="1"/>
    <n v="-1902.78"/>
  </r>
  <r>
    <x v="4"/>
    <x v="54"/>
    <x v="11"/>
    <n v="-7902.83"/>
  </r>
  <r>
    <x v="4"/>
    <x v="54"/>
    <x v="3"/>
    <n v="-907.95"/>
  </r>
  <r>
    <x v="4"/>
    <x v="55"/>
    <x v="8"/>
    <n v="-9389.2999999999993"/>
  </r>
  <r>
    <x v="4"/>
    <x v="55"/>
    <x v="1"/>
    <n v="-1902.78"/>
  </r>
  <r>
    <x v="4"/>
    <x v="55"/>
    <x v="11"/>
    <n v="-7902.83"/>
  </r>
  <r>
    <x v="4"/>
    <x v="55"/>
    <x v="3"/>
    <n v="-907.95"/>
  </r>
  <r>
    <x v="4"/>
    <x v="56"/>
    <x v="8"/>
    <n v="-15467.24"/>
  </r>
  <r>
    <x v="4"/>
    <x v="56"/>
    <x v="1"/>
    <n v="-2291.15"/>
  </r>
  <r>
    <x v="4"/>
    <x v="56"/>
    <x v="11"/>
    <n v="-9130.01"/>
  </r>
  <r>
    <x v="4"/>
    <x v="56"/>
    <x v="3"/>
    <n v="-1068.46"/>
  </r>
  <r>
    <x v="4"/>
    <x v="57"/>
    <x v="8"/>
    <n v="-18257.87"/>
  </r>
  <r>
    <x v="4"/>
    <x v="57"/>
    <x v="1"/>
    <n v="-1974.37"/>
  </r>
  <r>
    <x v="4"/>
    <x v="57"/>
    <x v="11"/>
    <n v="-8687.14"/>
  </r>
  <r>
    <x v="4"/>
    <x v="57"/>
    <x v="3"/>
    <n v="-1297.3599999999999"/>
  </r>
  <r>
    <x v="4"/>
    <x v="58"/>
    <x v="8"/>
    <n v="-14463.21"/>
  </r>
  <r>
    <x v="4"/>
    <x v="58"/>
    <x v="1"/>
    <n v="-2984.65"/>
  </r>
  <r>
    <x v="4"/>
    <x v="58"/>
    <x v="11"/>
    <n v="-8789.1"/>
  </r>
  <r>
    <x v="4"/>
    <x v="58"/>
    <x v="3"/>
    <n v="-1077.8"/>
  </r>
  <r>
    <x v="4"/>
    <x v="59"/>
    <x v="8"/>
    <n v="-18337.740000000002"/>
  </r>
  <r>
    <x v="4"/>
    <x v="59"/>
    <x v="1"/>
    <n v="-3189.54"/>
  </r>
  <r>
    <x v="4"/>
    <x v="59"/>
    <x v="11"/>
    <n v="-16976.43"/>
  </r>
  <r>
    <x v="4"/>
    <x v="59"/>
    <x v="3"/>
    <n v="-1197.49"/>
  </r>
  <r>
    <x v="4"/>
    <x v="60"/>
    <x v="8"/>
    <n v="-19701.68"/>
  </r>
  <r>
    <x v="4"/>
    <x v="60"/>
    <x v="1"/>
    <n v="-3883.05"/>
  </r>
  <r>
    <x v="4"/>
    <x v="60"/>
    <x v="11"/>
    <n v="-16261.43"/>
  </r>
  <r>
    <x v="4"/>
    <x v="60"/>
    <x v="3"/>
    <n v="-991.8"/>
  </r>
  <r>
    <x v="4"/>
    <x v="25"/>
    <x v="8"/>
    <n v="-28935.47"/>
  </r>
  <r>
    <x v="4"/>
    <x v="25"/>
    <x v="1"/>
    <n v="-2904.79"/>
  </r>
  <r>
    <x v="4"/>
    <x v="25"/>
    <x v="11"/>
    <n v="-12865.79"/>
  </r>
  <r>
    <x v="4"/>
    <x v="25"/>
    <x v="3"/>
    <n v="-1094.45"/>
  </r>
  <r>
    <x v="4"/>
    <x v="26"/>
    <x v="8"/>
    <n v="-25935.89"/>
  </r>
  <r>
    <x v="4"/>
    <x v="26"/>
    <x v="1"/>
    <n v="-2880.65"/>
  </r>
  <r>
    <x v="4"/>
    <x v="26"/>
    <x v="11"/>
    <n v="-11287.45"/>
  </r>
  <r>
    <x v="4"/>
    <x v="26"/>
    <x v="3"/>
    <n v="-1098.5899999999999"/>
  </r>
  <r>
    <x v="4"/>
    <x v="27"/>
    <x v="8"/>
    <n v="-27084.01"/>
  </r>
  <r>
    <x v="4"/>
    <x v="27"/>
    <x v="1"/>
    <n v="-3300.09"/>
  </r>
  <r>
    <x v="4"/>
    <x v="27"/>
    <x v="11"/>
    <n v="-11287.57"/>
  </r>
  <r>
    <x v="4"/>
    <x v="27"/>
    <x v="3"/>
    <n v="-1505.65"/>
  </r>
  <r>
    <x v="4"/>
    <x v="0"/>
    <x v="8"/>
    <n v="-25638.98"/>
  </r>
  <r>
    <x v="4"/>
    <x v="0"/>
    <x v="1"/>
    <n v="-3276.91"/>
  </r>
  <r>
    <x v="4"/>
    <x v="0"/>
    <x v="11"/>
    <n v="-11440.07"/>
  </r>
  <r>
    <x v="4"/>
    <x v="0"/>
    <x v="3"/>
    <n v="-1152.54"/>
  </r>
  <r>
    <x v="4"/>
    <x v="1"/>
    <x v="8"/>
    <n v="-27048.16"/>
  </r>
  <r>
    <x v="4"/>
    <x v="1"/>
    <x v="1"/>
    <n v="-3157.66"/>
  </r>
  <r>
    <x v="4"/>
    <x v="1"/>
    <x v="11"/>
    <n v="-373.53"/>
  </r>
  <r>
    <x v="4"/>
    <x v="1"/>
    <x v="3"/>
    <n v="-1589.89"/>
  </r>
  <r>
    <x v="4"/>
    <x v="2"/>
    <x v="8"/>
    <n v="-31166.560000000001"/>
  </r>
  <r>
    <x v="4"/>
    <x v="2"/>
    <x v="1"/>
    <n v="-3319.41"/>
  </r>
  <r>
    <x v="4"/>
    <x v="2"/>
    <x v="11"/>
    <n v="-638.05999999999995"/>
  </r>
  <r>
    <x v="4"/>
    <x v="2"/>
    <x v="3"/>
    <n v="-1565.43"/>
  </r>
  <r>
    <x v="4"/>
    <x v="3"/>
    <x v="8"/>
    <n v="-36702.29"/>
  </r>
  <r>
    <x v="4"/>
    <x v="3"/>
    <x v="1"/>
    <n v="-4853.8900000000003"/>
  </r>
  <r>
    <x v="4"/>
    <x v="3"/>
    <x v="11"/>
    <n v="-952.88"/>
  </r>
  <r>
    <x v="4"/>
    <x v="3"/>
    <x v="3"/>
    <n v="-1294.04"/>
  </r>
  <r>
    <x v="4"/>
    <x v="4"/>
    <x v="8"/>
    <n v="-32048.880000000001"/>
  </r>
  <r>
    <x v="4"/>
    <x v="4"/>
    <x v="1"/>
    <n v="-3861.94"/>
  </r>
  <r>
    <x v="4"/>
    <x v="4"/>
    <x v="11"/>
    <n v="-1703.03"/>
  </r>
  <r>
    <x v="4"/>
    <x v="4"/>
    <x v="3"/>
    <n v="-1076.6400000000001"/>
  </r>
  <r>
    <x v="4"/>
    <x v="5"/>
    <x v="8"/>
    <n v="-31108"/>
  </r>
  <r>
    <x v="4"/>
    <x v="5"/>
    <x v="1"/>
    <n v="-4698"/>
  </r>
  <r>
    <x v="4"/>
    <x v="5"/>
    <x v="11"/>
    <n v="-1307.77"/>
  </r>
  <r>
    <x v="4"/>
    <x v="5"/>
    <x v="3"/>
    <n v="-1267.05"/>
  </r>
  <r>
    <x v="4"/>
    <x v="6"/>
    <x v="8"/>
    <n v="-13371.98"/>
  </r>
  <r>
    <x v="4"/>
    <x v="7"/>
    <x v="8"/>
    <n v="-42696.81"/>
  </r>
  <r>
    <x v="4"/>
    <x v="7"/>
    <x v="1"/>
    <n v="-3745.57"/>
  </r>
  <r>
    <x v="4"/>
    <x v="7"/>
    <x v="11"/>
    <n v="-3904.79"/>
  </r>
  <r>
    <x v="4"/>
    <x v="8"/>
    <x v="8"/>
    <n v="-51598.55"/>
  </r>
  <r>
    <x v="4"/>
    <x v="8"/>
    <x v="1"/>
    <n v="-4440.4799999999996"/>
  </r>
  <r>
    <x v="4"/>
    <x v="8"/>
    <x v="11"/>
    <n v="-3190.42"/>
  </r>
  <r>
    <x v="4"/>
    <x v="9"/>
    <x v="8"/>
    <n v="-67080.87"/>
  </r>
  <r>
    <x v="4"/>
    <x v="9"/>
    <x v="1"/>
    <n v="-3285.48"/>
  </r>
  <r>
    <x v="4"/>
    <x v="9"/>
    <x v="11"/>
    <n v="-6805.6"/>
  </r>
  <r>
    <x v="4"/>
    <x v="10"/>
    <x v="8"/>
    <n v="-42547.37"/>
  </r>
  <r>
    <x v="4"/>
    <x v="10"/>
    <x v="1"/>
    <n v="-5840.44"/>
  </r>
  <r>
    <x v="4"/>
    <x v="10"/>
    <x v="11"/>
    <n v="-20729.23"/>
  </r>
  <r>
    <x v="4"/>
    <x v="11"/>
    <x v="8"/>
    <n v="-42010.67"/>
  </r>
  <r>
    <x v="4"/>
    <x v="11"/>
    <x v="1"/>
    <n v="-7401.56"/>
  </r>
  <r>
    <x v="4"/>
    <x v="11"/>
    <x v="11"/>
    <n v="-25173.43"/>
  </r>
  <r>
    <x v="4"/>
    <x v="12"/>
    <x v="8"/>
    <n v="-39562.410000000003"/>
  </r>
  <r>
    <x v="4"/>
    <x v="12"/>
    <x v="1"/>
    <n v="-17824.03"/>
  </r>
  <r>
    <x v="4"/>
    <x v="12"/>
    <x v="11"/>
    <n v="-24959.599999999999"/>
  </r>
  <r>
    <x v="4"/>
    <x v="13"/>
    <x v="8"/>
    <n v="-40276.46"/>
  </r>
  <r>
    <x v="4"/>
    <x v="13"/>
    <x v="1"/>
    <n v="-15658.76"/>
  </r>
  <r>
    <x v="4"/>
    <x v="13"/>
    <x v="11"/>
    <n v="-33613.32"/>
  </r>
  <r>
    <x v="4"/>
    <x v="14"/>
    <x v="8"/>
    <n v="-36539.760000000002"/>
  </r>
  <r>
    <x v="4"/>
    <x v="14"/>
    <x v="1"/>
    <n v="-15785.67"/>
  </r>
  <r>
    <x v="4"/>
    <x v="14"/>
    <x v="11"/>
    <n v="-24718.33"/>
  </r>
  <r>
    <x v="4"/>
    <x v="15"/>
    <x v="8"/>
    <n v="-35425.03"/>
  </r>
  <r>
    <x v="4"/>
    <x v="15"/>
    <x v="1"/>
    <n v="-11806.5"/>
  </r>
  <r>
    <x v="4"/>
    <x v="15"/>
    <x v="11"/>
    <n v="-21335.3"/>
  </r>
  <r>
    <x v="4"/>
    <x v="16"/>
    <x v="8"/>
    <n v="-38599.51"/>
  </r>
  <r>
    <x v="4"/>
    <x v="16"/>
    <x v="1"/>
    <n v="-14278.59"/>
  </r>
  <r>
    <x v="4"/>
    <x v="16"/>
    <x v="11"/>
    <n v="-22775.48"/>
  </r>
  <r>
    <x v="4"/>
    <x v="17"/>
    <x v="8"/>
    <n v="-43598.43"/>
  </r>
  <r>
    <x v="4"/>
    <x v="17"/>
    <x v="1"/>
    <n v="-14685.24"/>
  </r>
  <r>
    <x v="4"/>
    <x v="17"/>
    <x v="11"/>
    <n v="-39158.11"/>
  </r>
  <r>
    <x v="4"/>
    <x v="18"/>
    <x v="8"/>
    <n v="-37837.75"/>
  </r>
  <r>
    <x v="4"/>
    <x v="18"/>
    <x v="1"/>
    <n v="-13029.85"/>
  </r>
  <r>
    <x v="4"/>
    <x v="18"/>
    <x v="11"/>
    <n v="-37889.08"/>
  </r>
  <r>
    <x v="4"/>
    <x v="19"/>
    <x v="8"/>
    <n v="-40580.980000000003"/>
  </r>
  <r>
    <x v="4"/>
    <x v="19"/>
    <x v="1"/>
    <n v="-3631.78"/>
  </r>
  <r>
    <x v="4"/>
    <x v="19"/>
    <x v="11"/>
    <n v="-35649.1"/>
  </r>
  <r>
    <x v="4"/>
    <x v="20"/>
    <x v="8"/>
    <n v="-42534.98"/>
  </r>
  <r>
    <x v="4"/>
    <x v="20"/>
    <x v="1"/>
    <n v="-4147.9399999999996"/>
  </r>
  <r>
    <x v="4"/>
    <x v="20"/>
    <x v="11"/>
    <n v="-33085"/>
  </r>
  <r>
    <x v="4"/>
    <x v="21"/>
    <x v="8"/>
    <n v="-36722.82"/>
  </r>
  <r>
    <x v="4"/>
    <x v="21"/>
    <x v="1"/>
    <n v="-4895.6400000000003"/>
  </r>
  <r>
    <x v="4"/>
    <x v="21"/>
    <x v="11"/>
    <n v="-42144.53"/>
  </r>
  <r>
    <x v="4"/>
    <x v="22"/>
    <x v="8"/>
    <n v="-27557.88"/>
  </r>
  <r>
    <x v="5"/>
    <x v="26"/>
    <x v="8"/>
    <n v="-14.24"/>
  </r>
  <r>
    <x v="5"/>
    <x v="26"/>
    <x v="1"/>
    <n v="-8.94"/>
  </r>
  <r>
    <x v="5"/>
    <x v="26"/>
    <x v="3"/>
    <n v="-3.64"/>
  </r>
  <r>
    <x v="6"/>
    <x v="61"/>
    <x v="1"/>
    <n v="-1034.8"/>
  </r>
  <r>
    <x v="6"/>
    <x v="61"/>
    <x v="12"/>
    <n v="-219"/>
  </r>
  <r>
    <x v="6"/>
    <x v="28"/>
    <x v="1"/>
    <n v="-2509.8200000000002"/>
  </r>
  <r>
    <x v="6"/>
    <x v="28"/>
    <x v="12"/>
    <n v="-547.63"/>
  </r>
  <r>
    <x v="6"/>
    <x v="29"/>
    <x v="1"/>
    <n v="-4542.5"/>
  </r>
  <r>
    <x v="6"/>
    <x v="29"/>
    <x v="12"/>
    <n v="-1438.56"/>
  </r>
  <r>
    <x v="6"/>
    <x v="30"/>
    <x v="1"/>
    <n v="-2791.57"/>
  </r>
  <r>
    <x v="6"/>
    <x v="30"/>
    <x v="12"/>
    <n v="-1314.88"/>
  </r>
  <r>
    <x v="6"/>
    <x v="31"/>
    <x v="1"/>
    <n v="-3595.96"/>
  </r>
  <r>
    <x v="6"/>
    <x v="31"/>
    <x v="12"/>
    <n v="-2330.27"/>
  </r>
  <r>
    <x v="6"/>
    <x v="32"/>
    <x v="1"/>
    <n v="-2889.73"/>
  </r>
  <r>
    <x v="6"/>
    <x v="32"/>
    <x v="12"/>
    <n v="-1770.75"/>
  </r>
  <r>
    <x v="6"/>
    <x v="33"/>
    <x v="1"/>
    <n v="-8916.34"/>
  </r>
  <r>
    <x v="6"/>
    <x v="33"/>
    <x v="12"/>
    <n v="-1547.93"/>
  </r>
  <r>
    <x v="6"/>
    <x v="34"/>
    <x v="1"/>
    <n v="-15340.67"/>
  </r>
  <r>
    <x v="6"/>
    <x v="34"/>
    <x v="12"/>
    <n v="-1536.37"/>
  </r>
  <r>
    <x v="6"/>
    <x v="35"/>
    <x v="1"/>
    <n v="-9302.7999999999993"/>
  </r>
  <r>
    <x v="6"/>
    <x v="35"/>
    <x v="12"/>
    <n v="-2501.31"/>
  </r>
  <r>
    <x v="6"/>
    <x v="36"/>
    <x v="1"/>
    <n v="-8972.99"/>
  </r>
  <r>
    <x v="6"/>
    <x v="36"/>
    <x v="12"/>
    <n v="-2809.04"/>
  </r>
  <r>
    <x v="6"/>
    <x v="37"/>
    <x v="1"/>
    <n v="-11335.19"/>
  </r>
  <r>
    <x v="6"/>
    <x v="37"/>
    <x v="12"/>
    <n v="-652.82000000000005"/>
  </r>
  <r>
    <x v="6"/>
    <x v="38"/>
    <x v="1"/>
    <n v="-11262.3"/>
  </r>
  <r>
    <x v="6"/>
    <x v="38"/>
    <x v="12"/>
    <n v="2090.1799999999998"/>
  </r>
  <r>
    <x v="6"/>
    <x v="39"/>
    <x v="1"/>
    <n v="-10997.28"/>
  </r>
  <r>
    <x v="6"/>
    <x v="39"/>
    <x v="12"/>
    <n v="-780.72"/>
  </r>
  <r>
    <x v="6"/>
    <x v="40"/>
    <x v="1"/>
    <n v="-11783.54"/>
  </r>
  <r>
    <x v="6"/>
    <x v="40"/>
    <x v="12"/>
    <n v="-624.76"/>
  </r>
  <r>
    <x v="6"/>
    <x v="41"/>
    <x v="1"/>
    <n v="-13770.21"/>
  </r>
  <r>
    <x v="6"/>
    <x v="41"/>
    <x v="12"/>
    <n v="-1723.43"/>
  </r>
  <r>
    <x v="6"/>
    <x v="42"/>
    <x v="1"/>
    <n v="-20669.830000000002"/>
  </r>
  <r>
    <x v="6"/>
    <x v="42"/>
    <x v="12"/>
    <n v="-626.32000000000005"/>
  </r>
  <r>
    <x v="6"/>
    <x v="43"/>
    <x v="1"/>
    <n v="-12372.63"/>
  </r>
  <r>
    <x v="6"/>
    <x v="43"/>
    <x v="12"/>
    <n v="-1247.73"/>
  </r>
  <r>
    <x v="6"/>
    <x v="44"/>
    <x v="1"/>
    <n v="-14371.6"/>
  </r>
  <r>
    <x v="6"/>
    <x v="44"/>
    <x v="12"/>
    <n v="-2078.7600000000002"/>
  </r>
  <r>
    <x v="6"/>
    <x v="45"/>
    <x v="1"/>
    <n v="-14639.78"/>
  </r>
  <r>
    <x v="6"/>
    <x v="45"/>
    <x v="12"/>
    <n v="-2852.8"/>
  </r>
  <r>
    <x v="6"/>
    <x v="46"/>
    <x v="1"/>
    <n v="-13612.52"/>
  </r>
  <r>
    <x v="6"/>
    <x v="46"/>
    <x v="12"/>
    <n v="-4427.05"/>
  </r>
  <r>
    <x v="6"/>
    <x v="47"/>
    <x v="1"/>
    <n v="-12164.46"/>
  </r>
  <r>
    <x v="6"/>
    <x v="47"/>
    <x v="12"/>
    <n v="-4849.03"/>
  </r>
  <r>
    <x v="6"/>
    <x v="48"/>
    <x v="1"/>
    <n v="-12835.92"/>
  </r>
  <r>
    <x v="6"/>
    <x v="48"/>
    <x v="12"/>
    <n v="-6015.04"/>
  </r>
  <r>
    <x v="6"/>
    <x v="49"/>
    <x v="1"/>
    <n v="-15590.04"/>
  </r>
  <r>
    <x v="6"/>
    <x v="49"/>
    <x v="12"/>
    <n v="-4205.08"/>
  </r>
  <r>
    <x v="6"/>
    <x v="50"/>
    <x v="1"/>
    <n v="-17979.25"/>
  </r>
  <r>
    <x v="6"/>
    <x v="50"/>
    <x v="12"/>
    <n v="-3766.56"/>
  </r>
  <r>
    <x v="6"/>
    <x v="51"/>
    <x v="1"/>
    <n v="-17116.96"/>
  </r>
  <r>
    <x v="6"/>
    <x v="51"/>
    <x v="12"/>
    <n v="-3486.92"/>
  </r>
  <r>
    <x v="6"/>
    <x v="52"/>
    <x v="1"/>
    <n v="-17278.150000000001"/>
  </r>
  <r>
    <x v="6"/>
    <x v="52"/>
    <x v="12"/>
    <n v="-5300.84"/>
  </r>
  <r>
    <x v="6"/>
    <x v="53"/>
    <x v="1"/>
    <n v="-14229.11"/>
  </r>
  <r>
    <x v="6"/>
    <x v="53"/>
    <x v="12"/>
    <n v="-4194.25"/>
  </r>
  <r>
    <x v="6"/>
    <x v="54"/>
    <x v="1"/>
    <n v="-14373.98"/>
  </r>
  <r>
    <x v="6"/>
    <x v="54"/>
    <x v="12"/>
    <n v="-4378.07"/>
  </r>
  <r>
    <x v="6"/>
    <x v="55"/>
    <x v="1"/>
    <n v="-15032.32"/>
  </r>
  <r>
    <x v="6"/>
    <x v="55"/>
    <x v="12"/>
    <n v="-4893.87"/>
  </r>
  <r>
    <x v="6"/>
    <x v="56"/>
    <x v="1"/>
    <n v="-14657.22"/>
  </r>
  <r>
    <x v="6"/>
    <x v="56"/>
    <x v="12"/>
    <n v="-3819.11"/>
  </r>
  <r>
    <x v="6"/>
    <x v="57"/>
    <x v="1"/>
    <n v="-15268.09"/>
  </r>
  <r>
    <x v="6"/>
    <x v="57"/>
    <x v="12"/>
    <n v="-3366.5"/>
  </r>
  <r>
    <x v="6"/>
    <x v="58"/>
    <x v="1"/>
    <n v="-14650.75"/>
  </r>
  <r>
    <x v="6"/>
    <x v="58"/>
    <x v="12"/>
    <n v="-3481.81"/>
  </r>
  <r>
    <x v="6"/>
    <x v="59"/>
    <x v="13"/>
    <n v="-356.65"/>
  </r>
  <r>
    <x v="6"/>
    <x v="59"/>
    <x v="6"/>
    <n v="-84.8"/>
  </r>
  <r>
    <x v="6"/>
    <x v="60"/>
    <x v="13"/>
    <n v="-362.53"/>
  </r>
  <r>
    <x v="6"/>
    <x v="60"/>
    <x v="6"/>
    <n v="-319.08"/>
  </r>
  <r>
    <x v="6"/>
    <x v="25"/>
    <x v="13"/>
    <n v="-648.33000000000004"/>
  </r>
  <r>
    <x v="6"/>
    <x v="25"/>
    <x v="6"/>
    <n v="-1496.69"/>
  </r>
  <r>
    <x v="6"/>
    <x v="26"/>
    <x v="13"/>
    <n v="-969.48"/>
  </r>
  <r>
    <x v="6"/>
    <x v="26"/>
    <x v="6"/>
    <n v="-1816.97"/>
  </r>
  <r>
    <x v="6"/>
    <x v="27"/>
    <x v="13"/>
    <n v="-788.23"/>
  </r>
  <r>
    <x v="6"/>
    <x v="27"/>
    <x v="6"/>
    <n v="-2968.98"/>
  </r>
  <r>
    <x v="6"/>
    <x v="0"/>
    <x v="13"/>
    <n v="-2354.34"/>
  </r>
  <r>
    <x v="6"/>
    <x v="0"/>
    <x v="6"/>
    <n v="-2623.5"/>
  </r>
  <r>
    <x v="6"/>
    <x v="1"/>
    <x v="13"/>
    <n v="-1767.98"/>
  </r>
  <r>
    <x v="6"/>
    <x v="1"/>
    <x v="6"/>
    <n v="-3900.84"/>
  </r>
  <r>
    <x v="6"/>
    <x v="2"/>
    <x v="13"/>
    <n v="-1494.51"/>
  </r>
  <r>
    <x v="6"/>
    <x v="2"/>
    <x v="6"/>
    <n v="-2197.94"/>
  </r>
  <r>
    <x v="6"/>
    <x v="3"/>
    <x v="13"/>
    <n v="-1396.52"/>
  </r>
  <r>
    <x v="6"/>
    <x v="3"/>
    <x v="6"/>
    <n v="-1067.23"/>
  </r>
  <r>
    <x v="6"/>
    <x v="4"/>
    <x v="13"/>
    <n v="-1385.54"/>
  </r>
  <r>
    <x v="6"/>
    <x v="4"/>
    <x v="6"/>
    <n v="-889.51"/>
  </r>
  <r>
    <x v="6"/>
    <x v="5"/>
    <x v="13"/>
    <n v="-1372.8"/>
  </r>
  <r>
    <x v="6"/>
    <x v="5"/>
    <x v="6"/>
    <n v="-835.92"/>
  </r>
  <r>
    <x v="6"/>
    <x v="6"/>
    <x v="13"/>
    <n v="3.57"/>
  </r>
  <r>
    <x v="6"/>
    <x v="7"/>
    <x v="13"/>
    <n v="-3552.23"/>
  </r>
  <r>
    <x v="6"/>
    <x v="7"/>
    <x v="6"/>
    <n v="-1287.8900000000001"/>
  </r>
  <r>
    <x v="6"/>
    <x v="8"/>
    <x v="13"/>
    <n v="-3938.68"/>
  </r>
  <r>
    <x v="6"/>
    <x v="8"/>
    <x v="6"/>
    <n v="-1707.3"/>
  </r>
  <r>
    <x v="6"/>
    <x v="9"/>
    <x v="13"/>
    <n v="-9464.74"/>
  </r>
  <r>
    <x v="6"/>
    <x v="9"/>
    <x v="6"/>
    <n v="-1686.72"/>
  </r>
  <r>
    <x v="6"/>
    <x v="10"/>
    <x v="13"/>
    <n v="-4305.01"/>
  </r>
  <r>
    <x v="6"/>
    <x v="10"/>
    <x v="6"/>
    <n v="-4246.6499999999996"/>
  </r>
  <r>
    <x v="6"/>
    <x v="11"/>
    <x v="13"/>
    <n v="-5253.65"/>
  </r>
  <r>
    <x v="6"/>
    <x v="11"/>
    <x v="6"/>
    <n v="-4612.92"/>
  </r>
  <r>
    <x v="6"/>
    <x v="12"/>
    <x v="13"/>
    <n v="-8832.76"/>
  </r>
  <r>
    <x v="6"/>
    <x v="12"/>
    <x v="6"/>
    <n v="-8668.81"/>
  </r>
  <r>
    <x v="6"/>
    <x v="13"/>
    <x v="13"/>
    <n v="-6900.25"/>
  </r>
  <r>
    <x v="6"/>
    <x v="13"/>
    <x v="6"/>
    <n v="-10449.32"/>
  </r>
  <r>
    <x v="6"/>
    <x v="14"/>
    <x v="13"/>
    <n v="-8577.42"/>
  </r>
  <r>
    <x v="6"/>
    <x v="14"/>
    <x v="6"/>
    <n v="-9852.4"/>
  </r>
  <r>
    <x v="6"/>
    <x v="15"/>
    <x v="13"/>
    <n v="-7009.95"/>
  </r>
  <r>
    <x v="6"/>
    <x v="15"/>
    <x v="6"/>
    <n v="-7974.53"/>
  </r>
  <r>
    <x v="6"/>
    <x v="16"/>
    <x v="13"/>
    <n v="-5671.84"/>
  </r>
  <r>
    <x v="6"/>
    <x v="16"/>
    <x v="6"/>
    <n v="-9569.99"/>
  </r>
  <r>
    <x v="6"/>
    <x v="17"/>
    <x v="13"/>
    <n v="-4318.8599999999997"/>
  </r>
  <r>
    <x v="6"/>
    <x v="17"/>
    <x v="6"/>
    <n v="-11336.01"/>
  </r>
  <r>
    <x v="6"/>
    <x v="18"/>
    <x v="13"/>
    <n v="-6523.22"/>
  </r>
  <r>
    <x v="6"/>
    <x v="18"/>
    <x v="6"/>
    <n v="-12114.81"/>
  </r>
  <r>
    <x v="6"/>
    <x v="19"/>
    <x v="13"/>
    <n v="-2754.99"/>
  </r>
  <r>
    <x v="6"/>
    <x v="19"/>
    <x v="6"/>
    <n v="-8336.32"/>
  </r>
  <r>
    <x v="6"/>
    <x v="20"/>
    <x v="13"/>
    <n v="-3428.52"/>
  </r>
  <r>
    <x v="6"/>
    <x v="20"/>
    <x v="6"/>
    <n v="-9006.6299999999992"/>
  </r>
  <r>
    <x v="6"/>
    <x v="21"/>
    <x v="13"/>
    <n v="-6911.53"/>
  </r>
  <r>
    <x v="6"/>
    <x v="21"/>
    <x v="6"/>
    <n v="-9994.02"/>
  </r>
  <r>
    <x v="6"/>
    <x v="22"/>
    <x v="13"/>
    <n v="-12058.94"/>
  </r>
  <r>
    <x v="6"/>
    <x v="22"/>
    <x v="6"/>
    <n v="-12700.7"/>
  </r>
  <r>
    <x v="6"/>
    <x v="23"/>
    <x v="13"/>
    <n v="-17040.669999999998"/>
  </r>
  <r>
    <x v="6"/>
    <x v="23"/>
    <x v="6"/>
    <n v="-10751.47"/>
  </r>
  <r>
    <x v="6"/>
    <x v="24"/>
    <x v="13"/>
    <n v="-19559.599999999999"/>
  </r>
  <r>
    <x v="6"/>
    <x v="24"/>
    <x v="6"/>
    <n v="-12248.3"/>
  </r>
  <r>
    <x v="7"/>
    <x v="32"/>
    <x v="4"/>
    <n v="-48.39"/>
  </r>
  <r>
    <x v="7"/>
    <x v="32"/>
    <x v="2"/>
    <n v="-29.84"/>
  </r>
  <r>
    <x v="7"/>
    <x v="32"/>
    <x v="6"/>
    <n v="-168.21"/>
  </r>
  <r>
    <x v="7"/>
    <x v="33"/>
    <x v="4"/>
    <n v="-574.79999999999995"/>
  </r>
  <r>
    <x v="7"/>
    <x v="33"/>
    <x v="2"/>
    <n v="-381.2"/>
  </r>
  <r>
    <x v="7"/>
    <x v="33"/>
    <x v="6"/>
    <n v="-559.65"/>
  </r>
  <r>
    <x v="7"/>
    <x v="34"/>
    <x v="4"/>
    <n v="-501.98"/>
  </r>
  <r>
    <x v="7"/>
    <x v="34"/>
    <x v="2"/>
    <n v="-530.51"/>
  </r>
  <r>
    <x v="7"/>
    <x v="34"/>
    <x v="6"/>
    <n v="-844.08"/>
  </r>
  <r>
    <x v="7"/>
    <x v="35"/>
    <x v="4"/>
    <n v="-886.57"/>
  </r>
  <r>
    <x v="7"/>
    <x v="35"/>
    <x v="2"/>
    <n v="-1269.5999999999999"/>
  </r>
  <r>
    <x v="7"/>
    <x v="35"/>
    <x v="6"/>
    <n v="-943.31"/>
  </r>
  <r>
    <x v="7"/>
    <x v="36"/>
    <x v="4"/>
    <n v="-1010.78"/>
  </r>
  <r>
    <x v="7"/>
    <x v="36"/>
    <x v="2"/>
    <n v="-1629.85"/>
  </r>
  <r>
    <x v="7"/>
    <x v="36"/>
    <x v="6"/>
    <n v="-983.04"/>
  </r>
  <r>
    <x v="7"/>
    <x v="37"/>
    <x v="4"/>
    <n v="-1203.3900000000001"/>
  </r>
  <r>
    <x v="7"/>
    <x v="37"/>
    <x v="2"/>
    <n v="-1384.14"/>
  </r>
  <r>
    <x v="7"/>
    <x v="37"/>
    <x v="6"/>
    <n v="-730.62"/>
  </r>
  <r>
    <x v="7"/>
    <x v="38"/>
    <x v="4"/>
    <n v="-1521.78"/>
  </r>
  <r>
    <x v="7"/>
    <x v="38"/>
    <x v="2"/>
    <n v="-1680.87"/>
  </r>
  <r>
    <x v="7"/>
    <x v="38"/>
    <x v="6"/>
    <n v="-972.94"/>
  </r>
  <r>
    <x v="7"/>
    <x v="40"/>
    <x v="4"/>
    <n v="-1630.34"/>
  </r>
  <r>
    <x v="7"/>
    <x v="40"/>
    <x v="2"/>
    <n v="-1860.14"/>
  </r>
  <r>
    <x v="7"/>
    <x v="40"/>
    <x v="6"/>
    <n v="-1047.73"/>
  </r>
  <r>
    <x v="7"/>
    <x v="41"/>
    <x v="4"/>
    <n v="-5894.44"/>
  </r>
  <r>
    <x v="7"/>
    <x v="41"/>
    <x v="2"/>
    <n v="-1656.86"/>
  </r>
  <r>
    <x v="7"/>
    <x v="41"/>
    <x v="6"/>
    <n v="-853.26"/>
  </r>
  <r>
    <x v="7"/>
    <x v="42"/>
    <x v="4"/>
    <n v="-5147.97"/>
  </r>
  <r>
    <x v="7"/>
    <x v="42"/>
    <x v="2"/>
    <n v="-2225.6799999999998"/>
  </r>
  <r>
    <x v="7"/>
    <x v="42"/>
    <x v="6"/>
    <n v="-930.79"/>
  </r>
  <r>
    <x v="7"/>
    <x v="43"/>
    <x v="4"/>
    <n v="-3504.87"/>
  </r>
  <r>
    <x v="7"/>
    <x v="43"/>
    <x v="2"/>
    <n v="-1611.53"/>
  </r>
  <r>
    <x v="7"/>
    <x v="43"/>
    <x v="6"/>
    <n v="-1585.74"/>
  </r>
  <r>
    <x v="7"/>
    <x v="44"/>
    <x v="4"/>
    <n v="-3690.06"/>
  </r>
  <r>
    <x v="7"/>
    <x v="44"/>
    <x v="2"/>
    <n v="-1681.06"/>
  </r>
  <r>
    <x v="7"/>
    <x v="44"/>
    <x v="6"/>
    <n v="-2695.52"/>
  </r>
  <r>
    <x v="7"/>
    <x v="45"/>
    <x v="4"/>
    <n v="-8.5399999999999991"/>
  </r>
  <r>
    <x v="7"/>
    <x v="45"/>
    <x v="6"/>
    <n v="-14.44"/>
  </r>
  <r>
    <x v="7"/>
    <x v="46"/>
    <x v="4"/>
    <n v="-978.85"/>
  </r>
  <r>
    <x v="7"/>
    <x v="46"/>
    <x v="2"/>
    <n v="-644.79"/>
  </r>
  <r>
    <x v="7"/>
    <x v="46"/>
    <x v="6"/>
    <n v="-900.92"/>
  </r>
  <r>
    <x v="7"/>
    <x v="47"/>
    <x v="4"/>
    <n v="-4921.9799999999996"/>
  </r>
  <r>
    <x v="7"/>
    <x v="47"/>
    <x v="2"/>
    <n v="-1399"/>
  </r>
  <r>
    <x v="7"/>
    <x v="47"/>
    <x v="6"/>
    <n v="-1616.5"/>
  </r>
  <r>
    <x v="7"/>
    <x v="48"/>
    <x v="4"/>
    <n v="-4073.75"/>
  </r>
  <r>
    <x v="7"/>
    <x v="48"/>
    <x v="2"/>
    <n v="-1838.71"/>
  </r>
  <r>
    <x v="7"/>
    <x v="48"/>
    <x v="6"/>
    <n v="-2962.73"/>
  </r>
  <r>
    <x v="7"/>
    <x v="49"/>
    <x v="4"/>
    <n v="-3986.46"/>
  </r>
  <r>
    <x v="7"/>
    <x v="49"/>
    <x v="2"/>
    <n v="-1204.43"/>
  </r>
  <r>
    <x v="7"/>
    <x v="49"/>
    <x v="6"/>
    <n v="-3300.04"/>
  </r>
  <r>
    <x v="7"/>
    <x v="50"/>
    <x v="4"/>
    <n v="-9416.56"/>
  </r>
  <r>
    <x v="7"/>
    <x v="50"/>
    <x v="2"/>
    <n v="-1301.29"/>
  </r>
  <r>
    <x v="7"/>
    <x v="50"/>
    <x v="6"/>
    <n v="-6054.06"/>
  </r>
  <r>
    <x v="7"/>
    <x v="51"/>
    <x v="4"/>
    <n v="-13199.4"/>
  </r>
  <r>
    <x v="7"/>
    <x v="51"/>
    <x v="2"/>
    <n v="-1667.11"/>
  </r>
  <r>
    <x v="7"/>
    <x v="51"/>
    <x v="6"/>
    <n v="-4931.93"/>
  </r>
  <r>
    <x v="7"/>
    <x v="52"/>
    <x v="4"/>
    <n v="-12348.41"/>
  </r>
  <r>
    <x v="7"/>
    <x v="52"/>
    <x v="2"/>
    <n v="-1572.86"/>
  </r>
  <r>
    <x v="7"/>
    <x v="52"/>
    <x v="6"/>
    <n v="-7056.47"/>
  </r>
  <r>
    <x v="7"/>
    <x v="53"/>
    <x v="4"/>
    <n v="-12817.94"/>
  </r>
  <r>
    <x v="7"/>
    <x v="53"/>
    <x v="2"/>
    <n v="-1414.53"/>
  </r>
  <r>
    <x v="7"/>
    <x v="53"/>
    <x v="6"/>
    <n v="-5397.57"/>
  </r>
  <r>
    <x v="7"/>
    <x v="54"/>
    <x v="4"/>
    <n v="-10433.799999999999"/>
  </r>
  <r>
    <x v="7"/>
    <x v="54"/>
    <x v="2"/>
    <n v="-1298.6199999999999"/>
  </r>
  <r>
    <x v="7"/>
    <x v="54"/>
    <x v="6"/>
    <n v="-5590.66"/>
  </r>
  <r>
    <x v="7"/>
    <x v="55"/>
    <x v="4"/>
    <n v="-10397.290000000001"/>
  </r>
  <r>
    <x v="7"/>
    <x v="55"/>
    <x v="2"/>
    <n v="-1470.03"/>
  </r>
  <r>
    <x v="7"/>
    <x v="55"/>
    <x v="6"/>
    <n v="-6752.17"/>
  </r>
  <r>
    <x v="7"/>
    <x v="56"/>
    <x v="4"/>
    <n v="-12167.1"/>
  </r>
  <r>
    <x v="7"/>
    <x v="56"/>
    <x v="2"/>
    <n v="-1624.04"/>
  </r>
  <r>
    <x v="7"/>
    <x v="56"/>
    <x v="6"/>
    <n v="-6453.24"/>
  </r>
  <r>
    <x v="7"/>
    <x v="57"/>
    <x v="4"/>
    <n v="-12068.53"/>
  </r>
  <r>
    <x v="7"/>
    <x v="57"/>
    <x v="2"/>
    <n v="-2137.12"/>
  </r>
  <r>
    <x v="7"/>
    <x v="57"/>
    <x v="6"/>
    <n v="-6790.49"/>
  </r>
  <r>
    <x v="7"/>
    <x v="58"/>
    <x v="4"/>
    <n v="-9193.49"/>
  </r>
  <r>
    <x v="7"/>
    <x v="58"/>
    <x v="2"/>
    <n v="-3148.7"/>
  </r>
  <r>
    <x v="7"/>
    <x v="58"/>
    <x v="6"/>
    <n v="-6186.11"/>
  </r>
  <r>
    <x v="7"/>
    <x v="59"/>
    <x v="4"/>
    <n v="-10794.16"/>
  </r>
  <r>
    <x v="7"/>
    <x v="59"/>
    <x v="2"/>
    <n v="-3074.98"/>
  </r>
  <r>
    <x v="7"/>
    <x v="59"/>
    <x v="6"/>
    <n v="-5825.41"/>
  </r>
  <r>
    <x v="7"/>
    <x v="60"/>
    <x v="4"/>
    <n v="-13315.47"/>
  </r>
  <r>
    <x v="7"/>
    <x v="60"/>
    <x v="2"/>
    <n v="-3373.46"/>
  </r>
  <r>
    <x v="7"/>
    <x v="60"/>
    <x v="6"/>
    <n v="-5879.84"/>
  </r>
  <r>
    <x v="7"/>
    <x v="25"/>
    <x v="4"/>
    <n v="-14746.6"/>
  </r>
  <r>
    <x v="7"/>
    <x v="25"/>
    <x v="2"/>
    <n v="-5094.22"/>
  </r>
  <r>
    <x v="7"/>
    <x v="25"/>
    <x v="6"/>
    <n v="-7522.27"/>
  </r>
  <r>
    <x v="7"/>
    <x v="26"/>
    <x v="4"/>
    <n v="-15103.09"/>
  </r>
  <r>
    <x v="7"/>
    <x v="26"/>
    <x v="2"/>
    <n v="-3870.42"/>
  </r>
  <r>
    <x v="7"/>
    <x v="26"/>
    <x v="6"/>
    <n v="-8036.21"/>
  </r>
  <r>
    <x v="7"/>
    <x v="27"/>
    <x v="4"/>
    <n v="-14488.28"/>
  </r>
  <r>
    <x v="7"/>
    <x v="27"/>
    <x v="2"/>
    <n v="-3277.77"/>
  </r>
  <r>
    <x v="7"/>
    <x v="27"/>
    <x v="6"/>
    <n v="-10608.72"/>
  </r>
  <r>
    <x v="7"/>
    <x v="0"/>
    <x v="4"/>
    <n v="-14506.67"/>
  </r>
  <r>
    <x v="7"/>
    <x v="0"/>
    <x v="2"/>
    <n v="-3887.11"/>
  </r>
  <r>
    <x v="7"/>
    <x v="0"/>
    <x v="6"/>
    <n v="-9942.32"/>
  </r>
  <r>
    <x v="7"/>
    <x v="1"/>
    <x v="4"/>
    <n v="-13318.67"/>
  </r>
  <r>
    <x v="7"/>
    <x v="1"/>
    <x v="2"/>
    <n v="-3929.5"/>
  </r>
  <r>
    <x v="7"/>
    <x v="1"/>
    <x v="6"/>
    <n v="-13402.89"/>
  </r>
  <r>
    <x v="7"/>
    <x v="2"/>
    <x v="4"/>
    <n v="-13521.58"/>
  </r>
  <r>
    <x v="7"/>
    <x v="2"/>
    <x v="2"/>
    <n v="-5391.28"/>
  </r>
  <r>
    <x v="7"/>
    <x v="2"/>
    <x v="6"/>
    <n v="-9635.9500000000007"/>
  </r>
  <r>
    <x v="7"/>
    <x v="3"/>
    <x v="4"/>
    <n v="-15150.91"/>
  </r>
  <r>
    <x v="7"/>
    <x v="3"/>
    <x v="2"/>
    <n v="-7770.9"/>
  </r>
  <r>
    <x v="7"/>
    <x v="3"/>
    <x v="6"/>
    <n v="-7474.06"/>
  </r>
  <r>
    <x v="7"/>
    <x v="4"/>
    <x v="4"/>
    <n v="-14920.21"/>
  </r>
  <r>
    <x v="7"/>
    <x v="4"/>
    <x v="2"/>
    <n v="-7985.41"/>
  </r>
  <r>
    <x v="7"/>
    <x v="4"/>
    <x v="6"/>
    <n v="-7287.88"/>
  </r>
  <r>
    <x v="7"/>
    <x v="5"/>
    <x v="4"/>
    <n v="-12229.8"/>
  </r>
  <r>
    <x v="7"/>
    <x v="5"/>
    <x v="2"/>
    <n v="-8518.23"/>
  </r>
  <r>
    <x v="7"/>
    <x v="5"/>
    <x v="6"/>
    <n v="-7340.65"/>
  </r>
  <r>
    <x v="7"/>
    <x v="6"/>
    <x v="4"/>
    <n v="-14389.7"/>
  </r>
  <r>
    <x v="7"/>
    <x v="6"/>
    <x v="2"/>
    <n v="-8522.7900000000009"/>
  </r>
  <r>
    <x v="7"/>
    <x v="6"/>
    <x v="6"/>
    <n v="-6737.7"/>
  </r>
  <r>
    <x v="7"/>
    <x v="7"/>
    <x v="4"/>
    <n v="-20930.82"/>
  </r>
  <r>
    <x v="7"/>
    <x v="7"/>
    <x v="2"/>
    <n v="-14278.05"/>
  </r>
  <r>
    <x v="7"/>
    <x v="7"/>
    <x v="6"/>
    <n v="-8008.42"/>
  </r>
  <r>
    <x v="7"/>
    <x v="8"/>
    <x v="4"/>
    <n v="-23707.3"/>
  </r>
  <r>
    <x v="7"/>
    <x v="8"/>
    <x v="2"/>
    <n v="-18779.68"/>
  </r>
  <r>
    <x v="7"/>
    <x v="8"/>
    <x v="6"/>
    <n v="-8411.56"/>
  </r>
  <r>
    <x v="7"/>
    <x v="9"/>
    <x v="4"/>
    <n v="-31581.919999999998"/>
  </r>
  <r>
    <x v="7"/>
    <x v="9"/>
    <x v="2"/>
    <n v="-27482.51"/>
  </r>
  <r>
    <x v="7"/>
    <x v="9"/>
    <x v="6"/>
    <n v="-8143.09"/>
  </r>
  <r>
    <x v="7"/>
    <x v="10"/>
    <x v="4"/>
    <n v="-22665.35"/>
  </r>
  <r>
    <x v="7"/>
    <x v="10"/>
    <x v="2"/>
    <n v="-26901.3"/>
  </r>
  <r>
    <x v="7"/>
    <x v="10"/>
    <x v="6"/>
    <n v="-14763.31"/>
  </r>
  <r>
    <x v="7"/>
    <x v="11"/>
    <x v="4"/>
    <n v="-24334.25"/>
  </r>
  <r>
    <x v="7"/>
    <x v="11"/>
    <x v="2"/>
    <n v="-33537.86"/>
  </r>
  <r>
    <x v="7"/>
    <x v="11"/>
    <x v="6"/>
    <n v="-15412.17"/>
  </r>
  <r>
    <x v="7"/>
    <x v="12"/>
    <x v="4"/>
    <n v="-17648.349999999999"/>
  </r>
  <r>
    <x v="7"/>
    <x v="12"/>
    <x v="2"/>
    <n v="-40835.199999999997"/>
  </r>
  <r>
    <x v="7"/>
    <x v="12"/>
    <x v="6"/>
    <n v="-24585.49"/>
  </r>
  <r>
    <x v="7"/>
    <x v="13"/>
    <x v="4"/>
    <n v="-15194.74"/>
  </r>
  <r>
    <x v="7"/>
    <x v="13"/>
    <x v="2"/>
    <n v="-49437.86"/>
  </r>
  <r>
    <x v="7"/>
    <x v="13"/>
    <x v="6"/>
    <n v="-28557.439999999999"/>
  </r>
  <r>
    <x v="7"/>
    <x v="14"/>
    <x v="2"/>
    <n v="-43686.75"/>
  </r>
  <r>
    <x v="7"/>
    <x v="14"/>
    <x v="6"/>
    <n v="-26625.07"/>
  </r>
  <r>
    <x v="7"/>
    <x v="15"/>
    <x v="2"/>
    <n v="-37306.18"/>
  </r>
  <r>
    <x v="7"/>
    <x v="15"/>
    <x v="6"/>
    <n v="-22501.439999999999"/>
  </r>
  <r>
    <x v="7"/>
    <x v="16"/>
    <x v="2"/>
    <n v="-42363.76"/>
  </r>
  <r>
    <x v="7"/>
    <x v="16"/>
    <x v="6"/>
    <n v="-25493.45"/>
  </r>
  <r>
    <x v="7"/>
    <x v="17"/>
    <x v="2"/>
    <n v="-50593.94"/>
  </r>
  <r>
    <x v="7"/>
    <x v="17"/>
    <x v="6"/>
    <n v="-28147.59"/>
  </r>
  <r>
    <x v="7"/>
    <x v="18"/>
    <x v="2"/>
    <n v="-14629.62"/>
  </r>
  <r>
    <x v="7"/>
    <x v="18"/>
    <x v="6"/>
    <n v="-19190.23"/>
  </r>
  <r>
    <x v="7"/>
    <x v="19"/>
    <x v="2"/>
    <n v="-13091.92"/>
  </r>
  <r>
    <x v="7"/>
    <x v="19"/>
    <x v="6"/>
    <n v="-14405.06"/>
  </r>
  <r>
    <x v="7"/>
    <x v="20"/>
    <x v="2"/>
    <n v="-16064.52"/>
  </r>
  <r>
    <x v="7"/>
    <x v="20"/>
    <x v="6"/>
    <n v="-15308.02"/>
  </r>
  <r>
    <x v="7"/>
    <x v="21"/>
    <x v="2"/>
    <n v="-14769.14"/>
  </r>
  <r>
    <x v="7"/>
    <x v="21"/>
    <x v="6"/>
    <n v="-16661.96"/>
  </r>
  <r>
    <x v="7"/>
    <x v="22"/>
    <x v="2"/>
    <n v="-13305.81"/>
  </r>
  <r>
    <x v="7"/>
    <x v="22"/>
    <x v="6"/>
    <n v="-20211.89"/>
  </r>
  <r>
    <x v="7"/>
    <x v="23"/>
    <x v="2"/>
    <n v="-1808.7"/>
  </r>
  <r>
    <x v="7"/>
    <x v="23"/>
    <x v="6"/>
    <n v="-7387.96"/>
  </r>
  <r>
    <x v="7"/>
    <x v="24"/>
    <x v="2"/>
    <n v="-1809.66"/>
  </r>
  <r>
    <x v="7"/>
    <x v="24"/>
    <x v="6"/>
    <n v="-8189.38"/>
  </r>
  <r>
    <x v="8"/>
    <x v="40"/>
    <x v="14"/>
    <n v="-121.04"/>
  </r>
  <r>
    <x v="8"/>
    <x v="40"/>
    <x v="2"/>
    <n v="-167.25"/>
  </r>
  <r>
    <x v="8"/>
    <x v="40"/>
    <x v="1"/>
    <n v="-1246.71"/>
  </r>
  <r>
    <x v="8"/>
    <x v="41"/>
    <x v="14"/>
    <n v="-2386.2199999999998"/>
  </r>
  <r>
    <x v="8"/>
    <x v="41"/>
    <x v="2"/>
    <n v="-422.28"/>
  </r>
  <r>
    <x v="8"/>
    <x v="41"/>
    <x v="1"/>
    <n v="-2663.41"/>
  </r>
  <r>
    <x v="8"/>
    <x v="42"/>
    <x v="14"/>
    <n v="-3344.13"/>
  </r>
  <r>
    <x v="8"/>
    <x v="42"/>
    <x v="2"/>
    <n v="-839.81"/>
  </r>
  <r>
    <x v="8"/>
    <x v="42"/>
    <x v="1"/>
    <n v="-5628.29"/>
  </r>
  <r>
    <x v="8"/>
    <x v="43"/>
    <x v="14"/>
    <n v="-2589.79"/>
  </r>
  <r>
    <x v="8"/>
    <x v="43"/>
    <x v="2"/>
    <n v="-456.85"/>
  </r>
  <r>
    <x v="8"/>
    <x v="43"/>
    <x v="1"/>
    <n v="-4092.71"/>
  </r>
  <r>
    <x v="8"/>
    <x v="44"/>
    <x v="14"/>
    <n v="-2681.3"/>
  </r>
  <r>
    <x v="8"/>
    <x v="44"/>
    <x v="2"/>
    <n v="-616.61"/>
  </r>
  <r>
    <x v="8"/>
    <x v="44"/>
    <x v="1"/>
    <n v="-3715.25"/>
  </r>
  <r>
    <x v="8"/>
    <x v="45"/>
    <x v="14"/>
    <n v="-2847.71"/>
  </r>
  <r>
    <x v="8"/>
    <x v="45"/>
    <x v="2"/>
    <n v="-871.42"/>
  </r>
  <r>
    <x v="8"/>
    <x v="45"/>
    <x v="1"/>
    <n v="-3604.55"/>
  </r>
  <r>
    <x v="8"/>
    <x v="46"/>
    <x v="14"/>
    <n v="-3101.16"/>
  </r>
  <r>
    <x v="8"/>
    <x v="46"/>
    <x v="2"/>
    <n v="-1317.01"/>
  </r>
  <r>
    <x v="8"/>
    <x v="46"/>
    <x v="1"/>
    <n v="-3635.12"/>
  </r>
  <r>
    <x v="8"/>
    <x v="47"/>
    <x v="14"/>
    <n v="-2418.66"/>
  </r>
  <r>
    <x v="8"/>
    <x v="47"/>
    <x v="2"/>
    <n v="-1981.5"/>
  </r>
  <r>
    <x v="8"/>
    <x v="47"/>
    <x v="1"/>
    <n v="-4621.51"/>
  </r>
  <r>
    <x v="8"/>
    <x v="48"/>
    <x v="14"/>
    <n v="-3894.03"/>
  </r>
  <r>
    <x v="8"/>
    <x v="48"/>
    <x v="2"/>
    <n v="-2346.19"/>
  </r>
  <r>
    <x v="8"/>
    <x v="48"/>
    <x v="1"/>
    <n v="-7318.72"/>
  </r>
  <r>
    <x v="8"/>
    <x v="49"/>
    <x v="14"/>
    <n v="-4051.89"/>
  </r>
  <r>
    <x v="8"/>
    <x v="49"/>
    <x v="2"/>
    <n v="-1562.72"/>
  </r>
  <r>
    <x v="8"/>
    <x v="49"/>
    <x v="1"/>
    <n v="-10962.33"/>
  </r>
  <r>
    <x v="8"/>
    <x v="50"/>
    <x v="14"/>
    <n v="-2449"/>
  </r>
  <r>
    <x v="8"/>
    <x v="50"/>
    <x v="2"/>
    <n v="-1446.78"/>
  </r>
  <r>
    <x v="8"/>
    <x v="50"/>
    <x v="1"/>
    <n v="-13424.44"/>
  </r>
  <r>
    <x v="8"/>
    <x v="51"/>
    <x v="14"/>
    <n v="-2699.06"/>
  </r>
  <r>
    <x v="8"/>
    <x v="51"/>
    <x v="2"/>
    <n v="-1449.63"/>
  </r>
  <r>
    <x v="8"/>
    <x v="51"/>
    <x v="1"/>
    <n v="-12466.44"/>
  </r>
  <r>
    <x v="8"/>
    <x v="52"/>
    <x v="14"/>
    <n v="-2677.52"/>
  </r>
  <r>
    <x v="8"/>
    <x v="52"/>
    <x v="2"/>
    <n v="-2111.92"/>
  </r>
  <r>
    <x v="8"/>
    <x v="52"/>
    <x v="1"/>
    <n v="-12617.18"/>
  </r>
  <r>
    <x v="8"/>
    <x v="53"/>
    <x v="14"/>
    <n v="-2533.88"/>
  </r>
  <r>
    <x v="8"/>
    <x v="53"/>
    <x v="2"/>
    <n v="-1775.84"/>
  </r>
  <r>
    <x v="8"/>
    <x v="53"/>
    <x v="1"/>
    <n v="-9201.5499999999993"/>
  </r>
  <r>
    <x v="8"/>
    <x v="54"/>
    <x v="14"/>
    <n v="-2748.52"/>
  </r>
  <r>
    <x v="8"/>
    <x v="54"/>
    <x v="2"/>
    <n v="-1782.62"/>
  </r>
  <r>
    <x v="8"/>
    <x v="54"/>
    <x v="1"/>
    <n v="-9350.76"/>
  </r>
  <r>
    <x v="8"/>
    <x v="55"/>
    <x v="14"/>
    <n v="-2488.9899999999998"/>
  </r>
  <r>
    <x v="8"/>
    <x v="55"/>
    <x v="2"/>
    <n v="-2007.71"/>
  </r>
  <r>
    <x v="8"/>
    <x v="55"/>
    <x v="1"/>
    <n v="-10170.59"/>
  </r>
  <r>
    <x v="8"/>
    <x v="56"/>
    <x v="14"/>
    <n v="-2547.0300000000002"/>
  </r>
  <r>
    <x v="8"/>
    <x v="56"/>
    <x v="2"/>
    <n v="-1655.34"/>
  </r>
  <r>
    <x v="8"/>
    <x v="56"/>
    <x v="1"/>
    <n v="-9640.4500000000007"/>
  </r>
  <r>
    <x v="8"/>
    <x v="57"/>
    <x v="14"/>
    <n v="-2605.75"/>
  </r>
  <r>
    <x v="8"/>
    <x v="57"/>
    <x v="2"/>
    <n v="-1653.74"/>
  </r>
  <r>
    <x v="8"/>
    <x v="57"/>
    <x v="1"/>
    <n v="-10346.799999999999"/>
  </r>
  <r>
    <x v="8"/>
    <x v="58"/>
    <x v="14"/>
    <n v="-2700.4"/>
  </r>
  <r>
    <x v="8"/>
    <x v="58"/>
    <x v="2"/>
    <n v="-1928.76"/>
  </r>
  <r>
    <x v="8"/>
    <x v="58"/>
    <x v="1"/>
    <n v="-9316.02"/>
  </r>
  <r>
    <x v="8"/>
    <x v="59"/>
    <x v="14"/>
    <n v="-75.12"/>
  </r>
  <r>
    <x v="8"/>
    <x v="59"/>
    <x v="2"/>
    <n v="-22.79"/>
  </r>
  <r>
    <x v="8"/>
    <x v="59"/>
    <x v="1"/>
    <n v="-130.88"/>
  </r>
  <r>
    <x v="8"/>
    <x v="60"/>
    <x v="14"/>
    <n v="-74.599999999999994"/>
  </r>
  <r>
    <x v="8"/>
    <x v="60"/>
    <x v="2"/>
    <n v="-261.23"/>
  </r>
  <r>
    <x v="8"/>
    <x v="60"/>
    <x v="1"/>
    <n v="-490.31"/>
  </r>
  <r>
    <x v="8"/>
    <x v="25"/>
    <x v="14"/>
    <n v="-114.84"/>
  </r>
  <r>
    <x v="8"/>
    <x v="25"/>
    <x v="2"/>
    <n v="-301.79000000000002"/>
  </r>
  <r>
    <x v="8"/>
    <x v="25"/>
    <x v="1"/>
    <n v="-1822.82"/>
  </r>
  <r>
    <x v="8"/>
    <x v="26"/>
    <x v="14"/>
    <n v="-520.65"/>
  </r>
  <r>
    <x v="8"/>
    <x v="26"/>
    <x v="2"/>
    <n v="-191.4"/>
  </r>
  <r>
    <x v="8"/>
    <x v="26"/>
    <x v="1"/>
    <n v="-1871.36"/>
  </r>
  <r>
    <x v="8"/>
    <x v="27"/>
    <x v="14"/>
    <n v="-671.8"/>
  </r>
  <r>
    <x v="8"/>
    <x v="27"/>
    <x v="2"/>
    <n v="-280.85000000000002"/>
  </r>
  <r>
    <x v="8"/>
    <x v="27"/>
    <x v="1"/>
    <n v="-2915.76"/>
  </r>
  <r>
    <x v="8"/>
    <x v="0"/>
    <x v="14"/>
    <n v="-1343.44"/>
  </r>
  <r>
    <x v="8"/>
    <x v="0"/>
    <x v="2"/>
    <n v="-242.88"/>
  </r>
  <r>
    <x v="8"/>
    <x v="0"/>
    <x v="1"/>
    <n v="-1921.02"/>
  </r>
  <r>
    <x v="8"/>
    <x v="1"/>
    <x v="14"/>
    <n v="-1019.7"/>
  </r>
  <r>
    <x v="8"/>
    <x v="1"/>
    <x v="2"/>
    <n v="-298.75"/>
  </r>
  <r>
    <x v="8"/>
    <x v="1"/>
    <x v="1"/>
    <n v="-2810.58"/>
  </r>
  <r>
    <x v="8"/>
    <x v="2"/>
    <x v="14"/>
    <n v="-1035.47"/>
  </r>
  <r>
    <x v="8"/>
    <x v="2"/>
    <x v="2"/>
    <n v="-491.92"/>
  </r>
  <r>
    <x v="8"/>
    <x v="2"/>
    <x v="1"/>
    <n v="-1909.11"/>
  </r>
  <r>
    <x v="8"/>
    <x v="3"/>
    <x v="14"/>
    <n v="-1111.21"/>
  </r>
  <r>
    <x v="8"/>
    <x v="3"/>
    <x v="2"/>
    <n v="-1030.92"/>
  </r>
  <r>
    <x v="8"/>
    <x v="3"/>
    <x v="1"/>
    <n v="-2139.14"/>
  </r>
  <r>
    <x v="8"/>
    <x v="4"/>
    <x v="14"/>
    <n v="-1124.8900000000001"/>
  </r>
  <r>
    <x v="8"/>
    <x v="4"/>
    <x v="2"/>
    <n v="-1119.9100000000001"/>
  </r>
  <r>
    <x v="8"/>
    <x v="4"/>
    <x v="1"/>
    <n v="-1598.63"/>
  </r>
  <r>
    <x v="8"/>
    <x v="5"/>
    <x v="14"/>
    <n v="-2022.36"/>
  </r>
  <r>
    <x v="8"/>
    <x v="5"/>
    <x v="2"/>
    <n v="-1263.1099999999999"/>
  </r>
  <r>
    <x v="8"/>
    <x v="5"/>
    <x v="1"/>
    <n v="-2041.96"/>
  </r>
  <r>
    <x v="8"/>
    <x v="6"/>
    <x v="14"/>
    <n v="-1224.53"/>
  </r>
  <r>
    <x v="8"/>
    <x v="6"/>
    <x v="2"/>
    <n v="-1285.8399999999999"/>
  </r>
  <r>
    <x v="8"/>
    <x v="6"/>
    <x v="1"/>
    <n v="-2193.86"/>
  </r>
  <r>
    <x v="8"/>
    <x v="7"/>
    <x v="14"/>
    <n v="-1322.21"/>
  </r>
  <r>
    <x v="8"/>
    <x v="7"/>
    <x v="2"/>
    <n v="-2924.62"/>
  </r>
  <r>
    <x v="8"/>
    <x v="7"/>
    <x v="1"/>
    <n v="-2200.96"/>
  </r>
  <r>
    <x v="8"/>
    <x v="8"/>
    <x v="14"/>
    <n v="-1812.5"/>
  </r>
  <r>
    <x v="8"/>
    <x v="8"/>
    <x v="2"/>
    <n v="-4408.9799999999996"/>
  </r>
  <r>
    <x v="8"/>
    <x v="8"/>
    <x v="1"/>
    <n v="-2247.08"/>
  </r>
  <r>
    <x v="8"/>
    <x v="9"/>
    <x v="14"/>
    <n v="-2991.3"/>
  </r>
  <r>
    <x v="8"/>
    <x v="9"/>
    <x v="2"/>
    <n v="-7761.87"/>
  </r>
  <r>
    <x v="8"/>
    <x v="9"/>
    <x v="1"/>
    <n v="-2691.39"/>
  </r>
  <r>
    <x v="8"/>
    <x v="10"/>
    <x v="14"/>
    <n v="-3377.91"/>
  </r>
  <r>
    <x v="8"/>
    <x v="10"/>
    <x v="2"/>
    <n v="-7674.42"/>
  </r>
  <r>
    <x v="8"/>
    <x v="10"/>
    <x v="1"/>
    <n v="-3397.65"/>
  </r>
  <r>
    <x v="8"/>
    <x v="11"/>
    <x v="14"/>
    <n v="-8528.73"/>
  </r>
  <r>
    <x v="8"/>
    <x v="11"/>
    <x v="2"/>
    <n v="-10466.32"/>
  </r>
  <r>
    <x v="8"/>
    <x v="11"/>
    <x v="1"/>
    <n v="-4631.72"/>
  </r>
  <r>
    <x v="8"/>
    <x v="12"/>
    <x v="14"/>
    <n v="-6008.7"/>
  </r>
  <r>
    <x v="8"/>
    <x v="12"/>
    <x v="2"/>
    <n v="-14206.5"/>
  </r>
  <r>
    <x v="8"/>
    <x v="12"/>
    <x v="1"/>
    <n v="-12438.99"/>
  </r>
  <r>
    <x v="8"/>
    <x v="13"/>
    <x v="14"/>
    <n v="-5509.43"/>
  </r>
  <r>
    <x v="8"/>
    <x v="13"/>
    <x v="2"/>
    <n v="-18827.39"/>
  </r>
  <r>
    <x v="8"/>
    <x v="13"/>
    <x v="1"/>
    <n v="-10601.53"/>
  </r>
  <r>
    <x v="8"/>
    <x v="14"/>
    <x v="14"/>
    <n v="-4395.58"/>
  </r>
  <r>
    <x v="8"/>
    <x v="14"/>
    <x v="2"/>
    <n v="-16217.25"/>
  </r>
  <r>
    <x v="8"/>
    <x v="14"/>
    <x v="1"/>
    <n v="-11659.41"/>
  </r>
  <r>
    <x v="8"/>
    <x v="15"/>
    <x v="14"/>
    <n v="-4510.25"/>
  </r>
  <r>
    <x v="8"/>
    <x v="15"/>
    <x v="2"/>
    <n v="-12725.48"/>
  </r>
  <r>
    <x v="8"/>
    <x v="15"/>
    <x v="1"/>
    <n v="-8100.02"/>
  </r>
  <r>
    <x v="8"/>
    <x v="16"/>
    <x v="14"/>
    <n v="-4208.8500000000004"/>
  </r>
  <r>
    <x v="8"/>
    <x v="16"/>
    <x v="2"/>
    <n v="-15015.65"/>
  </r>
  <r>
    <x v="8"/>
    <x v="16"/>
    <x v="1"/>
    <n v="-10495.13"/>
  </r>
  <r>
    <x v="8"/>
    <x v="17"/>
    <x v="14"/>
    <n v="-8899.23"/>
  </r>
  <r>
    <x v="8"/>
    <x v="17"/>
    <x v="2"/>
    <n v="-19623.5"/>
  </r>
  <r>
    <x v="8"/>
    <x v="17"/>
    <x v="1"/>
    <n v="-10811.07"/>
  </r>
  <r>
    <x v="8"/>
    <x v="18"/>
    <x v="14"/>
    <n v="-12289.66"/>
  </r>
  <r>
    <x v="8"/>
    <x v="18"/>
    <x v="2"/>
    <n v="-21951.1"/>
  </r>
  <r>
    <x v="8"/>
    <x v="18"/>
    <x v="1"/>
    <n v="-9452.64"/>
  </r>
  <r>
    <x v="8"/>
    <x v="19"/>
    <x v="14"/>
    <n v="-16534.919999999998"/>
  </r>
  <r>
    <x v="8"/>
    <x v="19"/>
    <x v="2"/>
    <n v="-19830.150000000001"/>
  </r>
  <r>
    <x v="8"/>
    <x v="19"/>
    <x v="1"/>
    <n v="-1705.94"/>
  </r>
  <r>
    <x v="8"/>
    <x v="20"/>
    <x v="14"/>
    <n v="-20772.689999999999"/>
  </r>
  <r>
    <x v="8"/>
    <x v="20"/>
    <x v="2"/>
    <n v="-24460.27"/>
  </r>
  <r>
    <x v="8"/>
    <x v="20"/>
    <x v="1"/>
    <n v="-2090.06"/>
  </r>
  <r>
    <x v="8"/>
    <x v="21"/>
    <x v="14"/>
    <n v="-18552.43"/>
  </r>
  <r>
    <x v="8"/>
    <x v="21"/>
    <x v="2"/>
    <n v="-22290.46"/>
  </r>
  <r>
    <x v="8"/>
    <x v="21"/>
    <x v="1"/>
    <n v="-2506.13"/>
  </r>
  <r>
    <x v="8"/>
    <x v="22"/>
    <x v="14"/>
    <n v="-23682.43"/>
  </r>
  <r>
    <x v="8"/>
    <x v="22"/>
    <x v="2"/>
    <n v="-28588.1"/>
  </r>
  <r>
    <x v="8"/>
    <x v="22"/>
    <x v="1"/>
    <n v="-4363.7299999999996"/>
  </r>
  <r>
    <x v="8"/>
    <x v="23"/>
    <x v="14"/>
    <n v="-15461.29"/>
  </r>
  <r>
    <x v="8"/>
    <x v="23"/>
    <x v="2"/>
    <n v="-21989.96"/>
  </r>
  <r>
    <x v="8"/>
    <x v="23"/>
    <x v="1"/>
    <n v="-5494.65"/>
  </r>
  <r>
    <x v="8"/>
    <x v="24"/>
    <x v="14"/>
    <n v="-10779.42"/>
  </r>
  <r>
    <x v="8"/>
    <x v="24"/>
    <x v="2"/>
    <n v="-18529.39"/>
  </r>
  <r>
    <x v="9"/>
    <x v="47"/>
    <x v="15"/>
    <n v="-663.53"/>
  </r>
  <r>
    <x v="9"/>
    <x v="47"/>
    <x v="9"/>
    <n v="-321.33999999999997"/>
  </r>
  <r>
    <x v="9"/>
    <x v="47"/>
    <x v="1"/>
    <n v="-1499"/>
  </r>
  <r>
    <x v="9"/>
    <x v="47"/>
    <x v="3"/>
    <n v="-1431.77"/>
  </r>
  <r>
    <x v="9"/>
    <x v="48"/>
    <x v="15"/>
    <n v="-571.59"/>
  </r>
  <r>
    <x v="9"/>
    <x v="48"/>
    <x v="9"/>
    <n v="-1098.83"/>
  </r>
  <r>
    <x v="9"/>
    <x v="48"/>
    <x v="1"/>
    <n v="-4248.8"/>
  </r>
  <r>
    <x v="9"/>
    <x v="48"/>
    <x v="3"/>
    <n v="-1988.74"/>
  </r>
  <r>
    <x v="9"/>
    <x v="49"/>
    <x v="15"/>
    <n v="-729.11"/>
  </r>
  <r>
    <x v="9"/>
    <x v="49"/>
    <x v="9"/>
    <n v="-1298.3699999999999"/>
  </r>
  <r>
    <x v="9"/>
    <x v="49"/>
    <x v="1"/>
    <n v="-8700.15"/>
  </r>
  <r>
    <x v="9"/>
    <x v="49"/>
    <x v="3"/>
    <n v="-1102.83"/>
  </r>
  <r>
    <x v="9"/>
    <x v="50"/>
    <x v="15"/>
    <n v="-2334.04"/>
  </r>
  <r>
    <x v="9"/>
    <x v="50"/>
    <x v="9"/>
    <n v="-1403.97"/>
  </r>
  <r>
    <x v="9"/>
    <x v="50"/>
    <x v="1"/>
    <n v="-11833.31"/>
  </r>
  <r>
    <x v="9"/>
    <x v="50"/>
    <x v="3"/>
    <n v="-1130.6199999999999"/>
  </r>
  <r>
    <x v="9"/>
    <x v="51"/>
    <x v="15"/>
    <n v="-2944.46"/>
  </r>
  <r>
    <x v="9"/>
    <x v="51"/>
    <x v="9"/>
    <n v="-1479.99"/>
  </r>
  <r>
    <x v="9"/>
    <x v="51"/>
    <x v="1"/>
    <n v="-10383.07"/>
  </r>
  <r>
    <x v="9"/>
    <x v="51"/>
    <x v="3"/>
    <n v="-1735.52"/>
  </r>
  <r>
    <x v="9"/>
    <x v="52"/>
    <x v="15"/>
    <n v="-4793.72"/>
  </r>
  <r>
    <x v="9"/>
    <x v="52"/>
    <x v="9"/>
    <n v="-1290"/>
  </r>
  <r>
    <x v="9"/>
    <x v="52"/>
    <x v="1"/>
    <n v="-10558.42"/>
  </r>
  <r>
    <x v="9"/>
    <x v="52"/>
    <x v="3"/>
    <n v="-2243.12"/>
  </r>
  <r>
    <x v="9"/>
    <x v="53"/>
    <x v="15"/>
    <n v="-4022.31"/>
  </r>
  <r>
    <x v="9"/>
    <x v="53"/>
    <x v="9"/>
    <n v="-2176.7600000000002"/>
  </r>
  <r>
    <x v="9"/>
    <x v="53"/>
    <x v="1"/>
    <n v="-8527.16"/>
  </r>
  <r>
    <x v="9"/>
    <x v="53"/>
    <x v="3"/>
    <n v="-1541.59"/>
  </r>
  <r>
    <x v="9"/>
    <x v="54"/>
    <x v="15"/>
    <n v="-3494.46"/>
  </r>
  <r>
    <x v="9"/>
    <x v="54"/>
    <x v="9"/>
    <n v="-2123.38"/>
  </r>
  <r>
    <x v="9"/>
    <x v="54"/>
    <x v="1"/>
    <n v="-8497.4599999999991"/>
  </r>
  <r>
    <x v="9"/>
    <x v="54"/>
    <x v="3"/>
    <n v="-1614.41"/>
  </r>
  <r>
    <x v="9"/>
    <x v="55"/>
    <x v="15"/>
    <n v="-3452.43"/>
  </r>
  <r>
    <x v="9"/>
    <x v="55"/>
    <x v="9"/>
    <n v="-2402.9299999999998"/>
  </r>
  <r>
    <x v="9"/>
    <x v="55"/>
    <x v="1"/>
    <n v="-8158.53"/>
  </r>
  <r>
    <x v="9"/>
    <x v="55"/>
    <x v="3"/>
    <n v="-1627.4"/>
  </r>
  <r>
    <x v="9"/>
    <x v="56"/>
    <x v="15"/>
    <n v="-4438.5200000000004"/>
  </r>
  <r>
    <x v="9"/>
    <x v="56"/>
    <x v="9"/>
    <n v="-3847.63"/>
  </r>
  <r>
    <x v="9"/>
    <x v="56"/>
    <x v="1"/>
    <n v="-8202.09"/>
  </r>
  <r>
    <x v="9"/>
    <x v="56"/>
    <x v="3"/>
    <n v="-1943.59"/>
  </r>
  <r>
    <x v="9"/>
    <x v="57"/>
    <x v="15"/>
    <n v="-4605.46"/>
  </r>
  <r>
    <x v="9"/>
    <x v="57"/>
    <x v="9"/>
    <n v="-4506.04"/>
  </r>
  <r>
    <x v="9"/>
    <x v="57"/>
    <x v="1"/>
    <n v="-8358.84"/>
  </r>
  <r>
    <x v="9"/>
    <x v="57"/>
    <x v="3"/>
    <n v="-2565.87"/>
  </r>
  <r>
    <x v="9"/>
    <x v="58"/>
    <x v="15"/>
    <n v="-3472.45"/>
  </r>
  <r>
    <x v="9"/>
    <x v="58"/>
    <x v="9"/>
    <n v="-6685.7"/>
  </r>
  <r>
    <x v="9"/>
    <x v="58"/>
    <x v="1"/>
    <n v="-8759.9699999999993"/>
  </r>
  <r>
    <x v="9"/>
    <x v="58"/>
    <x v="3"/>
    <n v="-2092.1799999999998"/>
  </r>
  <r>
    <x v="9"/>
    <x v="59"/>
    <x v="15"/>
    <n v="-4075.99"/>
  </r>
  <r>
    <x v="9"/>
    <x v="59"/>
    <x v="9"/>
    <n v="-4969.6000000000004"/>
  </r>
  <r>
    <x v="9"/>
    <x v="59"/>
    <x v="1"/>
    <n v="-8768.98"/>
  </r>
  <r>
    <x v="9"/>
    <x v="59"/>
    <x v="3"/>
    <n v="-2349.4499999999998"/>
  </r>
  <r>
    <x v="9"/>
    <x v="60"/>
    <x v="15"/>
    <n v="-4427.66"/>
  </r>
  <r>
    <x v="9"/>
    <x v="60"/>
    <x v="9"/>
    <n v="-5634.22"/>
  </r>
  <r>
    <x v="9"/>
    <x v="60"/>
    <x v="1"/>
    <n v="-8503.35"/>
  </r>
  <r>
    <x v="9"/>
    <x v="60"/>
    <x v="3"/>
    <n v="-1874.09"/>
  </r>
  <r>
    <x v="9"/>
    <x v="25"/>
    <x v="15"/>
    <n v="-5559.33"/>
  </r>
  <r>
    <x v="9"/>
    <x v="25"/>
    <x v="9"/>
    <n v="-11933.37"/>
  </r>
  <r>
    <x v="9"/>
    <x v="25"/>
    <x v="1"/>
    <n v="-7814.92"/>
  </r>
  <r>
    <x v="9"/>
    <x v="25"/>
    <x v="3"/>
    <n v="-2086.6799999999998"/>
  </r>
  <r>
    <x v="9"/>
    <x v="26"/>
    <x v="15"/>
    <n v="-5392.61"/>
  </r>
  <r>
    <x v="9"/>
    <x v="26"/>
    <x v="9"/>
    <n v="-11338.91"/>
  </r>
  <r>
    <x v="9"/>
    <x v="26"/>
    <x v="1"/>
    <n v="-7743.7"/>
  </r>
  <r>
    <x v="9"/>
    <x v="26"/>
    <x v="3"/>
    <n v="-2027.31"/>
  </r>
  <r>
    <x v="9"/>
    <x v="27"/>
    <x v="15"/>
    <n v="-6198.45"/>
  </r>
  <r>
    <x v="9"/>
    <x v="27"/>
    <x v="9"/>
    <n v="-11167.37"/>
  </r>
  <r>
    <x v="9"/>
    <x v="27"/>
    <x v="1"/>
    <n v="-8439.82"/>
  </r>
  <r>
    <x v="9"/>
    <x v="27"/>
    <x v="3"/>
    <n v="-2885.68"/>
  </r>
  <r>
    <x v="9"/>
    <x v="0"/>
    <x v="15"/>
    <n v="-5489.61"/>
  </r>
  <r>
    <x v="9"/>
    <x v="0"/>
    <x v="9"/>
    <n v="-15555.95"/>
  </r>
  <r>
    <x v="9"/>
    <x v="0"/>
    <x v="1"/>
    <n v="-8437.9599999999991"/>
  </r>
  <r>
    <x v="9"/>
    <x v="0"/>
    <x v="3"/>
    <n v="-2101.0300000000002"/>
  </r>
  <r>
    <x v="9"/>
    <x v="1"/>
    <x v="15"/>
    <n v="-6025.75"/>
  </r>
  <r>
    <x v="9"/>
    <x v="1"/>
    <x v="9"/>
    <n v="-14453.13"/>
  </r>
  <r>
    <x v="9"/>
    <x v="1"/>
    <x v="1"/>
    <n v="-8429.81"/>
  </r>
  <r>
    <x v="9"/>
    <x v="1"/>
    <x v="3"/>
    <n v="-2880.06"/>
  </r>
  <r>
    <x v="9"/>
    <x v="2"/>
    <x v="15"/>
    <n v="-6085.09"/>
  </r>
  <r>
    <x v="9"/>
    <x v="2"/>
    <x v="9"/>
    <n v="-16177.95"/>
  </r>
  <r>
    <x v="9"/>
    <x v="2"/>
    <x v="1"/>
    <n v="-8556.67"/>
  </r>
  <r>
    <x v="9"/>
    <x v="2"/>
    <x v="3"/>
    <n v="-2924.89"/>
  </r>
  <r>
    <x v="9"/>
    <x v="3"/>
    <x v="15"/>
    <n v="-6160.11"/>
  </r>
  <r>
    <x v="9"/>
    <x v="3"/>
    <x v="9"/>
    <n v="-16689.009999999998"/>
  </r>
  <r>
    <x v="9"/>
    <x v="3"/>
    <x v="1"/>
    <n v="-10544.89"/>
  </r>
  <r>
    <x v="9"/>
    <x v="3"/>
    <x v="3"/>
    <n v="-2278.5300000000002"/>
  </r>
  <r>
    <x v="9"/>
    <x v="4"/>
    <x v="15"/>
    <n v="-5254.01"/>
  </r>
  <r>
    <x v="9"/>
    <x v="4"/>
    <x v="9"/>
    <n v="-12894.04"/>
  </r>
  <r>
    <x v="9"/>
    <x v="4"/>
    <x v="1"/>
    <n v="-8336.73"/>
  </r>
  <r>
    <x v="9"/>
    <x v="4"/>
    <x v="3"/>
    <n v="-1916.37"/>
  </r>
  <r>
    <x v="9"/>
    <x v="5"/>
    <x v="15"/>
    <n v="-5047.03"/>
  </r>
  <r>
    <x v="9"/>
    <x v="5"/>
    <x v="9"/>
    <n v="-12539.14"/>
  </r>
  <r>
    <x v="9"/>
    <x v="5"/>
    <x v="1"/>
    <n v="-8539.23"/>
  </r>
  <r>
    <x v="9"/>
    <x v="5"/>
    <x v="3"/>
    <n v="-2086.38"/>
  </r>
  <r>
    <x v="9"/>
    <x v="6"/>
    <x v="15"/>
    <n v="-5247.19"/>
  </r>
  <r>
    <x v="9"/>
    <x v="6"/>
    <x v="9"/>
    <n v="-6304.43"/>
  </r>
  <r>
    <x v="9"/>
    <x v="7"/>
    <x v="15"/>
    <n v="-5402.97"/>
  </r>
  <r>
    <x v="9"/>
    <x v="7"/>
    <x v="9"/>
    <n v="-12994.52"/>
  </r>
  <r>
    <x v="9"/>
    <x v="7"/>
    <x v="1"/>
    <n v="-7414.53"/>
  </r>
  <r>
    <x v="9"/>
    <x v="7"/>
    <x v="3"/>
    <n v="-3496.26"/>
  </r>
  <r>
    <x v="9"/>
    <x v="8"/>
    <x v="15"/>
    <n v="-5879.12"/>
  </r>
  <r>
    <x v="9"/>
    <x v="8"/>
    <x v="9"/>
    <n v="-16818.509999999998"/>
  </r>
  <r>
    <x v="9"/>
    <x v="8"/>
    <x v="1"/>
    <n v="-8967.68"/>
  </r>
  <r>
    <x v="9"/>
    <x v="8"/>
    <x v="3"/>
    <n v="-3798.06"/>
  </r>
  <r>
    <x v="9"/>
    <x v="9"/>
    <x v="15"/>
    <n v="-6339.15"/>
  </r>
  <r>
    <x v="9"/>
    <x v="9"/>
    <x v="9"/>
    <n v="-15706.83"/>
  </r>
  <r>
    <x v="9"/>
    <x v="9"/>
    <x v="1"/>
    <n v="-6895.02"/>
  </r>
  <r>
    <x v="9"/>
    <x v="9"/>
    <x v="3"/>
    <n v="-6710.9"/>
  </r>
  <r>
    <x v="9"/>
    <x v="10"/>
    <x v="15"/>
    <n v="-4984.3599999999997"/>
  </r>
  <r>
    <x v="9"/>
    <x v="10"/>
    <x v="9"/>
    <n v="-13964.5"/>
  </r>
  <r>
    <x v="9"/>
    <x v="10"/>
    <x v="1"/>
    <n v="-12300.77"/>
  </r>
  <r>
    <x v="9"/>
    <x v="10"/>
    <x v="3"/>
    <n v="-15154.68"/>
  </r>
  <r>
    <x v="9"/>
    <x v="11"/>
    <x v="15"/>
    <n v="-6316.33"/>
  </r>
  <r>
    <x v="9"/>
    <x v="11"/>
    <x v="9"/>
    <n v="-18933.810000000001"/>
  </r>
  <r>
    <x v="9"/>
    <x v="11"/>
    <x v="1"/>
    <n v="-14118.84"/>
  </r>
  <r>
    <x v="9"/>
    <x v="11"/>
    <x v="3"/>
    <n v="-24042.880000000001"/>
  </r>
  <r>
    <x v="9"/>
    <x v="12"/>
    <x v="15"/>
    <n v="-9724.2900000000009"/>
  </r>
  <r>
    <x v="9"/>
    <x v="12"/>
    <x v="9"/>
    <n v="-24097.49"/>
  </r>
  <r>
    <x v="9"/>
    <x v="12"/>
    <x v="1"/>
    <n v="-33583.24"/>
  </r>
  <r>
    <x v="9"/>
    <x v="12"/>
    <x v="3"/>
    <n v="-25413.68"/>
  </r>
  <r>
    <x v="9"/>
    <x v="13"/>
    <x v="15"/>
    <n v="-11873.98"/>
  </r>
  <r>
    <x v="9"/>
    <x v="13"/>
    <x v="9"/>
    <n v="-21837.13"/>
  </r>
  <r>
    <x v="9"/>
    <x v="13"/>
    <x v="1"/>
    <n v="-29907.41"/>
  </r>
  <r>
    <x v="9"/>
    <x v="13"/>
    <x v="3"/>
    <n v="-28087.9"/>
  </r>
  <r>
    <x v="9"/>
    <x v="14"/>
    <x v="15"/>
    <n v="-12270.67"/>
  </r>
  <r>
    <x v="9"/>
    <x v="14"/>
    <x v="9"/>
    <n v="-20506.12"/>
  </r>
  <r>
    <x v="9"/>
    <x v="14"/>
    <x v="1"/>
    <n v="-32320.59"/>
  </r>
  <r>
    <x v="9"/>
    <x v="14"/>
    <x v="3"/>
    <n v="-17072.18"/>
  </r>
  <r>
    <x v="9"/>
    <x v="15"/>
    <x v="15"/>
    <n v="-10941.82"/>
  </r>
  <r>
    <x v="9"/>
    <x v="15"/>
    <x v="9"/>
    <n v="-15896.02"/>
  </r>
  <r>
    <x v="9"/>
    <x v="15"/>
    <x v="1"/>
    <n v="-23210.58"/>
  </r>
  <r>
    <x v="9"/>
    <x v="15"/>
    <x v="3"/>
    <n v="-13548.63"/>
  </r>
  <r>
    <x v="9"/>
    <x v="16"/>
    <x v="15"/>
    <n v="-9811.7900000000009"/>
  </r>
  <r>
    <x v="9"/>
    <x v="16"/>
    <x v="9"/>
    <n v="-19458.59"/>
  </r>
  <r>
    <x v="9"/>
    <x v="16"/>
    <x v="1"/>
    <n v="-30751.65"/>
  </r>
  <r>
    <x v="9"/>
    <x v="16"/>
    <x v="3"/>
    <n v="-19389.05"/>
  </r>
  <r>
    <x v="9"/>
    <x v="17"/>
    <x v="15"/>
    <n v="-9702.9"/>
  </r>
  <r>
    <x v="9"/>
    <x v="17"/>
    <x v="9"/>
    <n v="-22764.74"/>
  </r>
  <r>
    <x v="9"/>
    <x v="17"/>
    <x v="1"/>
    <n v="-31196.560000000001"/>
  </r>
  <r>
    <x v="9"/>
    <x v="17"/>
    <x v="3"/>
    <n v="-40836.82"/>
  </r>
  <r>
    <x v="9"/>
    <x v="18"/>
    <x v="15"/>
    <n v="-13804.46"/>
  </r>
  <r>
    <x v="9"/>
    <x v="18"/>
    <x v="9"/>
    <n v="-21636.59"/>
  </r>
  <r>
    <x v="9"/>
    <x v="18"/>
    <x v="1"/>
    <n v="-28385.7"/>
  </r>
  <r>
    <x v="9"/>
    <x v="18"/>
    <x v="3"/>
    <n v="-52031.78"/>
  </r>
  <r>
    <x v="9"/>
    <x v="19"/>
    <x v="15"/>
    <n v="-10554.49"/>
  </r>
  <r>
    <x v="9"/>
    <x v="19"/>
    <x v="9"/>
    <n v="-12378.66"/>
  </r>
  <r>
    <x v="9"/>
    <x v="19"/>
    <x v="1"/>
    <n v="-5006.2"/>
  </r>
  <r>
    <x v="9"/>
    <x v="19"/>
    <x v="3"/>
    <n v="-59567.72"/>
  </r>
  <r>
    <x v="9"/>
    <x v="20"/>
    <x v="15"/>
    <n v="-13398.8"/>
  </r>
  <r>
    <x v="9"/>
    <x v="20"/>
    <x v="9"/>
    <n v="-16744.740000000002"/>
  </r>
  <r>
    <x v="9"/>
    <x v="20"/>
    <x v="1"/>
    <n v="-6321.08"/>
  </r>
  <r>
    <x v="9"/>
    <x v="20"/>
    <x v="3"/>
    <n v="-67143.350000000006"/>
  </r>
  <r>
    <x v="9"/>
    <x v="21"/>
    <x v="15"/>
    <n v="-19381.55"/>
  </r>
  <r>
    <x v="9"/>
    <x v="21"/>
    <x v="9"/>
    <n v="-14341.42"/>
  </r>
  <r>
    <x v="9"/>
    <x v="21"/>
    <x v="1"/>
    <n v="-7983.23"/>
  </r>
  <r>
    <x v="9"/>
    <x v="21"/>
    <x v="3"/>
    <n v="-70982.600000000006"/>
  </r>
  <r>
    <x v="9"/>
    <x v="22"/>
    <x v="15"/>
    <n v="-26329.26"/>
  </r>
  <r>
    <x v="9"/>
    <x v="22"/>
    <x v="9"/>
    <n v="-18144.3"/>
  </r>
  <r>
    <x v="9"/>
    <x v="22"/>
    <x v="1"/>
    <n v="-13551.64"/>
  </r>
  <r>
    <x v="9"/>
    <x v="22"/>
    <x v="3"/>
    <n v="-84247.039999999994"/>
  </r>
  <r>
    <x v="9"/>
    <x v="23"/>
    <x v="15"/>
    <n v="-28393.68"/>
  </r>
  <r>
    <x v="9"/>
    <x v="23"/>
    <x v="9"/>
    <n v="-15992.56"/>
  </r>
  <r>
    <x v="9"/>
    <x v="23"/>
    <x v="1"/>
    <n v="-13184.72"/>
  </r>
  <r>
    <x v="9"/>
    <x v="23"/>
    <x v="3"/>
    <n v="-71365.22"/>
  </r>
  <r>
    <x v="9"/>
    <x v="24"/>
    <x v="15"/>
    <n v="-30677.83"/>
  </r>
  <r>
    <x v="9"/>
    <x v="24"/>
    <x v="9"/>
    <n v="-13631.35"/>
  </r>
  <r>
    <x v="10"/>
    <x v="47"/>
    <x v="15"/>
    <n v="-114.3"/>
  </r>
  <r>
    <x v="10"/>
    <x v="47"/>
    <x v="14"/>
    <n v="-189.15"/>
  </r>
  <r>
    <x v="10"/>
    <x v="47"/>
    <x v="9"/>
    <n v="-29.9"/>
  </r>
  <r>
    <x v="10"/>
    <x v="48"/>
    <x v="15"/>
    <n v="-470.12"/>
  </r>
  <r>
    <x v="10"/>
    <x v="48"/>
    <x v="14"/>
    <n v="-1457.15"/>
  </r>
  <r>
    <x v="10"/>
    <x v="48"/>
    <x v="9"/>
    <n v="-266.76"/>
  </r>
  <r>
    <x v="10"/>
    <x v="49"/>
    <x v="15"/>
    <n v="-585.73"/>
  </r>
  <r>
    <x v="10"/>
    <x v="49"/>
    <x v="14"/>
    <n v="-1620.75"/>
  </r>
  <r>
    <x v="10"/>
    <x v="49"/>
    <x v="9"/>
    <n v="-345.04"/>
  </r>
  <r>
    <x v="10"/>
    <x v="50"/>
    <x v="15"/>
    <n v="-2068.84"/>
  </r>
  <r>
    <x v="10"/>
    <x v="50"/>
    <x v="14"/>
    <n v="-1192.92"/>
  </r>
  <r>
    <x v="10"/>
    <x v="50"/>
    <x v="9"/>
    <n v="-647.79"/>
  </r>
  <r>
    <x v="10"/>
    <x v="51"/>
    <x v="15"/>
    <n v="-2641.74"/>
  </r>
  <r>
    <x v="10"/>
    <x v="51"/>
    <x v="14"/>
    <n v="-2248.0700000000002"/>
  </r>
  <r>
    <x v="10"/>
    <x v="51"/>
    <x v="9"/>
    <n v="-676.47"/>
  </r>
  <r>
    <x v="10"/>
    <x v="52"/>
    <x v="15"/>
    <n v="-4413.76"/>
  </r>
  <r>
    <x v="10"/>
    <x v="52"/>
    <x v="14"/>
    <n v="-1696.82"/>
  </r>
  <r>
    <x v="10"/>
    <x v="52"/>
    <x v="9"/>
    <n v="-548.94000000000005"/>
  </r>
  <r>
    <x v="10"/>
    <x v="53"/>
    <x v="15"/>
    <n v="-3682.73"/>
  </r>
  <r>
    <x v="10"/>
    <x v="53"/>
    <x v="14"/>
    <n v="-1700.27"/>
  </r>
  <r>
    <x v="10"/>
    <x v="53"/>
    <x v="9"/>
    <n v="-1089.72"/>
  </r>
  <r>
    <x v="10"/>
    <x v="54"/>
    <x v="15"/>
    <n v="-3196.48"/>
  </r>
  <r>
    <x v="10"/>
    <x v="54"/>
    <x v="14"/>
    <n v="-1756.54"/>
  </r>
  <r>
    <x v="10"/>
    <x v="54"/>
    <x v="9"/>
    <n v="-1061.93"/>
  </r>
  <r>
    <x v="10"/>
    <x v="55"/>
    <x v="15"/>
    <n v="-3180.46"/>
  </r>
  <r>
    <x v="10"/>
    <x v="55"/>
    <x v="14"/>
    <n v="-1728.47"/>
  </r>
  <r>
    <x v="10"/>
    <x v="55"/>
    <x v="9"/>
    <n v="-1201.6400000000001"/>
  </r>
  <r>
    <x v="10"/>
    <x v="56"/>
    <x v="15"/>
    <n v="-4165.2700000000004"/>
  </r>
  <r>
    <x v="10"/>
    <x v="56"/>
    <x v="14"/>
    <n v="-1904.65"/>
  </r>
  <r>
    <x v="10"/>
    <x v="56"/>
    <x v="9"/>
    <n v="-1924.02"/>
  </r>
  <r>
    <x v="10"/>
    <x v="57"/>
    <x v="15"/>
    <n v="-4343.34"/>
  </r>
  <r>
    <x v="10"/>
    <x v="57"/>
    <x v="14"/>
    <n v="-1955.88"/>
  </r>
  <r>
    <x v="10"/>
    <x v="57"/>
    <x v="9"/>
    <n v="-2253.1799999999998"/>
  </r>
  <r>
    <x v="10"/>
    <x v="58"/>
    <x v="15"/>
    <n v="-3262.77"/>
  </r>
  <r>
    <x v="10"/>
    <x v="58"/>
    <x v="14"/>
    <n v="-2206.23"/>
  </r>
  <r>
    <x v="10"/>
    <x v="58"/>
    <x v="9"/>
    <n v="-3342.86"/>
  </r>
  <r>
    <x v="10"/>
    <x v="59"/>
    <x v="15"/>
    <n v="-3741.26"/>
  </r>
  <r>
    <x v="10"/>
    <x v="59"/>
    <x v="14"/>
    <n v="-2247.12"/>
  </r>
  <r>
    <x v="10"/>
    <x v="59"/>
    <x v="9"/>
    <n v="-2484.84"/>
  </r>
  <r>
    <x v="10"/>
    <x v="60"/>
    <x v="15"/>
    <n v="-4057.4"/>
  </r>
  <r>
    <x v="10"/>
    <x v="60"/>
    <x v="14"/>
    <n v="-2123.35"/>
  </r>
  <r>
    <x v="10"/>
    <x v="60"/>
    <x v="9"/>
    <n v="-2817.19"/>
  </r>
  <r>
    <x v="10"/>
    <x v="25"/>
    <x v="15"/>
    <n v="-5129.99"/>
  </r>
  <r>
    <x v="10"/>
    <x v="25"/>
    <x v="14"/>
    <n v="-2384.37"/>
  </r>
  <r>
    <x v="10"/>
    <x v="25"/>
    <x v="9"/>
    <n v="-5966.86"/>
  </r>
  <r>
    <x v="10"/>
    <x v="26"/>
    <x v="15"/>
    <n v="-4971.62"/>
  </r>
  <r>
    <x v="10"/>
    <x v="26"/>
    <x v="14"/>
    <n v="-3506.08"/>
  </r>
  <r>
    <x v="10"/>
    <x v="26"/>
    <x v="9"/>
    <n v="-5669.64"/>
  </r>
  <r>
    <x v="10"/>
    <x v="27"/>
    <x v="15"/>
    <n v="-5742.31"/>
  </r>
  <r>
    <x v="10"/>
    <x v="27"/>
    <x v="14"/>
    <n v="-3909.66"/>
  </r>
  <r>
    <x v="10"/>
    <x v="27"/>
    <x v="9"/>
    <n v="-5583.66"/>
  </r>
  <r>
    <x v="10"/>
    <x v="0"/>
    <x v="15"/>
    <n v="-5046.8100000000004"/>
  </r>
  <r>
    <x v="10"/>
    <x v="0"/>
    <x v="14"/>
    <n v="-5309.57"/>
  </r>
  <r>
    <x v="10"/>
    <x v="0"/>
    <x v="9"/>
    <n v="-7777.99"/>
  </r>
  <r>
    <x v="10"/>
    <x v="1"/>
    <x v="15"/>
    <n v="-5583.5"/>
  </r>
  <r>
    <x v="10"/>
    <x v="1"/>
    <x v="14"/>
    <n v="-3612.34"/>
  </r>
  <r>
    <x v="10"/>
    <x v="1"/>
    <x v="9"/>
    <n v="-7226.42"/>
  </r>
  <r>
    <x v="10"/>
    <x v="2"/>
    <x v="15"/>
    <n v="-5640.56"/>
  </r>
  <r>
    <x v="10"/>
    <x v="2"/>
    <x v="14"/>
    <n v="-3882.38"/>
  </r>
  <r>
    <x v="10"/>
    <x v="2"/>
    <x v="9"/>
    <n v="-8054.11"/>
  </r>
  <r>
    <x v="10"/>
    <x v="3"/>
    <x v="15"/>
    <n v="-5712.47"/>
  </r>
  <r>
    <x v="10"/>
    <x v="3"/>
    <x v="14"/>
    <n v="-3597.32"/>
  </r>
  <r>
    <x v="10"/>
    <x v="3"/>
    <x v="9"/>
    <n v="-8341.7999999999993"/>
  </r>
  <r>
    <x v="10"/>
    <x v="4"/>
    <x v="15"/>
    <n v="-4742.74"/>
  </r>
  <r>
    <x v="10"/>
    <x v="4"/>
    <x v="14"/>
    <n v="-3438.85"/>
  </r>
  <r>
    <x v="10"/>
    <x v="4"/>
    <x v="9"/>
    <n v="-6446.65"/>
  </r>
  <r>
    <x v="10"/>
    <x v="5"/>
    <x v="15"/>
    <n v="-4512.66"/>
  </r>
  <r>
    <x v="10"/>
    <x v="5"/>
    <x v="14"/>
    <n v="-3347.76"/>
  </r>
  <r>
    <x v="10"/>
    <x v="5"/>
    <x v="9"/>
    <n v="-6269.18"/>
  </r>
  <r>
    <x v="10"/>
    <x v="6"/>
    <x v="15"/>
    <n v="-3812.81"/>
  </r>
  <r>
    <x v="10"/>
    <x v="7"/>
    <x v="15"/>
    <n v="-4892.62"/>
  </r>
  <r>
    <x v="10"/>
    <x v="7"/>
    <x v="14"/>
    <n v="-4132.3500000000004"/>
  </r>
  <r>
    <x v="10"/>
    <x v="7"/>
    <x v="9"/>
    <n v="-6496.88"/>
  </r>
  <r>
    <x v="10"/>
    <x v="8"/>
    <x v="15"/>
    <n v="-5363"/>
  </r>
  <r>
    <x v="10"/>
    <x v="8"/>
    <x v="14"/>
    <n v="-5186.9399999999996"/>
  </r>
  <r>
    <x v="10"/>
    <x v="8"/>
    <x v="9"/>
    <n v="-8409.2999999999993"/>
  </r>
  <r>
    <x v="10"/>
    <x v="9"/>
    <x v="15"/>
    <n v="-5828.74"/>
  </r>
  <r>
    <x v="10"/>
    <x v="9"/>
    <x v="14"/>
    <n v="-7055.61"/>
  </r>
  <r>
    <x v="10"/>
    <x v="9"/>
    <x v="9"/>
    <n v="-7852.95"/>
  </r>
  <r>
    <x v="10"/>
    <x v="10"/>
    <x v="15"/>
    <n v="-4725.6899999999996"/>
  </r>
  <r>
    <x v="10"/>
    <x v="10"/>
    <x v="14"/>
    <n v="-7519.32"/>
  </r>
  <r>
    <x v="10"/>
    <x v="10"/>
    <x v="9"/>
    <n v="-6981.79"/>
  </r>
  <r>
    <x v="10"/>
    <x v="11"/>
    <x v="15"/>
    <n v="-6138.12"/>
  </r>
  <r>
    <x v="10"/>
    <x v="11"/>
    <x v="14"/>
    <n v="-14581.65"/>
  </r>
  <r>
    <x v="10"/>
    <x v="11"/>
    <x v="9"/>
    <n v="-9531.52"/>
  </r>
  <r>
    <x v="10"/>
    <x v="12"/>
    <x v="15"/>
    <n v="-10075.540000000001"/>
  </r>
  <r>
    <x v="10"/>
    <x v="12"/>
    <x v="14"/>
    <n v="-11129.13"/>
  </r>
  <r>
    <x v="10"/>
    <x v="12"/>
    <x v="9"/>
    <n v="-11975.48"/>
  </r>
  <r>
    <x v="10"/>
    <x v="13"/>
    <x v="15"/>
    <n v="-12848.34"/>
  </r>
  <r>
    <x v="10"/>
    <x v="13"/>
    <x v="14"/>
    <n v="-10482.370000000001"/>
  </r>
  <r>
    <x v="10"/>
    <x v="13"/>
    <x v="9"/>
    <n v="-10896.2"/>
  </r>
  <r>
    <x v="10"/>
    <x v="14"/>
    <x v="15"/>
    <n v="-12495.78"/>
  </r>
  <r>
    <x v="10"/>
    <x v="14"/>
    <x v="14"/>
    <n v="-8892.2099999999991"/>
  </r>
  <r>
    <x v="10"/>
    <x v="14"/>
    <x v="9"/>
    <n v="-10393.06"/>
  </r>
  <r>
    <x v="10"/>
    <x v="15"/>
    <x v="15"/>
    <n v="-10604.5"/>
  </r>
  <r>
    <x v="10"/>
    <x v="15"/>
    <x v="14"/>
    <n v="-8537.57"/>
  </r>
  <r>
    <x v="10"/>
    <x v="15"/>
    <x v="9"/>
    <n v="-8523.1200000000008"/>
  </r>
  <r>
    <x v="10"/>
    <x v="16"/>
    <x v="15"/>
    <n v="-9598.75"/>
  </r>
  <r>
    <x v="10"/>
    <x v="16"/>
    <x v="14"/>
    <n v="-8770.41"/>
  </r>
  <r>
    <x v="10"/>
    <x v="16"/>
    <x v="9"/>
    <n v="-9966.91"/>
  </r>
  <r>
    <x v="10"/>
    <x v="17"/>
    <x v="15"/>
    <n v="-9536.4599999999991"/>
  </r>
  <r>
    <x v="10"/>
    <x v="17"/>
    <x v="14"/>
    <n v="-15200.03"/>
  </r>
  <r>
    <x v="10"/>
    <x v="17"/>
    <x v="9"/>
    <n v="-11559.78"/>
  </r>
  <r>
    <x v="10"/>
    <x v="18"/>
    <x v="15"/>
    <n v="-13733.62"/>
  </r>
  <r>
    <x v="10"/>
    <x v="18"/>
    <x v="14"/>
    <n v="-19828.46"/>
  </r>
  <r>
    <x v="10"/>
    <x v="18"/>
    <x v="9"/>
    <n v="-10994.7"/>
  </r>
  <r>
    <x v="10"/>
    <x v="19"/>
    <x v="15"/>
    <n v="-10223.75"/>
  </r>
  <r>
    <x v="10"/>
    <x v="19"/>
    <x v="14"/>
    <n v="-25648.99"/>
  </r>
  <r>
    <x v="10"/>
    <x v="19"/>
    <x v="9"/>
    <n v="-6630.07"/>
  </r>
  <r>
    <x v="10"/>
    <x v="20"/>
    <x v="15"/>
    <n v="-12582.76"/>
  </r>
  <r>
    <x v="10"/>
    <x v="20"/>
    <x v="14"/>
    <n v="-31503.81"/>
  </r>
  <r>
    <x v="10"/>
    <x v="20"/>
    <x v="9"/>
    <n v="-8601.09"/>
  </r>
  <r>
    <x v="10"/>
    <x v="21"/>
    <x v="15"/>
    <n v="-17628.16"/>
  </r>
  <r>
    <x v="10"/>
    <x v="21"/>
    <x v="14"/>
    <n v="-28406.71"/>
  </r>
  <r>
    <x v="10"/>
    <x v="21"/>
    <x v="9"/>
    <n v="-7543.07"/>
  </r>
  <r>
    <x v="10"/>
    <x v="22"/>
    <x v="15"/>
    <n v="-19980.79"/>
  </r>
  <r>
    <x v="10"/>
    <x v="22"/>
    <x v="14"/>
    <n v="-25038.86"/>
  </r>
  <r>
    <x v="10"/>
    <x v="22"/>
    <x v="9"/>
    <n v="-9262.9"/>
  </r>
  <r>
    <x v="10"/>
    <x v="23"/>
    <x v="15"/>
    <n v="-15586.93"/>
  </r>
  <r>
    <x v="10"/>
    <x v="23"/>
    <x v="14"/>
    <n v="-11564.46"/>
  </r>
  <r>
    <x v="10"/>
    <x v="23"/>
    <x v="9"/>
    <n v="-8294.9599999999991"/>
  </r>
  <r>
    <x v="10"/>
    <x v="24"/>
    <x v="15"/>
    <n v="-7447.34"/>
  </r>
  <r>
    <x v="11"/>
    <x v="47"/>
    <x v="14"/>
    <n v="-378.3"/>
  </r>
  <r>
    <x v="11"/>
    <x v="47"/>
    <x v="2"/>
    <n v="-97.88"/>
  </r>
  <r>
    <x v="11"/>
    <x v="47"/>
    <x v="1"/>
    <n v="-323"/>
  </r>
  <r>
    <x v="11"/>
    <x v="47"/>
    <x v="12"/>
    <n v="-92.7"/>
  </r>
  <r>
    <x v="11"/>
    <x v="48"/>
    <x v="14"/>
    <n v="-2914.39"/>
  </r>
  <r>
    <x v="11"/>
    <x v="48"/>
    <x v="2"/>
    <n v="-190.14"/>
  </r>
  <r>
    <x v="11"/>
    <x v="48"/>
    <x v="1"/>
    <n v="-1682.75"/>
  </r>
  <r>
    <x v="11"/>
    <x v="48"/>
    <x v="12"/>
    <n v="-425.27"/>
  </r>
  <r>
    <x v="11"/>
    <x v="49"/>
    <x v="14"/>
    <n v="-3242.08"/>
  </r>
  <r>
    <x v="11"/>
    <x v="49"/>
    <x v="2"/>
    <n v="-695.57"/>
  </r>
  <r>
    <x v="11"/>
    <x v="49"/>
    <x v="1"/>
    <n v="-4549.3100000000004"/>
  </r>
  <r>
    <x v="11"/>
    <x v="49"/>
    <x v="12"/>
    <n v="-839.61"/>
  </r>
  <r>
    <x v="11"/>
    <x v="50"/>
    <x v="14"/>
    <n v="-2385.98"/>
  </r>
  <r>
    <x v="11"/>
    <x v="50"/>
    <x v="2"/>
    <n v="-1038.26"/>
  </r>
  <r>
    <x v="11"/>
    <x v="50"/>
    <x v="1"/>
    <n v="-6667.95"/>
  </r>
  <r>
    <x v="11"/>
    <x v="50"/>
    <x v="12"/>
    <n v="-1251.21"/>
  </r>
  <r>
    <x v="11"/>
    <x v="51"/>
    <x v="14"/>
    <n v="-4495.59"/>
  </r>
  <r>
    <x v="11"/>
    <x v="51"/>
    <x v="2"/>
    <n v="-1579.62"/>
  </r>
  <r>
    <x v="11"/>
    <x v="51"/>
    <x v="1"/>
    <n v="-5789.94"/>
  </r>
  <r>
    <x v="11"/>
    <x v="51"/>
    <x v="12"/>
    <n v="-2191.6999999999998"/>
  </r>
  <r>
    <x v="11"/>
    <x v="52"/>
    <x v="14"/>
    <n v="-3393.5"/>
  </r>
  <r>
    <x v="11"/>
    <x v="52"/>
    <x v="2"/>
    <n v="-1095.08"/>
  </r>
  <r>
    <x v="11"/>
    <x v="52"/>
    <x v="1"/>
    <n v="-5925.96"/>
  </r>
  <r>
    <x v="11"/>
    <x v="52"/>
    <x v="12"/>
    <n v="-1880.4"/>
  </r>
  <r>
    <x v="11"/>
    <x v="54"/>
    <x v="14"/>
    <n v="-50.13"/>
  </r>
  <r>
    <x v="11"/>
    <x v="54"/>
    <x v="1"/>
    <n v="-33.950000000000003"/>
  </r>
  <r>
    <x v="11"/>
    <x v="54"/>
    <x v="12"/>
    <n v="-15.02"/>
  </r>
  <r>
    <x v="11"/>
    <x v="55"/>
    <x v="14"/>
    <n v="-509.78"/>
  </r>
  <r>
    <x v="11"/>
    <x v="55"/>
    <x v="2"/>
    <n v="-229.77"/>
  </r>
  <r>
    <x v="11"/>
    <x v="55"/>
    <x v="1"/>
    <n v="-1472.45"/>
  </r>
  <r>
    <x v="11"/>
    <x v="55"/>
    <x v="12"/>
    <n v="-283.08999999999997"/>
  </r>
  <r>
    <x v="11"/>
    <x v="56"/>
    <x v="14"/>
    <n v="-721.53"/>
  </r>
  <r>
    <x v="11"/>
    <x v="56"/>
    <x v="2"/>
    <n v="-1268.04"/>
  </r>
  <r>
    <x v="11"/>
    <x v="56"/>
    <x v="1"/>
    <n v="-1745.3"/>
  </r>
  <r>
    <x v="11"/>
    <x v="56"/>
    <x v="12"/>
    <n v="-1152.7"/>
  </r>
  <r>
    <x v="11"/>
    <x v="57"/>
    <x v="14"/>
    <n v="-757.43"/>
  </r>
  <r>
    <x v="11"/>
    <x v="57"/>
    <x v="2"/>
    <n v="-2115.9"/>
  </r>
  <r>
    <x v="11"/>
    <x v="57"/>
    <x v="1"/>
    <n v="-2190.81"/>
  </r>
  <r>
    <x v="11"/>
    <x v="57"/>
    <x v="12"/>
    <n v="-2187.0300000000002"/>
  </r>
  <r>
    <x v="11"/>
    <x v="58"/>
    <x v="14"/>
    <n v="-1014.83"/>
  </r>
  <r>
    <x v="11"/>
    <x v="58"/>
    <x v="2"/>
    <n v="-3148.7"/>
  </r>
  <r>
    <x v="11"/>
    <x v="58"/>
    <x v="1"/>
    <n v="-3050.25"/>
  </r>
  <r>
    <x v="11"/>
    <x v="58"/>
    <x v="12"/>
    <n v="-2843.72"/>
  </r>
  <r>
    <x v="11"/>
    <x v="59"/>
    <x v="14"/>
    <n v="-1048.5999999999999"/>
  </r>
  <r>
    <x v="11"/>
    <x v="59"/>
    <x v="2"/>
    <n v="-3074.98"/>
  </r>
  <r>
    <x v="11"/>
    <x v="59"/>
    <x v="1"/>
    <n v="-3128.44"/>
  </r>
  <r>
    <x v="11"/>
    <x v="59"/>
    <x v="12"/>
    <n v="-2823.81"/>
  </r>
  <r>
    <x v="11"/>
    <x v="60"/>
    <x v="14"/>
    <n v="-917.51"/>
  </r>
  <r>
    <x v="11"/>
    <x v="60"/>
    <x v="2"/>
    <n v="-3373.46"/>
  </r>
  <r>
    <x v="11"/>
    <x v="60"/>
    <x v="1"/>
    <n v="-4331.49"/>
  </r>
  <r>
    <x v="11"/>
    <x v="60"/>
    <x v="12"/>
    <n v="-2795.08"/>
  </r>
  <r>
    <x v="11"/>
    <x v="25"/>
    <x v="14"/>
    <n v="-1221.8900000000001"/>
  </r>
  <r>
    <x v="11"/>
    <x v="25"/>
    <x v="2"/>
    <n v="-5094.22"/>
  </r>
  <r>
    <x v="11"/>
    <x v="25"/>
    <x v="1"/>
    <n v="-4176.6400000000003"/>
  </r>
  <r>
    <x v="11"/>
    <x v="25"/>
    <x v="12"/>
    <n v="-3943.06"/>
  </r>
  <r>
    <x v="11"/>
    <x v="26"/>
    <x v="14"/>
    <n v="-2691.55"/>
  </r>
  <r>
    <x v="11"/>
    <x v="26"/>
    <x v="2"/>
    <n v="-3870.42"/>
  </r>
  <r>
    <x v="11"/>
    <x v="26"/>
    <x v="1"/>
    <n v="-4217.75"/>
  </r>
  <r>
    <x v="11"/>
    <x v="26"/>
    <x v="12"/>
    <n v="-2990.74"/>
  </r>
  <r>
    <x v="11"/>
    <x v="27"/>
    <x v="14"/>
    <n v="-3179.17"/>
  </r>
  <r>
    <x v="11"/>
    <x v="27"/>
    <x v="2"/>
    <n v="-3357.98"/>
  </r>
  <r>
    <x v="11"/>
    <x v="27"/>
    <x v="1"/>
    <n v="-5910.41"/>
  </r>
  <r>
    <x v="11"/>
    <x v="27"/>
    <x v="12"/>
    <n v="-2668.68"/>
  </r>
  <r>
    <x v="11"/>
    <x v="0"/>
    <x v="14"/>
    <n v="-5084.04"/>
  </r>
  <r>
    <x v="11"/>
    <x v="0"/>
    <x v="2"/>
    <n v="-3915.22"/>
  </r>
  <r>
    <x v="11"/>
    <x v="0"/>
    <x v="1"/>
    <n v="-4486.8900000000003"/>
  </r>
  <r>
    <x v="11"/>
    <x v="0"/>
    <x v="12"/>
    <n v="-2996.12"/>
  </r>
  <r>
    <x v="11"/>
    <x v="1"/>
    <x v="14"/>
    <n v="-3376.96"/>
  </r>
  <r>
    <x v="11"/>
    <x v="1"/>
    <x v="2"/>
    <n v="-3929.5"/>
  </r>
  <r>
    <x v="11"/>
    <x v="1"/>
    <x v="1"/>
    <n v="-5747.13"/>
  </r>
  <r>
    <x v="11"/>
    <x v="1"/>
    <x v="12"/>
    <n v="-2788.51"/>
  </r>
  <r>
    <x v="11"/>
    <x v="2"/>
    <x v="14"/>
    <n v="-3587.84"/>
  </r>
  <r>
    <x v="11"/>
    <x v="2"/>
    <x v="2"/>
    <n v="-5391.28"/>
  </r>
  <r>
    <x v="11"/>
    <x v="2"/>
    <x v="1"/>
    <n v="-4151.3900000000003"/>
  </r>
  <r>
    <x v="11"/>
    <x v="2"/>
    <x v="12"/>
    <n v="-3938.68"/>
  </r>
  <r>
    <x v="11"/>
    <x v="3"/>
    <x v="14"/>
    <n v="-3322.74"/>
  </r>
  <r>
    <x v="11"/>
    <x v="3"/>
    <x v="2"/>
    <n v="-7770.9"/>
  </r>
  <r>
    <x v="11"/>
    <x v="3"/>
    <x v="1"/>
    <n v="-4153.1400000000003"/>
  </r>
  <r>
    <x v="11"/>
    <x v="3"/>
    <x v="12"/>
    <n v="-5393.18"/>
  </r>
  <r>
    <x v="11"/>
    <x v="4"/>
    <x v="14"/>
    <n v="-3134.51"/>
  </r>
  <r>
    <x v="11"/>
    <x v="4"/>
    <x v="2"/>
    <n v="-7985.26"/>
  </r>
  <r>
    <x v="11"/>
    <x v="4"/>
    <x v="1"/>
    <n v="-3311.76"/>
  </r>
  <r>
    <x v="11"/>
    <x v="4"/>
    <x v="12"/>
    <n v="-6307.54"/>
  </r>
  <r>
    <x v="11"/>
    <x v="5"/>
    <x v="14"/>
    <n v="-3377.13"/>
  </r>
  <r>
    <x v="11"/>
    <x v="5"/>
    <x v="2"/>
    <n v="-8518.23"/>
  </r>
  <r>
    <x v="11"/>
    <x v="5"/>
    <x v="1"/>
    <n v="-4100.21"/>
  </r>
  <r>
    <x v="11"/>
    <x v="5"/>
    <x v="12"/>
    <n v="-5906.33"/>
  </r>
  <r>
    <x v="11"/>
    <x v="6"/>
    <x v="14"/>
    <n v="-2964.64"/>
  </r>
  <r>
    <x v="11"/>
    <x v="6"/>
    <x v="2"/>
    <n v="-8932.14"/>
  </r>
  <r>
    <x v="11"/>
    <x v="6"/>
    <x v="1"/>
    <n v="-4706.95"/>
  </r>
  <r>
    <x v="11"/>
    <x v="6"/>
    <x v="12"/>
    <n v="-5188.6899999999996"/>
  </r>
  <r>
    <x v="11"/>
    <x v="7"/>
    <x v="14"/>
    <n v="-3362.44"/>
  </r>
  <r>
    <x v="11"/>
    <x v="7"/>
    <x v="2"/>
    <n v="-14278.05"/>
  </r>
  <r>
    <x v="11"/>
    <x v="7"/>
    <x v="1"/>
    <n v="-4771.62"/>
  </r>
  <r>
    <x v="11"/>
    <x v="7"/>
    <x v="12"/>
    <n v="-8508.49"/>
  </r>
  <r>
    <x v="11"/>
    <x v="8"/>
    <x v="14"/>
    <n v="-4233.42"/>
  </r>
  <r>
    <x v="11"/>
    <x v="8"/>
    <x v="2"/>
    <n v="-18779.37"/>
  </r>
  <r>
    <x v="11"/>
    <x v="8"/>
    <x v="1"/>
    <n v="-4634.5"/>
  </r>
  <r>
    <x v="11"/>
    <x v="8"/>
    <x v="12"/>
    <n v="-10480.43"/>
  </r>
  <r>
    <x v="11"/>
    <x v="9"/>
    <x v="14"/>
    <n v="-6432.29"/>
  </r>
  <r>
    <x v="11"/>
    <x v="9"/>
    <x v="2"/>
    <n v="-28177.21"/>
  </r>
  <r>
    <x v="11"/>
    <x v="9"/>
    <x v="1"/>
    <n v="-5514.73"/>
  </r>
  <r>
    <x v="11"/>
    <x v="9"/>
    <x v="12"/>
    <n v="-16548.259999999998"/>
  </r>
  <r>
    <x v="11"/>
    <x v="10"/>
    <x v="14"/>
    <n v="-6946.54"/>
  </r>
  <r>
    <x v="11"/>
    <x v="10"/>
    <x v="2"/>
    <n v="-27575.14"/>
  </r>
  <r>
    <x v="11"/>
    <x v="10"/>
    <x v="1"/>
    <n v="-2905.17"/>
  </r>
  <r>
    <x v="11"/>
    <x v="10"/>
    <x v="12"/>
    <n v="-17731.55"/>
  </r>
  <r>
    <x v="11"/>
    <x v="11"/>
    <x v="14"/>
    <n v="-15824.11"/>
  </r>
  <r>
    <x v="11"/>
    <x v="11"/>
    <x v="2"/>
    <n v="-35195.14"/>
  </r>
  <r>
    <x v="11"/>
    <x v="11"/>
    <x v="1"/>
    <n v="-2756.04"/>
  </r>
  <r>
    <x v="11"/>
    <x v="11"/>
    <x v="12"/>
    <n v="-21607.71"/>
  </r>
  <r>
    <x v="11"/>
    <x v="12"/>
    <x v="14"/>
    <n v="-10960.77"/>
  </r>
  <r>
    <x v="11"/>
    <x v="12"/>
    <x v="2"/>
    <n v="-43668.92"/>
  </r>
  <r>
    <x v="11"/>
    <x v="12"/>
    <x v="1"/>
    <n v="-6305.98"/>
  </r>
  <r>
    <x v="11"/>
    <x v="12"/>
    <x v="12"/>
    <n v="-27315.82"/>
  </r>
  <r>
    <x v="11"/>
    <x v="13"/>
    <x v="14"/>
    <n v="-9508.2000000000007"/>
  </r>
  <r>
    <x v="11"/>
    <x v="13"/>
    <x v="2"/>
    <n v="-53652.62"/>
  </r>
  <r>
    <x v="11"/>
    <x v="13"/>
    <x v="1"/>
    <n v="-5708.75"/>
  </r>
  <r>
    <x v="11"/>
    <x v="13"/>
    <x v="12"/>
    <n v="-35988.239999999998"/>
  </r>
  <r>
    <x v="11"/>
    <x v="14"/>
    <x v="2"/>
    <n v="-46978.51"/>
  </r>
  <r>
    <x v="11"/>
    <x v="14"/>
    <x v="1"/>
    <n v="-7355.59"/>
  </r>
  <r>
    <x v="11"/>
    <x v="14"/>
    <x v="12"/>
    <n v="-29446.49"/>
  </r>
  <r>
    <x v="11"/>
    <x v="15"/>
    <x v="2"/>
    <n v="-39530.17"/>
  </r>
  <r>
    <x v="11"/>
    <x v="15"/>
    <x v="1"/>
    <n v="-6166.1"/>
  </r>
  <r>
    <x v="11"/>
    <x v="15"/>
    <x v="12"/>
    <n v="-24244.51"/>
  </r>
  <r>
    <x v="11"/>
    <x v="16"/>
    <x v="2"/>
    <n v="-45111.93"/>
  </r>
  <r>
    <x v="11"/>
    <x v="16"/>
    <x v="1"/>
    <n v="-8046.82"/>
  </r>
  <r>
    <x v="11"/>
    <x v="16"/>
    <x v="12"/>
    <n v="-27473.66"/>
  </r>
  <r>
    <x v="11"/>
    <x v="17"/>
    <x v="2"/>
    <n v="-54312.01"/>
  </r>
  <r>
    <x v="11"/>
    <x v="17"/>
    <x v="1"/>
    <n v="-8449.4"/>
  </r>
  <r>
    <x v="11"/>
    <x v="17"/>
    <x v="12"/>
    <n v="-33890.85"/>
  </r>
  <r>
    <x v="11"/>
    <x v="18"/>
    <x v="2"/>
    <n v="-46922.92"/>
  </r>
  <r>
    <x v="11"/>
    <x v="18"/>
    <x v="1"/>
    <n v="-7621.67"/>
  </r>
  <r>
    <x v="11"/>
    <x v="18"/>
    <x v="12"/>
    <n v="-35955.97"/>
  </r>
  <r>
    <x v="11"/>
    <x v="19"/>
    <x v="2"/>
    <n v="-43076.959999999999"/>
  </r>
  <r>
    <x v="11"/>
    <x v="19"/>
    <x v="1"/>
    <n v="-874.53"/>
  </r>
  <r>
    <x v="11"/>
    <x v="19"/>
    <x v="12"/>
    <n v="-31970.7"/>
  </r>
  <r>
    <x v="11"/>
    <x v="20"/>
    <x v="2"/>
    <n v="-50510.27"/>
  </r>
  <r>
    <x v="11"/>
    <x v="20"/>
    <x v="1"/>
    <n v="-1045.1400000000001"/>
  </r>
  <r>
    <x v="11"/>
    <x v="20"/>
    <x v="12"/>
    <n v="-38649.99"/>
  </r>
  <r>
    <x v="11"/>
    <x v="21"/>
    <x v="2"/>
    <n v="-47270.32"/>
  </r>
  <r>
    <x v="11"/>
    <x v="21"/>
    <x v="1"/>
    <n v="-1324.21"/>
  </r>
  <r>
    <x v="11"/>
    <x v="21"/>
    <x v="12"/>
    <n v="-35969.589999999997"/>
  </r>
  <r>
    <x v="11"/>
    <x v="22"/>
    <x v="2"/>
    <n v="-56647.58"/>
  </r>
  <r>
    <x v="11"/>
    <x v="22"/>
    <x v="1"/>
    <n v="-2251.7199999999998"/>
  </r>
  <r>
    <x v="11"/>
    <x v="22"/>
    <x v="12"/>
    <n v="-43730.720000000001"/>
  </r>
  <r>
    <x v="11"/>
    <x v="23"/>
    <x v="2"/>
    <n v="-18728.21"/>
  </r>
  <r>
    <x v="11"/>
    <x v="23"/>
    <x v="1"/>
    <n v="-2189.13"/>
  </r>
  <r>
    <x v="11"/>
    <x v="23"/>
    <x v="12"/>
    <n v="-34953.9"/>
  </r>
  <r>
    <x v="11"/>
    <x v="24"/>
    <x v="2"/>
    <n v="-18796.96"/>
  </r>
  <r>
    <x v="11"/>
    <x v="24"/>
    <x v="1"/>
    <n v="-2610.12"/>
  </r>
  <r>
    <x v="11"/>
    <x v="24"/>
    <x v="12"/>
    <n v="-34778.92"/>
  </r>
  <r>
    <x v="12"/>
    <x v="48"/>
    <x v="8"/>
    <n v="-1132.8900000000001"/>
  </r>
  <r>
    <x v="12"/>
    <x v="48"/>
    <x v="1"/>
    <n v="-1017.91"/>
  </r>
  <r>
    <x v="12"/>
    <x v="48"/>
    <x v="3"/>
    <n v="-1664.56"/>
  </r>
  <r>
    <x v="12"/>
    <x v="48"/>
    <x v="16"/>
    <n v="-3003.97"/>
  </r>
  <r>
    <x v="12"/>
    <x v="49"/>
    <x v="8"/>
    <n v="-4822.3500000000004"/>
  </r>
  <r>
    <x v="12"/>
    <x v="49"/>
    <x v="1"/>
    <n v="-3339.75"/>
  </r>
  <r>
    <x v="12"/>
    <x v="49"/>
    <x v="3"/>
    <n v="-910.58"/>
  </r>
  <r>
    <x v="12"/>
    <x v="49"/>
    <x v="16"/>
    <n v="-5227.2700000000004"/>
  </r>
  <r>
    <x v="12"/>
    <x v="50"/>
    <x v="8"/>
    <n v="-16807.740000000002"/>
  </r>
  <r>
    <x v="12"/>
    <x v="50"/>
    <x v="1"/>
    <n v="-5123.07"/>
  </r>
  <r>
    <x v="12"/>
    <x v="50"/>
    <x v="3"/>
    <n v="-1016.39"/>
  </r>
  <r>
    <x v="12"/>
    <x v="50"/>
    <x v="16"/>
    <n v="-6839.01"/>
  </r>
  <r>
    <x v="12"/>
    <x v="51"/>
    <x v="8"/>
    <n v="-19048.41"/>
  </r>
  <r>
    <x v="12"/>
    <x v="51"/>
    <x v="1"/>
    <n v="-4371.7"/>
  </r>
  <r>
    <x v="12"/>
    <x v="51"/>
    <x v="3"/>
    <n v="-1734.29"/>
  </r>
  <r>
    <x v="12"/>
    <x v="51"/>
    <x v="16"/>
    <n v="-8245.2099999999991"/>
  </r>
  <r>
    <x v="12"/>
    <x v="52"/>
    <x v="8"/>
    <n v="-20617.64"/>
  </r>
  <r>
    <x v="12"/>
    <x v="52"/>
    <x v="1"/>
    <n v="-4484.84"/>
  </r>
  <r>
    <x v="12"/>
    <x v="52"/>
    <x v="3"/>
    <n v="-2241.89"/>
  </r>
  <r>
    <x v="12"/>
    <x v="52"/>
    <x v="16"/>
    <n v="-9744.0499999999993"/>
  </r>
  <r>
    <x v="12"/>
    <x v="53"/>
    <x v="8"/>
    <n v="-21718.91"/>
  </r>
  <r>
    <x v="12"/>
    <x v="53"/>
    <x v="1"/>
    <n v="-4837.66"/>
  </r>
  <r>
    <x v="12"/>
    <x v="53"/>
    <x v="3"/>
    <n v="-1540.36"/>
  </r>
  <r>
    <x v="12"/>
    <x v="53"/>
    <x v="16"/>
    <n v="-7339.02"/>
  </r>
  <r>
    <x v="12"/>
    <x v="54"/>
    <x v="8"/>
    <n v="-18556.669999999998"/>
  </r>
  <r>
    <x v="12"/>
    <x v="54"/>
    <x v="1"/>
    <n v="-4622.0600000000004"/>
  </r>
  <r>
    <x v="12"/>
    <x v="54"/>
    <x v="3"/>
    <n v="-1613.18"/>
  </r>
  <r>
    <x v="12"/>
    <x v="54"/>
    <x v="16"/>
    <n v="-9282.73"/>
  </r>
  <r>
    <x v="12"/>
    <x v="55"/>
    <x v="8"/>
    <n v="-17562.2"/>
  </r>
  <r>
    <x v="12"/>
    <x v="55"/>
    <x v="1"/>
    <n v="-3659.04"/>
  </r>
  <r>
    <x v="12"/>
    <x v="55"/>
    <x v="3"/>
    <n v="-1626.17"/>
  </r>
  <r>
    <x v="12"/>
    <x v="55"/>
    <x v="16"/>
    <n v="-8402.94"/>
  </r>
  <r>
    <x v="12"/>
    <x v="56"/>
    <x v="8"/>
    <n v="-20978.02"/>
  </r>
  <r>
    <x v="12"/>
    <x v="56"/>
    <x v="1"/>
    <n v="-4162.42"/>
  </r>
  <r>
    <x v="12"/>
    <x v="56"/>
    <x v="3"/>
    <n v="-1942.36"/>
  </r>
  <r>
    <x v="12"/>
    <x v="56"/>
    <x v="16"/>
    <n v="-7879.45"/>
  </r>
  <r>
    <x v="12"/>
    <x v="57"/>
    <x v="8"/>
    <n v="-20904.560000000001"/>
  </r>
  <r>
    <x v="12"/>
    <x v="57"/>
    <x v="1"/>
    <n v="-3871.24"/>
  </r>
  <r>
    <x v="12"/>
    <x v="57"/>
    <x v="3"/>
    <n v="-2558.54"/>
  </r>
  <r>
    <x v="12"/>
    <x v="57"/>
    <x v="16"/>
    <n v="-8474.15"/>
  </r>
  <r>
    <x v="12"/>
    <x v="58"/>
    <x v="8"/>
    <n v="-23418.82"/>
  </r>
  <r>
    <x v="12"/>
    <x v="58"/>
    <x v="1"/>
    <n v="-6021.65"/>
  </r>
  <r>
    <x v="12"/>
    <x v="58"/>
    <x v="3"/>
    <n v="-2092.1799999999998"/>
  </r>
  <r>
    <x v="12"/>
    <x v="58"/>
    <x v="16"/>
    <n v="-8796.82"/>
  </r>
  <r>
    <x v="12"/>
    <x v="59"/>
    <x v="8"/>
    <n v="-21482.93"/>
  </r>
  <r>
    <x v="12"/>
    <x v="59"/>
    <x v="1"/>
    <n v="-5964.87"/>
  </r>
  <r>
    <x v="12"/>
    <x v="59"/>
    <x v="3"/>
    <n v="-2349.4499999999998"/>
  </r>
  <r>
    <x v="12"/>
    <x v="59"/>
    <x v="16"/>
    <n v="-7030.88"/>
  </r>
  <r>
    <x v="12"/>
    <x v="60"/>
    <x v="8"/>
    <n v="-35359.89"/>
  </r>
  <r>
    <x v="12"/>
    <x v="60"/>
    <x v="1"/>
    <n v="-7578.98"/>
  </r>
  <r>
    <x v="12"/>
    <x v="60"/>
    <x v="3"/>
    <n v="-1874.09"/>
  </r>
  <r>
    <x v="12"/>
    <x v="60"/>
    <x v="16"/>
    <n v="-30075.24"/>
  </r>
  <r>
    <x v="12"/>
    <x v="25"/>
    <x v="8"/>
    <n v="-52012.5"/>
  </r>
  <r>
    <x v="12"/>
    <x v="25"/>
    <x v="1"/>
    <n v="-6145.11"/>
  </r>
  <r>
    <x v="12"/>
    <x v="25"/>
    <x v="3"/>
    <n v="-2058.94"/>
  </r>
  <r>
    <x v="12"/>
    <x v="25"/>
    <x v="16"/>
    <n v="-22962.98"/>
  </r>
  <r>
    <x v="12"/>
    <x v="26"/>
    <x v="8"/>
    <n v="-47581.53"/>
  </r>
  <r>
    <x v="12"/>
    <x v="26"/>
    <x v="1"/>
    <n v="-6089.91"/>
  </r>
  <r>
    <x v="12"/>
    <x v="26"/>
    <x v="3"/>
    <n v="-2027.24"/>
  </r>
  <r>
    <x v="12"/>
    <x v="26"/>
    <x v="16"/>
    <n v="-18033.52"/>
  </r>
  <r>
    <x v="12"/>
    <x v="27"/>
    <x v="8"/>
    <n v="-48876.27"/>
  </r>
  <r>
    <x v="12"/>
    <x v="27"/>
    <x v="1"/>
    <n v="-6751.48"/>
  </r>
  <r>
    <x v="12"/>
    <x v="27"/>
    <x v="3"/>
    <n v="-2885.61"/>
  </r>
  <r>
    <x v="12"/>
    <x v="27"/>
    <x v="16"/>
    <n v="-17970.89"/>
  </r>
  <r>
    <x v="12"/>
    <x v="0"/>
    <x v="8"/>
    <n v="-45923.22"/>
  </r>
  <r>
    <x v="12"/>
    <x v="0"/>
    <x v="1"/>
    <n v="-6849.7"/>
  </r>
  <r>
    <x v="12"/>
    <x v="0"/>
    <x v="3"/>
    <n v="-2223.5"/>
  </r>
  <r>
    <x v="12"/>
    <x v="0"/>
    <x v="16"/>
    <n v="-18077.29"/>
  </r>
  <r>
    <x v="12"/>
    <x v="1"/>
    <x v="8"/>
    <n v="-49082.29"/>
  </r>
  <r>
    <x v="12"/>
    <x v="1"/>
    <x v="1"/>
    <n v="-6497.09"/>
  </r>
  <r>
    <x v="12"/>
    <x v="1"/>
    <x v="3"/>
    <n v="-2840.18"/>
  </r>
  <r>
    <x v="12"/>
    <x v="1"/>
    <x v="16"/>
    <n v="-19047.16"/>
  </r>
  <r>
    <x v="12"/>
    <x v="2"/>
    <x v="8"/>
    <n v="-55367.48"/>
  </r>
  <r>
    <x v="12"/>
    <x v="2"/>
    <x v="1"/>
    <n v="-6467.09"/>
  </r>
  <r>
    <x v="12"/>
    <x v="2"/>
    <x v="3"/>
    <n v="-2892.66"/>
  </r>
  <r>
    <x v="12"/>
    <x v="2"/>
    <x v="16"/>
    <n v="-18100.240000000002"/>
  </r>
  <r>
    <x v="12"/>
    <x v="3"/>
    <x v="8"/>
    <n v="-64670.3"/>
  </r>
  <r>
    <x v="12"/>
    <x v="3"/>
    <x v="1"/>
    <n v="-7849.31"/>
  </r>
  <r>
    <x v="12"/>
    <x v="3"/>
    <x v="3"/>
    <n v="-2286.19"/>
  </r>
  <r>
    <x v="12"/>
    <x v="3"/>
    <x v="16"/>
    <n v="-18517.509999999998"/>
  </r>
  <r>
    <x v="12"/>
    <x v="4"/>
    <x v="8"/>
    <n v="-55748.06"/>
  </r>
  <r>
    <x v="12"/>
    <x v="4"/>
    <x v="1"/>
    <n v="-5945.16"/>
  </r>
  <r>
    <x v="12"/>
    <x v="4"/>
    <x v="3"/>
    <n v="-1750.24"/>
  </r>
  <r>
    <x v="12"/>
    <x v="4"/>
    <x v="16"/>
    <n v="-19823.84"/>
  </r>
  <r>
    <x v="12"/>
    <x v="5"/>
    <x v="8"/>
    <n v="-53401.599999999999"/>
  </r>
  <r>
    <x v="12"/>
    <x v="5"/>
    <x v="1"/>
    <n v="-6969.74"/>
  </r>
  <r>
    <x v="12"/>
    <x v="5"/>
    <x v="3"/>
    <n v="-1978.76"/>
  </r>
  <r>
    <x v="12"/>
    <x v="5"/>
    <x v="16"/>
    <n v="-18566.95"/>
  </r>
  <r>
    <x v="12"/>
    <x v="6"/>
    <x v="8"/>
    <n v="-33501.040000000001"/>
  </r>
  <r>
    <x v="12"/>
    <x v="7"/>
    <x v="8"/>
    <n v="-74323.759999999995"/>
  </r>
  <r>
    <x v="12"/>
    <x v="7"/>
    <x v="1"/>
    <n v="-5687.88"/>
  </r>
  <r>
    <x v="12"/>
    <x v="7"/>
    <x v="3"/>
    <n v="-2574.81"/>
  </r>
  <r>
    <x v="12"/>
    <x v="7"/>
    <x v="16"/>
    <n v="-22205.61"/>
  </r>
  <r>
    <x v="12"/>
    <x v="8"/>
    <x v="8"/>
    <n v="-88073.22"/>
  </r>
  <r>
    <x v="12"/>
    <x v="8"/>
    <x v="1"/>
    <n v="-7018.26"/>
  </r>
  <r>
    <x v="12"/>
    <x v="8"/>
    <x v="3"/>
    <n v="-2763.79"/>
  </r>
  <r>
    <x v="12"/>
    <x v="8"/>
    <x v="16"/>
    <n v="-21557.9"/>
  </r>
  <r>
    <x v="12"/>
    <x v="9"/>
    <x v="8"/>
    <n v="-112810.44"/>
  </r>
  <r>
    <x v="12"/>
    <x v="9"/>
    <x v="1"/>
    <n v="-4079.73"/>
  </r>
  <r>
    <x v="12"/>
    <x v="9"/>
    <x v="3"/>
    <n v="-4402.26"/>
  </r>
  <r>
    <x v="12"/>
    <x v="9"/>
    <x v="16"/>
    <n v="-24642.45"/>
  </r>
  <r>
    <x v="12"/>
    <x v="10"/>
    <x v="8"/>
    <n v="-65215.06"/>
  </r>
  <r>
    <x v="12"/>
    <x v="10"/>
    <x v="1"/>
    <n v="-6393.26"/>
  </r>
  <r>
    <x v="12"/>
    <x v="10"/>
    <x v="3"/>
    <n v="-7898.36"/>
  </r>
  <r>
    <x v="12"/>
    <x v="10"/>
    <x v="16"/>
    <n v="-34059.9"/>
  </r>
  <r>
    <x v="12"/>
    <x v="11"/>
    <x v="8"/>
    <n v="-63288.41"/>
  </r>
  <r>
    <x v="12"/>
    <x v="11"/>
    <x v="1"/>
    <n v="-6980.81"/>
  </r>
  <r>
    <x v="12"/>
    <x v="11"/>
    <x v="3"/>
    <n v="-11317.51"/>
  </r>
  <r>
    <x v="12"/>
    <x v="11"/>
    <x v="16"/>
    <n v="-38270.11"/>
  </r>
  <r>
    <x v="12"/>
    <x v="12"/>
    <x v="8"/>
    <n v="-56373.86"/>
  </r>
  <r>
    <x v="12"/>
    <x v="12"/>
    <x v="1"/>
    <n v="-17222.240000000002"/>
  </r>
  <r>
    <x v="12"/>
    <x v="12"/>
    <x v="3"/>
    <n v="-12090.89"/>
  </r>
  <r>
    <x v="12"/>
    <x v="12"/>
    <x v="16"/>
    <n v="-38071.65"/>
  </r>
  <r>
    <x v="12"/>
    <x v="13"/>
    <x v="8"/>
    <n v="-59307.95"/>
  </r>
  <r>
    <x v="12"/>
    <x v="13"/>
    <x v="1"/>
    <n v="-15252.15"/>
  </r>
  <r>
    <x v="12"/>
    <x v="13"/>
    <x v="3"/>
    <n v="-12941.38"/>
  </r>
  <r>
    <x v="12"/>
    <x v="13"/>
    <x v="16"/>
    <n v="-46065.11"/>
  </r>
  <r>
    <x v="12"/>
    <x v="14"/>
    <x v="8"/>
    <n v="-52788.06"/>
  </r>
  <r>
    <x v="12"/>
    <x v="14"/>
    <x v="1"/>
    <n v="-15620.61"/>
  </r>
  <r>
    <x v="12"/>
    <x v="14"/>
    <x v="3"/>
    <n v="-9174.7900000000009"/>
  </r>
  <r>
    <x v="12"/>
    <x v="14"/>
    <x v="16"/>
    <n v="-38164.21"/>
  </r>
  <r>
    <x v="12"/>
    <x v="15"/>
    <x v="8"/>
    <n v="-49014.96"/>
  </r>
  <r>
    <x v="12"/>
    <x v="15"/>
    <x v="1"/>
    <n v="-13130.83"/>
  </r>
  <r>
    <x v="12"/>
    <x v="15"/>
    <x v="3"/>
    <n v="-9388.92"/>
  </r>
  <r>
    <x v="12"/>
    <x v="15"/>
    <x v="16"/>
    <n v="-34574.06"/>
  </r>
  <r>
    <x v="12"/>
    <x v="16"/>
    <x v="8"/>
    <n v="-61278.78"/>
  </r>
  <r>
    <x v="12"/>
    <x v="16"/>
    <x v="1"/>
    <n v="-14892.65"/>
  </r>
  <r>
    <x v="12"/>
    <x v="16"/>
    <x v="3"/>
    <n v="-12952.79"/>
  </r>
  <r>
    <x v="12"/>
    <x v="16"/>
    <x v="16"/>
    <n v="-37127"/>
  </r>
  <r>
    <x v="12"/>
    <x v="17"/>
    <x v="8"/>
    <n v="-75582.850000000006"/>
  </r>
  <r>
    <x v="12"/>
    <x v="17"/>
    <x v="1"/>
    <n v="-15218.55"/>
  </r>
  <r>
    <x v="12"/>
    <x v="17"/>
    <x v="3"/>
    <n v="-25960.14"/>
  </r>
  <r>
    <x v="12"/>
    <x v="17"/>
    <x v="16"/>
    <n v="-56856.12"/>
  </r>
  <r>
    <x v="12"/>
    <x v="18"/>
    <x v="8"/>
    <n v="-60898.71"/>
  </r>
  <r>
    <x v="12"/>
    <x v="18"/>
    <x v="1"/>
    <n v="-13595.16"/>
  </r>
  <r>
    <x v="12"/>
    <x v="18"/>
    <x v="3"/>
    <n v="-32751.78"/>
  </r>
  <r>
    <x v="12"/>
    <x v="18"/>
    <x v="16"/>
    <n v="-55531.61"/>
  </r>
  <r>
    <x v="12"/>
    <x v="19"/>
    <x v="8"/>
    <n v="-69828.69"/>
  </r>
  <r>
    <x v="12"/>
    <x v="19"/>
    <x v="1"/>
    <n v="-3160.07"/>
  </r>
  <r>
    <x v="12"/>
    <x v="19"/>
    <x v="3"/>
    <n v="-37311.47"/>
  </r>
  <r>
    <x v="12"/>
    <x v="19"/>
    <x v="16"/>
    <n v="-51693.91"/>
  </r>
  <r>
    <x v="12"/>
    <x v="20"/>
    <x v="8"/>
    <n v="-70573.289999999994"/>
  </r>
  <r>
    <x v="12"/>
    <x v="20"/>
    <x v="1"/>
    <n v="-3650.69"/>
  </r>
  <r>
    <x v="12"/>
    <x v="20"/>
    <x v="3"/>
    <n v="-41916.94"/>
  </r>
  <r>
    <x v="12"/>
    <x v="20"/>
    <x v="16"/>
    <n v="-47941.65"/>
  </r>
  <r>
    <x v="12"/>
    <x v="21"/>
    <x v="8"/>
    <n v="-47695.83"/>
  </r>
  <r>
    <x v="12"/>
    <x v="21"/>
    <x v="1"/>
    <n v="-4430.33"/>
  </r>
  <r>
    <x v="12"/>
    <x v="21"/>
    <x v="3"/>
    <n v="-44238.37"/>
  </r>
  <r>
    <x v="12"/>
    <x v="21"/>
    <x v="16"/>
    <n v="-59346.68"/>
  </r>
  <r>
    <x v="12"/>
    <x v="22"/>
    <x v="8"/>
    <n v="-38081.599999999999"/>
  </r>
  <r>
    <x v="12"/>
    <x v="22"/>
    <x v="1"/>
    <n v="-7056.17"/>
  </r>
  <r>
    <x v="12"/>
    <x v="22"/>
    <x v="3"/>
    <n v="-52292.65"/>
  </r>
  <r>
    <x v="12"/>
    <x v="22"/>
    <x v="16"/>
    <n v="-51591.82"/>
  </r>
  <r>
    <x v="12"/>
    <x v="23"/>
    <x v="8"/>
    <n v="-21637.87"/>
  </r>
  <r>
    <x v="12"/>
    <x v="23"/>
    <x v="1"/>
    <n v="-9980.69"/>
  </r>
  <r>
    <x v="12"/>
    <x v="23"/>
    <x v="3"/>
    <n v="-44467.7"/>
  </r>
  <r>
    <x v="12"/>
    <x v="23"/>
    <x v="16"/>
    <n v="-41218.370000000003"/>
  </r>
  <r>
    <x v="12"/>
    <x v="24"/>
    <x v="8"/>
    <n v="-4132.16"/>
  </r>
  <r>
    <x v="13"/>
    <x v="44"/>
    <x v="4"/>
    <n v="-34.54"/>
  </r>
  <r>
    <x v="13"/>
    <x v="44"/>
    <x v="9"/>
    <n v="-46.46"/>
  </r>
  <r>
    <x v="13"/>
    <x v="44"/>
    <x v="6"/>
    <n v="-26.63"/>
  </r>
  <r>
    <x v="13"/>
    <x v="44"/>
    <x v="12"/>
    <n v="-29.89"/>
  </r>
  <r>
    <x v="13"/>
    <x v="45"/>
    <x v="4"/>
    <n v="-72.62"/>
  </r>
  <r>
    <x v="13"/>
    <x v="45"/>
    <x v="9"/>
    <n v="-85.06"/>
  </r>
  <r>
    <x v="13"/>
    <x v="45"/>
    <x v="6"/>
    <n v="-47.63"/>
  </r>
  <r>
    <x v="13"/>
    <x v="45"/>
    <x v="12"/>
    <n v="-70.91"/>
  </r>
  <r>
    <x v="13"/>
    <x v="46"/>
    <x v="4"/>
    <n v="-283.62"/>
  </r>
  <r>
    <x v="13"/>
    <x v="46"/>
    <x v="9"/>
    <n v="-112.47"/>
  </r>
  <r>
    <x v="13"/>
    <x v="46"/>
    <x v="6"/>
    <n v="-233.37"/>
  </r>
  <r>
    <x v="13"/>
    <x v="46"/>
    <x v="12"/>
    <n v="-297.98"/>
  </r>
  <r>
    <x v="13"/>
    <x v="47"/>
    <x v="4"/>
    <n v="-938.77"/>
  </r>
  <r>
    <x v="13"/>
    <x v="47"/>
    <x v="9"/>
    <n v="-259.98"/>
  </r>
  <r>
    <x v="13"/>
    <x v="47"/>
    <x v="6"/>
    <n v="-391.25"/>
  </r>
  <r>
    <x v="13"/>
    <x v="47"/>
    <x v="12"/>
    <n v="-365.61"/>
  </r>
  <r>
    <x v="13"/>
    <x v="48"/>
    <x v="4"/>
    <n v="-764.37"/>
  </r>
  <r>
    <x v="13"/>
    <x v="48"/>
    <x v="9"/>
    <n v="-541.95000000000005"/>
  </r>
  <r>
    <x v="13"/>
    <x v="48"/>
    <x v="6"/>
    <n v="-648.54999999999995"/>
  </r>
  <r>
    <x v="13"/>
    <x v="48"/>
    <x v="12"/>
    <n v="-583.42999999999995"/>
  </r>
  <r>
    <x v="13"/>
    <x v="49"/>
    <x v="4"/>
    <n v="-743.44"/>
  </r>
  <r>
    <x v="13"/>
    <x v="49"/>
    <x v="9"/>
    <n v="-586.54999999999995"/>
  </r>
  <r>
    <x v="13"/>
    <x v="49"/>
    <x v="6"/>
    <n v="-719.89"/>
  </r>
  <r>
    <x v="13"/>
    <x v="49"/>
    <x v="12"/>
    <n v="-350.32"/>
  </r>
  <r>
    <x v="13"/>
    <x v="50"/>
    <x v="4"/>
    <n v="-1788.85"/>
  </r>
  <r>
    <x v="13"/>
    <x v="50"/>
    <x v="9"/>
    <n v="-398.93"/>
  </r>
  <r>
    <x v="13"/>
    <x v="50"/>
    <x v="6"/>
    <n v="-1261.71"/>
  </r>
  <r>
    <x v="13"/>
    <x v="50"/>
    <x v="12"/>
    <n v="-349.23"/>
  </r>
  <r>
    <x v="13"/>
    <x v="51"/>
    <x v="4"/>
    <n v="-2445.0300000000002"/>
  </r>
  <r>
    <x v="13"/>
    <x v="51"/>
    <x v="9"/>
    <n v="-420.35"/>
  </r>
  <r>
    <x v="13"/>
    <x v="51"/>
    <x v="6"/>
    <n v="-995.82"/>
  </r>
  <r>
    <x v="13"/>
    <x v="51"/>
    <x v="12"/>
    <n v="-444.18"/>
  </r>
  <r>
    <x v="13"/>
    <x v="52"/>
    <x v="4"/>
    <n v="-2165.56"/>
  </r>
  <r>
    <x v="13"/>
    <x v="52"/>
    <x v="9"/>
    <n v="-416.09"/>
  </r>
  <r>
    <x v="13"/>
    <x v="52"/>
    <x v="6"/>
    <n v="-1447.13"/>
  </r>
  <r>
    <x v="13"/>
    <x v="52"/>
    <x v="12"/>
    <n v="-452.19"/>
  </r>
  <r>
    <x v="13"/>
    <x v="53"/>
    <x v="4"/>
    <n v="-2196.37"/>
  </r>
  <r>
    <x v="13"/>
    <x v="53"/>
    <x v="9"/>
    <n v="-505.88"/>
  </r>
  <r>
    <x v="13"/>
    <x v="53"/>
    <x v="6"/>
    <n v="-1051.75"/>
  </r>
  <r>
    <x v="13"/>
    <x v="53"/>
    <x v="12"/>
    <n v="-347.16"/>
  </r>
  <r>
    <x v="13"/>
    <x v="54"/>
    <x v="4"/>
    <n v="-1756.29"/>
  </r>
  <r>
    <x v="13"/>
    <x v="54"/>
    <x v="9"/>
    <n v="-473.74"/>
  </r>
  <r>
    <x v="13"/>
    <x v="54"/>
    <x v="6"/>
    <n v="-1005.03"/>
  </r>
  <r>
    <x v="13"/>
    <x v="54"/>
    <x v="12"/>
    <n v="-354.43"/>
  </r>
  <r>
    <x v="13"/>
    <x v="55"/>
    <x v="4"/>
    <n v="-1764.8"/>
  </r>
  <r>
    <x v="13"/>
    <x v="55"/>
    <x v="9"/>
    <n v="-521.42999999999995"/>
  </r>
  <r>
    <x v="13"/>
    <x v="55"/>
    <x v="6"/>
    <n v="-1324.19"/>
  </r>
  <r>
    <x v="13"/>
    <x v="55"/>
    <x v="12"/>
    <n v="-402.94"/>
  </r>
  <r>
    <x v="13"/>
    <x v="56"/>
    <x v="4"/>
    <n v="-2038.38"/>
  </r>
  <r>
    <x v="13"/>
    <x v="56"/>
    <x v="9"/>
    <n v="-788.52"/>
  </r>
  <r>
    <x v="13"/>
    <x v="56"/>
    <x v="6"/>
    <n v="-1219.92"/>
  </r>
  <r>
    <x v="13"/>
    <x v="56"/>
    <x v="12"/>
    <n v="-351.87"/>
  </r>
  <r>
    <x v="13"/>
    <x v="57"/>
    <x v="4"/>
    <n v="-1923.18"/>
  </r>
  <r>
    <x v="13"/>
    <x v="57"/>
    <x v="9"/>
    <n v="-936.7"/>
  </r>
  <r>
    <x v="13"/>
    <x v="57"/>
    <x v="6"/>
    <n v="-1287.8399999999999"/>
  </r>
  <r>
    <x v="13"/>
    <x v="57"/>
    <x v="12"/>
    <n v="-450.96"/>
  </r>
  <r>
    <x v="13"/>
    <x v="58"/>
    <x v="4"/>
    <n v="-1592.99"/>
  </r>
  <r>
    <x v="13"/>
    <x v="58"/>
    <x v="9"/>
    <n v="-1288.77"/>
  </r>
  <r>
    <x v="13"/>
    <x v="58"/>
    <x v="6"/>
    <n v="-1115.76"/>
  </r>
  <r>
    <x v="13"/>
    <x v="58"/>
    <x v="12"/>
    <n v="-560.64"/>
  </r>
  <r>
    <x v="13"/>
    <x v="59"/>
    <x v="4"/>
    <n v="-1802.37"/>
  </r>
  <r>
    <x v="13"/>
    <x v="59"/>
    <x v="9"/>
    <n v="-1038.1199999999999"/>
  </r>
  <r>
    <x v="13"/>
    <x v="59"/>
    <x v="6"/>
    <n v="-1086.6400000000001"/>
  </r>
  <r>
    <x v="13"/>
    <x v="59"/>
    <x v="12"/>
    <n v="-564.41"/>
  </r>
  <r>
    <x v="13"/>
    <x v="60"/>
    <x v="4"/>
    <n v="-2346.9499999999998"/>
  </r>
  <r>
    <x v="13"/>
    <x v="60"/>
    <x v="9"/>
    <n v="-1164.97"/>
  </r>
  <r>
    <x v="13"/>
    <x v="60"/>
    <x v="6"/>
    <n v="-1092.8900000000001"/>
  </r>
  <r>
    <x v="13"/>
    <x v="60"/>
    <x v="12"/>
    <n v="-556.11"/>
  </r>
  <r>
    <x v="13"/>
    <x v="25"/>
    <x v="4"/>
    <n v="-2530.9299999999998"/>
  </r>
  <r>
    <x v="13"/>
    <x v="25"/>
    <x v="9"/>
    <n v="-2449.3200000000002"/>
  </r>
  <r>
    <x v="13"/>
    <x v="25"/>
    <x v="6"/>
    <n v="-1443.63"/>
  </r>
  <r>
    <x v="13"/>
    <x v="25"/>
    <x v="12"/>
    <n v="-766.34"/>
  </r>
  <r>
    <x v="13"/>
    <x v="26"/>
    <x v="4"/>
    <n v="-2453.54"/>
  </r>
  <r>
    <x v="13"/>
    <x v="26"/>
    <x v="9"/>
    <n v="-2362.5300000000002"/>
  </r>
  <r>
    <x v="13"/>
    <x v="26"/>
    <x v="6"/>
    <n v="-1586.57"/>
  </r>
  <r>
    <x v="13"/>
    <x v="26"/>
    <x v="12"/>
    <n v="-583.73"/>
  </r>
  <r>
    <x v="13"/>
    <x v="27"/>
    <x v="4"/>
    <n v="-2324.37"/>
  </r>
  <r>
    <x v="13"/>
    <x v="27"/>
    <x v="9"/>
    <n v="-2187.79"/>
  </r>
  <r>
    <x v="13"/>
    <x v="27"/>
    <x v="6"/>
    <n v="-2095.59"/>
  </r>
  <r>
    <x v="13"/>
    <x v="27"/>
    <x v="12"/>
    <n v="-514.42999999999995"/>
  </r>
  <r>
    <x v="13"/>
    <x v="0"/>
    <x v="4"/>
    <n v="-2314.71"/>
  </r>
  <r>
    <x v="13"/>
    <x v="0"/>
    <x v="9"/>
    <n v="-3191.32"/>
  </r>
  <r>
    <x v="13"/>
    <x v="0"/>
    <x v="6"/>
    <n v="-1853.01"/>
  </r>
  <r>
    <x v="13"/>
    <x v="0"/>
    <x v="12"/>
    <n v="-574.04999999999995"/>
  </r>
  <r>
    <x v="13"/>
    <x v="1"/>
    <x v="4"/>
    <n v="-2016.03"/>
  </r>
  <r>
    <x v="13"/>
    <x v="1"/>
    <x v="9"/>
    <n v="-2900.54"/>
  </r>
  <r>
    <x v="13"/>
    <x v="1"/>
    <x v="6"/>
    <n v="-2392.52"/>
  </r>
  <r>
    <x v="13"/>
    <x v="1"/>
    <x v="12"/>
    <n v="-530.16999999999996"/>
  </r>
  <r>
    <x v="13"/>
    <x v="2"/>
    <x v="4"/>
    <n v="-2053.54"/>
  </r>
  <r>
    <x v="13"/>
    <x v="2"/>
    <x v="9"/>
    <n v="-3302.57"/>
  </r>
  <r>
    <x v="13"/>
    <x v="2"/>
    <x v="6"/>
    <n v="-1568.35"/>
  </r>
  <r>
    <x v="13"/>
    <x v="2"/>
    <x v="12"/>
    <n v="-717.28"/>
  </r>
  <r>
    <x v="13"/>
    <x v="3"/>
    <x v="4"/>
    <n v="-2405.36"/>
  </r>
  <r>
    <x v="13"/>
    <x v="3"/>
    <x v="9"/>
    <n v="-3379.56"/>
  </r>
  <r>
    <x v="13"/>
    <x v="3"/>
    <x v="6"/>
    <n v="-1185.99"/>
  </r>
  <r>
    <x v="13"/>
    <x v="3"/>
    <x v="12"/>
    <n v="-1041.06"/>
  </r>
  <r>
    <x v="13"/>
    <x v="4"/>
    <x v="4"/>
    <n v="-2277.62"/>
  </r>
  <r>
    <x v="13"/>
    <x v="4"/>
    <x v="9"/>
    <n v="-2647.87"/>
  </r>
  <r>
    <x v="13"/>
    <x v="4"/>
    <x v="6"/>
    <n v="-1177.28"/>
  </r>
  <r>
    <x v="13"/>
    <x v="4"/>
    <x v="12"/>
    <n v="-1120.2"/>
  </r>
  <r>
    <x v="13"/>
    <x v="5"/>
    <x v="4"/>
    <n v="-1796.36"/>
  </r>
  <r>
    <x v="13"/>
    <x v="5"/>
    <x v="9"/>
    <n v="-2508.79"/>
  </r>
  <r>
    <x v="13"/>
    <x v="5"/>
    <x v="6"/>
    <n v="-1250.4100000000001"/>
  </r>
  <r>
    <x v="13"/>
    <x v="5"/>
    <x v="12"/>
    <n v="-1114.72"/>
  </r>
  <r>
    <x v="13"/>
    <x v="6"/>
    <x v="4"/>
    <n v="-2164.44"/>
  </r>
  <r>
    <x v="13"/>
    <x v="7"/>
    <x v="4"/>
    <n v="-3356.14"/>
  </r>
  <r>
    <x v="13"/>
    <x v="7"/>
    <x v="9"/>
    <n v="-2547.61"/>
  </r>
  <r>
    <x v="13"/>
    <x v="7"/>
    <x v="6"/>
    <n v="-1425.76"/>
  </r>
  <r>
    <x v="13"/>
    <x v="7"/>
    <x v="12"/>
    <n v="-1658.36"/>
  </r>
  <r>
    <x v="13"/>
    <x v="8"/>
    <x v="4"/>
    <n v="-3787.06"/>
  </r>
  <r>
    <x v="13"/>
    <x v="8"/>
    <x v="9"/>
    <n v="-3355.99"/>
  </r>
  <r>
    <x v="13"/>
    <x v="8"/>
    <x v="6"/>
    <n v="-1637.3"/>
  </r>
  <r>
    <x v="13"/>
    <x v="8"/>
    <x v="12"/>
    <n v="-2018.75"/>
  </r>
  <r>
    <x v="13"/>
    <x v="9"/>
    <x v="4"/>
    <n v="-5400.27"/>
  </r>
  <r>
    <x v="13"/>
    <x v="9"/>
    <x v="9"/>
    <n v="-3138.04"/>
  </r>
  <r>
    <x v="13"/>
    <x v="9"/>
    <x v="6"/>
    <n v="-1809.43"/>
  </r>
  <r>
    <x v="13"/>
    <x v="9"/>
    <x v="12"/>
    <n v="-3243.42"/>
  </r>
  <r>
    <x v="13"/>
    <x v="10"/>
    <x v="4"/>
    <n v="-3798.82"/>
  </r>
  <r>
    <x v="13"/>
    <x v="10"/>
    <x v="9"/>
    <n v="-2759.33"/>
  </r>
  <r>
    <x v="13"/>
    <x v="10"/>
    <x v="6"/>
    <n v="-3361.49"/>
  </r>
  <r>
    <x v="13"/>
    <x v="10"/>
    <x v="12"/>
    <n v="-3536.88"/>
  </r>
  <r>
    <x v="13"/>
    <x v="11"/>
    <x v="4"/>
    <n v="-4026.17"/>
  </r>
  <r>
    <x v="13"/>
    <x v="11"/>
    <x v="9"/>
    <n v="-3858.11"/>
  </r>
  <r>
    <x v="13"/>
    <x v="11"/>
    <x v="6"/>
    <n v="-3669.48"/>
  </r>
  <r>
    <x v="13"/>
    <x v="11"/>
    <x v="12"/>
    <n v="-4342.68"/>
  </r>
  <r>
    <x v="13"/>
    <x v="12"/>
    <x v="4"/>
    <n v="-3006.84"/>
  </r>
  <r>
    <x v="13"/>
    <x v="12"/>
    <x v="9"/>
    <n v="-4034.85"/>
  </r>
  <r>
    <x v="13"/>
    <x v="12"/>
    <x v="6"/>
    <n v="-6416.99"/>
  </r>
  <r>
    <x v="13"/>
    <x v="12"/>
    <x v="12"/>
    <n v="-5698"/>
  </r>
  <r>
    <x v="13"/>
    <x v="13"/>
    <x v="4"/>
    <n v="-2885.06"/>
  </r>
  <r>
    <x v="13"/>
    <x v="13"/>
    <x v="9"/>
    <n v="-3681.59"/>
  </r>
  <r>
    <x v="13"/>
    <x v="13"/>
    <x v="6"/>
    <n v="-5237.66"/>
  </r>
  <r>
    <x v="13"/>
    <x v="13"/>
    <x v="12"/>
    <n v="-5453.7"/>
  </r>
  <r>
    <x v="14"/>
    <x v="48"/>
    <x v="4"/>
    <n v="-143.76"/>
  </r>
  <r>
    <x v="14"/>
    <x v="48"/>
    <x v="1"/>
    <n v="-146.02000000000001"/>
  </r>
  <r>
    <x v="14"/>
    <x v="48"/>
    <x v="12"/>
    <n v="-27.69"/>
  </r>
  <r>
    <x v="14"/>
    <x v="49"/>
    <x v="4"/>
    <n v="-114.16"/>
  </r>
  <r>
    <x v="14"/>
    <x v="49"/>
    <x v="1"/>
    <n v="-392.15"/>
  </r>
  <r>
    <x v="14"/>
    <x v="49"/>
    <x v="12"/>
    <n v="-83.94"/>
  </r>
  <r>
    <x v="14"/>
    <x v="50"/>
    <x v="4"/>
    <n v="-542.62"/>
  </r>
  <r>
    <x v="14"/>
    <x v="50"/>
    <x v="1"/>
    <n v="-587.16999999999996"/>
  </r>
  <r>
    <x v="14"/>
    <x v="50"/>
    <x v="12"/>
    <n v="-124.98"/>
  </r>
  <r>
    <x v="14"/>
    <x v="51"/>
    <x v="4"/>
    <n v="-828.6"/>
  </r>
  <r>
    <x v="14"/>
    <x v="51"/>
    <x v="1"/>
    <n v="-505.7"/>
  </r>
  <r>
    <x v="14"/>
    <x v="51"/>
    <x v="12"/>
    <n v="-219.17"/>
  </r>
  <r>
    <x v="14"/>
    <x v="52"/>
    <x v="4"/>
    <n v="-776.35"/>
  </r>
  <r>
    <x v="14"/>
    <x v="52"/>
    <x v="1"/>
    <n v="-518.04999999999995"/>
  </r>
  <r>
    <x v="14"/>
    <x v="52"/>
    <x v="12"/>
    <n v="-188.05"/>
  </r>
  <r>
    <x v="14"/>
    <x v="53"/>
    <x v="4"/>
    <n v="-812.6"/>
  </r>
  <r>
    <x v="14"/>
    <x v="53"/>
    <x v="1"/>
    <n v="-513.88"/>
  </r>
  <r>
    <x v="14"/>
    <x v="53"/>
    <x v="12"/>
    <n v="-151.44999999999999"/>
  </r>
  <r>
    <x v="14"/>
    <x v="54"/>
    <x v="4"/>
    <n v="-647.97"/>
  </r>
  <r>
    <x v="14"/>
    <x v="54"/>
    <x v="1"/>
    <n v="-495.3"/>
  </r>
  <r>
    <x v="14"/>
    <x v="54"/>
    <x v="12"/>
    <n v="-147.22"/>
  </r>
  <r>
    <x v="14"/>
    <x v="55"/>
    <x v="4"/>
    <n v="-640.27"/>
  </r>
  <r>
    <x v="14"/>
    <x v="55"/>
    <x v="1"/>
    <n v="-378.28"/>
  </r>
  <r>
    <x v="14"/>
    <x v="55"/>
    <x v="12"/>
    <n v="-165.22"/>
  </r>
  <r>
    <x v="14"/>
    <x v="56"/>
    <x v="4"/>
    <n v="-756.51"/>
  </r>
  <r>
    <x v="14"/>
    <x v="56"/>
    <x v="1"/>
    <n v="-428.68"/>
  </r>
  <r>
    <x v="14"/>
    <x v="56"/>
    <x v="12"/>
    <n v="-154.33000000000001"/>
  </r>
  <r>
    <x v="14"/>
    <x v="57"/>
    <x v="4"/>
    <n v="-752.99"/>
  </r>
  <r>
    <x v="14"/>
    <x v="57"/>
    <x v="1"/>
    <n v="-358.62"/>
  </r>
  <r>
    <x v="14"/>
    <x v="57"/>
    <x v="12"/>
    <n v="-217.66"/>
  </r>
  <r>
    <x v="14"/>
    <x v="58"/>
    <x v="4"/>
    <n v="-554.09"/>
  </r>
  <r>
    <x v="14"/>
    <x v="58"/>
    <x v="1"/>
    <n v="-468.98"/>
  </r>
  <r>
    <x v="14"/>
    <x v="58"/>
    <x v="12"/>
    <n v="-284.97000000000003"/>
  </r>
  <r>
    <x v="14"/>
    <x v="59"/>
    <x v="4"/>
    <n v="-648.91"/>
  </r>
  <r>
    <x v="14"/>
    <x v="59"/>
    <x v="1"/>
    <n v="-475.64"/>
  </r>
  <r>
    <x v="14"/>
    <x v="59"/>
    <x v="12"/>
    <n v="-283.02999999999997"/>
  </r>
  <r>
    <x v="14"/>
    <x v="60"/>
    <x v="4"/>
    <n v="-826.06"/>
  </r>
  <r>
    <x v="14"/>
    <x v="60"/>
    <x v="1"/>
    <n v="-589.02"/>
  </r>
  <r>
    <x v="14"/>
    <x v="60"/>
    <x v="12"/>
    <n v="-278.95"/>
  </r>
  <r>
    <x v="14"/>
    <x v="25"/>
    <x v="4"/>
    <n v="-929.94"/>
  </r>
  <r>
    <x v="14"/>
    <x v="25"/>
    <x v="1"/>
    <n v="-593.34"/>
  </r>
  <r>
    <x v="14"/>
    <x v="25"/>
    <x v="12"/>
    <n v="-394.89"/>
  </r>
  <r>
    <x v="14"/>
    <x v="26"/>
    <x v="4"/>
    <n v="-926.86"/>
  </r>
  <r>
    <x v="14"/>
    <x v="26"/>
    <x v="1"/>
    <n v="-590.63"/>
  </r>
  <r>
    <x v="14"/>
    <x v="26"/>
    <x v="12"/>
    <n v="-299.70999999999998"/>
  </r>
  <r>
    <x v="14"/>
    <x v="27"/>
    <x v="4"/>
    <n v="-888.74"/>
  </r>
  <r>
    <x v="14"/>
    <x v="27"/>
    <x v="1"/>
    <n v="-675.79"/>
  </r>
  <r>
    <x v="14"/>
    <x v="27"/>
    <x v="12"/>
    <n v="-274.25"/>
  </r>
  <r>
    <x v="14"/>
    <x v="0"/>
    <x v="4"/>
    <n v="-918.51"/>
  </r>
  <r>
    <x v="14"/>
    <x v="0"/>
    <x v="1"/>
    <n v="-649.94000000000005"/>
  </r>
  <r>
    <x v="14"/>
    <x v="0"/>
    <x v="12"/>
    <n v="-300.66000000000003"/>
  </r>
  <r>
    <x v="14"/>
    <x v="1"/>
    <x v="4"/>
    <n v="-828.22"/>
  </r>
  <r>
    <x v="14"/>
    <x v="1"/>
    <x v="1"/>
    <n v="-670.48"/>
  </r>
  <r>
    <x v="14"/>
    <x v="1"/>
    <x v="12"/>
    <n v="-280"/>
  </r>
  <r>
    <x v="14"/>
    <x v="2"/>
    <x v="4"/>
    <n v="-833.7"/>
  </r>
  <r>
    <x v="14"/>
    <x v="2"/>
    <x v="1"/>
    <n v="-654.32000000000005"/>
  </r>
  <r>
    <x v="14"/>
    <x v="2"/>
    <x v="12"/>
    <n v="-378.74"/>
  </r>
  <r>
    <x v="14"/>
    <x v="3"/>
    <x v="4"/>
    <n v="-960.56"/>
  </r>
  <r>
    <x v="14"/>
    <x v="3"/>
    <x v="1"/>
    <n v="-875.75"/>
  </r>
  <r>
    <x v="14"/>
    <x v="3"/>
    <x v="12"/>
    <n v="-538.16999999999996"/>
  </r>
  <r>
    <x v="14"/>
    <x v="4"/>
    <x v="4"/>
    <n v="-947.15"/>
  </r>
  <r>
    <x v="14"/>
    <x v="4"/>
    <x v="1"/>
    <n v="-667.66"/>
  </r>
  <r>
    <x v="14"/>
    <x v="4"/>
    <x v="12"/>
    <n v="-582.99"/>
  </r>
  <r>
    <x v="14"/>
    <x v="5"/>
    <x v="4"/>
    <n v="-760.69"/>
  </r>
  <r>
    <x v="14"/>
    <x v="5"/>
    <x v="1"/>
    <n v="-775.77"/>
  </r>
  <r>
    <x v="14"/>
    <x v="5"/>
    <x v="12"/>
    <n v="-591.37"/>
  </r>
  <r>
    <x v="14"/>
    <x v="6"/>
    <x v="4"/>
    <n v="-884.7"/>
  </r>
  <r>
    <x v="14"/>
    <x v="7"/>
    <x v="4"/>
    <n v="-1396.27"/>
  </r>
  <r>
    <x v="14"/>
    <x v="7"/>
    <x v="1"/>
    <n v="-650.4"/>
  </r>
  <r>
    <x v="14"/>
    <x v="7"/>
    <x v="12"/>
    <n v="-868.79"/>
  </r>
  <r>
    <x v="14"/>
    <x v="8"/>
    <x v="4"/>
    <n v="-1594.11"/>
  </r>
  <r>
    <x v="14"/>
    <x v="8"/>
    <x v="1"/>
    <n v="-799.71"/>
  </r>
  <r>
    <x v="14"/>
    <x v="8"/>
    <x v="12"/>
    <n v="-1048.3"/>
  </r>
  <r>
    <x v="14"/>
    <x v="9"/>
    <x v="4"/>
    <n v="-2292.16"/>
  </r>
  <r>
    <x v="14"/>
    <x v="9"/>
    <x v="1"/>
    <n v="-607.58000000000004"/>
  </r>
  <r>
    <x v="14"/>
    <x v="9"/>
    <x v="12"/>
    <n v="-1660.54"/>
  </r>
  <r>
    <x v="14"/>
    <x v="10"/>
    <x v="4"/>
    <n v="-1646.56"/>
  </r>
  <r>
    <x v="14"/>
    <x v="10"/>
    <x v="1"/>
    <n v="-1137.81"/>
  </r>
  <r>
    <x v="14"/>
    <x v="10"/>
    <x v="12"/>
    <n v="-1795.83"/>
  </r>
  <r>
    <x v="14"/>
    <x v="11"/>
    <x v="4"/>
    <n v="-1747.19"/>
  </r>
  <r>
    <x v="14"/>
    <x v="11"/>
    <x v="1"/>
    <n v="-1324.8"/>
  </r>
  <r>
    <x v="14"/>
    <x v="11"/>
    <x v="12"/>
    <n v="-2196.9299999999998"/>
  </r>
  <r>
    <x v="14"/>
    <x v="12"/>
    <x v="4"/>
    <n v="-1382.54"/>
  </r>
  <r>
    <x v="14"/>
    <x v="12"/>
    <x v="1"/>
    <n v="-3231.39"/>
  </r>
  <r>
    <x v="14"/>
    <x v="12"/>
    <x v="12"/>
    <n v="-2814.89"/>
  </r>
  <r>
    <x v="14"/>
    <x v="13"/>
    <x v="4"/>
    <n v="-1277.2"/>
  </r>
  <r>
    <x v="14"/>
    <x v="13"/>
    <x v="1"/>
    <n v="-2860.98"/>
  </r>
  <r>
    <x v="14"/>
    <x v="13"/>
    <x v="12"/>
    <n v="-3764.51"/>
  </r>
  <r>
    <x v="14"/>
    <x v="14"/>
    <x v="4"/>
    <n v="-1118.1500000000001"/>
  </r>
  <r>
    <x v="14"/>
    <x v="14"/>
    <x v="1"/>
    <n v="-3004.17"/>
  </r>
  <r>
    <x v="14"/>
    <x v="14"/>
    <x v="12"/>
    <n v="-3067.53"/>
  </r>
  <r>
    <x v="14"/>
    <x v="15"/>
    <x v="4"/>
    <n v="-928.42"/>
  </r>
  <r>
    <x v="14"/>
    <x v="15"/>
    <x v="1"/>
    <n v="-2146.71"/>
  </r>
  <r>
    <x v="14"/>
    <x v="15"/>
    <x v="12"/>
    <n v="-2506.9499999999998"/>
  </r>
  <r>
    <x v="14"/>
    <x v="16"/>
    <x v="4"/>
    <n v="-953.02"/>
  </r>
  <r>
    <x v="14"/>
    <x v="16"/>
    <x v="1"/>
    <n v="-2815.59"/>
  </r>
  <r>
    <x v="14"/>
    <x v="16"/>
    <x v="12"/>
    <n v="-2836.64"/>
  </r>
  <r>
    <x v="14"/>
    <x v="17"/>
    <x v="4"/>
    <n v="-1491.54"/>
  </r>
  <r>
    <x v="14"/>
    <x v="17"/>
    <x v="1"/>
    <n v="-2894.44"/>
  </r>
  <r>
    <x v="14"/>
    <x v="17"/>
    <x v="12"/>
    <n v="-3573.69"/>
  </r>
  <r>
    <x v="14"/>
    <x v="18"/>
    <x v="4"/>
    <n v="-1528.57"/>
  </r>
  <r>
    <x v="14"/>
    <x v="18"/>
    <x v="1"/>
    <n v="-2629.65"/>
  </r>
  <r>
    <x v="14"/>
    <x v="18"/>
    <x v="12"/>
    <n v="-3811.77"/>
  </r>
  <r>
    <x v="14"/>
    <x v="19"/>
    <x v="4"/>
    <n v="-2168.67"/>
  </r>
  <r>
    <x v="14"/>
    <x v="19"/>
    <x v="1"/>
    <n v="-600.36"/>
  </r>
  <r>
    <x v="14"/>
    <x v="19"/>
    <x v="12"/>
    <n v="-3359"/>
  </r>
  <r>
    <x v="14"/>
    <x v="20"/>
    <x v="4"/>
    <n v="-2260.6"/>
  </r>
  <r>
    <x v="14"/>
    <x v="20"/>
    <x v="1"/>
    <n v="-721.89"/>
  </r>
  <r>
    <x v="14"/>
    <x v="20"/>
    <x v="12"/>
    <n v="-4283.49"/>
  </r>
  <r>
    <x v="14"/>
    <x v="21"/>
    <x v="4"/>
    <n v="-2005.74"/>
  </r>
  <r>
    <x v="14"/>
    <x v="21"/>
    <x v="1"/>
    <n v="-878.61"/>
  </r>
  <r>
    <x v="14"/>
    <x v="21"/>
    <x v="12"/>
    <n v="-3941.68"/>
  </r>
  <r>
    <x v="14"/>
    <x v="22"/>
    <x v="4"/>
    <n v="-2039.64"/>
  </r>
  <r>
    <x v="14"/>
    <x v="22"/>
    <x v="1"/>
    <n v="-1555.65"/>
  </r>
  <r>
    <x v="14"/>
    <x v="22"/>
    <x v="12"/>
    <n v="-5005.26"/>
  </r>
  <r>
    <x v="14"/>
    <x v="23"/>
    <x v="4"/>
    <n v="-1446.85"/>
  </r>
  <r>
    <x v="15"/>
    <x v="55"/>
    <x v="4"/>
    <n v="-29.02"/>
  </r>
  <r>
    <x v="15"/>
    <x v="55"/>
    <x v="2"/>
    <n v="-45.71"/>
  </r>
  <r>
    <x v="15"/>
    <x v="55"/>
    <x v="1"/>
    <n v="-221.52"/>
  </r>
  <r>
    <x v="15"/>
    <x v="55"/>
    <x v="3"/>
    <n v="-61.34"/>
  </r>
  <r>
    <x v="15"/>
    <x v="56"/>
    <x v="4"/>
    <n v="-101.03"/>
  </r>
  <r>
    <x v="15"/>
    <x v="56"/>
    <x v="2"/>
    <n v="-253.71"/>
  </r>
  <r>
    <x v="15"/>
    <x v="56"/>
    <x v="1"/>
    <n v="-294.63"/>
  </r>
  <r>
    <x v="15"/>
    <x v="56"/>
    <x v="3"/>
    <n v="-122.16"/>
  </r>
  <r>
    <x v="15"/>
    <x v="57"/>
    <x v="4"/>
    <n v="-162.26"/>
  </r>
  <r>
    <x v="15"/>
    <x v="57"/>
    <x v="2"/>
    <n v="-422.96"/>
  </r>
  <r>
    <x v="15"/>
    <x v="57"/>
    <x v="1"/>
    <n v="-364.24"/>
  </r>
  <r>
    <x v="15"/>
    <x v="57"/>
    <x v="3"/>
    <n v="-199.87"/>
  </r>
  <r>
    <x v="15"/>
    <x v="58"/>
    <x v="4"/>
    <n v="-367.64"/>
  </r>
  <r>
    <x v="15"/>
    <x v="58"/>
    <x v="2"/>
    <n v="-629.76"/>
  </r>
  <r>
    <x v="15"/>
    <x v="58"/>
    <x v="1"/>
    <n v="-613.99"/>
  </r>
  <r>
    <x v="15"/>
    <x v="58"/>
    <x v="3"/>
    <n v="-179.22"/>
  </r>
  <r>
    <x v="15"/>
    <x v="59"/>
    <x v="4"/>
    <n v="-358.81"/>
  </r>
  <r>
    <x v="15"/>
    <x v="59"/>
    <x v="2"/>
    <n v="-615.54999999999995"/>
  </r>
  <r>
    <x v="15"/>
    <x v="59"/>
    <x v="1"/>
    <n v="-632.09"/>
  </r>
  <r>
    <x v="15"/>
    <x v="59"/>
    <x v="3"/>
    <n v="-198.63"/>
  </r>
  <r>
    <x v="15"/>
    <x v="60"/>
    <x v="4"/>
    <n v="-522.58000000000004"/>
  </r>
  <r>
    <x v="15"/>
    <x v="60"/>
    <x v="2"/>
    <n v="-675.14"/>
  </r>
  <r>
    <x v="15"/>
    <x v="60"/>
    <x v="1"/>
    <n v="-865.17"/>
  </r>
  <r>
    <x v="15"/>
    <x v="60"/>
    <x v="3"/>
    <n v="-209.42"/>
  </r>
  <r>
    <x v="15"/>
    <x v="25"/>
    <x v="4"/>
    <n v="-650.4"/>
  </r>
  <r>
    <x v="15"/>
    <x v="25"/>
    <x v="2"/>
    <n v="-988.46"/>
  </r>
  <r>
    <x v="15"/>
    <x v="25"/>
    <x v="1"/>
    <n v="-849.23"/>
  </r>
  <r>
    <x v="15"/>
    <x v="25"/>
    <x v="3"/>
    <n v="-183.05"/>
  </r>
  <r>
    <x v="15"/>
    <x v="26"/>
    <x v="4"/>
    <n v="-646.48"/>
  </r>
  <r>
    <x v="15"/>
    <x v="26"/>
    <x v="2"/>
    <n v="-774.76"/>
  </r>
  <r>
    <x v="15"/>
    <x v="26"/>
    <x v="1"/>
    <n v="-862.42"/>
  </r>
  <r>
    <x v="15"/>
    <x v="26"/>
    <x v="3"/>
    <n v="-183.11"/>
  </r>
  <r>
    <x v="15"/>
    <x v="27"/>
    <x v="4"/>
    <n v="-634.62"/>
  </r>
  <r>
    <x v="15"/>
    <x v="27"/>
    <x v="2"/>
    <n v="-671.82"/>
  </r>
  <r>
    <x v="15"/>
    <x v="27"/>
    <x v="1"/>
    <n v="-1243.92"/>
  </r>
  <r>
    <x v="15"/>
    <x v="27"/>
    <x v="3"/>
    <n v="-248.43"/>
  </r>
  <r>
    <x v="15"/>
    <x v="0"/>
    <x v="4"/>
    <n v="-664.77"/>
  </r>
  <r>
    <x v="15"/>
    <x v="0"/>
    <x v="2"/>
    <n v="-783.2"/>
  </r>
  <r>
    <x v="15"/>
    <x v="0"/>
    <x v="1"/>
    <n v="-901.31"/>
  </r>
  <r>
    <x v="15"/>
    <x v="0"/>
    <x v="3"/>
    <n v="-192.74"/>
  </r>
  <r>
    <x v="15"/>
    <x v="1"/>
    <x v="4"/>
    <n v="-578.78"/>
  </r>
  <r>
    <x v="15"/>
    <x v="1"/>
    <x v="2"/>
    <n v="-785.93"/>
  </r>
  <r>
    <x v="15"/>
    <x v="1"/>
    <x v="1"/>
    <n v="-1148.22"/>
  </r>
  <r>
    <x v="15"/>
    <x v="1"/>
    <x v="3"/>
    <n v="-244.76"/>
  </r>
  <r>
    <x v="15"/>
    <x v="2"/>
    <x v="4"/>
    <n v="-575.23"/>
  </r>
  <r>
    <x v="15"/>
    <x v="2"/>
    <x v="2"/>
    <n v="-1078.4000000000001"/>
  </r>
  <r>
    <x v="15"/>
    <x v="2"/>
    <x v="1"/>
    <n v="-896.74"/>
  </r>
  <r>
    <x v="15"/>
    <x v="2"/>
    <x v="3"/>
    <n v="-250.48"/>
  </r>
  <r>
    <x v="15"/>
    <x v="3"/>
    <x v="4"/>
    <n v="-652.83000000000004"/>
  </r>
  <r>
    <x v="15"/>
    <x v="3"/>
    <x v="2"/>
    <n v="-1552.16"/>
  </r>
  <r>
    <x v="15"/>
    <x v="3"/>
    <x v="1"/>
    <n v="-1121.08"/>
  </r>
  <r>
    <x v="15"/>
    <x v="3"/>
    <x v="3"/>
    <n v="-191.92"/>
  </r>
  <r>
    <x v="15"/>
    <x v="4"/>
    <x v="4"/>
    <n v="-646.12"/>
  </r>
  <r>
    <x v="15"/>
    <x v="4"/>
    <x v="2"/>
    <n v="-1595.21"/>
  </r>
  <r>
    <x v="15"/>
    <x v="4"/>
    <x v="1"/>
    <n v="-832.26"/>
  </r>
  <r>
    <x v="15"/>
    <x v="4"/>
    <x v="3"/>
    <n v="-238.11"/>
  </r>
  <r>
    <x v="15"/>
    <x v="5"/>
    <x v="4"/>
    <n v="-522.44000000000005"/>
  </r>
  <r>
    <x v="15"/>
    <x v="5"/>
    <x v="2"/>
    <n v="-1704.27"/>
  </r>
  <r>
    <x v="15"/>
    <x v="5"/>
    <x v="1"/>
    <n v="-988.14"/>
  </r>
  <r>
    <x v="15"/>
    <x v="5"/>
    <x v="3"/>
    <n v="-185.11"/>
  </r>
  <r>
    <x v="15"/>
    <x v="6"/>
    <x v="4"/>
    <n v="-568.66999999999996"/>
  </r>
  <r>
    <x v="15"/>
    <x v="6"/>
    <x v="2"/>
    <n v="-998.02"/>
  </r>
  <r>
    <x v="15"/>
    <x v="7"/>
    <x v="4"/>
    <n v="-1129.5899999999999"/>
  </r>
  <r>
    <x v="15"/>
    <x v="7"/>
    <x v="2"/>
    <n v="-2856.85"/>
  </r>
  <r>
    <x v="15"/>
    <x v="7"/>
    <x v="1"/>
    <n v="-922.36"/>
  </r>
  <r>
    <x v="15"/>
    <x v="7"/>
    <x v="3"/>
    <n v="-698.97"/>
  </r>
  <r>
    <x v="15"/>
    <x v="8"/>
    <x v="4"/>
    <n v="-1388.92"/>
  </r>
  <r>
    <x v="15"/>
    <x v="8"/>
    <x v="2"/>
    <n v="-3756.59"/>
  </r>
  <r>
    <x v="15"/>
    <x v="8"/>
    <x v="1"/>
    <n v="-1037.71"/>
  </r>
  <r>
    <x v="15"/>
    <x v="8"/>
    <x v="3"/>
    <n v="-759.56"/>
  </r>
  <r>
    <x v="15"/>
    <x v="9"/>
    <x v="4"/>
    <n v="-2362.29"/>
  </r>
  <r>
    <x v="15"/>
    <x v="9"/>
    <x v="2"/>
    <n v="-5646.49"/>
  </r>
  <r>
    <x v="15"/>
    <x v="9"/>
    <x v="1"/>
    <n v="-1012.83"/>
  </r>
  <r>
    <x v="15"/>
    <x v="9"/>
    <x v="3"/>
    <n v="-1342.55"/>
  </r>
  <r>
    <x v="15"/>
    <x v="10"/>
    <x v="4"/>
    <n v="-1470.47"/>
  </r>
  <r>
    <x v="15"/>
    <x v="10"/>
    <x v="2"/>
    <n v="-5528.19"/>
  </r>
  <r>
    <x v="15"/>
    <x v="10"/>
    <x v="1"/>
    <n v="-1646.08"/>
  </r>
  <r>
    <x v="15"/>
    <x v="10"/>
    <x v="3"/>
    <n v="-2987.84"/>
  </r>
  <r>
    <x v="15"/>
    <x v="11"/>
    <x v="4"/>
    <n v="-1578.52"/>
  </r>
  <r>
    <x v="15"/>
    <x v="11"/>
    <x v="2"/>
    <n v="-7032.72"/>
  </r>
  <r>
    <x v="15"/>
    <x v="11"/>
    <x v="1"/>
    <n v="-1859.44"/>
  </r>
  <r>
    <x v="15"/>
    <x v="11"/>
    <x v="3"/>
    <n v="-4541.9399999999996"/>
  </r>
  <r>
    <x v="15"/>
    <x v="12"/>
    <x v="4"/>
    <n v="-1014.49"/>
  </r>
  <r>
    <x v="15"/>
    <x v="12"/>
    <x v="2"/>
    <n v="-8733.39"/>
  </r>
  <r>
    <x v="15"/>
    <x v="12"/>
    <x v="1"/>
    <n v="-4431.45"/>
  </r>
  <r>
    <x v="15"/>
    <x v="12"/>
    <x v="3"/>
    <n v="-4797.03"/>
  </r>
  <r>
    <x v="15"/>
    <x v="13"/>
    <x v="4"/>
    <n v="-869.21"/>
  </r>
  <r>
    <x v="15"/>
    <x v="13"/>
    <x v="2"/>
    <n v="-10738.89"/>
  </r>
  <r>
    <x v="15"/>
    <x v="13"/>
    <x v="1"/>
    <n v="-3953.36"/>
  </r>
  <r>
    <x v="15"/>
    <x v="13"/>
    <x v="3"/>
    <n v="-5286.97"/>
  </r>
  <r>
    <x v="15"/>
    <x v="14"/>
    <x v="4"/>
    <n v="-712.72"/>
  </r>
  <r>
    <x v="15"/>
    <x v="14"/>
    <x v="2"/>
    <n v="-9442.73"/>
  </r>
  <r>
    <x v="15"/>
    <x v="14"/>
    <x v="3"/>
    <n v="-3363.55"/>
  </r>
  <r>
    <x v="15"/>
    <x v="15"/>
    <x v="4"/>
    <n v="-890.82"/>
  </r>
  <r>
    <x v="15"/>
    <x v="15"/>
    <x v="2"/>
    <n v="-8003.67"/>
  </r>
  <r>
    <x v="15"/>
    <x v="15"/>
    <x v="3"/>
    <n v="-2700.55"/>
  </r>
  <r>
    <x v="15"/>
    <x v="16"/>
    <x v="4"/>
    <n v="-1095.45"/>
  </r>
  <r>
    <x v="15"/>
    <x v="16"/>
    <x v="2"/>
    <n v="-9132.5499999999993"/>
  </r>
  <r>
    <x v="15"/>
    <x v="16"/>
    <x v="3"/>
    <n v="-3829.26"/>
  </r>
  <r>
    <x v="15"/>
    <x v="17"/>
    <x v="4"/>
    <n v="-2164.09"/>
  </r>
  <r>
    <x v="15"/>
    <x v="17"/>
    <x v="2"/>
    <n v="-11102.93"/>
  </r>
  <r>
    <x v="15"/>
    <x v="17"/>
    <x v="3"/>
    <n v="-7403.45"/>
  </r>
  <r>
    <x v="15"/>
    <x v="18"/>
    <x v="4"/>
    <n v="-2012.65"/>
  </r>
  <r>
    <x v="15"/>
    <x v="18"/>
    <x v="2"/>
    <n v="-908.54"/>
  </r>
  <r>
    <x v="15"/>
    <x v="19"/>
    <x v="4"/>
    <n v="-175.78"/>
  </r>
  <r>
    <x v="15"/>
    <x v="19"/>
    <x v="2"/>
    <n v="-591.46"/>
  </r>
  <r>
    <x v="15"/>
    <x v="20"/>
    <x v="2"/>
    <n v="-513.98"/>
  </r>
  <r>
    <x v="15"/>
    <x v="21"/>
    <x v="2"/>
    <n v="-313.14"/>
  </r>
  <r>
    <x v="15"/>
    <x v="22"/>
    <x v="2"/>
    <n v="-150.18"/>
  </r>
  <r>
    <x v="15"/>
    <x v="23"/>
    <x v="2"/>
    <n v="-91.45"/>
  </r>
  <r>
    <x v="15"/>
    <x v="24"/>
    <x v="2"/>
    <n v="-91.67"/>
  </r>
  <r>
    <x v="16"/>
    <x v="58"/>
    <x v="1"/>
    <n v="-32.75"/>
  </r>
  <r>
    <x v="16"/>
    <x v="58"/>
    <x v="12"/>
    <n v="-20.97"/>
  </r>
  <r>
    <x v="16"/>
    <x v="59"/>
    <x v="1"/>
    <n v="-78.52"/>
  </r>
  <r>
    <x v="16"/>
    <x v="59"/>
    <x v="12"/>
    <n v="-31.77"/>
  </r>
  <r>
    <x v="16"/>
    <x v="60"/>
    <x v="1"/>
    <n v="-232.6"/>
  </r>
  <r>
    <x v="16"/>
    <x v="60"/>
    <x v="12"/>
    <n v="-98.88"/>
  </r>
  <r>
    <x v="16"/>
    <x v="25"/>
    <x v="1"/>
    <n v="-728.76"/>
  </r>
  <r>
    <x v="16"/>
    <x v="25"/>
    <x v="12"/>
    <n v="-104.51"/>
  </r>
  <r>
    <x v="16"/>
    <x v="26"/>
    <x v="1"/>
    <n v="-749.25"/>
  </r>
  <r>
    <x v="16"/>
    <x v="26"/>
    <x v="12"/>
    <n v="-84.03"/>
  </r>
  <r>
    <x v="16"/>
    <x v="27"/>
    <x v="1"/>
    <n v="-1166.1300000000001"/>
  </r>
  <r>
    <x v="16"/>
    <x v="27"/>
    <x v="12"/>
    <n v="-155.31"/>
  </r>
  <r>
    <x v="16"/>
    <x v="0"/>
    <x v="1"/>
    <n v="-773.45"/>
  </r>
  <r>
    <x v="16"/>
    <x v="0"/>
    <x v="12"/>
    <n v="-146.01"/>
  </r>
  <r>
    <x v="16"/>
    <x v="1"/>
    <x v="1"/>
    <n v="-1124.05"/>
  </r>
  <r>
    <x v="16"/>
    <x v="1"/>
    <x v="12"/>
    <n v="-157.74"/>
  </r>
  <r>
    <x v="16"/>
    <x v="2"/>
    <x v="1"/>
    <n v="-761.58"/>
  </r>
  <r>
    <x v="16"/>
    <x v="2"/>
    <x v="12"/>
    <n v="-188.26"/>
  </r>
  <r>
    <x v="16"/>
    <x v="3"/>
    <x v="1"/>
    <n v="-941.34"/>
  </r>
  <r>
    <x v="16"/>
    <x v="3"/>
    <x v="12"/>
    <n v="-344.05"/>
  </r>
  <r>
    <x v="16"/>
    <x v="4"/>
    <x v="1"/>
    <n v="-680.23"/>
  </r>
  <r>
    <x v="16"/>
    <x v="4"/>
    <x v="12"/>
    <n v="-401.27"/>
  </r>
  <r>
    <x v="16"/>
    <x v="5"/>
    <x v="1"/>
    <n v="-828.37"/>
  </r>
  <r>
    <x v="16"/>
    <x v="5"/>
    <x v="12"/>
    <n v="-422.88"/>
  </r>
  <r>
    <x v="16"/>
    <x v="6"/>
    <x v="1"/>
    <n v="-806.75"/>
  </r>
  <r>
    <x v="16"/>
    <x v="7"/>
    <x v="1"/>
    <n v="-826.28"/>
  </r>
  <r>
    <x v="16"/>
    <x v="7"/>
    <x v="12"/>
    <n v="-752.05"/>
  </r>
  <r>
    <x v="16"/>
    <x v="8"/>
    <x v="1"/>
    <n v="-883.14"/>
  </r>
  <r>
    <x v="16"/>
    <x v="8"/>
    <x v="12"/>
    <n v="-988.32"/>
  </r>
  <r>
    <x v="16"/>
    <x v="9"/>
    <x v="1"/>
    <n v="-939.85"/>
  </r>
  <r>
    <x v="16"/>
    <x v="9"/>
    <x v="12"/>
    <n v="-1874.02"/>
  </r>
  <r>
    <x v="16"/>
    <x v="10"/>
    <x v="1"/>
    <n v="-1430.64"/>
  </r>
  <r>
    <x v="16"/>
    <x v="10"/>
    <x v="12"/>
    <n v="-2089.1"/>
  </r>
  <r>
    <x v="16"/>
    <x v="11"/>
    <x v="1"/>
    <n v="-1978.39"/>
  </r>
  <r>
    <x v="16"/>
    <x v="11"/>
    <x v="12"/>
    <n v="-2696.17"/>
  </r>
  <r>
    <x v="16"/>
    <x v="12"/>
    <x v="1"/>
    <n v="-5212.43"/>
  </r>
  <r>
    <x v="16"/>
    <x v="12"/>
    <x v="12"/>
    <n v="-3801.47"/>
  </r>
  <r>
    <x v="16"/>
    <x v="13"/>
    <x v="1"/>
    <n v="-5555.32"/>
  </r>
  <r>
    <x v="16"/>
    <x v="13"/>
    <x v="12"/>
    <n v="-5870.29"/>
  </r>
  <r>
    <x v="16"/>
    <x v="14"/>
    <x v="1"/>
    <n v="-5943.93"/>
  </r>
  <r>
    <x v="16"/>
    <x v="14"/>
    <x v="12"/>
    <n v="-4604.21"/>
  </r>
  <r>
    <x v="16"/>
    <x v="15"/>
    <x v="1"/>
    <n v="-5267.77"/>
  </r>
  <r>
    <x v="16"/>
    <x v="15"/>
    <x v="12"/>
    <n v="-3749.94"/>
  </r>
  <r>
    <x v="16"/>
    <x v="16"/>
    <x v="1"/>
    <n v="-5796.96"/>
  </r>
  <r>
    <x v="16"/>
    <x v="16"/>
    <x v="12"/>
    <n v="-4145.1000000000004"/>
  </r>
  <r>
    <x v="16"/>
    <x v="17"/>
    <x v="1"/>
    <n v="-5910.74"/>
  </r>
  <r>
    <x v="16"/>
    <x v="17"/>
    <x v="12"/>
    <n v="-5242.2"/>
  </r>
  <r>
    <x v="16"/>
    <x v="18"/>
    <x v="1"/>
    <n v="-5600.34"/>
  </r>
  <r>
    <x v="16"/>
    <x v="18"/>
    <x v="12"/>
    <n v="-5713.96"/>
  </r>
  <r>
    <x v="16"/>
    <x v="19"/>
    <x v="1"/>
    <n v="-6172.97"/>
  </r>
  <r>
    <x v="16"/>
    <x v="19"/>
    <x v="12"/>
    <n v="-4968.3599999999997"/>
  </r>
  <r>
    <x v="16"/>
    <x v="20"/>
    <x v="1"/>
    <n v="-6241.44"/>
  </r>
  <r>
    <x v="16"/>
    <x v="20"/>
    <x v="12"/>
    <n v="-6333.3"/>
  </r>
  <r>
    <x v="16"/>
    <x v="21"/>
    <x v="1"/>
    <n v="-5888.93"/>
  </r>
  <r>
    <x v="16"/>
    <x v="21"/>
    <x v="12"/>
    <n v="-5746.03"/>
  </r>
  <r>
    <x v="16"/>
    <x v="22"/>
    <x v="1"/>
    <n v="-5385.25"/>
  </r>
  <r>
    <x v="16"/>
    <x v="22"/>
    <x v="12"/>
    <n v="-7620.41"/>
  </r>
  <r>
    <x v="16"/>
    <x v="23"/>
    <x v="1"/>
    <n v="-4628.88"/>
  </r>
</pivotCacheRecords>
</file>

<file path=xl/pivotCache/pivotCacheRecords7.xml><?xml version="1.0" encoding="utf-8"?>
<pivotCacheRecords xmlns="http://schemas.openxmlformats.org/spreadsheetml/2006/main" xmlns:r="http://schemas.openxmlformats.org/officeDocument/2006/relationships" count="9">
  <r>
    <x v="0"/>
    <x v="0"/>
    <x v="0"/>
    <x v="0"/>
    <x v="0"/>
    <x v="0"/>
    <x v="0"/>
    <x v="0"/>
    <x v="0"/>
    <x v="0"/>
    <x v="0"/>
    <x v="0"/>
    <x v="0"/>
    <x v="0"/>
    <x v="0"/>
    <x v="0"/>
    <x v="0"/>
    <x v="0"/>
    <x v="0"/>
  </r>
  <r>
    <x v="1"/>
    <x v="1"/>
    <x v="1"/>
    <x v="0"/>
    <x v="1"/>
    <x v="1"/>
    <x v="0"/>
    <x v="1"/>
    <x v="1"/>
    <x v="1"/>
    <x v="0"/>
    <x v="1"/>
    <x v="1"/>
    <x v="1"/>
    <x v="1"/>
    <x v="1"/>
    <x v="1"/>
    <x v="1"/>
    <x v="0"/>
  </r>
  <r>
    <x v="2"/>
    <x v="2"/>
    <x v="0"/>
    <x v="0"/>
    <x v="2"/>
    <x v="2"/>
    <x v="0"/>
    <x v="2"/>
    <x v="2"/>
    <x v="2"/>
    <x v="0"/>
    <x v="0"/>
    <x v="2"/>
    <x v="2"/>
    <x v="2"/>
    <x v="2"/>
    <x v="2"/>
    <x v="2"/>
    <x v="0"/>
  </r>
  <r>
    <x v="3"/>
    <x v="3"/>
    <x v="2"/>
    <x v="0"/>
    <x v="3"/>
    <x v="3"/>
    <x v="0"/>
    <x v="3"/>
    <x v="3"/>
    <x v="3"/>
    <x v="0"/>
    <x v="2"/>
    <x v="3"/>
    <x v="3"/>
    <x v="3"/>
    <x v="3"/>
    <x v="3"/>
    <x v="3"/>
    <x v="0"/>
  </r>
  <r>
    <x v="4"/>
    <x v="4"/>
    <x v="3"/>
    <x v="1"/>
    <x v="2"/>
    <x v="4"/>
    <x v="0"/>
    <x v="4"/>
    <x v="4"/>
    <x v="4"/>
    <x v="0"/>
    <x v="3"/>
    <x v="4"/>
    <x v="4"/>
    <x v="4"/>
    <x v="2"/>
    <x v="2"/>
    <x v="4"/>
    <x v="0"/>
  </r>
  <r>
    <x v="5"/>
    <x v="5"/>
    <x v="4"/>
    <x v="1"/>
    <x v="3"/>
    <x v="5"/>
    <x v="0"/>
    <x v="5"/>
    <x v="5"/>
    <x v="5"/>
    <x v="0"/>
    <x v="4"/>
    <x v="5"/>
    <x v="5"/>
    <x v="5"/>
    <x v="4"/>
    <x v="4"/>
    <x v="5"/>
    <x v="0"/>
  </r>
  <r>
    <x v="6"/>
    <x v="6"/>
    <x v="3"/>
    <x v="1"/>
    <x v="3"/>
    <x v="6"/>
    <x v="0"/>
    <x v="6"/>
    <x v="6"/>
    <x v="6"/>
    <x v="0"/>
    <x v="3"/>
    <x v="6"/>
    <x v="6"/>
    <x v="6"/>
    <x v="4"/>
    <x v="4"/>
    <x v="6"/>
    <x v="0"/>
  </r>
  <r>
    <x v="7"/>
    <x v="7"/>
    <x v="5"/>
    <x v="2"/>
    <x v="4"/>
    <x v="7"/>
    <x v="1"/>
    <x v="7"/>
    <x v="7"/>
    <x v="7"/>
    <x v="1"/>
    <x v="5"/>
    <x v="7"/>
    <x v="7"/>
    <x v="7"/>
    <x v="5"/>
    <x v="5"/>
    <x v="7"/>
    <x v="1"/>
  </r>
  <r>
    <x v="8"/>
    <x v="8"/>
    <x v="6"/>
    <x v="3"/>
    <x v="5"/>
    <x v="8"/>
    <x v="0"/>
    <x v="8"/>
    <x v="8"/>
    <x v="8"/>
    <x v="0"/>
    <x v="6"/>
    <x v="8"/>
    <x v="8"/>
    <x v="8"/>
    <x v="1"/>
    <x v="6"/>
    <x v="8"/>
    <x v="0"/>
  </r>
</pivotCacheRecords>
</file>

<file path=xl/pivotCache/pivotCacheRecords8.xml><?xml version="1.0" encoding="utf-8"?>
<pivotCacheRecords xmlns="http://schemas.openxmlformats.org/spreadsheetml/2006/main" xmlns:r="http://schemas.openxmlformats.org/officeDocument/2006/relationships" count="634">
  <r>
    <x v="0"/>
    <x v="0"/>
    <n v="3.11"/>
    <n v="-20.83"/>
    <n v="16000"/>
    <n v="15982.28"/>
  </r>
  <r>
    <x v="0"/>
    <x v="1"/>
    <n v="238.36"/>
    <n v="-407.33"/>
    <n v="16000"/>
    <n v="15831.03"/>
  </r>
  <r>
    <x v="0"/>
    <x v="2"/>
    <n v="459.46"/>
    <n v="-561.5"/>
    <n v="16000"/>
    <n v="15897.96"/>
  </r>
  <r>
    <x v="0"/>
    <x v="3"/>
    <n v="704.54"/>
    <n v="-1184.24"/>
    <n v="16000"/>
    <n v="15520.3"/>
  </r>
  <r>
    <x v="0"/>
    <x v="4"/>
    <n v="954.24"/>
    <n v="-1268.03"/>
    <n v="16000"/>
    <n v="15686.21"/>
  </r>
  <r>
    <x v="0"/>
    <x v="5"/>
    <n v="1288.4100000000001"/>
    <n v="-1446.19"/>
    <n v="16000"/>
    <n v="15842.22"/>
  </r>
  <r>
    <x v="0"/>
    <x v="6"/>
    <n v="1564.16"/>
    <n v="-573.16999999999996"/>
    <n v="16000"/>
    <n v="16990.990000000002"/>
  </r>
  <r>
    <x v="0"/>
    <x v="7"/>
    <n v="1876.13"/>
    <n v="-2293.5300000000002"/>
    <n v="16000"/>
    <n v="15582.6"/>
  </r>
  <r>
    <x v="0"/>
    <x v="8"/>
    <n v="2118.88"/>
    <n v="-2701.12"/>
    <n v="16000"/>
    <n v="15417.76"/>
  </r>
  <r>
    <x v="0"/>
    <x v="9"/>
    <n v="2487.1999999999998"/>
    <n v="-4296.42"/>
    <n v="16000"/>
    <n v="14190.78"/>
  </r>
  <r>
    <x v="0"/>
    <x v="10"/>
    <n v="3123.44"/>
    <n v="-5574.67"/>
    <n v="16000"/>
    <n v="13548.77"/>
  </r>
  <r>
    <x v="0"/>
    <x v="11"/>
    <n v="3461.84"/>
    <n v="-8778.0300000000007"/>
    <n v="16000"/>
    <n v="10683.81"/>
  </r>
  <r>
    <x v="0"/>
    <x v="12"/>
    <n v="3489.05"/>
    <n v="-11777.49"/>
    <n v="16000"/>
    <n v="7711.56"/>
  </r>
  <r>
    <x v="0"/>
    <x v="13"/>
    <n v="3489.05"/>
    <n v="-13062.37"/>
    <n v="16000"/>
    <n v="6426.68"/>
  </r>
  <r>
    <x v="0"/>
    <x v="14"/>
    <n v="3691.05"/>
    <n v="-11129.05"/>
    <n v="16000"/>
    <n v="8562"/>
  </r>
  <r>
    <x v="0"/>
    <x v="15"/>
    <n v="4696.9399999999996"/>
    <n v="-8408.94"/>
    <n v="16000"/>
    <n v="12288"/>
  </r>
  <r>
    <x v="0"/>
    <x v="16"/>
    <n v="5088.0200000000004"/>
    <n v="-10426.91"/>
    <n v="16000"/>
    <n v="10661.11"/>
  </r>
  <r>
    <x v="0"/>
    <x v="17"/>
    <n v="5260.31"/>
    <n v="-14340.81"/>
    <n v="16000"/>
    <n v="6919.5"/>
  </r>
  <r>
    <x v="0"/>
    <x v="18"/>
    <n v="5273.18"/>
    <n v="-16551.68"/>
    <n v="16000"/>
    <n v="4721.5"/>
  </r>
  <r>
    <x v="0"/>
    <x v="19"/>
    <n v="2621.83"/>
    <n v="-13838.73"/>
    <n v="16000"/>
    <n v="4783.1000000000004"/>
  </r>
  <r>
    <x v="0"/>
    <x v="20"/>
    <n v="2621.83"/>
    <n v="-16474.78"/>
    <n v="16000"/>
    <n v="2147.0500000000002"/>
  </r>
  <r>
    <x v="0"/>
    <x v="21"/>
    <n v="-238.67"/>
    <n v="-13958.46"/>
    <n v="16000"/>
    <n v="1802.87"/>
  </r>
  <r>
    <x v="0"/>
    <x v="22"/>
    <n v="-15543.33"/>
    <n v="-3127.63"/>
    <n v="16000"/>
    <n v="-2670.96"/>
  </r>
  <r>
    <x v="1"/>
    <x v="23"/>
    <n v="65.58"/>
    <n v="-2076.96"/>
    <n v="0"/>
    <n v="-2011.38"/>
  </r>
  <r>
    <x v="1"/>
    <x v="15"/>
    <n v="464.25"/>
    <n v="-403.49"/>
    <n v="25000"/>
    <n v="25060.76"/>
  </r>
  <r>
    <x v="1"/>
    <x v="16"/>
    <n v="741.93"/>
    <n v="-1049.42"/>
    <n v="25000"/>
    <n v="24692.51"/>
  </r>
  <r>
    <x v="1"/>
    <x v="17"/>
    <n v="909.38"/>
    <n v="-3702.09"/>
    <n v="25000"/>
    <n v="22207.29"/>
  </r>
  <r>
    <x v="1"/>
    <x v="18"/>
    <n v="1286.53"/>
    <n v="-4107.09"/>
    <n v="25000"/>
    <n v="22179.439999999999"/>
  </r>
  <r>
    <x v="1"/>
    <x v="19"/>
    <n v="1575.97"/>
    <n v="-7750.65"/>
    <n v="25000"/>
    <n v="18825.32"/>
  </r>
  <r>
    <x v="1"/>
    <x v="20"/>
    <n v="1938.39"/>
    <n v="-8449.42"/>
    <n v="25000"/>
    <n v="18488.97"/>
  </r>
  <r>
    <x v="1"/>
    <x v="21"/>
    <n v="2191.46"/>
    <n v="-7184.15"/>
    <n v="25000"/>
    <n v="20007.310000000001"/>
  </r>
  <r>
    <x v="1"/>
    <x v="22"/>
    <n v="2578.15"/>
    <n v="-7420.08"/>
    <n v="25000"/>
    <n v="20158.07"/>
  </r>
  <r>
    <x v="1"/>
    <x v="24"/>
    <n v="2958.21"/>
    <n v="-5299.13"/>
    <n v="25000"/>
    <n v="22659.08"/>
  </r>
  <r>
    <x v="1"/>
    <x v="25"/>
    <n v="3572.87"/>
    <n v="-5461"/>
    <n v="25000"/>
    <n v="23111.87"/>
  </r>
  <r>
    <x v="1"/>
    <x v="26"/>
    <n v="3646.66"/>
    <n v="-5663.37"/>
    <n v="25000"/>
    <n v="22983.29"/>
  </r>
  <r>
    <x v="1"/>
    <x v="27"/>
    <n v="3760.62"/>
    <n v="-6669.36"/>
    <n v="25000"/>
    <n v="22091.26"/>
  </r>
  <r>
    <x v="1"/>
    <x v="28"/>
    <n v="4235.51"/>
    <n v="-7958.47"/>
    <n v="25000"/>
    <n v="21277.040000000001"/>
  </r>
  <r>
    <x v="1"/>
    <x v="29"/>
    <n v="-3016.15"/>
    <n v="-4980.66"/>
    <n v="25000"/>
    <n v="17003.189999999999"/>
  </r>
  <r>
    <x v="2"/>
    <x v="30"/>
    <n v="6066.57"/>
    <n v="-357.51"/>
    <n v="13824.46"/>
    <n v="19533.52"/>
  </r>
  <r>
    <x v="2"/>
    <x v="31"/>
    <n v="6384.1"/>
    <n v="87.13"/>
    <n v="13824.46"/>
    <n v="20295.689999999999"/>
  </r>
  <r>
    <x v="2"/>
    <x v="32"/>
    <n v="6846.4"/>
    <n v="219.7"/>
    <n v="13824.46"/>
    <n v="20890.560000000001"/>
  </r>
  <r>
    <x v="2"/>
    <x v="0"/>
    <n v="6639.42"/>
    <n v="-399.66"/>
    <n v="12769.7"/>
    <n v="19009.46"/>
  </r>
  <r>
    <x v="2"/>
    <x v="1"/>
    <n v="6914.34"/>
    <n v="292.52"/>
    <n v="12769.7"/>
    <n v="19976.560000000001"/>
  </r>
  <r>
    <x v="2"/>
    <x v="4"/>
    <n v="6460.4"/>
    <n v="-110.6"/>
    <n v="10875.64"/>
    <n v="17225.439999999999"/>
  </r>
  <r>
    <x v="2"/>
    <x v="8"/>
    <n v="7211.92"/>
    <n v="-241.04"/>
    <n v="10875.64"/>
    <n v="17846.52"/>
  </r>
  <r>
    <x v="2"/>
    <x v="9"/>
    <n v="7916.61"/>
    <n v="-1749.41"/>
    <n v="10875.64"/>
    <n v="17042.84"/>
  </r>
  <r>
    <x v="2"/>
    <x v="10"/>
    <n v="9804.85"/>
    <n v="-6380.65"/>
    <n v="10875.64"/>
    <n v="14299.84"/>
  </r>
  <r>
    <x v="2"/>
    <x v="11"/>
    <n v="12082.3"/>
    <n v="-9563.2199999999993"/>
    <n v="10875.64"/>
    <n v="13394.72"/>
  </r>
  <r>
    <x v="2"/>
    <x v="12"/>
    <n v="717.72"/>
    <n v="-9367.66"/>
    <n v="10875.64"/>
    <n v="2225.6999999999998"/>
  </r>
  <r>
    <x v="2"/>
    <x v="13"/>
    <n v="-9399.99"/>
    <n v="-686.69"/>
    <n v="10853.52"/>
    <n v="766.84"/>
  </r>
  <r>
    <x v="2"/>
    <x v="14"/>
    <n v="-8383.91"/>
    <n v="-1433.69"/>
    <n v="10853.52"/>
    <n v="1035.92"/>
  </r>
  <r>
    <x v="2"/>
    <x v="15"/>
    <n v="-7579.5"/>
    <n v="-2038.5"/>
    <n v="10853.52"/>
    <n v="1235.52"/>
  </r>
  <r>
    <x v="2"/>
    <x v="16"/>
    <n v="-7257.69"/>
    <n v="-2144.09"/>
    <n v="10853.52"/>
    <n v="1451.74"/>
  </r>
  <r>
    <x v="2"/>
    <x v="17"/>
    <n v="-6895.88"/>
    <n v="-2193.5100000000002"/>
    <n v="10853.52"/>
    <n v="1764.13"/>
  </r>
  <r>
    <x v="2"/>
    <x v="18"/>
    <n v="-6483.16"/>
    <n v="-2659.73"/>
    <n v="10853.52"/>
    <n v="1710.63"/>
  </r>
  <r>
    <x v="2"/>
    <x v="19"/>
    <n v="-9150.1"/>
    <n v="-1338.84"/>
    <n v="10853.52"/>
    <n v="364.58"/>
  </r>
  <r>
    <x v="2"/>
    <x v="20"/>
    <n v="-10100.08"/>
    <n v="-485.76"/>
    <n v="10853.52"/>
    <n v="267.68"/>
  </r>
  <r>
    <x v="2"/>
    <x v="21"/>
    <n v="-9839.6200000000008"/>
    <n v="-427.21"/>
    <n v="10853.52"/>
    <n v="586.69000000000005"/>
  </r>
  <r>
    <x v="2"/>
    <x v="22"/>
    <n v="-10272.61"/>
    <n v="-1042.1099999999999"/>
    <n v="10853.52"/>
    <n v="-461.2"/>
  </r>
  <r>
    <x v="3"/>
    <x v="33"/>
    <n v="210.86"/>
    <n v="-252.8"/>
    <n v="15000"/>
    <n v="14958.06"/>
  </r>
  <r>
    <x v="3"/>
    <x v="34"/>
    <n v="468.75"/>
    <n v="-664.62"/>
    <n v="15000"/>
    <n v="14804.13"/>
  </r>
  <r>
    <x v="3"/>
    <x v="35"/>
    <n v="708.85"/>
    <n v="-738.58"/>
    <n v="15000"/>
    <n v="14970.27"/>
  </r>
  <r>
    <x v="3"/>
    <x v="36"/>
    <n v="1181.97"/>
    <n v="-1793.19"/>
    <n v="15000"/>
    <n v="14388.78"/>
  </r>
  <r>
    <x v="3"/>
    <x v="37"/>
    <n v="1551.62"/>
    <n v="-2286.11"/>
    <n v="15000"/>
    <n v="14265.51"/>
  </r>
  <r>
    <x v="3"/>
    <x v="38"/>
    <n v="1847.03"/>
    <n v="-3392.77"/>
    <n v="15000"/>
    <n v="13454.26"/>
  </r>
  <r>
    <x v="3"/>
    <x v="39"/>
    <n v="2115.9499999999998"/>
    <n v="-5168.67"/>
    <n v="15000"/>
    <n v="11947.28"/>
  </r>
  <r>
    <x v="3"/>
    <x v="40"/>
    <n v="2703.3"/>
    <n v="-5254.16"/>
    <n v="15000"/>
    <n v="12449.14"/>
  </r>
  <r>
    <x v="3"/>
    <x v="41"/>
    <n v="2986.46"/>
    <n v="-5680.79"/>
    <n v="15000"/>
    <n v="12305.67"/>
  </r>
  <r>
    <x v="3"/>
    <x v="42"/>
    <n v="3426.04"/>
    <n v="-7004.99"/>
    <n v="15000"/>
    <n v="11421.05"/>
  </r>
  <r>
    <x v="3"/>
    <x v="23"/>
    <n v="3912.89"/>
    <n v="-8844.15"/>
    <n v="15000"/>
    <n v="10068.74"/>
  </r>
  <r>
    <x v="3"/>
    <x v="43"/>
    <n v="4311.71"/>
    <n v="-7749.44"/>
    <n v="15000"/>
    <n v="11562.27"/>
  </r>
  <r>
    <x v="3"/>
    <x v="44"/>
    <n v="4606.18"/>
    <n v="-8525.3700000000008"/>
    <n v="15000"/>
    <n v="11080.81"/>
  </r>
  <r>
    <x v="3"/>
    <x v="45"/>
    <n v="5164.25"/>
    <n v="-6513.49"/>
    <n v="15000"/>
    <n v="13650.76"/>
  </r>
  <r>
    <x v="3"/>
    <x v="46"/>
    <n v="5684.93"/>
    <n v="-7439.33"/>
    <n v="15000"/>
    <n v="13245.6"/>
  </r>
  <r>
    <x v="3"/>
    <x v="47"/>
    <n v="6312.03"/>
    <n v="-6452.03"/>
    <n v="15000"/>
    <n v="14860"/>
  </r>
  <r>
    <x v="3"/>
    <x v="48"/>
    <n v="6652.49"/>
    <n v="-7626.58"/>
    <n v="15000"/>
    <n v="14025.91"/>
  </r>
  <r>
    <x v="3"/>
    <x v="49"/>
    <n v="7067.36"/>
    <n v="-7014.99"/>
    <n v="15000"/>
    <n v="15052.37"/>
  </r>
  <r>
    <x v="3"/>
    <x v="50"/>
    <n v="7413.44"/>
    <n v="-6936.82"/>
    <n v="15000"/>
    <n v="15476.62"/>
  </r>
  <r>
    <x v="3"/>
    <x v="51"/>
    <n v="7666.18"/>
    <n v="-7437.41"/>
    <n v="15000"/>
    <n v="15228.77"/>
  </r>
  <r>
    <x v="3"/>
    <x v="52"/>
    <n v="7926.68"/>
    <n v="-6442.45"/>
    <n v="15000"/>
    <n v="16484.23"/>
  </r>
  <r>
    <x v="3"/>
    <x v="53"/>
    <n v="8122.9"/>
    <n v="-6700.25"/>
    <n v="15000"/>
    <n v="16422.650000000001"/>
  </r>
  <r>
    <x v="3"/>
    <x v="54"/>
    <n v="8436.57"/>
    <n v="-7255.01"/>
    <n v="15000"/>
    <n v="16181.56"/>
  </r>
  <r>
    <x v="3"/>
    <x v="55"/>
    <n v="8736.39"/>
    <n v="-7747.59"/>
    <n v="15000"/>
    <n v="15988.8"/>
  </r>
  <r>
    <x v="3"/>
    <x v="56"/>
    <n v="9061.31"/>
    <n v="-6595.48"/>
    <n v="15000"/>
    <n v="17465.830000000002"/>
  </r>
  <r>
    <x v="3"/>
    <x v="57"/>
    <n v="9245.81"/>
    <n v="-7514.35"/>
    <n v="15000"/>
    <n v="16731.46"/>
  </r>
  <r>
    <x v="3"/>
    <x v="58"/>
    <n v="9410.7800000000007"/>
    <n v="-7335.77"/>
    <n v="15000"/>
    <n v="17075.009999999998"/>
  </r>
  <r>
    <x v="3"/>
    <x v="59"/>
    <n v="9696.1299999999992"/>
    <n v="-7516.8"/>
    <n v="15000"/>
    <n v="17179.330000000002"/>
  </r>
  <r>
    <x v="3"/>
    <x v="60"/>
    <n v="9839.1"/>
    <n v="-8211.4599999999991"/>
    <n v="15000"/>
    <n v="16627.64"/>
  </r>
  <r>
    <x v="3"/>
    <x v="61"/>
    <n v="10019.73"/>
    <n v="-8581.75"/>
    <n v="15000"/>
    <n v="16437.98"/>
  </r>
  <r>
    <x v="3"/>
    <x v="62"/>
    <n v="10150.469999999999"/>
    <n v="-9662.86"/>
    <n v="15000"/>
    <n v="15487.61"/>
  </r>
  <r>
    <x v="3"/>
    <x v="63"/>
    <n v="10228.39"/>
    <n v="-8735.56"/>
    <n v="15000"/>
    <n v="16492.830000000002"/>
  </r>
  <r>
    <x v="3"/>
    <x v="64"/>
    <n v="10392.16"/>
    <n v="-9529.34"/>
    <n v="15000"/>
    <n v="15862.82"/>
  </r>
  <r>
    <x v="3"/>
    <x v="30"/>
    <n v="10566.15"/>
    <n v="-13115.37"/>
    <n v="15000"/>
    <n v="12450.78"/>
  </r>
  <r>
    <x v="3"/>
    <x v="31"/>
    <n v="10724.78"/>
    <n v="-12919.77"/>
    <n v="15000"/>
    <n v="12805.01"/>
  </r>
  <r>
    <x v="3"/>
    <x v="32"/>
    <n v="10787.9"/>
    <n v="-12449.25"/>
    <n v="15000"/>
    <n v="13338.65"/>
  </r>
  <r>
    <x v="3"/>
    <x v="0"/>
    <n v="10908.03"/>
    <n v="-15777.67"/>
    <n v="15000"/>
    <n v="10130.36"/>
  </r>
  <r>
    <x v="3"/>
    <x v="1"/>
    <n v="11011.02"/>
    <n v="-14329.11"/>
    <n v="15000"/>
    <n v="11681.91"/>
  </r>
  <r>
    <x v="3"/>
    <x v="2"/>
    <n v="11113.18"/>
    <n v="-15956.98"/>
    <n v="15000"/>
    <n v="10156.200000000001"/>
  </r>
  <r>
    <x v="3"/>
    <x v="3"/>
    <n v="6537.44"/>
    <n v="-11882.74"/>
    <n v="15000"/>
    <n v="9654.7000000000007"/>
  </r>
  <r>
    <x v="3"/>
    <x v="4"/>
    <n v="6569.2"/>
    <n v="-9002.89"/>
    <n v="15000"/>
    <n v="12566.31"/>
  </r>
  <r>
    <x v="3"/>
    <x v="5"/>
    <n v="6658.58"/>
    <n v="-8361.07"/>
    <n v="15000"/>
    <n v="13297.51"/>
  </r>
  <r>
    <x v="3"/>
    <x v="6"/>
    <n v="6731.15"/>
    <n v="-7033.79"/>
    <n v="15000"/>
    <n v="14697.36"/>
  </r>
  <r>
    <x v="3"/>
    <x v="7"/>
    <n v="6828.21"/>
    <n v="-8767.7000000000007"/>
    <n v="15000"/>
    <n v="13060.51"/>
  </r>
  <r>
    <x v="3"/>
    <x v="8"/>
    <n v="6917.81"/>
    <n v="-11991.5"/>
    <n v="15000"/>
    <n v="9926.31"/>
  </r>
  <r>
    <x v="3"/>
    <x v="9"/>
    <n v="7051.48"/>
    <n v="-11140.94"/>
    <n v="15000"/>
    <n v="10910.54"/>
  </r>
  <r>
    <x v="3"/>
    <x v="10"/>
    <n v="7406.1"/>
    <n v="-9669.6"/>
    <n v="15000"/>
    <n v="12736.5"/>
  </r>
  <r>
    <x v="3"/>
    <x v="11"/>
    <n v="7720.66"/>
    <n v="-9773.3799999999992"/>
    <n v="15000"/>
    <n v="12947.28"/>
  </r>
  <r>
    <x v="3"/>
    <x v="12"/>
    <n v="7796.72"/>
    <n v="-17188.98"/>
    <n v="15000"/>
    <n v="5607.74"/>
  </r>
  <r>
    <x v="3"/>
    <x v="13"/>
    <n v="7827.97"/>
    <n v="-15898.02"/>
    <n v="15000"/>
    <n v="6929.95"/>
  </r>
  <r>
    <x v="3"/>
    <x v="14"/>
    <n v="7873.93"/>
    <n v="-15302.01"/>
    <n v="15000"/>
    <n v="7571.92"/>
  </r>
  <r>
    <x v="3"/>
    <x v="15"/>
    <n v="8146.93"/>
    <n v="-12118.01"/>
    <n v="15000"/>
    <n v="11028.92"/>
  </r>
  <r>
    <x v="3"/>
    <x v="16"/>
    <n v="8313.57"/>
    <n v="-14420.71"/>
    <n v="15000"/>
    <n v="8892.86"/>
  </r>
  <r>
    <x v="3"/>
    <x v="17"/>
    <n v="8372.9500000000007"/>
    <n v="-15321.94"/>
    <n v="15000"/>
    <n v="8051.01"/>
  </r>
  <r>
    <x v="3"/>
    <x v="18"/>
    <n v="8403.6200000000008"/>
    <n v="-15813.4"/>
    <n v="15000"/>
    <n v="7590.22"/>
  </r>
  <r>
    <x v="3"/>
    <x v="19"/>
    <n v="8506.33"/>
    <n v="-9928.49"/>
    <n v="15000"/>
    <n v="13577.84"/>
  </r>
  <r>
    <x v="3"/>
    <x v="20"/>
    <n v="9045.0499999999993"/>
    <n v="-12218.11"/>
    <n v="15000"/>
    <n v="11826.94"/>
  </r>
  <r>
    <x v="3"/>
    <x v="21"/>
    <n v="9124.1200000000008"/>
    <n v="-11193.48"/>
    <n v="15000"/>
    <n v="12930.64"/>
  </r>
  <r>
    <x v="3"/>
    <x v="22"/>
    <n v="9335.1"/>
    <n v="-13362.14"/>
    <n v="15000"/>
    <n v="10972.96"/>
  </r>
  <r>
    <x v="3"/>
    <x v="24"/>
    <n v="9553.74"/>
    <n v="-12237.26"/>
    <n v="15000"/>
    <n v="12316.48"/>
  </r>
  <r>
    <x v="3"/>
    <x v="25"/>
    <n v="-1939.16"/>
    <n v="-10461.200000000001"/>
    <n v="15005.52"/>
    <n v="2605.16"/>
  </r>
  <r>
    <x v="4"/>
    <x v="52"/>
    <n v="3006.68"/>
    <n v="-4508.5200000000004"/>
    <n v="50000"/>
    <n v="48498.16"/>
  </r>
  <r>
    <x v="4"/>
    <x v="53"/>
    <n v="5983.2"/>
    <n v="-7595.41"/>
    <n v="50000"/>
    <n v="48387.79"/>
  </r>
  <r>
    <x v="4"/>
    <x v="54"/>
    <n v="8490.41"/>
    <n v="-19962"/>
    <n v="50000"/>
    <n v="38528.410000000003"/>
  </r>
  <r>
    <x v="4"/>
    <x v="55"/>
    <n v="10785.89"/>
    <n v="-22702.07"/>
    <n v="50000"/>
    <n v="38083.82"/>
  </r>
  <r>
    <x v="4"/>
    <x v="56"/>
    <n v="12932.44"/>
    <n v="-21534.25"/>
    <n v="50000"/>
    <n v="41398.19"/>
  </r>
  <r>
    <x v="4"/>
    <x v="57"/>
    <n v="15287.63"/>
    <n v="-23025.84"/>
    <n v="50000"/>
    <n v="42261.79"/>
  </r>
  <r>
    <x v="4"/>
    <x v="58"/>
    <n v="17193.72"/>
    <n v="-20102.86"/>
    <n v="50000"/>
    <n v="47090.86"/>
  </r>
  <r>
    <x v="4"/>
    <x v="59"/>
    <n v="19893.060000000001"/>
    <n v="-20102.86"/>
    <n v="50000"/>
    <n v="49790.2"/>
  </r>
  <r>
    <x v="4"/>
    <x v="60"/>
    <n v="21990.75"/>
    <n v="-27956.86"/>
    <n v="50000"/>
    <n v="44033.89"/>
  </r>
  <r>
    <x v="4"/>
    <x v="61"/>
    <n v="24363.95"/>
    <n v="-30216.74"/>
    <n v="50000"/>
    <n v="44147.21"/>
  </r>
  <r>
    <x v="4"/>
    <x v="62"/>
    <n v="25797.33"/>
    <n v="-27314.76"/>
    <n v="50000"/>
    <n v="48482.57"/>
  </r>
  <r>
    <x v="4"/>
    <x v="63"/>
    <n v="27449.23"/>
    <n v="-39701.199999999997"/>
    <n v="50000"/>
    <n v="37748.03"/>
  </r>
  <r>
    <x v="4"/>
    <x v="64"/>
    <n v="29306.43"/>
    <n v="-40837.96"/>
    <n v="50000"/>
    <n v="38468.47"/>
  </r>
  <r>
    <x v="4"/>
    <x v="30"/>
    <n v="30878.35"/>
    <n v="-45800.5"/>
    <n v="50000"/>
    <n v="35077.85"/>
  </r>
  <r>
    <x v="4"/>
    <x v="31"/>
    <n v="32343.97"/>
    <n v="-41202.58"/>
    <n v="50000"/>
    <n v="41141.39"/>
  </r>
  <r>
    <x v="4"/>
    <x v="32"/>
    <n v="33738.6"/>
    <n v="-43177.32"/>
    <n v="50000"/>
    <n v="40561.279999999999"/>
  </r>
  <r>
    <x v="4"/>
    <x v="0"/>
    <n v="35147.26"/>
    <n v="-41508.5"/>
    <n v="50000"/>
    <n v="43638.76"/>
  </r>
  <r>
    <x v="4"/>
    <x v="1"/>
    <n v="36432.39"/>
    <n v="-32169.24"/>
    <n v="37528.58"/>
    <n v="41791.730000000003"/>
  </r>
  <r>
    <x v="4"/>
    <x v="2"/>
    <n v="40273.760000000002"/>
    <n v="-36689.46"/>
    <n v="37528.58"/>
    <n v="41112.879999999997"/>
  </r>
  <r>
    <x v="4"/>
    <x v="3"/>
    <n v="42256.99"/>
    <n v="-43803.1"/>
    <n v="37528.58"/>
    <n v="35982.47"/>
  </r>
  <r>
    <x v="4"/>
    <x v="4"/>
    <n v="43895.28"/>
    <n v="-38690.49"/>
    <n v="37528.58"/>
    <n v="42733.37"/>
  </r>
  <r>
    <x v="4"/>
    <x v="5"/>
    <n v="45747.57"/>
    <n v="-38380.82"/>
    <n v="37528.58"/>
    <n v="44895.33"/>
  </r>
  <r>
    <x v="4"/>
    <x v="6"/>
    <n v="45910.85"/>
    <n v="-13371.98"/>
    <n v="37528.58"/>
    <n v="70067.45"/>
  </r>
  <r>
    <x v="4"/>
    <x v="7"/>
    <n v="48446.85"/>
    <n v="-50347.17"/>
    <n v="37528.58"/>
    <n v="35628.26"/>
  </r>
  <r>
    <x v="4"/>
    <x v="8"/>
    <n v="49837.05"/>
    <n v="-59229.45"/>
    <n v="37528.58"/>
    <n v="28136.18"/>
  </r>
  <r>
    <x v="4"/>
    <x v="9"/>
    <n v="52976.38"/>
    <n v="-77171.95"/>
    <n v="37528.58"/>
    <n v="13333.01"/>
  </r>
  <r>
    <x v="4"/>
    <x v="10"/>
    <n v="60905"/>
    <n v="-69117.039999999994"/>
    <n v="37528.58"/>
    <n v="29316.54"/>
  </r>
  <r>
    <x v="4"/>
    <x v="11"/>
    <n v="63816.12"/>
    <n v="-74585.66"/>
    <n v="37528.58"/>
    <n v="26759.040000000001"/>
  </r>
  <r>
    <x v="4"/>
    <x v="12"/>
    <n v="66097.259999999995"/>
    <n v="-82346.039999999994"/>
    <n v="37528.58"/>
    <n v="21279.8"/>
  </r>
  <r>
    <x v="4"/>
    <x v="13"/>
    <n v="67518.559999999998"/>
    <n v="-89548.54"/>
    <n v="37528.58"/>
    <n v="15498.6"/>
  </r>
  <r>
    <x v="4"/>
    <x v="14"/>
    <n v="66743.240000000005"/>
    <n v="-77043.759999999995"/>
    <n v="37528.58"/>
    <n v="27228.06"/>
  </r>
  <r>
    <x v="4"/>
    <x v="15"/>
    <n v="70751.039999999994"/>
    <n v="-68566.83"/>
    <n v="37528.58"/>
    <n v="39712.79"/>
  </r>
  <r>
    <x v="4"/>
    <x v="16"/>
    <n v="72928.83"/>
    <n v="-75653.58"/>
    <n v="37528.58"/>
    <n v="34803.83"/>
  </r>
  <r>
    <x v="4"/>
    <x v="17"/>
    <n v="76142.48"/>
    <n v="-97441.78"/>
    <n v="37528.58"/>
    <n v="16229.28"/>
  </r>
  <r>
    <x v="4"/>
    <x v="18"/>
    <n v="76306.080000000002"/>
    <n v="-88756.68"/>
    <n v="37528.58"/>
    <n v="25077.98"/>
  </r>
  <r>
    <x v="4"/>
    <x v="19"/>
    <n v="78655.850000000006"/>
    <n v="-79861.86"/>
    <n v="37528.58"/>
    <n v="36322.57"/>
  </r>
  <r>
    <x v="4"/>
    <x v="20"/>
    <n v="82643.02"/>
    <n v="-79767.92"/>
    <n v="37528.58"/>
    <n v="40403.68"/>
  </r>
  <r>
    <x v="4"/>
    <x v="21"/>
    <n v="85136.68"/>
    <n v="-83762.990000000005"/>
    <n v="37528.58"/>
    <n v="38902.269999999997"/>
  </r>
  <r>
    <x v="4"/>
    <x v="22"/>
    <n v="14987.18"/>
    <n v="-27557.88"/>
    <n v="37592.629999999997"/>
    <n v="25021.93"/>
  </r>
  <r>
    <x v="5"/>
    <x v="29"/>
    <n v="905.2"/>
    <n v="-972.04"/>
    <n v="4999"/>
    <n v="4932.16"/>
  </r>
  <r>
    <x v="5"/>
    <x v="65"/>
    <n v="2489.69"/>
    <n v="-3283.02"/>
    <n v="4549"/>
    <n v="3755.67"/>
  </r>
  <r>
    <x v="5"/>
    <x v="66"/>
    <n v="-4545.1899999999996"/>
    <n v="-138.97999999999999"/>
    <n v="4549"/>
    <n v="-135.16999999999999"/>
  </r>
  <r>
    <x v="6"/>
    <x v="67"/>
    <n v="1250.99"/>
    <n v="-1253.8"/>
    <n v="30000"/>
    <n v="29997.19"/>
  </r>
  <r>
    <x v="6"/>
    <x v="33"/>
    <n v="2859.13"/>
    <n v="-3057.45"/>
    <n v="30000"/>
    <n v="29801.68"/>
  </r>
  <r>
    <x v="6"/>
    <x v="34"/>
    <n v="3886.25"/>
    <n v="-5981.06"/>
    <n v="30000"/>
    <n v="27905.19"/>
  </r>
  <r>
    <x v="6"/>
    <x v="35"/>
    <n v="5434.65"/>
    <n v="-4106.45"/>
    <n v="30000"/>
    <n v="31328.2"/>
  </r>
  <r>
    <x v="6"/>
    <x v="36"/>
    <n v="7085.24"/>
    <n v="-5926.23"/>
    <n v="30000"/>
    <n v="31159.01"/>
  </r>
  <r>
    <x v="6"/>
    <x v="37"/>
    <n v="8576.9"/>
    <n v="-4660.4799999999996"/>
    <n v="30000"/>
    <n v="33916.42"/>
  </r>
  <r>
    <x v="6"/>
    <x v="38"/>
    <n v="9869.52"/>
    <n v="-10464.27"/>
    <n v="30000"/>
    <n v="29405.25"/>
  </r>
  <r>
    <x v="6"/>
    <x v="39"/>
    <n v="11512.85"/>
    <n v="-16877.04"/>
    <n v="40000"/>
    <n v="34635.81"/>
  </r>
  <r>
    <x v="6"/>
    <x v="40"/>
    <n v="13467.54"/>
    <n v="-11804.11"/>
    <n v="40000"/>
    <n v="41663.43"/>
  </r>
  <r>
    <x v="6"/>
    <x v="41"/>
    <n v="14903.66"/>
    <n v="-11782.03"/>
    <n v="40000"/>
    <n v="43121.63"/>
  </r>
  <r>
    <x v="6"/>
    <x v="42"/>
    <n v="16670.38"/>
    <n v="-11988.01"/>
    <n v="40000"/>
    <n v="44682.37"/>
  </r>
  <r>
    <x v="6"/>
    <x v="23"/>
    <n v="18900.36"/>
    <n v="-26770.59"/>
    <n v="40000"/>
    <n v="32129.77"/>
  </r>
  <r>
    <x v="6"/>
    <x v="43"/>
    <n v="22649.41"/>
    <n v="-11778"/>
    <n v="40000"/>
    <n v="50871.41"/>
  </r>
  <r>
    <x v="6"/>
    <x v="44"/>
    <n v="24139.25"/>
    <n v="-12408.3"/>
    <n v="40000"/>
    <n v="51730.95"/>
  </r>
  <r>
    <x v="6"/>
    <x v="45"/>
    <n v="25964.080000000002"/>
    <n v="-15493.64"/>
    <n v="40000"/>
    <n v="50470.44"/>
  </r>
  <r>
    <x v="6"/>
    <x v="46"/>
    <n v="28020.29"/>
    <n v="-21296.15"/>
    <n v="40000"/>
    <n v="46724.14"/>
  </r>
  <r>
    <x v="6"/>
    <x v="47"/>
    <n v="30279.93"/>
    <n v="-13620.36"/>
    <n v="40000"/>
    <n v="56659.57"/>
  </r>
  <r>
    <x v="6"/>
    <x v="48"/>
    <n v="31411.03"/>
    <n v="-16450.36"/>
    <n v="40000"/>
    <n v="54960.67"/>
  </r>
  <r>
    <x v="6"/>
    <x v="49"/>
    <n v="32635.53"/>
    <n v="-17492.580000000002"/>
    <n v="40000"/>
    <n v="55142.95"/>
  </r>
  <r>
    <x v="6"/>
    <x v="50"/>
    <n v="33624.19"/>
    <n v="-18039.57"/>
    <n v="40000"/>
    <n v="55584.62"/>
  </r>
  <r>
    <x v="6"/>
    <x v="51"/>
    <n v="34884.03"/>
    <n v="-17013.490000000002"/>
    <n v="40000"/>
    <n v="57870.54"/>
  </r>
  <r>
    <x v="6"/>
    <x v="52"/>
    <n v="36481.620000000003"/>
    <n v="-18850.96"/>
    <n v="40000"/>
    <n v="57630.66"/>
  </r>
  <r>
    <x v="6"/>
    <x v="53"/>
    <n v="37906.730000000003"/>
    <n v="-19795.12"/>
    <n v="40000"/>
    <n v="58111.61"/>
  </r>
  <r>
    <x v="6"/>
    <x v="54"/>
    <n v="38924.400000000001"/>
    <n v="-21745.81"/>
    <n v="40000"/>
    <n v="57178.59"/>
  </r>
  <r>
    <x v="6"/>
    <x v="55"/>
    <n v="39549.040000000001"/>
    <n v="-20603.88"/>
    <n v="40000"/>
    <n v="58945.16"/>
  </r>
  <r>
    <x v="6"/>
    <x v="56"/>
    <n v="40297.97"/>
    <n v="-22578.99"/>
    <n v="40000"/>
    <n v="57718.98"/>
  </r>
  <r>
    <x v="6"/>
    <x v="57"/>
    <n v="40866.36"/>
    <n v="-18423.36"/>
    <n v="40000"/>
    <n v="62443"/>
  </r>
  <r>
    <x v="6"/>
    <x v="58"/>
    <n v="41353.230000000003"/>
    <n v="-18752.05"/>
    <n v="40000"/>
    <n v="62601.18"/>
  </r>
  <r>
    <x v="6"/>
    <x v="59"/>
    <n v="41759.449999999997"/>
    <n v="-19926.189999999999"/>
    <n v="40000"/>
    <n v="61833.26"/>
  </r>
  <r>
    <x v="6"/>
    <x v="60"/>
    <n v="42491.29"/>
    <n v="-18476.330000000002"/>
    <n v="40000"/>
    <n v="64014.96"/>
  </r>
  <r>
    <x v="6"/>
    <x v="61"/>
    <n v="43152.9"/>
    <n v="-18634.59"/>
    <n v="40000"/>
    <n v="64518.31"/>
  </r>
  <r>
    <x v="6"/>
    <x v="62"/>
    <n v="43415.27"/>
    <n v="-18132.560000000001"/>
    <n v="40000"/>
    <n v="65282.71"/>
  </r>
  <r>
    <x v="6"/>
    <x v="63"/>
    <n v="26332.799999999999"/>
    <n v="-441.45"/>
    <n v="-5793.68"/>
    <n v="20097.669999999998"/>
  </r>
  <r>
    <x v="6"/>
    <x v="64"/>
    <n v="26882.95"/>
    <n v="-681.61"/>
    <n v="-5793.68"/>
    <n v="20407.66"/>
  </r>
  <r>
    <x v="6"/>
    <x v="30"/>
    <n v="27412.11"/>
    <n v="-2145.02"/>
    <n v="-5793.68"/>
    <n v="19473.41"/>
  </r>
  <r>
    <x v="6"/>
    <x v="31"/>
    <n v="27876.49"/>
    <n v="-2786.45"/>
    <n v="-5793.68"/>
    <n v="19296.36"/>
  </r>
  <r>
    <x v="6"/>
    <x v="32"/>
    <n v="28167.45"/>
    <n v="-3757.21"/>
    <n v="-5793.68"/>
    <n v="18616.560000000001"/>
  </r>
  <r>
    <x v="6"/>
    <x v="0"/>
    <n v="28585.4"/>
    <n v="-4977.84"/>
    <n v="-5793.68"/>
    <n v="17813.88"/>
  </r>
  <r>
    <x v="6"/>
    <x v="1"/>
    <n v="29003.15"/>
    <n v="-5668.82"/>
    <n v="-5793.68"/>
    <n v="17540.650000000001"/>
  </r>
  <r>
    <x v="6"/>
    <x v="2"/>
    <n v="29358.38"/>
    <n v="-3692.45"/>
    <n v="-5793.68"/>
    <n v="19872.25"/>
  </r>
  <r>
    <x v="6"/>
    <x v="3"/>
    <n v="29629.55"/>
    <n v="-2463.75"/>
    <n v="-5793.68"/>
    <n v="21372.12"/>
  </r>
  <r>
    <x v="6"/>
    <x v="4"/>
    <n v="29808.62"/>
    <n v="-2275.0500000000002"/>
    <n v="-5793.68"/>
    <n v="21739.89"/>
  </r>
  <r>
    <x v="6"/>
    <x v="5"/>
    <n v="30196.77"/>
    <n v="-2208.7199999999998"/>
    <n v="-5793.68"/>
    <n v="22194.37"/>
  </r>
  <r>
    <x v="6"/>
    <x v="6"/>
    <n v="30638.3"/>
    <n v="3.57"/>
    <n v="-5793.68"/>
    <n v="24848.19"/>
  </r>
  <r>
    <x v="6"/>
    <x v="7"/>
    <n v="31374.73"/>
    <n v="-4840.12"/>
    <n v="-5793.68"/>
    <n v="20740.93"/>
  </r>
  <r>
    <x v="6"/>
    <x v="8"/>
    <n v="31683.96"/>
    <n v="-5645.98"/>
    <n v="-5793.68"/>
    <n v="20244.3"/>
  </r>
  <r>
    <x v="6"/>
    <x v="9"/>
    <n v="32345.95"/>
    <n v="-11151.46"/>
    <n v="-5793.68"/>
    <n v="15400.81"/>
  </r>
  <r>
    <x v="6"/>
    <x v="10"/>
    <n v="33125.01"/>
    <n v="-8551.66"/>
    <n v="-5793.68"/>
    <n v="18779.669999999998"/>
  </r>
  <r>
    <x v="6"/>
    <x v="11"/>
    <n v="34165.870000000003"/>
    <n v="-9866.57"/>
    <n v="-5793.68"/>
    <n v="18505.62"/>
  </r>
  <r>
    <x v="6"/>
    <x v="12"/>
    <n v="34572.17"/>
    <n v="-17501.57"/>
    <n v="-5793.68"/>
    <n v="11276.92"/>
  </r>
  <r>
    <x v="6"/>
    <x v="13"/>
    <n v="34608.339999999997"/>
    <n v="-17349.57"/>
    <n v="-5793.68"/>
    <n v="11465.09"/>
  </r>
  <r>
    <x v="6"/>
    <x v="14"/>
    <n v="35713.089999999997"/>
    <n v="-18429.82"/>
    <n v="-5793.68"/>
    <n v="11489.59"/>
  </r>
  <r>
    <x v="6"/>
    <x v="15"/>
    <n v="36773.410000000003"/>
    <n v="-14984.48"/>
    <n v="-5793.68"/>
    <n v="15995.25"/>
  </r>
  <r>
    <x v="6"/>
    <x v="16"/>
    <n v="37379.58"/>
    <n v="-15241.83"/>
    <n v="-5793.68"/>
    <n v="16344.07"/>
  </r>
  <r>
    <x v="6"/>
    <x v="17"/>
    <n v="38338.910000000003"/>
    <n v="-15654.87"/>
    <n v="-5793.68"/>
    <n v="16890.36"/>
  </r>
  <r>
    <x v="6"/>
    <x v="18"/>
    <n v="38400.94"/>
    <n v="-18638.03"/>
    <n v="-5793.68"/>
    <n v="13969.23"/>
  </r>
  <r>
    <x v="6"/>
    <x v="19"/>
    <n v="39518.42"/>
    <n v="-11091.31"/>
    <n v="-5793.68"/>
    <n v="22633.43"/>
  </r>
  <r>
    <x v="6"/>
    <x v="20"/>
    <n v="41089.339999999997"/>
    <n v="-12435.15"/>
    <n v="-5793.68"/>
    <n v="22860.51"/>
  </r>
  <r>
    <x v="6"/>
    <x v="21"/>
    <n v="41839.47"/>
    <n v="-16905.55"/>
    <n v="-5793.68"/>
    <n v="19140.240000000002"/>
  </r>
  <r>
    <x v="6"/>
    <x v="22"/>
    <n v="42161.440000000002"/>
    <n v="-24759.64"/>
    <n v="-5793.68"/>
    <n v="11608.12"/>
  </r>
  <r>
    <x v="6"/>
    <x v="25"/>
    <n v="43596.98"/>
    <n v="-31645.09"/>
    <n v="14206.32"/>
    <n v="26158.21"/>
  </r>
  <r>
    <x v="6"/>
    <x v="26"/>
    <n v="43820.89"/>
    <n v="-30715.21"/>
    <n v="14206.32"/>
    <n v="27312"/>
  </r>
  <r>
    <x v="6"/>
    <x v="27"/>
    <n v="44299.02"/>
    <n v="-29666.37"/>
    <n v="14206.32"/>
    <n v="28838.97"/>
  </r>
  <r>
    <x v="6"/>
    <x v="28"/>
    <n v="45869.96"/>
    <n v="-23001.72"/>
    <n v="14206.32"/>
    <n v="37074.559999999998"/>
  </r>
  <r>
    <x v="6"/>
    <x v="29"/>
    <n v="24101.61"/>
    <n v="-13.59"/>
    <n v="4206.32"/>
    <n v="28294.34"/>
  </r>
  <r>
    <x v="7"/>
    <x v="37"/>
    <n v="66.5"/>
    <n v="-246.44"/>
    <n v="40000"/>
    <n v="39820.06"/>
  </r>
  <r>
    <x v="7"/>
    <x v="38"/>
    <n v="1306.5899999999999"/>
    <n v="-1515.65"/>
    <n v="40000"/>
    <n v="39790.94"/>
  </r>
  <r>
    <x v="7"/>
    <x v="39"/>
    <n v="2224.7800000000002"/>
    <n v="-1876.57"/>
    <n v="40000"/>
    <n v="40348.21"/>
  </r>
  <r>
    <x v="7"/>
    <x v="40"/>
    <n v="3782.33"/>
    <n v="-3099.48"/>
    <n v="40000"/>
    <n v="40682.85"/>
  </r>
  <r>
    <x v="7"/>
    <x v="41"/>
    <n v="5034.8999999999996"/>
    <n v="-3623.67"/>
    <n v="40000"/>
    <n v="41411.230000000003"/>
  </r>
  <r>
    <x v="7"/>
    <x v="42"/>
    <n v="6384.98"/>
    <n v="-3318.15"/>
    <n v="40000"/>
    <n v="43066.83"/>
  </r>
  <r>
    <x v="7"/>
    <x v="23"/>
    <n v="7655.36"/>
    <n v="-10039.719999999999"/>
    <n v="40000"/>
    <n v="37615.64"/>
  </r>
  <r>
    <x v="7"/>
    <x v="44"/>
    <n v="9124.1200000000008"/>
    <n v="-4538.21"/>
    <n v="40000"/>
    <n v="44585.91"/>
  </r>
  <r>
    <x v="7"/>
    <x v="45"/>
    <n v="10726.94"/>
    <n v="-8404.56"/>
    <n v="40000"/>
    <n v="42322.38"/>
  </r>
  <r>
    <x v="7"/>
    <x v="46"/>
    <n v="12764.71"/>
    <n v="-8304.44"/>
    <n v="40000"/>
    <n v="44460.27"/>
  </r>
  <r>
    <x v="7"/>
    <x v="47"/>
    <n v="14789.86"/>
    <n v="-6702.14"/>
    <n v="40000"/>
    <n v="48087.72"/>
  </r>
  <r>
    <x v="7"/>
    <x v="48"/>
    <n v="15957.59"/>
    <n v="-8066.64"/>
    <n v="40000"/>
    <n v="47890.95"/>
  </r>
  <r>
    <x v="7"/>
    <x v="49"/>
    <n v="9564.01"/>
    <n v="-22.98"/>
    <n v="40000"/>
    <n v="49541.03"/>
  </r>
  <r>
    <x v="7"/>
    <x v="50"/>
    <n v="10890.21"/>
    <n v="-2524.56"/>
    <n v="70436"/>
    <n v="78801.649999999994"/>
  </r>
  <r>
    <x v="7"/>
    <x v="51"/>
    <n v="13672.7"/>
    <n v="-7937.48"/>
    <n v="70436"/>
    <n v="76171.22"/>
  </r>
  <r>
    <x v="7"/>
    <x v="52"/>
    <n v="16280.43"/>
    <n v="-8875.19"/>
    <n v="70436"/>
    <n v="77841.240000000005"/>
  </r>
  <r>
    <x v="7"/>
    <x v="53"/>
    <n v="18186.72"/>
    <n v="-8490.93"/>
    <n v="70436"/>
    <n v="80131.789999999994"/>
  </r>
  <r>
    <x v="7"/>
    <x v="54"/>
    <n v="19928.66"/>
    <n v="-16771.91"/>
    <n v="70436"/>
    <n v="73592.75"/>
  </r>
  <r>
    <x v="7"/>
    <x v="55"/>
    <n v="21263.200000000001"/>
    <n v="-19798.439999999999"/>
    <n v="70436"/>
    <n v="71900.759999999995"/>
  </r>
  <r>
    <x v="7"/>
    <x v="56"/>
    <n v="23128.639999999999"/>
    <n v="-20977.74"/>
    <n v="70436"/>
    <n v="72586.899999999994"/>
  </r>
  <r>
    <x v="7"/>
    <x v="57"/>
    <n v="24320.93"/>
    <n v="-19630.04"/>
    <n v="70436"/>
    <n v="75126.89"/>
  </r>
  <r>
    <x v="7"/>
    <x v="58"/>
    <n v="25181.32"/>
    <n v="-17323.080000000002"/>
    <n v="70436"/>
    <n v="78294.240000000005"/>
  </r>
  <r>
    <x v="7"/>
    <x v="59"/>
    <n v="26520.400000000001"/>
    <n v="-18619.490000000002"/>
    <n v="70436"/>
    <n v="78336.91"/>
  </r>
  <r>
    <x v="7"/>
    <x v="60"/>
    <n v="27950.1"/>
    <n v="-20244.38"/>
    <n v="70436"/>
    <n v="78141.72"/>
  </r>
  <r>
    <x v="7"/>
    <x v="61"/>
    <n v="28881.71"/>
    <n v="-20996.14"/>
    <n v="70436"/>
    <n v="78321.570000000007"/>
  </r>
  <r>
    <x v="7"/>
    <x v="62"/>
    <n v="29273.67"/>
    <n v="-18528.3"/>
    <n v="70436"/>
    <n v="81181.37"/>
  </r>
  <r>
    <x v="7"/>
    <x v="63"/>
    <n v="29773.09"/>
    <n v="-19694.55"/>
    <n v="70436"/>
    <n v="80514.539999999994"/>
  </r>
  <r>
    <x v="7"/>
    <x v="64"/>
    <n v="31087.95"/>
    <n v="-22568.77"/>
    <n v="70436"/>
    <n v="78955.179999999993"/>
  </r>
  <r>
    <x v="7"/>
    <x v="30"/>
    <n v="32187.95"/>
    <n v="-27363.09"/>
    <n v="70436"/>
    <n v="75260.86"/>
  </r>
  <r>
    <x v="7"/>
    <x v="31"/>
    <n v="33095.589999999997"/>
    <n v="-27009.72"/>
    <n v="70436"/>
    <n v="76521.87"/>
  </r>
  <r>
    <x v="7"/>
    <x v="32"/>
    <n v="33878.92"/>
    <n v="-28374.77"/>
    <n v="70436"/>
    <n v="75940.149999999994"/>
  </r>
  <r>
    <x v="7"/>
    <x v="0"/>
    <n v="34704.800000000003"/>
    <n v="-28336.1"/>
    <n v="70436"/>
    <n v="76804.7"/>
  </r>
  <r>
    <x v="7"/>
    <x v="1"/>
    <n v="35290.18"/>
    <n v="-30651.06"/>
    <n v="70436"/>
    <n v="75075.12"/>
  </r>
  <r>
    <x v="7"/>
    <x v="2"/>
    <n v="35867.25"/>
    <n v="-28548.81"/>
    <n v="70436"/>
    <n v="77754.44"/>
  </r>
  <r>
    <x v="7"/>
    <x v="3"/>
    <n v="36419"/>
    <n v="-30395.87"/>
    <n v="70436"/>
    <n v="76459.13"/>
  </r>
  <r>
    <x v="7"/>
    <x v="4"/>
    <n v="36945"/>
    <n v="-30193.5"/>
    <n v="70436"/>
    <n v="77187.5"/>
  </r>
  <r>
    <x v="7"/>
    <x v="5"/>
    <n v="37475.440000000002"/>
    <n v="-28088.68"/>
    <n v="70436"/>
    <n v="79822.759999999995"/>
  </r>
  <r>
    <x v="7"/>
    <x v="6"/>
    <n v="38337.620000000003"/>
    <n v="-29650.19"/>
    <n v="70436"/>
    <n v="79123.429999999993"/>
  </r>
  <r>
    <x v="7"/>
    <x v="7"/>
    <n v="38862.81"/>
    <n v="-43217.29"/>
    <n v="70436"/>
    <n v="66081.52"/>
  </r>
  <r>
    <x v="7"/>
    <x v="8"/>
    <n v="39152.720000000001"/>
    <n v="-50898.54"/>
    <n v="70436"/>
    <n v="58690.18"/>
  </r>
  <r>
    <x v="7"/>
    <x v="9"/>
    <n v="39341.370000000003"/>
    <n v="-67207.520000000004"/>
    <n v="70436"/>
    <n v="42569.85"/>
  </r>
  <r>
    <x v="7"/>
    <x v="10"/>
    <n v="39271.480000000003"/>
    <n v="-64329.96"/>
    <n v="70436"/>
    <n v="45377.52"/>
  </r>
  <r>
    <x v="7"/>
    <x v="11"/>
    <n v="39299.97"/>
    <n v="-73284.28"/>
    <n v="70436"/>
    <n v="36451.69"/>
  </r>
  <r>
    <x v="7"/>
    <x v="12"/>
    <n v="39249.9"/>
    <n v="-83069.039999999994"/>
    <n v="70436"/>
    <n v="26616.86"/>
  </r>
  <r>
    <x v="7"/>
    <x v="13"/>
    <n v="39189.78"/>
    <n v="-93190.04"/>
    <n v="70436"/>
    <n v="16435.740000000002"/>
  </r>
  <r>
    <x v="7"/>
    <x v="14"/>
    <n v="24068.95"/>
    <n v="-70311.820000000007"/>
    <n v="70436"/>
    <n v="24193.13"/>
  </r>
  <r>
    <x v="7"/>
    <x v="15"/>
    <n v="25025.89"/>
    <n v="-59807.62"/>
    <n v="70436"/>
    <n v="35654.269999999997"/>
  </r>
  <r>
    <x v="7"/>
    <x v="16"/>
    <n v="25420.560000000001"/>
    <n v="-67857.210000000006"/>
    <n v="70436"/>
    <n v="27999.35"/>
  </r>
  <r>
    <x v="7"/>
    <x v="17"/>
    <n v="25420.560000000001"/>
    <n v="-78741.53"/>
    <n v="70436"/>
    <n v="17115.03"/>
  </r>
  <r>
    <x v="7"/>
    <x v="18"/>
    <n v="-27783.03"/>
    <n v="-33819.85"/>
    <n v="70436"/>
    <n v="8833.1200000000008"/>
  </r>
  <r>
    <x v="7"/>
    <x v="19"/>
    <n v="-27783.03"/>
    <n v="-27496.98"/>
    <n v="70436"/>
    <n v="15155.99"/>
  </r>
  <r>
    <x v="7"/>
    <x v="20"/>
    <n v="-27783.03"/>
    <n v="-31372.54"/>
    <n v="70436"/>
    <n v="11280.43"/>
  </r>
  <r>
    <x v="7"/>
    <x v="21"/>
    <n v="-27783.03"/>
    <n v="-31431.1"/>
    <n v="70436"/>
    <n v="11221.87"/>
  </r>
  <r>
    <x v="7"/>
    <x v="22"/>
    <n v="-33030.04"/>
    <n v="-33517.699999999997"/>
    <n v="70436"/>
    <n v="3888.26"/>
  </r>
  <r>
    <x v="7"/>
    <x v="24"/>
    <n v="-55896.800000000003"/>
    <n v="-9196.66"/>
    <n v="70436"/>
    <n v="5342.54"/>
  </r>
  <r>
    <x v="7"/>
    <x v="27"/>
    <n v="-58725.94"/>
    <n v="-10457.620000000001"/>
    <n v="70436"/>
    <n v="1252.44"/>
  </r>
  <r>
    <x v="7"/>
    <x v="28"/>
    <n v="-67112.14"/>
    <n v="-1468.37"/>
    <n v="70436"/>
    <n v="1855.49"/>
  </r>
  <r>
    <x v="7"/>
    <x v="29"/>
    <n v="-68742.91"/>
    <n v="-1751.46"/>
    <n v="70436"/>
    <n v="-58.37"/>
  </r>
  <r>
    <x v="8"/>
    <x v="23"/>
    <n v="245.39"/>
    <n v="-10836.68"/>
    <n v="0"/>
    <n v="-10591.29"/>
  </r>
  <r>
    <x v="8"/>
    <x v="44"/>
    <n v="813.66"/>
    <n v="-1535"/>
    <n v="50000"/>
    <n v="49278.66"/>
  </r>
  <r>
    <x v="8"/>
    <x v="45"/>
    <n v="2978.95"/>
    <n v="-5471.91"/>
    <n v="50000"/>
    <n v="47507.040000000001"/>
  </r>
  <r>
    <x v="8"/>
    <x v="46"/>
    <n v="5608.43"/>
    <n v="-9812.23"/>
    <n v="50000"/>
    <n v="45796.2"/>
  </r>
  <r>
    <x v="8"/>
    <x v="47"/>
    <n v="7962.03"/>
    <n v="-7139.35"/>
    <n v="50000"/>
    <n v="50822.68"/>
  </r>
  <r>
    <x v="8"/>
    <x v="48"/>
    <n v="9418.74"/>
    <n v="-7013.16"/>
    <n v="50000"/>
    <n v="52405.58"/>
  </r>
  <r>
    <x v="8"/>
    <x v="49"/>
    <n v="10587.12"/>
    <n v="-7323.68"/>
    <n v="50000"/>
    <n v="53263.44"/>
  </r>
  <r>
    <x v="8"/>
    <x v="50"/>
    <n v="12040.62"/>
    <n v="-8053.29"/>
    <n v="50000"/>
    <n v="53987.33"/>
  </r>
  <r>
    <x v="8"/>
    <x v="51"/>
    <n v="13540.4"/>
    <n v="-9021.67"/>
    <n v="50000"/>
    <n v="54518.73"/>
  </r>
  <r>
    <x v="8"/>
    <x v="52"/>
    <n v="15138.17"/>
    <n v="-13558.94"/>
    <n v="50000"/>
    <n v="51579.23"/>
  </r>
  <r>
    <x v="8"/>
    <x v="53"/>
    <n v="16423.47"/>
    <n v="-16576.939999999999"/>
    <n v="50000"/>
    <n v="49846.53"/>
  </r>
  <r>
    <x v="8"/>
    <x v="54"/>
    <n v="17494.71"/>
    <n v="-17320.22"/>
    <n v="50000"/>
    <n v="50174.49"/>
  </r>
  <r>
    <x v="8"/>
    <x v="55"/>
    <n v="18493.73"/>
    <n v="-16615.13"/>
    <n v="50000"/>
    <n v="51878.6"/>
  </r>
  <r>
    <x v="8"/>
    <x v="56"/>
    <n v="19535.32"/>
    <n v="-17406.62"/>
    <n v="50000"/>
    <n v="52128.7"/>
  </r>
  <r>
    <x v="8"/>
    <x v="57"/>
    <n v="20302.71"/>
    <n v="-13511.27"/>
    <n v="50000"/>
    <n v="56791.44"/>
  </r>
  <r>
    <x v="8"/>
    <x v="58"/>
    <n v="20900.400000000001"/>
    <n v="-13881.9"/>
    <n v="50000"/>
    <n v="57018.5"/>
  </r>
  <r>
    <x v="8"/>
    <x v="59"/>
    <n v="21584.78"/>
    <n v="-14667.29"/>
    <n v="50000"/>
    <n v="56917.49"/>
  </r>
  <r>
    <x v="8"/>
    <x v="60"/>
    <n v="22490.26"/>
    <n v="-13842.82"/>
    <n v="50000"/>
    <n v="58647.44"/>
  </r>
  <r>
    <x v="8"/>
    <x v="61"/>
    <n v="23357.06"/>
    <n v="-14606.29"/>
    <n v="50000"/>
    <n v="58750.77"/>
  </r>
  <r>
    <x v="8"/>
    <x v="62"/>
    <n v="23817.34"/>
    <n v="-13945.18"/>
    <n v="50000"/>
    <n v="59872.160000000003"/>
  </r>
  <r>
    <x v="8"/>
    <x v="63"/>
    <n v="10633.2"/>
    <n v="-228.79"/>
    <n v="39962.699999999997"/>
    <n v="50367.11"/>
  </r>
  <r>
    <x v="8"/>
    <x v="64"/>
    <n v="11605.78"/>
    <n v="-826.14"/>
    <n v="39962.699999999997"/>
    <n v="50742.34"/>
  </r>
  <r>
    <x v="8"/>
    <x v="30"/>
    <n v="12383.53"/>
    <n v="-2239.4499999999998"/>
    <n v="39962.699999999997"/>
    <n v="50106.78"/>
  </r>
  <r>
    <x v="8"/>
    <x v="31"/>
    <n v="12861"/>
    <n v="-2583.41"/>
    <n v="39962.699999999997"/>
    <n v="50240.29"/>
  </r>
  <r>
    <x v="8"/>
    <x v="32"/>
    <n v="13525.14"/>
    <n v="-3868.41"/>
    <n v="39962.699999999997"/>
    <n v="49619.43"/>
  </r>
  <r>
    <x v="8"/>
    <x v="0"/>
    <n v="14030.58"/>
    <n v="-3507.34"/>
    <n v="39962.699999999997"/>
    <n v="50485.94"/>
  </r>
  <r>
    <x v="8"/>
    <x v="1"/>
    <n v="14708.29"/>
    <n v="-4129.03"/>
    <n v="39962.699999999997"/>
    <n v="50541.96"/>
  </r>
  <r>
    <x v="8"/>
    <x v="2"/>
    <n v="15209.79"/>
    <n v="-3436.5"/>
    <n v="39962.699999999997"/>
    <n v="51735.99"/>
  </r>
  <r>
    <x v="8"/>
    <x v="3"/>
    <n v="15627.12"/>
    <n v="-4281.2700000000004"/>
    <n v="39962.699999999997"/>
    <n v="51308.55"/>
  </r>
  <r>
    <x v="8"/>
    <x v="4"/>
    <n v="16044.91"/>
    <n v="-3843.43"/>
    <n v="39962.699999999997"/>
    <n v="52164.18"/>
  </r>
  <r>
    <x v="8"/>
    <x v="5"/>
    <n v="16847.18"/>
    <n v="-5327.43"/>
    <n v="39962.699999999997"/>
    <n v="51482.45"/>
  </r>
  <r>
    <x v="8"/>
    <x v="6"/>
    <n v="17669.43"/>
    <n v="-4704.2299999999996"/>
    <n v="39962.699999999997"/>
    <n v="52927.9"/>
  </r>
  <r>
    <x v="8"/>
    <x v="7"/>
    <n v="18575.25"/>
    <n v="-6447.79"/>
    <n v="39962.699999999997"/>
    <n v="52090.16"/>
  </r>
  <r>
    <x v="8"/>
    <x v="8"/>
    <n v="19333.400000000001"/>
    <n v="-8468.56"/>
    <n v="39962.699999999997"/>
    <n v="50827.54"/>
  </r>
  <r>
    <x v="8"/>
    <x v="9"/>
    <n v="20276.759999999998"/>
    <n v="-13444.56"/>
    <n v="39962.699999999997"/>
    <n v="46794.9"/>
  </r>
  <r>
    <x v="8"/>
    <x v="10"/>
    <n v="22086.69"/>
    <n v="-14449.98"/>
    <n v="39962.699999999997"/>
    <n v="47599.41"/>
  </r>
  <r>
    <x v="8"/>
    <x v="11"/>
    <n v="24000.99"/>
    <n v="-23626.77"/>
    <n v="39962.699999999997"/>
    <n v="40336.92"/>
  </r>
  <r>
    <x v="8"/>
    <x v="12"/>
    <n v="25326.59"/>
    <n v="-32654.19"/>
    <n v="39962.699999999997"/>
    <n v="32635.1"/>
  </r>
  <r>
    <x v="8"/>
    <x v="13"/>
    <n v="25757.52"/>
    <n v="-34938.35"/>
    <n v="39962.699999999997"/>
    <n v="30781.87"/>
  </r>
  <r>
    <x v="8"/>
    <x v="14"/>
    <n v="28275.13"/>
    <n v="-32272.240000000002"/>
    <n v="39962.699999999997"/>
    <n v="35965.589999999997"/>
  </r>
  <r>
    <x v="8"/>
    <x v="15"/>
    <n v="31775.46"/>
    <n v="-25335.75"/>
    <n v="39962.699999999997"/>
    <n v="46402.41"/>
  </r>
  <r>
    <x v="8"/>
    <x v="16"/>
    <n v="33333.599999999999"/>
    <n v="-29719.63"/>
    <n v="39962.699999999997"/>
    <n v="43576.67"/>
  </r>
  <r>
    <x v="8"/>
    <x v="17"/>
    <n v="35790.01"/>
    <n v="-39333.800000000003"/>
    <n v="39962.699999999997"/>
    <n v="36418.910000000003"/>
  </r>
  <r>
    <x v="8"/>
    <x v="18"/>
    <n v="35880.5"/>
    <n v="-43693.4"/>
    <n v="39962.699999999997"/>
    <n v="32149.8"/>
  </r>
  <r>
    <x v="8"/>
    <x v="19"/>
    <n v="37075.699999999997"/>
    <n v="-38071.01"/>
    <n v="39962.699999999997"/>
    <n v="38967.39"/>
  </r>
  <r>
    <x v="8"/>
    <x v="20"/>
    <n v="39032.82"/>
    <n v="-47323.02"/>
    <n v="39962.699999999997"/>
    <n v="31672.5"/>
  </r>
  <r>
    <x v="8"/>
    <x v="21"/>
    <n v="39995.230000000003"/>
    <n v="-43349.02"/>
    <n v="39962.699999999997"/>
    <n v="36608.910000000003"/>
  </r>
  <r>
    <x v="8"/>
    <x v="22"/>
    <n v="40574.519999999997"/>
    <n v="-56634.26"/>
    <n v="39962.699999999997"/>
    <n v="23902.959999999999"/>
  </r>
  <r>
    <x v="8"/>
    <x v="24"/>
    <n v="41597.93"/>
    <n v="-42945.9"/>
    <n v="39962.699999999997"/>
    <n v="38614.730000000003"/>
  </r>
  <r>
    <x v="8"/>
    <x v="25"/>
    <n v="43203.46"/>
    <n v="-53842.91"/>
    <n v="39962.699999999997"/>
    <n v="29323.25"/>
  </r>
  <r>
    <x v="8"/>
    <x v="26"/>
    <n v="43238.87"/>
    <n v="-56250.44"/>
    <n v="39962.699999999997"/>
    <n v="26951.13"/>
  </r>
  <r>
    <x v="8"/>
    <x v="27"/>
    <n v="43238.87"/>
    <n v="-59668.21"/>
    <n v="39962.699999999997"/>
    <n v="23533.360000000001"/>
  </r>
  <r>
    <x v="8"/>
    <x v="28"/>
    <n v="44733.59"/>
    <n v="-61697.19"/>
    <n v="39962.699999999997"/>
    <n v="22999.1"/>
  </r>
  <r>
    <x v="8"/>
    <x v="29"/>
    <n v="-20575.05"/>
    <n v="-4451.9399999999996"/>
    <n v="39962.699999999997"/>
    <n v="14935.71"/>
  </r>
  <r>
    <x v="9"/>
    <x v="23"/>
    <n v="0"/>
    <n v="-24928.66"/>
    <n v="0"/>
    <n v="-24928.66"/>
  </r>
  <r>
    <x v="9"/>
    <x v="51"/>
    <n v="1982.62"/>
    <n v="-3915.64"/>
    <n v="100000"/>
    <n v="98066.98"/>
  </r>
  <r>
    <x v="9"/>
    <x v="52"/>
    <n v="5121.5200000000004"/>
    <n v="-7907.96"/>
    <n v="100000"/>
    <n v="97213.56"/>
  </r>
  <r>
    <x v="9"/>
    <x v="53"/>
    <n v="7410"/>
    <n v="-11830.46"/>
    <n v="100000"/>
    <n v="95579.54"/>
  </r>
  <r>
    <x v="9"/>
    <x v="54"/>
    <n v="9748.61"/>
    <n v="-16701.939999999999"/>
    <n v="100000"/>
    <n v="93046.67"/>
  </r>
  <r>
    <x v="9"/>
    <x v="55"/>
    <n v="11820.66"/>
    <n v="-16543.04"/>
    <n v="100000"/>
    <n v="95277.62"/>
  </r>
  <r>
    <x v="9"/>
    <x v="56"/>
    <n v="14447.33"/>
    <n v="-18885.259999999998"/>
    <n v="100000"/>
    <n v="95562.07"/>
  </r>
  <r>
    <x v="9"/>
    <x v="57"/>
    <n v="16048.42"/>
    <n v="-16267.82"/>
    <n v="100000"/>
    <n v="99780.6"/>
  </r>
  <r>
    <x v="9"/>
    <x v="58"/>
    <n v="17453.03"/>
    <n v="-15729.71"/>
    <n v="100000"/>
    <n v="101723.32"/>
  </r>
  <r>
    <x v="9"/>
    <x v="59"/>
    <n v="18777.330000000002"/>
    <n v="-15641.29"/>
    <n v="100000"/>
    <n v="103136.04"/>
  </r>
  <r>
    <x v="9"/>
    <x v="60"/>
    <n v="20516.34"/>
    <n v="-18431.830000000002"/>
    <n v="100000"/>
    <n v="102084.51"/>
  </r>
  <r>
    <x v="9"/>
    <x v="61"/>
    <n v="22301.89"/>
    <n v="-20036.21"/>
    <n v="100000"/>
    <n v="102265.68"/>
  </r>
  <r>
    <x v="9"/>
    <x v="62"/>
    <n v="23038.78"/>
    <n v="-21010.3"/>
    <n v="100000"/>
    <n v="102028.48"/>
  </r>
  <r>
    <x v="9"/>
    <x v="63"/>
    <n v="24251.35"/>
    <n v="-20164.02"/>
    <n v="100000"/>
    <n v="104087.33"/>
  </r>
  <r>
    <x v="9"/>
    <x v="64"/>
    <n v="25223.02"/>
    <n v="-20439.32"/>
    <n v="100000"/>
    <n v="104783.7"/>
  </r>
  <r>
    <x v="9"/>
    <x v="30"/>
    <n v="27264.95"/>
    <n v="-27394.3"/>
    <n v="100000"/>
    <n v="99870.65"/>
  </r>
  <r>
    <x v="9"/>
    <x v="31"/>
    <n v="28258.02"/>
    <n v="-26502.53"/>
    <n v="100000"/>
    <n v="101755.49"/>
  </r>
  <r>
    <x v="9"/>
    <x v="32"/>
    <n v="29395.55"/>
    <n v="-28691.32"/>
    <n v="100000"/>
    <n v="100704.23"/>
  </r>
  <r>
    <x v="9"/>
    <x v="0"/>
    <n v="30613.01"/>
    <n v="-31584.55"/>
    <n v="100000"/>
    <n v="99028.46"/>
  </r>
  <r>
    <x v="9"/>
    <x v="1"/>
    <n v="32005"/>
    <n v="-31788.75"/>
    <n v="100000"/>
    <n v="100216.25"/>
  </r>
  <r>
    <x v="9"/>
    <x v="2"/>
    <n v="33074.81"/>
    <n v="-33744.6"/>
    <n v="100000"/>
    <n v="99330.21"/>
  </r>
  <r>
    <x v="9"/>
    <x v="3"/>
    <n v="33997.58"/>
    <n v="-35672.54"/>
    <n v="100000"/>
    <n v="98325.04"/>
  </r>
  <r>
    <x v="9"/>
    <x v="4"/>
    <n v="34813.660000000003"/>
    <n v="-28401.15"/>
    <n v="100000"/>
    <n v="106412.51"/>
  </r>
  <r>
    <x v="9"/>
    <x v="5"/>
    <n v="35844.720000000001"/>
    <n v="-28211.78"/>
    <n v="100000"/>
    <n v="107632.94"/>
  </r>
  <r>
    <x v="9"/>
    <x v="6"/>
    <n v="37253.129999999997"/>
    <n v="-11551.62"/>
    <n v="100000"/>
    <n v="125701.51"/>
  </r>
  <r>
    <x v="9"/>
    <x v="7"/>
    <n v="39148.78"/>
    <n v="-29308.28"/>
    <n v="100000"/>
    <n v="109840.5"/>
  </r>
  <r>
    <x v="9"/>
    <x v="8"/>
    <n v="40526.11"/>
    <n v="-35463.370000000003"/>
    <n v="100000"/>
    <n v="105062.74"/>
  </r>
  <r>
    <x v="9"/>
    <x v="9"/>
    <n v="42839.6"/>
    <n v="-35651.9"/>
    <n v="100000"/>
    <n v="107187.7"/>
  </r>
  <r>
    <x v="9"/>
    <x v="10"/>
    <n v="46609.23"/>
    <n v="-46404.31"/>
    <n v="100000"/>
    <n v="100204.92"/>
  </r>
  <r>
    <x v="9"/>
    <x v="11"/>
    <n v="49995.88"/>
    <n v="-63411.86"/>
    <n v="100000"/>
    <n v="86584.02"/>
  </r>
  <r>
    <x v="9"/>
    <x v="12"/>
    <n v="50706.41"/>
    <n v="-92818.7"/>
    <n v="100000"/>
    <n v="57887.71"/>
  </r>
  <r>
    <x v="9"/>
    <x v="13"/>
    <n v="50738.07"/>
    <n v="-91706.42"/>
    <n v="100000"/>
    <n v="59031.65"/>
  </r>
  <r>
    <x v="9"/>
    <x v="14"/>
    <n v="53191.67"/>
    <n v="-82169.56"/>
    <n v="100000"/>
    <n v="71022.11"/>
  </r>
  <r>
    <x v="9"/>
    <x v="15"/>
    <n v="60320.36"/>
    <n v="-63597.05"/>
    <n v="100000"/>
    <n v="96723.31"/>
  </r>
  <r>
    <x v="9"/>
    <x v="16"/>
    <n v="63378.63"/>
    <n v="-79411.08"/>
    <n v="100000"/>
    <n v="83967.55"/>
  </r>
  <r>
    <x v="9"/>
    <x v="17"/>
    <n v="64782.16"/>
    <n v="-104501.02"/>
    <n v="100000"/>
    <n v="60281.14"/>
  </r>
  <r>
    <x v="9"/>
    <x v="18"/>
    <n v="64807.91"/>
    <n v="-115858.53"/>
    <n v="100000"/>
    <n v="48949.38"/>
  </r>
  <r>
    <x v="9"/>
    <x v="19"/>
    <n v="66637.149999999994"/>
    <n v="-87507.07"/>
    <n v="100000"/>
    <n v="79130.080000000002"/>
  </r>
  <r>
    <x v="9"/>
    <x v="20"/>
    <n v="69857.039999999994"/>
    <n v="-103607.97"/>
    <n v="100000"/>
    <n v="66249.070000000007"/>
  </r>
  <r>
    <x v="9"/>
    <x v="21"/>
    <n v="70004.28"/>
    <n v="-112688.8"/>
    <n v="100000"/>
    <n v="57315.48"/>
  </r>
  <r>
    <x v="9"/>
    <x v="22"/>
    <n v="70004.28"/>
    <n v="-142272.24"/>
    <n v="100000"/>
    <n v="27732.04"/>
  </r>
  <r>
    <x v="9"/>
    <x v="24"/>
    <n v="70004.28"/>
    <n v="-128936.18"/>
    <n v="100000"/>
    <n v="41068.1"/>
  </r>
  <r>
    <x v="9"/>
    <x v="25"/>
    <n v="70004.28"/>
    <n v="-142942.19"/>
    <n v="100000"/>
    <n v="27062.09"/>
  </r>
  <r>
    <x v="9"/>
    <x v="27"/>
    <n v="70004.28"/>
    <n v="-144346.07"/>
    <n v="100000"/>
    <n v="25658.21"/>
  </r>
  <r>
    <x v="9"/>
    <x v="28"/>
    <n v="73702.13"/>
    <n v="-125862.84"/>
    <n v="100000"/>
    <n v="47839.29"/>
  </r>
  <r>
    <x v="9"/>
    <x v="29"/>
    <n v="-52694.06"/>
    <n v="237.1"/>
    <n v="100000"/>
    <n v="47543.040000000001"/>
  </r>
  <r>
    <x v="10"/>
    <x v="23"/>
    <n v="0"/>
    <n v="-39737.21"/>
    <n v="0"/>
    <n v="-39737.21"/>
  </r>
  <r>
    <x v="10"/>
    <x v="51"/>
    <n v="160.97"/>
    <n v="-333.35"/>
    <n v="50000"/>
    <n v="49827.62"/>
  </r>
  <r>
    <x v="10"/>
    <x v="52"/>
    <n v="1049.68"/>
    <n v="-2194.0300000000002"/>
    <n v="50000"/>
    <n v="48855.65"/>
  </r>
  <r>
    <x v="10"/>
    <x v="53"/>
    <n v="1861.05"/>
    <n v="-2551.52"/>
    <n v="50000"/>
    <n v="49309.53"/>
  </r>
  <r>
    <x v="10"/>
    <x v="54"/>
    <n v="2537.9899999999998"/>
    <n v="-3909.55"/>
    <n v="50000"/>
    <n v="48628.44"/>
  </r>
  <r>
    <x v="10"/>
    <x v="55"/>
    <n v="3424.72"/>
    <n v="-5566.28"/>
    <n v="50000"/>
    <n v="47858.44"/>
  </r>
  <r>
    <x v="10"/>
    <x v="56"/>
    <n v="4203.18"/>
    <n v="-6659.52"/>
    <n v="50000"/>
    <n v="47543.66"/>
  </r>
  <r>
    <x v="10"/>
    <x v="57"/>
    <n v="4690.1099999999997"/>
    <n v="-6472.72"/>
    <n v="50000"/>
    <n v="48217.39"/>
  </r>
  <r>
    <x v="10"/>
    <x v="58"/>
    <n v="5078.59"/>
    <n v="-6014.95"/>
    <n v="50000"/>
    <n v="49063.64"/>
  </r>
  <r>
    <x v="10"/>
    <x v="59"/>
    <n v="5618.38"/>
    <n v="-6110.57"/>
    <n v="50000"/>
    <n v="49507.81"/>
  </r>
  <r>
    <x v="10"/>
    <x v="60"/>
    <n v="6170.1"/>
    <n v="-7993.94"/>
    <n v="50000"/>
    <n v="48176.160000000003"/>
  </r>
  <r>
    <x v="10"/>
    <x v="61"/>
    <n v="6687.8"/>
    <n v="-8552.4"/>
    <n v="50000"/>
    <n v="48135.4"/>
  </r>
  <r>
    <x v="10"/>
    <x v="62"/>
    <n v="7065.07"/>
    <n v="-8811.86"/>
    <n v="50000"/>
    <n v="48253.21"/>
  </r>
  <r>
    <x v="10"/>
    <x v="63"/>
    <n v="7426.93"/>
    <n v="-8473.2199999999993"/>
    <n v="50000"/>
    <n v="48953.71"/>
  </r>
  <r>
    <x v="10"/>
    <x v="64"/>
    <n v="8018.79"/>
    <n v="-8997.94"/>
    <n v="50000"/>
    <n v="49020.85"/>
  </r>
  <r>
    <x v="10"/>
    <x v="30"/>
    <n v="8551.17"/>
    <n v="-13481.22"/>
    <n v="50000"/>
    <n v="45069.95"/>
  </r>
  <r>
    <x v="10"/>
    <x v="31"/>
    <n v="8995.66"/>
    <n v="-14147.34"/>
    <n v="50000"/>
    <n v="44848.32"/>
  </r>
  <r>
    <x v="10"/>
    <x v="32"/>
    <n v="9313.35"/>
    <n v="-15235.63"/>
    <n v="50000"/>
    <n v="44077.72"/>
  </r>
  <r>
    <x v="10"/>
    <x v="0"/>
    <n v="9817.85"/>
    <n v="-18134.37"/>
    <n v="50000"/>
    <n v="41683.480000000003"/>
  </r>
  <r>
    <x v="10"/>
    <x v="1"/>
    <n v="10213.41"/>
    <n v="-16422.259999999998"/>
    <n v="50000"/>
    <n v="43791.15"/>
  </r>
  <r>
    <x v="10"/>
    <x v="2"/>
    <n v="10711.52"/>
    <n v="-17577.05"/>
    <n v="50000"/>
    <n v="43134.47"/>
  </r>
  <r>
    <x v="10"/>
    <x v="3"/>
    <n v="11055.99"/>
    <n v="-17651.59"/>
    <n v="50000"/>
    <n v="43404.4"/>
  </r>
  <r>
    <x v="10"/>
    <x v="4"/>
    <n v="11313.43"/>
    <n v="-14628.24"/>
    <n v="50000"/>
    <n v="46685.19"/>
  </r>
  <r>
    <x v="10"/>
    <x v="5"/>
    <n v="11760.8"/>
    <n v="-14129.6"/>
    <n v="50000"/>
    <n v="47631.199999999997"/>
  </r>
  <r>
    <x v="10"/>
    <x v="6"/>
    <n v="12153.67"/>
    <n v="-3812.81"/>
    <n v="50000"/>
    <n v="58340.86"/>
  </r>
  <r>
    <x v="10"/>
    <x v="7"/>
    <n v="12636.04"/>
    <n v="-15521.85"/>
    <n v="50000"/>
    <n v="47114.19"/>
  </r>
  <r>
    <x v="10"/>
    <x v="8"/>
    <n v="13132.6"/>
    <n v="-18959.240000000002"/>
    <n v="50000"/>
    <n v="44173.36"/>
  </r>
  <r>
    <x v="10"/>
    <x v="9"/>
    <n v="13907.91"/>
    <n v="-20737.3"/>
    <n v="50000"/>
    <n v="43170.61"/>
  </r>
  <r>
    <x v="10"/>
    <x v="10"/>
    <n v="14237.08"/>
    <n v="-19226.8"/>
    <n v="50000"/>
    <n v="45010.28"/>
  </r>
  <r>
    <x v="10"/>
    <x v="11"/>
    <n v="15195.79"/>
    <n v="-30251.29"/>
    <n v="50000"/>
    <n v="34944.5"/>
  </r>
  <r>
    <x v="10"/>
    <x v="12"/>
    <n v="16157.28"/>
    <n v="-33180.15"/>
    <n v="50000"/>
    <n v="32977.129999999997"/>
  </r>
  <r>
    <x v="10"/>
    <x v="13"/>
    <n v="16855.89"/>
    <n v="-34226.910000000003"/>
    <n v="50000"/>
    <n v="32628.98"/>
  </r>
  <r>
    <x v="10"/>
    <x v="14"/>
    <n v="18482.61"/>
    <n v="-31781.05"/>
    <n v="50000"/>
    <n v="36701.56"/>
  </r>
  <r>
    <x v="10"/>
    <x v="15"/>
    <n v="20715.16"/>
    <n v="-27665.19"/>
    <n v="50000"/>
    <n v="43049.97"/>
  </r>
  <r>
    <x v="10"/>
    <x v="16"/>
    <n v="22046.54"/>
    <n v="-28336.07"/>
    <n v="50000"/>
    <n v="43710.47"/>
  </r>
  <r>
    <x v="10"/>
    <x v="17"/>
    <n v="23277.47"/>
    <n v="-36296.269999999997"/>
    <n v="50000"/>
    <n v="36981.199999999997"/>
  </r>
  <r>
    <x v="10"/>
    <x v="18"/>
    <n v="23746.37"/>
    <n v="-44556.78"/>
    <n v="50000"/>
    <n v="29189.59"/>
  </r>
  <r>
    <x v="10"/>
    <x v="19"/>
    <n v="23757.51"/>
    <n v="-42502.81"/>
    <n v="50000"/>
    <n v="31254.7"/>
  </r>
  <r>
    <x v="10"/>
    <x v="20"/>
    <n v="23920.32"/>
    <n v="-52687.66"/>
    <n v="50000"/>
    <n v="21232.66"/>
  </r>
  <r>
    <x v="10"/>
    <x v="21"/>
    <n v="23920.32"/>
    <n v="-53577.94"/>
    <n v="50000"/>
    <n v="20342.38"/>
  </r>
  <r>
    <x v="10"/>
    <x v="22"/>
    <n v="10055.709999999999"/>
    <n v="-54282.55"/>
    <n v="50000"/>
    <n v="5773.16"/>
  </r>
  <r>
    <x v="10"/>
    <x v="24"/>
    <n v="-1926"/>
    <n v="-35446.35"/>
    <n v="50000"/>
    <n v="12627.65"/>
  </r>
  <r>
    <x v="10"/>
    <x v="25"/>
    <n v="-1912.3"/>
    <n v="-40658.949999999997"/>
    <n v="50000"/>
    <n v="7428.75"/>
  </r>
  <r>
    <x v="10"/>
    <x v="27"/>
    <n v="-6937.4"/>
    <n v="-35253.71"/>
    <n v="50000"/>
    <n v="7808.89"/>
  </r>
  <r>
    <x v="10"/>
    <x v="28"/>
    <n v="-6937.4"/>
    <n v="-29986.560000000001"/>
    <n v="50000"/>
    <n v="13076.04"/>
  </r>
  <r>
    <x v="10"/>
    <x v="29"/>
    <n v="-36938.1"/>
    <n v="-15623.94"/>
    <n v="50000"/>
    <n v="-2562.04"/>
  </r>
  <r>
    <x v="11"/>
    <x v="23"/>
    <n v="-7315.22"/>
    <n v="-21874.19"/>
    <n v="0"/>
    <n v="-29189.41"/>
  </r>
  <r>
    <x v="11"/>
    <x v="51"/>
    <n v="-6746"/>
    <n v="-891.88"/>
    <n v="100000"/>
    <n v="92362.12"/>
  </r>
  <r>
    <x v="11"/>
    <x v="52"/>
    <n v="-3531.55"/>
    <n v="-5212.55"/>
    <n v="100000"/>
    <n v="91255.9"/>
  </r>
  <r>
    <x v="11"/>
    <x v="53"/>
    <n v="-570.13"/>
    <n v="-9326.57"/>
    <n v="100000"/>
    <n v="90103.3"/>
  </r>
  <r>
    <x v="11"/>
    <x v="54"/>
    <n v="2047.7"/>
    <n v="-11343.4"/>
    <n v="100000"/>
    <n v="90704.3"/>
  </r>
  <r>
    <x v="11"/>
    <x v="55"/>
    <n v="4427.05"/>
    <n v="-14056.85"/>
    <n v="100000"/>
    <n v="90370.2"/>
  </r>
  <r>
    <x v="11"/>
    <x v="56"/>
    <n v="6766.38"/>
    <n v="-12294.94"/>
    <n v="100000"/>
    <n v="94471.44"/>
  </r>
  <r>
    <x v="11"/>
    <x v="59"/>
    <n v="-2878.9"/>
    <n v="-2495.09"/>
    <n v="97585.19"/>
    <n v="92211.199999999997"/>
  </r>
  <r>
    <x v="11"/>
    <x v="60"/>
    <n v="-636.09"/>
    <n v="-4887.57"/>
    <n v="97585.19"/>
    <n v="92061.53"/>
  </r>
  <r>
    <x v="11"/>
    <x v="61"/>
    <n v="1271.1500000000001"/>
    <n v="-7251.17"/>
    <n v="97585.19"/>
    <n v="91605.17"/>
  </r>
  <r>
    <x v="11"/>
    <x v="62"/>
    <n v="2423.5500000000002"/>
    <n v="-10057.5"/>
    <n v="97585.19"/>
    <n v="89951.24"/>
  </r>
  <r>
    <x v="11"/>
    <x v="63"/>
    <n v="3619.59"/>
    <n v="-10075.83"/>
    <n v="97585.19"/>
    <n v="91128.95"/>
  </r>
  <r>
    <x v="11"/>
    <x v="64"/>
    <n v="6077.51"/>
    <n v="-11417.54"/>
    <n v="97585.19"/>
    <n v="92245.16"/>
  </r>
  <r>
    <x v="11"/>
    <x v="30"/>
    <n v="8144"/>
    <n v="-14435.81"/>
    <n v="97585.19"/>
    <n v="91293.38"/>
  </r>
  <r>
    <x v="11"/>
    <x v="31"/>
    <n v="9493.77"/>
    <n v="-13770.46"/>
    <n v="97585.19"/>
    <n v="93308.5"/>
  </r>
  <r>
    <x v="11"/>
    <x v="32"/>
    <n v="11111.16"/>
    <n v="-15116.24"/>
    <n v="97585.19"/>
    <n v="93580.11"/>
  </r>
  <r>
    <x v="11"/>
    <x v="0"/>
    <n v="12324"/>
    <n v="-16482.27"/>
    <n v="97585.19"/>
    <n v="93426.92"/>
  </r>
  <r>
    <x v="11"/>
    <x v="1"/>
    <n v="13841.36"/>
    <n v="-15842.1"/>
    <n v="97585.19"/>
    <n v="95584.45"/>
  </r>
  <r>
    <x v="11"/>
    <x v="2"/>
    <n v="14687.71"/>
    <n v="-17069.189999999999"/>
    <n v="97585.19"/>
    <n v="95203.71"/>
  </r>
  <r>
    <x v="11"/>
    <x v="3"/>
    <n v="15140.21"/>
    <n v="-20639.96"/>
    <n v="97585.19"/>
    <n v="92085.440000000002"/>
  </r>
  <r>
    <x v="11"/>
    <x v="4"/>
    <n v="15965.87"/>
    <n v="-20739.07"/>
    <n v="97585.19"/>
    <n v="92811.99"/>
  </r>
  <r>
    <x v="11"/>
    <x v="5"/>
    <n v="17721.7"/>
    <n v="-21901.9"/>
    <n v="97585.19"/>
    <n v="93404.99"/>
  </r>
  <r>
    <x v="11"/>
    <x v="6"/>
    <n v="19256.349999999999"/>
    <n v="-21792.42"/>
    <n v="97585.19"/>
    <n v="95049.12"/>
  </r>
  <r>
    <x v="11"/>
    <x v="7"/>
    <n v="20682.7"/>
    <n v="-30920.6"/>
    <n v="97585.19"/>
    <n v="87347.29"/>
  </r>
  <r>
    <x v="11"/>
    <x v="8"/>
    <n v="22221.3"/>
    <n v="-38127.72"/>
    <n v="97585.19"/>
    <n v="81678.77"/>
  </r>
  <r>
    <x v="11"/>
    <x v="9"/>
    <n v="24084.35"/>
    <n v="-56672.49"/>
    <n v="97585.19"/>
    <n v="64997.05"/>
  </r>
  <r>
    <x v="11"/>
    <x v="10"/>
    <n v="25441.66"/>
    <n v="-55158.400000000001"/>
    <n v="97585.19"/>
    <n v="67868.45"/>
  </r>
  <r>
    <x v="11"/>
    <x v="11"/>
    <n v="26877.69"/>
    <n v="-75383"/>
    <n v="97585.19"/>
    <n v="49079.88"/>
  </r>
  <r>
    <x v="11"/>
    <x v="12"/>
    <n v="26877.69"/>
    <n v="-88251.49"/>
    <n v="97585.19"/>
    <n v="36211.39"/>
  </r>
  <r>
    <x v="11"/>
    <x v="13"/>
    <n v="26957.61"/>
    <n v="-104857.81"/>
    <n v="97585.19"/>
    <n v="19684.990000000002"/>
  </r>
  <r>
    <x v="11"/>
    <x v="14"/>
    <n v="17859.849999999999"/>
    <n v="-83780.59"/>
    <n v="97585.19"/>
    <n v="31664.45"/>
  </r>
  <r>
    <x v="11"/>
    <x v="15"/>
    <n v="20131.16"/>
    <n v="-69940.78"/>
    <n v="97585.19"/>
    <n v="47775.57"/>
  </r>
  <r>
    <x v="11"/>
    <x v="16"/>
    <n v="20608.12"/>
    <n v="-80632.41"/>
    <n v="97585.19"/>
    <n v="37560.9"/>
  </r>
  <r>
    <x v="11"/>
    <x v="17"/>
    <n v="20608.12"/>
    <n v="-96652.26"/>
    <n v="97585.19"/>
    <n v="21541.05"/>
  </r>
  <r>
    <x v="11"/>
    <x v="18"/>
    <n v="8018.89"/>
    <n v="-90500.56"/>
    <n v="97585.19"/>
    <n v="15103.52"/>
  </r>
  <r>
    <x v="11"/>
    <x v="19"/>
    <n v="8986.32"/>
    <n v="-75922.19"/>
    <n v="97585.19"/>
    <n v="30649.32"/>
  </r>
  <r>
    <x v="11"/>
    <x v="20"/>
    <n v="8986.32"/>
    <n v="-90205.4"/>
    <n v="97585.19"/>
    <n v="16366.11"/>
  </r>
  <r>
    <x v="11"/>
    <x v="21"/>
    <n v="8986.32"/>
    <n v="-84564.12"/>
    <n v="97585.19"/>
    <n v="22007.39"/>
  </r>
  <r>
    <x v="11"/>
    <x v="22"/>
    <n v="8986.32"/>
    <n v="-102630.02"/>
    <n v="97585.19"/>
    <n v="3941.49"/>
  </r>
  <r>
    <x v="11"/>
    <x v="24"/>
    <n v="-24339.43"/>
    <n v="-55871.24"/>
    <n v="97585.19"/>
    <n v="17374.52"/>
  </r>
  <r>
    <x v="11"/>
    <x v="25"/>
    <n v="-44217.69"/>
    <n v="-54485.68"/>
    <n v="97585.19"/>
    <n v="-1118.18"/>
  </r>
  <r>
    <x v="11"/>
    <x v="26"/>
    <n v="-71391.649999999994"/>
    <n v="-29162.38"/>
    <n v="97585.19"/>
    <n v="-2968.84"/>
  </r>
  <r>
    <x v="11"/>
    <x v="27"/>
    <n v="-89557.49"/>
    <n v="-6452.01"/>
    <n v="97585.19"/>
    <n v="1575.69"/>
  </r>
  <r>
    <x v="11"/>
    <x v="28"/>
    <n v="-93921.47"/>
    <n v="-34.090000000000003"/>
    <n v="97585.19"/>
    <n v="3629.63"/>
  </r>
  <r>
    <x v="11"/>
    <x v="29"/>
    <n v="-94243.33"/>
    <n v="-236.74"/>
    <n v="97585.19"/>
    <n v="3105.12"/>
  </r>
  <r>
    <x v="12"/>
    <x v="23"/>
    <n v="1467.06"/>
    <n v="-124667.93"/>
    <n v="0"/>
    <n v="-123200.87"/>
  </r>
  <r>
    <x v="12"/>
    <x v="52"/>
    <n v="6456.06"/>
    <n v="-6819.33"/>
    <n v="100000"/>
    <n v="99636.73"/>
  </r>
  <r>
    <x v="12"/>
    <x v="53"/>
    <n v="11536.12"/>
    <n v="-14299.95"/>
    <n v="100000"/>
    <n v="97236.17"/>
  </r>
  <r>
    <x v="12"/>
    <x v="54"/>
    <n v="16146.73"/>
    <n v="-29786.21"/>
    <n v="100000"/>
    <n v="86360.52"/>
  </r>
  <r>
    <x v="12"/>
    <x v="55"/>
    <n v="20053.849999999999"/>
    <n v="-33399.61"/>
    <n v="100000"/>
    <n v="86654.24"/>
  </r>
  <r>
    <x v="12"/>
    <x v="56"/>
    <n v="24083.67"/>
    <n v="-37088.42"/>
    <n v="100000"/>
    <n v="86995.25"/>
  </r>
  <r>
    <x v="12"/>
    <x v="57"/>
    <n v="27668.62"/>
    <n v="-35435.949999999997"/>
    <n v="100000"/>
    <n v="92232.67"/>
  </r>
  <r>
    <x v="12"/>
    <x v="58"/>
    <n v="30971.71"/>
    <n v="-34074.639999999999"/>
    <n v="100000"/>
    <n v="96897.07"/>
  </r>
  <r>
    <x v="12"/>
    <x v="59"/>
    <n v="34737.360000000001"/>
    <n v="-31250.35"/>
    <n v="100000"/>
    <n v="103487.01"/>
  </r>
  <r>
    <x v="12"/>
    <x v="60"/>
    <n v="38072.97"/>
    <n v="-34962.25"/>
    <n v="100000"/>
    <n v="103110.72"/>
  </r>
  <r>
    <x v="12"/>
    <x v="61"/>
    <n v="41468.99"/>
    <n v="-35808.49"/>
    <n v="100000"/>
    <n v="105660.5"/>
  </r>
  <r>
    <x v="12"/>
    <x v="62"/>
    <n v="43817.47"/>
    <n v="-40329.47"/>
    <n v="100000"/>
    <n v="103488"/>
  </r>
  <r>
    <x v="12"/>
    <x v="63"/>
    <n v="46004.26"/>
    <n v="-36828.129999999997"/>
    <n v="120000"/>
    <n v="129176.13"/>
  </r>
  <r>
    <x v="12"/>
    <x v="64"/>
    <n v="49096.66"/>
    <n v="-74888.2"/>
    <n v="120000"/>
    <n v="94208.46"/>
  </r>
  <r>
    <x v="12"/>
    <x v="30"/>
    <n v="51543.79"/>
    <n v="-83179.53"/>
    <n v="120000"/>
    <n v="88364.26"/>
  </r>
  <r>
    <x v="12"/>
    <x v="31"/>
    <n v="53861.95"/>
    <n v="-73732.2"/>
    <n v="120000"/>
    <n v="100129.75"/>
  </r>
  <r>
    <x v="12"/>
    <x v="32"/>
    <n v="56176.63"/>
    <n v="-76484.25"/>
    <n v="120000"/>
    <n v="99692.38"/>
  </r>
  <r>
    <x v="12"/>
    <x v="0"/>
    <n v="58628.66"/>
    <n v="-73073.710000000006"/>
    <n v="120000"/>
    <n v="105554.95"/>
  </r>
  <r>
    <x v="12"/>
    <x v="1"/>
    <n v="60385.78"/>
    <n v="-77466.720000000001"/>
    <n v="120000"/>
    <n v="102919.06"/>
  </r>
  <r>
    <x v="12"/>
    <x v="2"/>
    <n v="63593.66"/>
    <n v="-82827.47"/>
    <n v="120000"/>
    <n v="100766.19"/>
  </r>
  <r>
    <x v="12"/>
    <x v="3"/>
    <n v="65665.259999999995"/>
    <n v="-93323.31"/>
    <n v="120000"/>
    <n v="92341.95"/>
  </r>
  <r>
    <x v="12"/>
    <x v="4"/>
    <n v="67299.509999999995"/>
    <n v="-83267.3"/>
    <n v="120000"/>
    <n v="104032.21"/>
  </r>
  <r>
    <x v="12"/>
    <x v="5"/>
    <n v="69270.899999999994"/>
    <n v="-80917.05"/>
    <n v="120000"/>
    <n v="108353.85"/>
  </r>
  <r>
    <x v="12"/>
    <x v="6"/>
    <n v="70941.37"/>
    <n v="-33501.040000000001"/>
    <n v="120000"/>
    <n v="157440.32999999999"/>
  </r>
  <r>
    <x v="12"/>
    <x v="7"/>
    <n v="73162.09"/>
    <n v="-104792.06"/>
    <n v="120000"/>
    <n v="88370.03"/>
  </r>
  <r>
    <x v="12"/>
    <x v="8"/>
    <n v="73910.22"/>
    <n v="-119413.17"/>
    <n v="120000"/>
    <n v="74497.05"/>
  </r>
  <r>
    <x v="12"/>
    <x v="9"/>
    <n v="74559.41"/>
    <n v="-145934.88"/>
    <n v="120000"/>
    <n v="48624.53"/>
  </r>
  <r>
    <x v="12"/>
    <x v="10"/>
    <n v="75461.240000000005"/>
    <n v="-113566.58"/>
    <n v="120000"/>
    <n v="81894.66"/>
  </r>
  <r>
    <x v="12"/>
    <x v="11"/>
    <n v="77115.69"/>
    <n v="-119856.84"/>
    <n v="120000"/>
    <n v="77258.850000000006"/>
  </r>
  <r>
    <x v="12"/>
    <x v="12"/>
    <n v="78367.210000000006"/>
    <n v="-123758.64"/>
    <n v="120000"/>
    <n v="74608.570000000007"/>
  </r>
  <r>
    <x v="12"/>
    <x v="13"/>
    <n v="78332.86"/>
    <n v="-133566.59"/>
    <n v="120000"/>
    <n v="64766.27"/>
  </r>
  <r>
    <x v="12"/>
    <x v="14"/>
    <n v="81409.460000000006"/>
    <n v="-115747.67"/>
    <n v="120000"/>
    <n v="85661.79"/>
  </r>
  <r>
    <x v="12"/>
    <x v="15"/>
    <n v="89909.94"/>
    <n v="-106108.77"/>
    <n v="120000"/>
    <n v="103801.17"/>
  </r>
  <r>
    <x v="12"/>
    <x v="16"/>
    <n v="93662.11"/>
    <n v="-126251.22"/>
    <n v="120000"/>
    <n v="87410.89"/>
  </r>
  <r>
    <x v="12"/>
    <x v="17"/>
    <n v="93835.01"/>
    <n v="-173617.66"/>
    <n v="120000"/>
    <n v="40217.35"/>
  </r>
  <r>
    <x v="12"/>
    <x v="18"/>
    <n v="93821.53"/>
    <n v="-162777.26"/>
    <n v="120000"/>
    <n v="51044.27"/>
  </r>
  <r>
    <x v="12"/>
    <x v="19"/>
    <n v="94680.7"/>
    <n v="-161994.14000000001"/>
    <n v="120000"/>
    <n v="52686.559999999998"/>
  </r>
  <r>
    <x v="12"/>
    <x v="20"/>
    <n v="94615.41"/>
    <n v="-164082.57"/>
    <n v="120000"/>
    <n v="50532.84"/>
  </r>
  <r>
    <x v="12"/>
    <x v="21"/>
    <n v="94497.71"/>
    <n v="-155711.21"/>
    <n v="120000"/>
    <n v="58786.5"/>
  </r>
  <r>
    <x v="12"/>
    <x v="22"/>
    <n v="93528.8"/>
    <n v="-149022.24"/>
    <n v="120000"/>
    <n v="64506.559999999998"/>
  </r>
  <r>
    <x v="12"/>
    <x v="24"/>
    <n v="93141.29"/>
    <n v="-117304.63"/>
    <n v="120000"/>
    <n v="95836.66"/>
  </r>
  <r>
    <x v="12"/>
    <x v="25"/>
    <n v="92532.19"/>
    <n v="-125332.99"/>
    <n v="100000"/>
    <n v="67199.199999999997"/>
  </r>
  <r>
    <x v="12"/>
    <x v="26"/>
    <n v="92725.79"/>
    <n v="-126848.06"/>
    <n v="100000"/>
    <n v="65877.73"/>
  </r>
  <r>
    <x v="12"/>
    <x v="27"/>
    <n v="93862.38"/>
    <n v="-134445.99"/>
    <n v="100000"/>
    <n v="59416.39"/>
  </r>
  <r>
    <x v="12"/>
    <x v="28"/>
    <n v="98366.33"/>
    <n v="-132464.34"/>
    <n v="100000"/>
    <n v="65901.990000000005"/>
  </r>
  <r>
    <x v="12"/>
    <x v="29"/>
    <n v="-27994.63"/>
    <n v="-9883.7800000000007"/>
    <n v="110000"/>
    <n v="72121.59"/>
  </r>
  <r>
    <x v="13"/>
    <x v="6"/>
    <n v="204.16"/>
    <n v="-2164.44"/>
    <n v="25000"/>
    <n v="23039.72"/>
  </r>
  <r>
    <x v="13"/>
    <x v="7"/>
    <n v="478.28"/>
    <n v="-8987.8700000000008"/>
    <n v="24988.91"/>
    <n v="16479.32"/>
  </r>
  <r>
    <x v="13"/>
    <x v="8"/>
    <n v="732.93"/>
    <n v="-10799.1"/>
    <n v="24988.91"/>
    <n v="14922.74"/>
  </r>
  <r>
    <x v="13"/>
    <x v="9"/>
    <n v="1096.54"/>
    <n v="-13591.16"/>
    <n v="24988.91"/>
    <n v="12494.289999999999"/>
  </r>
  <r>
    <x v="13"/>
    <x v="10"/>
    <n v="1764.55"/>
    <n v="-13456.52"/>
    <n v="24988.91"/>
    <n v="13296.94"/>
  </r>
  <r>
    <x v="13"/>
    <x v="11"/>
    <n v="2499.5700000000002"/>
    <n v="-15896.44"/>
    <n v="24988.91"/>
    <n v="11592.039999999999"/>
  </r>
  <r>
    <x v="13"/>
    <x v="12"/>
    <n v="1550.54"/>
    <n v="-19156.68"/>
    <n v="24988.91"/>
    <n v="7382.7699999999995"/>
  </r>
  <r>
    <x v="13"/>
    <x v="13"/>
    <n v="-18939.060000000001"/>
    <n v="-17258.009999999998"/>
    <n v="11972.23"/>
    <n v="-24224.84"/>
  </r>
  <r>
    <x v="14"/>
    <x v="52"/>
    <n v="346.36"/>
    <n v="-317.47000000000003"/>
    <n v="7500"/>
    <n v="7528.89"/>
  </r>
  <r>
    <x v="14"/>
    <x v="53"/>
    <n v="604.19000000000005"/>
    <n v="-590.25"/>
    <n v="7500"/>
    <n v="7513.94"/>
  </r>
  <r>
    <x v="14"/>
    <x v="54"/>
    <n v="842.14"/>
    <n v="-1254.77"/>
    <n v="7500"/>
    <n v="7087.37"/>
  </r>
  <r>
    <x v="14"/>
    <x v="55"/>
    <n v="1011.36"/>
    <n v="-1553.47"/>
    <n v="7500"/>
    <n v="6957.89"/>
  </r>
  <r>
    <x v="14"/>
    <x v="56"/>
    <n v="1249.1099999999999"/>
    <n v="-1482.45"/>
    <n v="7500"/>
    <n v="7266.66"/>
  </r>
  <r>
    <x v="14"/>
    <x v="57"/>
    <n v="1429.18"/>
    <n v="-1477.93"/>
    <n v="7500"/>
    <n v="7451.25"/>
  </r>
  <r>
    <x v="14"/>
    <x v="58"/>
    <n v="1562.2"/>
    <n v="-1290.49"/>
    <n v="7500"/>
    <n v="7771.71"/>
  </r>
  <r>
    <x v="14"/>
    <x v="59"/>
    <n v="1701.47"/>
    <n v="-1183.77"/>
    <n v="7500"/>
    <n v="8017.7"/>
  </r>
  <r>
    <x v="14"/>
    <x v="60"/>
    <n v="1884.3"/>
    <n v="-1339.52"/>
    <n v="7500"/>
    <n v="8044.78"/>
  </r>
  <r>
    <x v="14"/>
    <x v="61"/>
    <n v="2046.25"/>
    <n v="-1329.27"/>
    <n v="7500"/>
    <n v="8216.98"/>
  </r>
  <r>
    <x v="14"/>
    <x v="62"/>
    <n v="2092.4299999999998"/>
    <n v="-1308.04"/>
    <n v="7500"/>
    <n v="8284.39"/>
  </r>
  <r>
    <x v="14"/>
    <x v="63"/>
    <n v="2206.21"/>
    <n v="-1407.58"/>
    <n v="7500"/>
    <n v="8298.6299999999992"/>
  </r>
  <r>
    <x v="14"/>
    <x v="64"/>
    <n v="2389.98"/>
    <n v="-1694.03"/>
    <n v="7500"/>
    <n v="8195.9500000000007"/>
  </r>
  <r>
    <x v="14"/>
    <x v="30"/>
    <n v="2577.5500000000002"/>
    <n v="-1918.17"/>
    <n v="7500"/>
    <n v="8159.38"/>
  </r>
  <r>
    <x v="14"/>
    <x v="31"/>
    <n v="2656.88"/>
    <n v="-1817.2"/>
    <n v="7500"/>
    <n v="8339.68"/>
  </r>
  <r>
    <x v="14"/>
    <x v="32"/>
    <n v="2803.02"/>
    <n v="-1838.78"/>
    <n v="7500"/>
    <n v="8464.24"/>
  </r>
  <r>
    <x v="14"/>
    <x v="0"/>
    <n v="2926.58"/>
    <n v="-1869.11"/>
    <n v="7500"/>
    <n v="8557.4699999999993"/>
  </r>
  <r>
    <x v="14"/>
    <x v="1"/>
    <n v="3054.93"/>
    <n v="-1778.7"/>
    <n v="7500"/>
    <n v="8776.23"/>
  </r>
  <r>
    <x v="14"/>
    <x v="2"/>
    <n v="3151.19"/>
    <n v="-1866.76"/>
    <n v="7500"/>
    <n v="8784.43"/>
  </r>
  <r>
    <x v="14"/>
    <x v="3"/>
    <n v="3256.51"/>
    <n v="-2374.48"/>
    <n v="7500"/>
    <n v="8382.0300000000007"/>
  </r>
  <r>
    <x v="14"/>
    <x v="4"/>
    <n v="3325.05"/>
    <n v="-2197.8000000000002"/>
    <n v="7500"/>
    <n v="8627.25"/>
  </r>
  <r>
    <x v="14"/>
    <x v="5"/>
    <n v="3441.81"/>
    <n v="-2127.83"/>
    <n v="7500"/>
    <n v="8813.98"/>
  </r>
  <r>
    <x v="14"/>
    <x v="6"/>
    <n v="3617.63"/>
    <n v="-884.7"/>
    <n v="7500"/>
    <n v="10232.93"/>
  </r>
  <r>
    <x v="14"/>
    <x v="7"/>
    <n v="3788.66"/>
    <n v="-2915.46"/>
    <n v="7500"/>
    <n v="8373.2000000000007"/>
  </r>
  <r>
    <x v="14"/>
    <x v="8"/>
    <n v="3906.29"/>
    <n v="-3442.12"/>
    <n v="7500"/>
    <n v="7964.17"/>
  </r>
  <r>
    <x v="14"/>
    <x v="9"/>
    <n v="4064.2"/>
    <n v="-4560.28"/>
    <n v="7500"/>
    <n v="7003.92"/>
  </r>
  <r>
    <x v="14"/>
    <x v="10"/>
    <n v="4434.57"/>
    <n v="-4580.2"/>
    <n v="7500"/>
    <n v="7354.37"/>
  </r>
  <r>
    <x v="14"/>
    <x v="11"/>
    <n v="4711.72"/>
    <n v="-5268.92"/>
    <n v="7500"/>
    <n v="6942.8"/>
  </r>
  <r>
    <x v="14"/>
    <x v="12"/>
    <n v="4932.54"/>
    <n v="-7428.82"/>
    <n v="7500"/>
    <n v="5003.72"/>
  </r>
  <r>
    <x v="14"/>
    <x v="13"/>
    <n v="4926.53"/>
    <n v="-7902.69"/>
    <n v="7500"/>
    <n v="4523.84"/>
  </r>
  <r>
    <x v="14"/>
    <x v="14"/>
    <n v="4861.82"/>
    <n v="-7189.85"/>
    <n v="7500"/>
    <n v="5171.97"/>
  </r>
  <r>
    <x v="14"/>
    <x v="15"/>
    <n v="5326.31"/>
    <n v="-5582.08"/>
    <n v="7500"/>
    <n v="7244.23"/>
  </r>
  <r>
    <x v="14"/>
    <x v="16"/>
    <n v="5573.3"/>
    <n v="-6605.25"/>
    <n v="7500"/>
    <n v="6468.05"/>
  </r>
  <r>
    <x v="14"/>
    <x v="17"/>
    <n v="5827.97"/>
    <n v="-7959.67"/>
    <n v="7500"/>
    <n v="5368.3"/>
  </r>
  <r>
    <x v="14"/>
    <x v="18"/>
    <n v="5827.97"/>
    <n v="-7969.99"/>
    <n v="7500"/>
    <n v="5357.98"/>
  </r>
  <r>
    <x v="14"/>
    <x v="19"/>
    <n v="6025.58"/>
    <n v="-6128.03"/>
    <n v="7500"/>
    <n v="7397.55"/>
  </r>
  <r>
    <x v="14"/>
    <x v="20"/>
    <n v="6402.72"/>
    <n v="-7265.98"/>
    <n v="7500"/>
    <n v="6636.74"/>
  </r>
  <r>
    <x v="14"/>
    <x v="21"/>
    <n v="6671.59"/>
    <n v="-6826.03"/>
    <n v="7500"/>
    <n v="7345.56"/>
  </r>
  <r>
    <x v="14"/>
    <x v="22"/>
    <n v="6935.41"/>
    <n v="-8600.5499999999993"/>
    <n v="7500"/>
    <n v="5834.86"/>
  </r>
  <r>
    <x v="14"/>
    <x v="24"/>
    <n v="561.04999999999995"/>
    <n v="-1446.85"/>
    <n v="4514.34"/>
    <n v="3628.54"/>
  </r>
  <r>
    <x v="15"/>
    <x v="59"/>
    <n v="297.44"/>
    <n v="-357.59"/>
    <n v="20000"/>
    <n v="19939.849999999999"/>
  </r>
  <r>
    <x v="15"/>
    <x v="60"/>
    <n v="709.51"/>
    <n v="-771.53"/>
    <n v="20000"/>
    <n v="19937.98"/>
  </r>
  <r>
    <x v="15"/>
    <x v="61"/>
    <n v="1113.21"/>
    <n v="-1149.33"/>
    <n v="20000"/>
    <n v="19963.88"/>
  </r>
  <r>
    <x v="15"/>
    <x v="62"/>
    <n v="1385.4"/>
    <n v="-1790.61"/>
    <n v="20000"/>
    <n v="19594.79"/>
  </r>
  <r>
    <x v="15"/>
    <x v="63"/>
    <n v="1652.83"/>
    <n v="-1805.08"/>
    <n v="20000"/>
    <n v="19847.75"/>
  </r>
  <r>
    <x v="15"/>
    <x v="64"/>
    <n v="2144.9899999999998"/>
    <n v="-2272.31"/>
    <n v="20000"/>
    <n v="19872.68"/>
  </r>
  <r>
    <x v="15"/>
    <x v="30"/>
    <n v="2548.67"/>
    <n v="-2671.14"/>
    <n v="20000"/>
    <n v="19877.53"/>
  </r>
  <r>
    <x v="15"/>
    <x v="31"/>
    <n v="2772.43"/>
    <n v="-2466.77"/>
    <n v="20000"/>
    <n v="20305.66"/>
  </r>
  <r>
    <x v="15"/>
    <x v="32"/>
    <n v="3088.3"/>
    <n v="-2798.79"/>
    <n v="20000"/>
    <n v="20289.509999999998"/>
  </r>
  <r>
    <x v="15"/>
    <x v="0"/>
    <n v="3358.86"/>
    <n v="-2542.02"/>
    <n v="20000"/>
    <n v="20816.84"/>
  </r>
  <r>
    <x v="15"/>
    <x v="1"/>
    <n v="3658.85"/>
    <n v="-2757.69"/>
    <n v="20000"/>
    <n v="20901.16"/>
  </r>
  <r>
    <x v="15"/>
    <x v="2"/>
    <n v="3869.96"/>
    <n v="-2800.85"/>
    <n v="20000"/>
    <n v="21069.11"/>
  </r>
  <r>
    <x v="15"/>
    <x v="3"/>
    <n v="4075.32"/>
    <n v="-3517.99"/>
    <n v="20000"/>
    <n v="20557.330000000002"/>
  </r>
  <r>
    <x v="15"/>
    <x v="4"/>
    <n v="4300.42"/>
    <n v="-3311.7"/>
    <n v="20000"/>
    <n v="20988.720000000001"/>
  </r>
  <r>
    <x v="15"/>
    <x v="5"/>
    <n v="4651.3100000000004"/>
    <n v="-3399.96"/>
    <n v="20000"/>
    <n v="21251.35"/>
  </r>
  <r>
    <x v="15"/>
    <x v="6"/>
    <n v="5024.8999999999996"/>
    <n v="-1566.69"/>
    <n v="20000"/>
    <n v="23458.21"/>
  </r>
  <r>
    <x v="15"/>
    <x v="7"/>
    <n v="5455.25"/>
    <n v="-5607.77"/>
    <n v="20000"/>
    <n v="19847.48"/>
  </r>
  <r>
    <x v="15"/>
    <x v="8"/>
    <n v="5783.05"/>
    <n v="-6942.78"/>
    <n v="20000"/>
    <n v="18840.27"/>
  </r>
  <r>
    <x v="15"/>
    <x v="9"/>
    <n v="6239.38"/>
    <n v="-10364.16"/>
    <n v="20000"/>
    <n v="15875.22"/>
  </r>
  <r>
    <x v="15"/>
    <x v="10"/>
    <n v="6989.61"/>
    <n v="-11632.58"/>
    <n v="20000"/>
    <n v="15357.03"/>
  </r>
  <r>
    <x v="15"/>
    <x v="11"/>
    <n v="7256.32"/>
    <n v="-15012.62"/>
    <n v="20000"/>
    <n v="12243.7"/>
  </r>
  <r>
    <x v="15"/>
    <x v="12"/>
    <n v="7254.89"/>
    <n v="-18976.36"/>
    <n v="20000"/>
    <n v="8278.5300000000007"/>
  </r>
  <r>
    <x v="15"/>
    <x v="13"/>
    <n v="7242.61"/>
    <n v="-20848.43"/>
    <n v="20000"/>
    <n v="6394.18"/>
  </r>
  <r>
    <x v="15"/>
    <x v="14"/>
    <n v="3114.49"/>
    <n v="-13519"/>
    <n v="20000"/>
    <n v="9595.49"/>
  </r>
  <r>
    <x v="15"/>
    <x v="15"/>
    <n v="3981.95"/>
    <n v="-11595.04"/>
    <n v="20000"/>
    <n v="12386.91"/>
  </r>
  <r>
    <x v="15"/>
    <x v="16"/>
    <n v="4330.5200000000004"/>
    <n v="-14057.26"/>
    <n v="20000"/>
    <n v="10273.26"/>
  </r>
  <r>
    <x v="15"/>
    <x v="17"/>
    <n v="4415.07"/>
    <n v="-20670.47"/>
    <n v="20000"/>
    <n v="3744.6"/>
  </r>
  <r>
    <x v="15"/>
    <x v="18"/>
    <n v="-16285.91"/>
    <n v="-2921.19"/>
    <n v="20000"/>
    <n v="792.9"/>
  </r>
  <r>
    <x v="15"/>
    <x v="19"/>
    <n v="-18782.98"/>
    <n v="-767.24"/>
    <n v="20000"/>
    <n v="449.78"/>
  </r>
  <r>
    <x v="15"/>
    <x v="20"/>
    <n v="-19323.82"/>
    <n v="-513.98"/>
    <n v="20000"/>
    <n v="162.19999999999999"/>
  </r>
  <r>
    <x v="15"/>
    <x v="21"/>
    <n v="-19476.16"/>
    <n v="-313.14"/>
    <n v="20000"/>
    <n v="210.7"/>
  </r>
  <r>
    <x v="15"/>
    <x v="22"/>
    <n v="-19788.189999999999"/>
    <n v="-150.18"/>
    <n v="20000"/>
    <n v="61.63"/>
  </r>
  <r>
    <x v="15"/>
    <x v="24"/>
    <n v="-19788.189999999999"/>
    <n v="-91.45"/>
    <n v="20000"/>
    <n v="120.36"/>
  </r>
  <r>
    <x v="15"/>
    <x v="26"/>
    <n v="-19967.75"/>
    <n v="-175.07"/>
    <n v="20000"/>
    <n v="-142.82"/>
  </r>
  <r>
    <x v="16"/>
    <x v="62"/>
    <n v="12.9"/>
    <n v="-53.72"/>
    <n v="10000"/>
    <n v="9959.18"/>
  </r>
  <r>
    <x v="16"/>
    <x v="63"/>
    <n v="179.72"/>
    <n v="-110.29"/>
    <n v="10000"/>
    <n v="10069.43"/>
  </r>
  <r>
    <x v="16"/>
    <x v="64"/>
    <n v="490.35"/>
    <n v="-331.48"/>
    <n v="10000"/>
    <n v="10158.870000000001"/>
  </r>
  <r>
    <x v="16"/>
    <x v="30"/>
    <n v="778.19"/>
    <n v="-833.27"/>
    <n v="10000"/>
    <n v="9944.92"/>
  </r>
  <r>
    <x v="16"/>
    <x v="31"/>
    <n v="916.45"/>
    <n v="-833.28"/>
    <n v="10000"/>
    <n v="10083.17"/>
  </r>
  <r>
    <x v="16"/>
    <x v="32"/>
    <n v="1134.21"/>
    <n v="-1321.44"/>
    <n v="10000"/>
    <n v="9812.77"/>
  </r>
  <r>
    <x v="16"/>
    <x v="0"/>
    <n v="1297.97"/>
    <n v="-919.46"/>
    <n v="10000"/>
    <n v="10378.51"/>
  </r>
  <r>
    <x v="16"/>
    <x v="1"/>
    <n v="1519.57"/>
    <n v="-1281.79"/>
    <n v="10000"/>
    <n v="10237.780000000001"/>
  </r>
  <r>
    <x v="16"/>
    <x v="2"/>
    <n v="1656.93"/>
    <n v="-949.84"/>
    <n v="10000"/>
    <n v="10707.09"/>
  </r>
  <r>
    <x v="16"/>
    <x v="3"/>
    <n v="1802.73"/>
    <n v="-1285.3900000000001"/>
    <n v="10000"/>
    <n v="10517.34"/>
  </r>
  <r>
    <x v="16"/>
    <x v="4"/>
    <n v="1909.72"/>
    <n v="-1081.5"/>
    <n v="10000"/>
    <n v="10828.22"/>
  </r>
  <r>
    <x v="16"/>
    <x v="5"/>
    <n v="2110.58"/>
    <n v="-1251.25"/>
    <n v="10000"/>
    <n v="10859.33"/>
  </r>
  <r>
    <x v="16"/>
    <x v="6"/>
    <n v="2373.16"/>
    <n v="-806.75"/>
    <n v="10000"/>
    <n v="11566.41"/>
  </r>
  <r>
    <x v="16"/>
    <x v="7"/>
    <n v="2648.45"/>
    <n v="-1578.33"/>
    <n v="10000"/>
    <n v="11070.12"/>
  </r>
  <r>
    <x v="16"/>
    <x v="8"/>
    <n v="2873.29"/>
    <n v="-1871.46"/>
    <n v="10000"/>
    <n v="11001.83"/>
  </r>
  <r>
    <x v="16"/>
    <x v="9"/>
    <n v="3137.69"/>
    <n v="-2813.87"/>
    <n v="10000"/>
    <n v="10323.82"/>
  </r>
  <r>
    <x v="16"/>
    <x v="10"/>
    <n v="3764.06"/>
    <n v="-3519.74"/>
    <n v="10000"/>
    <n v="10244.32"/>
  </r>
  <r>
    <x v="16"/>
    <x v="11"/>
    <n v="4376.59"/>
    <n v="-4674.5600000000004"/>
    <n v="10000"/>
    <n v="9702.0300000000007"/>
  </r>
  <r>
    <x v="16"/>
    <x v="12"/>
    <n v="5074.8500000000004"/>
    <n v="-9013.9"/>
    <n v="10000"/>
    <n v="6060.95"/>
  </r>
  <r>
    <x v="16"/>
    <x v="13"/>
    <n v="6183.53"/>
    <n v="-11425.61"/>
    <n v="10000"/>
    <n v="4757.92"/>
  </r>
  <r>
    <x v="16"/>
    <x v="14"/>
    <n v="7275.77"/>
    <n v="-10548.14"/>
    <n v="10000"/>
    <n v="6727.63"/>
  </r>
  <r>
    <x v="16"/>
    <x v="15"/>
    <n v="8390.02"/>
    <n v="-9017.7099999999991"/>
    <n v="10000"/>
    <n v="9372.31"/>
  </r>
  <r>
    <x v="16"/>
    <x v="16"/>
    <n v="8799.02"/>
    <n v="-9942.06"/>
    <n v="10000"/>
    <n v="8856.9599999999991"/>
  </r>
  <r>
    <x v="16"/>
    <x v="17"/>
    <n v="9488.77"/>
    <n v="-11152.94"/>
    <n v="10000"/>
    <n v="8335.83"/>
  </r>
  <r>
    <x v="16"/>
    <x v="18"/>
    <n v="10395.049999999999"/>
    <n v="-11314.3"/>
    <n v="10000"/>
    <n v="9080.75"/>
  </r>
  <r>
    <x v="16"/>
    <x v="19"/>
    <n v="11229.68"/>
    <n v="-11141.33"/>
    <n v="10000"/>
    <n v="10088.35"/>
  </r>
  <r>
    <x v="16"/>
    <x v="20"/>
    <n v="12003.36"/>
    <n v="-12574.74"/>
    <n v="10000"/>
    <n v="9428.6200000000008"/>
  </r>
  <r>
    <x v="16"/>
    <x v="21"/>
    <n v="12466.59"/>
    <n v="-11634.96"/>
    <n v="10000"/>
    <n v="10831.63"/>
  </r>
  <r>
    <x v="16"/>
    <x v="22"/>
    <n v="13005.06"/>
    <n v="-13005.66"/>
    <n v="10000"/>
    <n v="9999.4"/>
  </r>
  <r>
    <x v="16"/>
    <x v="24"/>
    <n v="1465.21"/>
    <n v="-4628.88"/>
    <n v="10000"/>
    <n v="6836.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name="pvt_AccountOverview" cacheId="7"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1" fieldListSortAscending="1">
  <location ref="A1:O11" firstHeaderRow="0" firstDataRow="1" firstDataCol="1"/>
  <pivotFields count="19">
    <pivotField axis="axisRow" showAll="0" sortType="ascending">
      <items count="19">
        <item x="3"/>
        <item m="1" x="15"/>
        <item x="0"/>
        <item x="6"/>
        <item m="1" x="11"/>
        <item x="2"/>
        <item m="1" x="17"/>
        <item m="1" x="10"/>
        <item m="1" x="13"/>
        <item m="1" x="12"/>
        <item x="1"/>
        <item m="1" x="16"/>
        <item x="4"/>
        <item m="1" x="14"/>
        <item x="8"/>
        <item m="1" x="9"/>
        <item x="5"/>
        <item x="7"/>
        <item t="default"/>
      </items>
      <autoSortScope>
        <pivotArea dataOnly="0" outline="0" fieldPosition="0">
          <references count="1">
            <reference field="4294967294" count="1" selected="0">
              <x v="8"/>
            </reference>
          </references>
        </pivotArea>
      </autoSortScope>
    </pivotField>
    <pivotField dataField="1" showAll="0"/>
    <pivotField dataField="1" showAll="0"/>
    <pivotField outline="0" showAll="0" defaultSubtotal="0"/>
    <pivotField dataField="1" showAll="0"/>
    <pivotField dataField="1" showAll="0"/>
    <pivotField dataField="1" showAll="0"/>
    <pivotField dataField="1" showAll="0" defaultSubtotal="0"/>
    <pivotField dataField="1" showAll="0"/>
    <pivotField dataField="1" showAll="0"/>
    <pivotField showAll="0"/>
    <pivotField dataField="1" showAll="0"/>
    <pivotField dataField="1" showAll="0"/>
    <pivotField dataField="1" showAll="0" defaultSubtotal="0"/>
    <pivotField dataField="1" showAll="0" defaultSubtotal="0"/>
    <pivotField dataField="1" showAll="0"/>
    <pivotField showAll="0"/>
    <pivotField showAll="0" defaultSubtotal="0"/>
    <pivotField dataField="1" showAll="0" defaultSubtotal="0"/>
  </pivotFields>
  <rowFields count="1">
    <field x="0"/>
  </rowFields>
  <rowItems count="10">
    <i>
      <x v="10"/>
    </i>
    <i>
      <x/>
    </i>
    <i>
      <x v="12"/>
    </i>
    <i>
      <x v="3"/>
    </i>
    <i>
      <x v="14"/>
    </i>
    <i>
      <x v="2"/>
    </i>
    <i>
      <x v="16"/>
    </i>
    <i>
      <x v="5"/>
    </i>
    <i>
      <x v="17"/>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Account Number" fld="1" subtotal="average" baseField="0" baseItem="9"/>
    <dataField name="Min of LATESTUPDATE" fld="7" subtotal="min" baseField="0" baseItem="9" numFmtId="167"/>
    <dataField name="Start Date" fld="2" subtotal="average" baseField="0" baseItem="12" numFmtId="168"/>
    <dataField name="Start Balance" fld="4" baseField="0" baseItem="12" numFmtId="3"/>
    <dataField name="Account Balance" fld="5" baseField="0" baseItem="12" numFmtId="4"/>
    <dataField name="Account Profit" fld="6" baseField="0" baseItem="12" numFmtId="4"/>
    <dataField name="Account Equity" fld="8" baseField="0" baseItem="12" numFmtId="4"/>
    <dataField name="Net Balance" fld="9" baseField="0" baseItem="12" numFmtId="4"/>
    <dataField name="Margin %" fld="18" baseField="0" baseItem="12" numFmtId="169"/>
    <dataField name="Months since Start" fld="11" baseField="0" baseItem="12" numFmtId="1"/>
    <dataField name="Net_Profit" fld="12" baseField="0" baseItem="0" numFmtId="4"/>
    <dataField name="Net_Profit%" fld="13" baseField="0" baseItem="1" numFmtId="164"/>
    <dataField name="Annualized Net_Profit%" fld="14" baseField="0" baseItem="1" numFmtId="164"/>
    <dataField name="Abs.Size" fld="15" baseField="0" baseItem="1" numFmtId="2"/>
  </dataFields>
  <formats count="13">
    <format dxfId="24">
      <pivotArea field="0" type="button" dataOnly="0" labelOnly="1" outline="0" axis="axisRow" fieldPosition="0"/>
    </format>
    <format dxfId="23">
      <pivotArea dataOnly="0" labelOnly="1" outline="0" fieldPosition="0">
        <references count="1">
          <reference field="4294967294" count="9">
            <x v="2"/>
            <x v="3"/>
            <x v="4"/>
            <x v="5"/>
            <x v="6"/>
            <x v="7"/>
            <x v="10"/>
            <x v="12"/>
            <x v="13"/>
          </reference>
        </references>
      </pivotArea>
    </format>
    <format dxfId="22">
      <pivotArea outline="0" fieldPosition="0">
        <references count="1">
          <reference field="4294967294" count="1">
            <x v="11"/>
          </reference>
        </references>
      </pivotArea>
    </format>
    <format dxfId="21">
      <pivotArea outline="0" fieldPosition="0">
        <references count="1">
          <reference field="4294967294" count="1">
            <x v="8"/>
          </reference>
        </references>
      </pivotArea>
    </format>
    <format dxfId="20">
      <pivotArea outline="0" fieldPosition="0">
        <references count="1">
          <reference field="4294967294" count="1">
            <x v="9"/>
          </reference>
        </references>
      </pivotArea>
    </format>
    <format dxfId="19">
      <pivotArea dataOnly="0" labelOnly="1" outline="0" fieldPosition="0">
        <references count="1">
          <reference field="4294967294" count="1">
            <x v="9"/>
          </reference>
        </references>
      </pivotArea>
    </format>
    <format dxfId="18">
      <pivotArea field="0" grandRow="1" outline="0" collapsedLevelsAreSubtotals="1" axis="axisRow" fieldPosition="0">
        <references count="1">
          <reference field="4294967294" count="1" selected="0">
            <x v="9"/>
          </reference>
        </references>
      </pivotArea>
    </format>
    <format dxfId="17">
      <pivotArea field="0" grandRow="1" outline="0" collapsedLevelsAreSubtotals="1" axis="axisRow" fieldPosition="0">
        <references count="1">
          <reference field="4294967294" count="1" selected="0">
            <x v="8"/>
          </reference>
        </references>
      </pivotArea>
    </format>
    <format dxfId="16">
      <pivotArea field="0" grandRow="1" outline="0" collapsedLevelsAreSubtotals="1" axis="axisRow" fieldPosition="0">
        <references count="1">
          <reference field="4294967294" count="1" selected="0">
            <x v="11"/>
          </reference>
        </references>
      </pivotArea>
    </format>
    <format dxfId="15">
      <pivotArea field="0" grandRow="1" outline="0" collapsedLevelsAreSubtotals="1" axis="axisRow" fieldPosition="0">
        <references count="1">
          <reference field="4294967294" count="1" selected="0">
            <x v="12"/>
          </reference>
        </references>
      </pivotArea>
    </format>
    <format dxfId="14">
      <pivotArea field="0" grandRow="1" outline="0" collapsedLevelsAreSubtotals="1" axis="axisRow" fieldPosition="0">
        <references count="1">
          <reference field="4294967294" count="1" selected="0">
            <x v="2"/>
          </reference>
        </references>
      </pivotArea>
    </format>
    <format dxfId="13">
      <pivotArea outline="0" fieldPosition="0">
        <references count="1">
          <reference field="4294967294" count="1">
            <x v="1"/>
          </reference>
        </references>
      </pivotArea>
    </format>
    <format dxfId="12">
      <pivotArea field="0" grandRow="1" outline="0" collapsedLevelsAreSubtotals="1" axis="axisRow" fieldPosition="0">
        <references count="1">
          <reference field="4294967294" count="1" selected="0">
            <x v="0"/>
          </reference>
        </references>
      </pivotArea>
    </format>
  </formats>
  <conditionalFormats count="16">
    <conditionalFormat priority="4">
      <pivotAreas count="1">
        <pivotArea type="data" collapsedLevelsAreSubtotals="1" fieldPosition="0">
          <references count="2">
            <reference field="4294967294" count="1" selected="0">
              <x v="4"/>
            </reference>
            <reference field="0" count="14">
              <x v="0"/>
              <x v="2"/>
              <x v="3"/>
              <x v="4"/>
              <x v="5"/>
              <x v="6"/>
              <x v="7"/>
              <x v="8"/>
              <x v="9"/>
              <x v="10"/>
              <x v="12"/>
              <x v="13"/>
              <x v="14"/>
              <x v="16"/>
            </reference>
          </references>
        </pivotArea>
      </pivotAreas>
    </conditionalFormat>
    <conditionalFormat priority="6">
      <pivotAreas count="1">
        <pivotArea type="data" collapsedLevelsAreSubtotals="1" fieldPosition="0">
          <references count="2">
            <reference field="4294967294" count="1" selected="0">
              <x v="10"/>
            </reference>
            <reference field="0" count="1">
              <x v="14"/>
            </reference>
          </references>
        </pivotArea>
      </pivotAreas>
    </conditionalFormat>
    <conditionalFormat priority="7">
      <pivotAreas count="1">
        <pivotArea type="data" collapsedLevelsAreSubtotals="1" fieldPosition="0">
          <references count="2">
            <reference field="4294967294" count="1" selected="0">
              <x v="10"/>
            </reference>
            <reference field="0" count="1">
              <x v="14"/>
            </reference>
          </references>
        </pivotArea>
      </pivotAreas>
    </conditionalFormat>
    <conditionalFormat priority="5">
      <pivotAreas count="1">
        <pivotArea type="data" collapsedLevelsAreSubtotals="1" fieldPosition="0">
          <references count="2">
            <reference field="4294967294" count="1" selected="0">
              <x v="8"/>
            </reference>
            <reference field="0" count="15">
              <x v="0"/>
              <x v="2"/>
              <x v="3"/>
              <x v="4"/>
              <x v="5"/>
              <x v="6"/>
              <x v="7"/>
              <x v="8"/>
              <x v="9"/>
              <x v="10"/>
              <x v="11"/>
              <x v="12"/>
              <x v="13"/>
              <x v="14"/>
              <x v="16"/>
            </reference>
          </references>
        </pivotArea>
      </pivotAreas>
    </conditionalFormat>
    <conditionalFormat priority="8">
      <pivotAreas count="1">
        <pivotArea type="data" collapsedLevelsAreSubtotals="1" fieldPosition="0">
          <references count="2">
            <reference field="4294967294" count="1" selected="0">
              <x v="8"/>
            </reference>
            <reference field="0" count="15">
              <x v="0"/>
              <x v="2"/>
              <x v="3"/>
              <x v="4"/>
              <x v="5"/>
              <x v="6"/>
              <x v="7"/>
              <x v="8"/>
              <x v="9"/>
              <x v="10"/>
              <x v="11"/>
              <x v="12"/>
              <x v="13"/>
              <x v="15"/>
              <x v="16"/>
            </reference>
          </references>
        </pivotArea>
      </pivotAreas>
    </conditionalFormat>
    <conditionalFormat priority="9">
      <pivotAreas count="1">
        <pivotArea type="data" collapsedLevelsAreSubtotals="1" fieldPosition="0">
          <references count="2">
            <reference field="4294967294" count="1" selected="0">
              <x v="8"/>
            </reference>
            <reference field="0" count="1">
              <x v="11"/>
            </reference>
          </references>
        </pivotArea>
      </pivotAreas>
    </conditionalFormat>
    <conditionalFormat priority="10">
      <pivotAreas count="1">
        <pivotArea type="data" collapsedLevelsAreSubtotals="1" fieldPosition="0">
          <references count="2">
            <reference field="4294967294" count="1" selected="0">
              <x v="10"/>
            </reference>
            <reference field="0" count="1">
              <x v="11"/>
            </reference>
          </references>
        </pivotArea>
      </pivotAreas>
    </conditionalFormat>
    <conditionalFormat priority="11">
      <pivotAreas count="1">
        <pivotArea type="data" collapsedLevelsAreSubtotals="1" fieldPosition="0">
          <references count="2">
            <reference field="4294967294" count="1" selected="0">
              <x v="10"/>
            </reference>
            <reference field="0" count="1">
              <x v="11"/>
            </reference>
          </references>
        </pivotArea>
      </pivotAreas>
    </conditionalFormat>
    <conditionalFormat priority="12">
      <pivotAreas count="1">
        <pivotArea type="data" collapsedLevelsAreSubtotals="1" fieldPosition="0">
          <references count="2">
            <reference field="4294967294" count="1" selected="0">
              <x v="8"/>
            </reference>
            <reference field="0" count="14">
              <x v="0"/>
              <x v="2"/>
              <x v="3"/>
              <x v="4"/>
              <x v="5"/>
              <x v="6"/>
              <x v="7"/>
              <x v="8"/>
              <x v="9"/>
              <x v="10"/>
              <x v="12"/>
              <x v="13"/>
              <x v="15"/>
              <x v="16"/>
            </reference>
          </references>
        </pivotArea>
      </pivotAreas>
    </conditionalFormat>
    <conditionalFormat priority="13">
      <pivotAreas count="1">
        <pivotArea type="data" collapsedLevelsAreSubtotals="1" fieldPosition="0">
          <references count="2">
            <reference field="4294967294" count="1" selected="0">
              <x v="10"/>
            </reference>
            <reference field="0" count="1">
              <x v="4"/>
            </reference>
          </references>
        </pivotArea>
      </pivotAreas>
    </conditionalFormat>
    <conditionalFormat priority="14">
      <pivotAreas count="1">
        <pivotArea type="data" collapsedLevelsAreSubtotals="1" fieldPosition="0">
          <references count="2">
            <reference field="4294967294" count="1" selected="0">
              <x v="10"/>
            </reference>
            <reference field="0" count="1">
              <x v="4"/>
            </reference>
          </references>
        </pivotArea>
      </pivotAreas>
    </conditionalFormat>
    <conditionalFormat priority="15">
      <pivotAreas count="1">
        <pivotArea type="data" collapsedLevelsAreSubtotals="1" fieldPosition="0">
          <references count="2">
            <reference field="4294967294" count="1" selected="0">
              <x v="10"/>
            </reference>
            <reference field="0" count="13">
              <x v="0"/>
              <x v="2"/>
              <x v="3"/>
              <x v="5"/>
              <x v="6"/>
              <x v="7"/>
              <x v="8"/>
              <x v="9"/>
              <x v="10"/>
              <x v="12"/>
              <x v="13"/>
              <x v="15"/>
              <x v="16"/>
            </reference>
          </references>
        </pivotArea>
      </pivotAreas>
    </conditionalFormat>
    <conditionalFormat priority="16">
      <pivotAreas count="1">
        <pivotArea type="data" collapsedLevelsAreSubtotals="1" fieldPosition="0">
          <references count="2">
            <reference field="4294967294" count="1" selected="0">
              <x v="10"/>
            </reference>
            <reference field="0" count="13">
              <x v="0"/>
              <x v="2"/>
              <x v="3"/>
              <x v="5"/>
              <x v="6"/>
              <x v="7"/>
              <x v="8"/>
              <x v="9"/>
              <x v="10"/>
              <x v="12"/>
              <x v="13"/>
              <x v="15"/>
              <x v="16"/>
            </reference>
          </references>
        </pivotArea>
      </pivotAreas>
    </conditionalFormat>
    <conditionalFormat priority="3">
      <pivotAreas count="1">
        <pivotArea type="data" collapsedLevelsAreSubtotals="1" fieldPosition="0">
          <references count="2">
            <reference field="4294967294" count="1" selected="0">
              <x v="8"/>
            </reference>
            <reference field="0" count="1">
              <x v="17"/>
            </reference>
          </references>
        </pivotArea>
      </pivotAreas>
    </conditionalFormat>
    <conditionalFormat priority="2">
      <pivotAreas count="1">
        <pivotArea type="data" collapsedLevelsAreSubtotals="1" fieldPosition="0">
          <references count="2">
            <reference field="4294967294" count="1" selected="0">
              <x v="10"/>
            </reference>
            <reference field="0" count="1">
              <x v="17"/>
            </reference>
          </references>
        </pivotArea>
      </pivotAreas>
    </conditionalFormat>
    <conditionalFormat priority="1">
      <pivotAreas count="1">
        <pivotArea type="data" collapsedLevelsAreSubtotals="1" fieldPosition="0">
          <references count="2">
            <reference field="4294967294" count="1" selected="0">
              <x v="10"/>
            </reference>
            <reference field="0" count="1">
              <x v="17"/>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showDrill="0" useAutoFormatting="1" itemPrintTitles="1" createdVersion="5" indent="0" showHeaders="0" outline="1" outlineData="1" multipleFieldFilters="0" chartFormat="7" fieldListSortAscending="1">
  <location ref="A3:D7" firstHeaderRow="0" firstDataRow="1" firstDataCol="1" rowPageCount="1" colPageCount="1"/>
  <pivotFields count="5">
    <pivotField axis="axisPage" showAll="0">
      <items count="17">
        <item x="12"/>
        <item x="8"/>
        <item x="9"/>
        <item x="13"/>
        <item x="10"/>
        <item x="3"/>
        <item x="4"/>
        <item x="5"/>
        <item x="2"/>
        <item x="0"/>
        <item x="1"/>
        <item x="6"/>
        <item x="15"/>
        <item x="14"/>
        <item x="7"/>
        <item x="11"/>
        <item t="default"/>
      </items>
    </pivotField>
    <pivotField axis="axisRow" showAll="0" sortType="descending">
      <items count="25">
        <item x="18"/>
        <item x="9"/>
        <item x="13"/>
        <item x="0"/>
        <item x="7"/>
        <item x="12"/>
        <item x="21"/>
        <item x="19"/>
        <item x="10"/>
        <item x="22"/>
        <item x="3"/>
        <item x="4"/>
        <item x="17"/>
        <item x="14"/>
        <item x="1"/>
        <item x="8"/>
        <item x="15"/>
        <item x="16"/>
        <item x="23"/>
        <item x="5"/>
        <item x="20"/>
        <item x="11"/>
        <item x="2"/>
        <item x="6"/>
        <item t="default"/>
      </items>
      <autoSortScope>
        <pivotArea dataOnly="0" outline="0" fieldPosition="0">
          <references count="1">
            <reference field="4294967294" count="1" selected="0">
              <x v="2"/>
            </reference>
          </references>
        </pivotArea>
      </autoSortScope>
    </pivotField>
    <pivotField dataField="1" showAll="0"/>
    <pivotField dataField="1" showAll="0" defaultSubtotal="0"/>
    <pivotField dataField="1" dragToRow="0" dragToCol="0" dragToPage="0" showAll="0" defaultSubtotal="0"/>
  </pivotFields>
  <rowFields count="1">
    <field x="1"/>
  </rowFields>
  <rowItems count="4">
    <i>
      <x v="1"/>
    </i>
    <i>
      <x v="19"/>
    </i>
    <i>
      <x v="10"/>
    </i>
    <i t="grand">
      <x/>
    </i>
  </rowItems>
  <colFields count="1">
    <field x="-2"/>
  </colFields>
  <colItems count="3">
    <i>
      <x/>
    </i>
    <i i="1">
      <x v="1"/>
    </i>
    <i i="2">
      <x v="2"/>
    </i>
  </colItems>
  <pageFields count="1">
    <pageField fld="0" item="6" hier="-1"/>
  </pageFields>
  <dataFields count="3">
    <dataField name="Closed" fld="3" baseField="1" baseItem="0" numFmtId="4"/>
    <dataField name="Open" fld="2" baseField="1" baseItem="0" numFmtId="4"/>
    <dataField name="PL" fld="4" baseField="1" baseItem="0" numFmtId="4"/>
  </dataFields>
  <chartFormats count="15">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1"/>
          </reference>
        </references>
      </pivotArea>
    </chartFormat>
    <chartFormat chart="1" format="5" series="1">
      <pivotArea type="data" outline="0" fieldPosition="0">
        <references count="1">
          <reference field="4294967294" count="1" selected="0">
            <x v="2"/>
          </reference>
        </references>
      </pivotArea>
    </chartFormat>
    <chartFormat chart="1" format="6">
      <pivotArea type="data" outline="0" fieldPosition="0">
        <references count="2">
          <reference field="4294967294" count="1" selected="0">
            <x v="2"/>
          </reference>
          <reference field="1" count="1" selected="0">
            <x v="14"/>
          </reference>
        </references>
      </pivotArea>
    </chartFormat>
    <chartFormat chart="4" format="7" series="1">
      <pivotArea type="data" outline="0" fieldPosition="0">
        <references count="1">
          <reference field="4294967294" count="1" selected="0">
            <x v="0"/>
          </reference>
        </references>
      </pivotArea>
    </chartFormat>
    <chartFormat chart="4" format="8" series="1">
      <pivotArea type="data" outline="0" fieldPosition="0">
        <references count="1">
          <reference field="4294967294" count="1" selected="0">
            <x v="1"/>
          </reference>
        </references>
      </pivotArea>
    </chartFormat>
    <chartFormat chart="4" format="9" series="1">
      <pivotArea type="data" outline="0" fieldPosition="0">
        <references count="1">
          <reference field="4294967294" count="1" selected="0">
            <x v="2"/>
          </reference>
        </references>
      </pivotArea>
    </chartFormat>
    <chartFormat chart="4" format="10">
      <pivotArea type="data" outline="0" fieldPosition="0">
        <references count="2">
          <reference field="4294967294" count="1" selected="0">
            <x v="2"/>
          </reference>
          <reference field="1" count="1" selected="0">
            <x v="14"/>
          </reference>
        </references>
      </pivotArea>
    </chartFormat>
    <chartFormat chart="6" format="11" series="1">
      <pivotArea type="data" outline="0" fieldPosition="0">
        <references count="1">
          <reference field="4294967294" count="1" selected="0">
            <x v="0"/>
          </reference>
        </references>
      </pivotArea>
    </chartFormat>
    <chartFormat chart="6" format="12" series="1">
      <pivotArea type="data" outline="0" fieldPosition="0">
        <references count="1">
          <reference field="4294967294" count="1" selected="0">
            <x v="1"/>
          </reference>
        </references>
      </pivotArea>
    </chartFormat>
    <chartFormat chart="6" format="13" series="1">
      <pivotArea type="data" outline="0" fieldPosition="0">
        <references count="1">
          <reference field="4294967294" count="1" selected="0">
            <x v="2"/>
          </reference>
        </references>
      </pivotArea>
    </chartFormat>
    <chartFormat chart="6" format="14">
      <pivotArea type="data" outline="0" fieldPosition="0">
        <references count="2">
          <reference field="4294967294" count="1" selected="0">
            <x v="2"/>
          </reference>
          <reference field="1" count="1" selected="0">
            <x v="14"/>
          </reference>
        </references>
      </pivotArea>
    </chartFormat>
    <chartFormat chart="6" format="15">
      <pivotArea type="data" outline="0" fieldPosition="0">
        <references count="2">
          <reference field="4294967294" count="1" selected="0">
            <x v="2"/>
          </reference>
          <reference field="1" count="1" selected="0">
            <x v="1"/>
          </reference>
        </references>
      </pivotArea>
    </chartFormat>
    <chartFormat chart="1" format="7">
      <pivotArea type="data" outline="0" fieldPosition="0">
        <references count="2">
          <reference field="4294967294" count="1" selected="0">
            <x v="2"/>
          </reference>
          <reference field="1" count="1" selected="0">
            <x v="1"/>
          </reference>
        </references>
      </pivotArea>
    </chartFormat>
    <chartFormat chart="6" format="16">
      <pivotArea type="data" outline="0" fieldPosition="0">
        <references count="2">
          <reference field="4294967294" count="1" selected="0">
            <x v="2"/>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CloseDProfits_Pivot"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1" fieldListSortAscending="1">
  <location ref="A3:E63" firstHeaderRow="1" firstDataRow="2" firstDataCol="1" rowPageCount="1" colPageCount="1"/>
  <pivotFields count="4">
    <pivotField axis="axisPage" showAll="0" defaultSubtotal="0">
      <items count="16">
        <item x="0"/>
        <item x="1"/>
        <item x="2"/>
        <item x="3"/>
        <item x="4"/>
        <item x="5"/>
        <item x="6"/>
        <item x="7"/>
        <item x="8"/>
        <item x="9"/>
        <item x="10"/>
        <item x="11"/>
        <item x="12"/>
        <item x="13"/>
        <item x="14"/>
        <item x="15"/>
      </items>
    </pivotField>
    <pivotField axis="axisRow" numFmtId="2" showAll="0" defaultSubtotal="0">
      <items count="90">
        <item m="1" x="89"/>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88"/>
        <item x="77"/>
        <item x="78"/>
        <item x="79"/>
        <item x="80"/>
        <item x="81"/>
        <item x="82"/>
        <item x="83"/>
        <item x="84"/>
        <item x="85"/>
        <item x="86"/>
        <item x="87"/>
        <item x="0"/>
        <item x="1"/>
        <item x="2"/>
        <item x="3"/>
        <item x="4"/>
        <item x="5"/>
        <item x="6"/>
        <item x="7"/>
        <item x="8"/>
        <item x="9"/>
        <item x="10"/>
        <item x="11"/>
        <item x="12"/>
        <item x="13"/>
        <item x="14"/>
        <item x="15"/>
        <item x="16"/>
        <item x="17"/>
        <item x="18"/>
        <item x="19"/>
        <item x="20"/>
        <item x="21"/>
        <item x="22"/>
        <item x="23"/>
        <item x="24"/>
      </items>
    </pivotField>
    <pivotField axis="axisCol" showAll="0" defaultSubtotal="0">
      <items count="28">
        <item x="0"/>
        <item x="4"/>
        <item x="9"/>
        <item x="8"/>
        <item x="22"/>
        <item m="1" x="26"/>
        <item x="17"/>
        <item x="14"/>
        <item x="12"/>
        <item x="20"/>
        <item x="13"/>
        <item x="1"/>
        <item x="10"/>
        <item x="15"/>
        <item x="18"/>
        <item x="2"/>
        <item x="5"/>
        <item m="1" x="24"/>
        <item x="21"/>
        <item x="19"/>
        <item x="6"/>
        <item m="1" x="27"/>
        <item m="1" x="25"/>
        <item x="7"/>
        <item x="11"/>
        <item x="3"/>
        <item x="23"/>
        <item x="16"/>
      </items>
    </pivotField>
    <pivotField dataField="1" showAll="0" defaultSubtotal="0"/>
  </pivotFields>
  <rowFields count="1">
    <field x="1"/>
  </rowFields>
  <rowItems count="59">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t="grand">
      <x/>
    </i>
  </rowItems>
  <colFields count="1">
    <field x="2"/>
  </colFields>
  <colItems count="4">
    <i>
      <x v="1"/>
    </i>
    <i>
      <x v="11"/>
    </i>
    <i>
      <x v="20"/>
    </i>
    <i t="grand">
      <x/>
    </i>
  </colItems>
  <pageFields count="1">
    <pageField fld="0" item="6" hier="-1"/>
  </pageFields>
  <dataFields count="1">
    <dataField name="Profit" fld="3" baseField="1" baseItem="0" numFmtId="4"/>
  </dataFields>
  <chartFormats count="104">
    <chartFormat chart="16" format="31" series="1">
      <pivotArea type="data" outline="0" fieldPosition="0">
        <references count="1">
          <reference field="2" count="1" selected="0">
            <x v="1"/>
          </reference>
        </references>
      </pivotArea>
    </chartFormat>
    <chartFormat chart="16" format="32" series="1">
      <pivotArea type="data" outline="0" fieldPosition="0">
        <references count="1">
          <reference field="2" count="1" selected="0">
            <x v="5"/>
          </reference>
        </references>
      </pivotArea>
    </chartFormat>
    <chartFormat chart="16" format="33" series="1">
      <pivotArea type="data" outline="0" fieldPosition="0">
        <references count="1">
          <reference field="2" count="1" selected="0">
            <x v="11"/>
          </reference>
        </references>
      </pivotArea>
    </chartFormat>
    <chartFormat chart="16" format="34" series="1">
      <pivotArea type="data" outline="0" fieldPosition="0">
        <references count="1">
          <reference field="2" count="1" selected="0">
            <x v="20"/>
          </reference>
        </references>
      </pivotArea>
    </chartFormat>
    <chartFormat chart="0" format="26" series="1">
      <pivotArea type="data" outline="0" fieldPosition="0">
        <references count="1">
          <reference field="2" count="1" selected="0">
            <x v="1"/>
          </reference>
        </references>
      </pivotArea>
    </chartFormat>
    <chartFormat chart="0" format="27" series="1">
      <pivotArea type="data" outline="0" fieldPosition="0">
        <references count="1">
          <reference field="2" count="1" selected="0">
            <x v="5"/>
          </reference>
        </references>
      </pivotArea>
    </chartFormat>
    <chartFormat chart="0" format="28" series="1">
      <pivotArea type="data" outline="0" fieldPosition="0">
        <references count="1">
          <reference field="2" count="1" selected="0">
            <x v="11"/>
          </reference>
        </references>
      </pivotArea>
    </chartFormat>
    <chartFormat chart="0" format="29" series="1">
      <pivotArea type="data" outline="0" fieldPosition="0">
        <references count="1">
          <reference field="2" count="1" selected="0">
            <x v="20"/>
          </reference>
        </references>
      </pivotArea>
    </chartFormat>
    <chartFormat chart="16" format="58" series="1">
      <pivotArea type="data" outline="0" fieldPosition="0">
        <references count="2">
          <reference field="4294967294" count="1" selected="0">
            <x v="0"/>
          </reference>
          <reference field="2" count="1" selected="0">
            <x v="0"/>
          </reference>
        </references>
      </pivotArea>
    </chartFormat>
    <chartFormat chart="16" format="59" series="1">
      <pivotArea type="data" outline="0" fieldPosition="0">
        <references count="2">
          <reference field="4294967294" count="1" selected="0">
            <x v="0"/>
          </reference>
          <reference field="2" count="1" selected="0">
            <x v="1"/>
          </reference>
        </references>
      </pivotArea>
    </chartFormat>
    <chartFormat chart="16" format="60" series="1">
      <pivotArea type="data" outline="0" fieldPosition="0">
        <references count="2">
          <reference field="4294967294" count="1" selected="0">
            <x v="0"/>
          </reference>
          <reference field="2" count="1" selected="0">
            <x v="2"/>
          </reference>
        </references>
      </pivotArea>
    </chartFormat>
    <chartFormat chart="16" format="61" series="1">
      <pivotArea type="data" outline="0" fieldPosition="0">
        <references count="2">
          <reference field="4294967294" count="1" selected="0">
            <x v="0"/>
          </reference>
          <reference field="2" count="1" selected="0">
            <x v="3"/>
          </reference>
        </references>
      </pivotArea>
    </chartFormat>
    <chartFormat chart="16" format="62" series="1">
      <pivotArea type="data" outline="0" fieldPosition="0">
        <references count="2">
          <reference field="4294967294" count="1" selected="0">
            <x v="0"/>
          </reference>
          <reference field="2" count="1" selected="0">
            <x v="4"/>
          </reference>
        </references>
      </pivotArea>
    </chartFormat>
    <chartFormat chart="16" format="63" series="1">
      <pivotArea type="data" outline="0" fieldPosition="0">
        <references count="2">
          <reference field="4294967294" count="1" selected="0">
            <x v="0"/>
          </reference>
          <reference field="2" count="1" selected="0">
            <x v="6"/>
          </reference>
        </references>
      </pivotArea>
    </chartFormat>
    <chartFormat chart="16" format="64" series="1">
      <pivotArea type="data" outline="0" fieldPosition="0">
        <references count="2">
          <reference field="4294967294" count="1" selected="0">
            <x v="0"/>
          </reference>
          <reference field="2" count="1" selected="0">
            <x v="7"/>
          </reference>
        </references>
      </pivotArea>
    </chartFormat>
    <chartFormat chart="16" format="65" series="1">
      <pivotArea type="data" outline="0" fieldPosition="0">
        <references count="2">
          <reference field="4294967294" count="1" selected="0">
            <x v="0"/>
          </reference>
          <reference field="2" count="1" selected="0">
            <x v="8"/>
          </reference>
        </references>
      </pivotArea>
    </chartFormat>
    <chartFormat chart="16" format="66" series="1">
      <pivotArea type="data" outline="0" fieldPosition="0">
        <references count="2">
          <reference field="4294967294" count="1" selected="0">
            <x v="0"/>
          </reference>
          <reference field="2" count="1" selected="0">
            <x v="9"/>
          </reference>
        </references>
      </pivotArea>
    </chartFormat>
    <chartFormat chart="16" format="67" series="1">
      <pivotArea type="data" outline="0" fieldPosition="0">
        <references count="2">
          <reference field="4294967294" count="1" selected="0">
            <x v="0"/>
          </reference>
          <reference field="2" count="1" selected="0">
            <x v="10"/>
          </reference>
        </references>
      </pivotArea>
    </chartFormat>
    <chartFormat chart="16" format="68" series="1">
      <pivotArea type="data" outline="0" fieldPosition="0">
        <references count="2">
          <reference field="4294967294" count="1" selected="0">
            <x v="0"/>
          </reference>
          <reference field="2" count="1" selected="0">
            <x v="11"/>
          </reference>
        </references>
      </pivotArea>
    </chartFormat>
    <chartFormat chart="16" format="69" series="1">
      <pivotArea type="data" outline="0" fieldPosition="0">
        <references count="2">
          <reference field="4294967294" count="1" selected="0">
            <x v="0"/>
          </reference>
          <reference field="2" count="1" selected="0">
            <x v="12"/>
          </reference>
        </references>
      </pivotArea>
    </chartFormat>
    <chartFormat chart="16" format="70" series="1">
      <pivotArea type="data" outline="0" fieldPosition="0">
        <references count="2">
          <reference field="4294967294" count="1" selected="0">
            <x v="0"/>
          </reference>
          <reference field="2" count="1" selected="0">
            <x v="13"/>
          </reference>
        </references>
      </pivotArea>
    </chartFormat>
    <chartFormat chart="16" format="71" series="1">
      <pivotArea type="data" outline="0" fieldPosition="0">
        <references count="2">
          <reference field="4294967294" count="1" selected="0">
            <x v="0"/>
          </reference>
          <reference field="2" count="1" selected="0">
            <x v="14"/>
          </reference>
        </references>
      </pivotArea>
    </chartFormat>
    <chartFormat chart="16" format="72" series="1">
      <pivotArea type="data" outline="0" fieldPosition="0">
        <references count="2">
          <reference field="4294967294" count="1" selected="0">
            <x v="0"/>
          </reference>
          <reference field="2" count="1" selected="0">
            <x v="15"/>
          </reference>
        </references>
      </pivotArea>
    </chartFormat>
    <chartFormat chart="16" format="73" series="1">
      <pivotArea type="data" outline="0" fieldPosition="0">
        <references count="2">
          <reference field="4294967294" count="1" selected="0">
            <x v="0"/>
          </reference>
          <reference field="2" count="1" selected="0">
            <x v="16"/>
          </reference>
        </references>
      </pivotArea>
    </chartFormat>
    <chartFormat chart="16" format="74" series="1">
      <pivotArea type="data" outline="0" fieldPosition="0">
        <references count="2">
          <reference field="4294967294" count="1" selected="0">
            <x v="0"/>
          </reference>
          <reference field="2" count="1" selected="0">
            <x v="18"/>
          </reference>
        </references>
      </pivotArea>
    </chartFormat>
    <chartFormat chart="16" format="75" series="1">
      <pivotArea type="data" outline="0" fieldPosition="0">
        <references count="2">
          <reference field="4294967294" count="1" selected="0">
            <x v="0"/>
          </reference>
          <reference field="2" count="1" selected="0">
            <x v="19"/>
          </reference>
        </references>
      </pivotArea>
    </chartFormat>
    <chartFormat chart="16" format="76" series="1">
      <pivotArea type="data" outline="0" fieldPosition="0">
        <references count="2">
          <reference field="4294967294" count="1" selected="0">
            <x v="0"/>
          </reference>
          <reference field="2" count="1" selected="0">
            <x v="20"/>
          </reference>
        </references>
      </pivotArea>
    </chartFormat>
    <chartFormat chart="16" format="77" series="1">
      <pivotArea type="data" outline="0" fieldPosition="0">
        <references count="2">
          <reference field="4294967294" count="1" selected="0">
            <x v="0"/>
          </reference>
          <reference field="2" count="1" selected="0">
            <x v="23"/>
          </reference>
        </references>
      </pivotArea>
    </chartFormat>
    <chartFormat chart="16" format="78" series="1">
      <pivotArea type="data" outline="0" fieldPosition="0">
        <references count="2">
          <reference field="4294967294" count="1" selected="0">
            <x v="0"/>
          </reference>
          <reference field="2" count="1" selected="0">
            <x v="24"/>
          </reference>
        </references>
      </pivotArea>
    </chartFormat>
    <chartFormat chart="16" format="79" series="1">
      <pivotArea type="data" outline="0" fieldPosition="0">
        <references count="2">
          <reference field="4294967294" count="1" selected="0">
            <x v="0"/>
          </reference>
          <reference field="2" count="1" selected="0">
            <x v="25"/>
          </reference>
        </references>
      </pivotArea>
    </chartFormat>
    <chartFormat chart="16" format="80" series="1">
      <pivotArea type="data" outline="0" fieldPosition="0">
        <references count="2">
          <reference field="4294967294" count="1" selected="0">
            <x v="0"/>
          </reference>
          <reference field="2" count="1" selected="0">
            <x v="26"/>
          </reference>
        </references>
      </pivotArea>
    </chartFormat>
    <chartFormat chart="16" format="81" series="1">
      <pivotArea type="data" outline="0" fieldPosition="0">
        <references count="2">
          <reference field="4294967294" count="1" selected="0">
            <x v="0"/>
          </reference>
          <reference field="2" count="1" selected="0">
            <x v="27"/>
          </reference>
        </references>
      </pivotArea>
    </chartFormat>
    <chartFormat chart="0" format="53" series="1">
      <pivotArea type="data" outline="0" fieldPosition="0">
        <references count="2">
          <reference field="4294967294" count="1" selected="0">
            <x v="0"/>
          </reference>
          <reference field="2" count="1" selected="0">
            <x v="0"/>
          </reference>
        </references>
      </pivotArea>
    </chartFormat>
    <chartFormat chart="0" format="54" series="1">
      <pivotArea type="data" outline="0" fieldPosition="0">
        <references count="2">
          <reference field="4294967294" count="1" selected="0">
            <x v="0"/>
          </reference>
          <reference field="2" count="1" selected="0">
            <x v="1"/>
          </reference>
        </references>
      </pivotArea>
    </chartFormat>
    <chartFormat chart="0" format="55" series="1">
      <pivotArea type="data" outline="0" fieldPosition="0">
        <references count="2">
          <reference field="4294967294" count="1" selected="0">
            <x v="0"/>
          </reference>
          <reference field="2" count="1" selected="0">
            <x v="2"/>
          </reference>
        </references>
      </pivotArea>
    </chartFormat>
    <chartFormat chart="0" format="56" series="1">
      <pivotArea type="data" outline="0" fieldPosition="0">
        <references count="2">
          <reference field="4294967294" count="1" selected="0">
            <x v="0"/>
          </reference>
          <reference field="2" count="1" selected="0">
            <x v="3"/>
          </reference>
        </references>
      </pivotArea>
    </chartFormat>
    <chartFormat chart="0" format="57" series="1">
      <pivotArea type="data" outline="0" fieldPosition="0">
        <references count="2">
          <reference field="4294967294" count="1" selected="0">
            <x v="0"/>
          </reference>
          <reference field="2" count="1" selected="0">
            <x v="4"/>
          </reference>
        </references>
      </pivotArea>
    </chartFormat>
    <chartFormat chart="0" format="58" series="1">
      <pivotArea type="data" outline="0" fieldPosition="0">
        <references count="2">
          <reference field="4294967294" count="1" selected="0">
            <x v="0"/>
          </reference>
          <reference field="2" count="1" selected="0">
            <x v="6"/>
          </reference>
        </references>
      </pivotArea>
    </chartFormat>
    <chartFormat chart="0" format="59" series="1">
      <pivotArea type="data" outline="0" fieldPosition="0">
        <references count="2">
          <reference field="4294967294" count="1" selected="0">
            <x v="0"/>
          </reference>
          <reference field="2" count="1" selected="0">
            <x v="7"/>
          </reference>
        </references>
      </pivotArea>
    </chartFormat>
    <chartFormat chart="0" format="60" series="1">
      <pivotArea type="data" outline="0" fieldPosition="0">
        <references count="2">
          <reference field="4294967294" count="1" selected="0">
            <x v="0"/>
          </reference>
          <reference field="2" count="1" selected="0">
            <x v="8"/>
          </reference>
        </references>
      </pivotArea>
    </chartFormat>
    <chartFormat chart="0" format="61" series="1">
      <pivotArea type="data" outline="0" fieldPosition="0">
        <references count="2">
          <reference field="4294967294" count="1" selected="0">
            <x v="0"/>
          </reference>
          <reference field="2" count="1" selected="0">
            <x v="9"/>
          </reference>
        </references>
      </pivotArea>
    </chartFormat>
    <chartFormat chart="0" format="62" series="1">
      <pivotArea type="data" outline="0" fieldPosition="0">
        <references count="2">
          <reference field="4294967294" count="1" selected="0">
            <x v="0"/>
          </reference>
          <reference field="2" count="1" selected="0">
            <x v="10"/>
          </reference>
        </references>
      </pivotArea>
    </chartFormat>
    <chartFormat chart="0" format="63" series="1">
      <pivotArea type="data" outline="0" fieldPosition="0">
        <references count="2">
          <reference field="4294967294" count="1" selected="0">
            <x v="0"/>
          </reference>
          <reference field="2" count="1" selected="0">
            <x v="11"/>
          </reference>
        </references>
      </pivotArea>
    </chartFormat>
    <chartFormat chart="0" format="64" series="1">
      <pivotArea type="data" outline="0" fieldPosition="0">
        <references count="2">
          <reference field="4294967294" count="1" selected="0">
            <x v="0"/>
          </reference>
          <reference field="2" count="1" selected="0">
            <x v="12"/>
          </reference>
        </references>
      </pivotArea>
    </chartFormat>
    <chartFormat chart="0" format="65" series="1">
      <pivotArea type="data" outline="0" fieldPosition="0">
        <references count="2">
          <reference field="4294967294" count="1" selected="0">
            <x v="0"/>
          </reference>
          <reference field="2" count="1" selected="0">
            <x v="13"/>
          </reference>
        </references>
      </pivotArea>
    </chartFormat>
    <chartFormat chart="0" format="66" series="1">
      <pivotArea type="data" outline="0" fieldPosition="0">
        <references count="2">
          <reference field="4294967294" count="1" selected="0">
            <x v="0"/>
          </reference>
          <reference field="2" count="1" selected="0">
            <x v="14"/>
          </reference>
        </references>
      </pivotArea>
    </chartFormat>
    <chartFormat chart="0" format="67" series="1">
      <pivotArea type="data" outline="0" fieldPosition="0">
        <references count="2">
          <reference field="4294967294" count="1" selected="0">
            <x v="0"/>
          </reference>
          <reference field="2" count="1" selected="0">
            <x v="15"/>
          </reference>
        </references>
      </pivotArea>
    </chartFormat>
    <chartFormat chart="0" format="68" series="1">
      <pivotArea type="data" outline="0" fieldPosition="0">
        <references count="2">
          <reference field="4294967294" count="1" selected="0">
            <x v="0"/>
          </reference>
          <reference field="2" count="1" selected="0">
            <x v="16"/>
          </reference>
        </references>
      </pivotArea>
    </chartFormat>
    <chartFormat chart="0" format="69" series="1">
      <pivotArea type="data" outline="0" fieldPosition="0">
        <references count="2">
          <reference field="4294967294" count="1" selected="0">
            <x v="0"/>
          </reference>
          <reference field="2" count="1" selected="0">
            <x v="18"/>
          </reference>
        </references>
      </pivotArea>
    </chartFormat>
    <chartFormat chart="0" format="70" series="1">
      <pivotArea type="data" outline="0" fieldPosition="0">
        <references count="2">
          <reference field="4294967294" count="1" selected="0">
            <x v="0"/>
          </reference>
          <reference field="2" count="1" selected="0">
            <x v="19"/>
          </reference>
        </references>
      </pivotArea>
    </chartFormat>
    <chartFormat chart="0" format="71" series="1">
      <pivotArea type="data" outline="0" fieldPosition="0">
        <references count="2">
          <reference field="4294967294" count="1" selected="0">
            <x v="0"/>
          </reference>
          <reference field="2" count="1" selected="0">
            <x v="20"/>
          </reference>
        </references>
      </pivotArea>
    </chartFormat>
    <chartFormat chart="0" format="72" series="1">
      <pivotArea type="data" outline="0" fieldPosition="0">
        <references count="2">
          <reference field="4294967294" count="1" selected="0">
            <x v="0"/>
          </reference>
          <reference field="2" count="1" selected="0">
            <x v="23"/>
          </reference>
        </references>
      </pivotArea>
    </chartFormat>
    <chartFormat chart="0" format="73" series="1">
      <pivotArea type="data" outline="0" fieldPosition="0">
        <references count="2">
          <reference field="4294967294" count="1" selected="0">
            <x v="0"/>
          </reference>
          <reference field="2" count="1" selected="0">
            <x v="24"/>
          </reference>
        </references>
      </pivotArea>
    </chartFormat>
    <chartFormat chart="0" format="74" series="1">
      <pivotArea type="data" outline="0" fieldPosition="0">
        <references count="2">
          <reference field="4294967294" count="1" selected="0">
            <x v="0"/>
          </reference>
          <reference field="2" count="1" selected="0">
            <x v="25"/>
          </reference>
        </references>
      </pivotArea>
    </chartFormat>
    <chartFormat chart="0" format="75" series="1">
      <pivotArea type="data" outline="0" fieldPosition="0">
        <references count="2">
          <reference field="4294967294" count="1" selected="0">
            <x v="0"/>
          </reference>
          <reference field="2" count="1" selected="0">
            <x v="26"/>
          </reference>
        </references>
      </pivotArea>
    </chartFormat>
    <chartFormat chart="0" format="76" series="1">
      <pivotArea type="data" outline="0" fieldPosition="0">
        <references count="2">
          <reference field="4294967294" count="1" selected="0">
            <x v="0"/>
          </reference>
          <reference field="2" count="1" selected="0">
            <x v="27"/>
          </reference>
        </references>
      </pivotArea>
    </chartFormat>
    <chartFormat chart="23" format="77" series="1">
      <pivotArea type="data" outline="0" fieldPosition="0">
        <references count="2">
          <reference field="4294967294" count="1" selected="0">
            <x v="0"/>
          </reference>
          <reference field="2" count="1" selected="0">
            <x v="1"/>
          </reference>
        </references>
      </pivotArea>
    </chartFormat>
    <chartFormat chart="23" format="78" series="1">
      <pivotArea type="data" outline="0" fieldPosition="0">
        <references count="2">
          <reference field="4294967294" count="1" selected="0">
            <x v="0"/>
          </reference>
          <reference field="2" count="1" selected="0">
            <x v="11"/>
          </reference>
        </references>
      </pivotArea>
    </chartFormat>
    <chartFormat chart="23" format="79" series="1">
      <pivotArea type="data" outline="0" fieldPosition="0">
        <references count="2">
          <reference field="4294967294" count="1" selected="0">
            <x v="0"/>
          </reference>
          <reference field="2" count="1" selected="0">
            <x v="15"/>
          </reference>
        </references>
      </pivotArea>
    </chartFormat>
    <chartFormat chart="23" format="80" series="1">
      <pivotArea type="data" outline="0" fieldPosition="0">
        <references count="2">
          <reference field="4294967294" count="1" selected="0">
            <x v="0"/>
          </reference>
          <reference field="2" count="1" selected="0">
            <x v="25"/>
          </reference>
        </references>
      </pivotArea>
    </chartFormat>
    <chartFormat chart="23" format="81" series="1">
      <pivotArea type="data" outline="0" fieldPosition="0">
        <references count="2">
          <reference field="4294967294" count="1" selected="0">
            <x v="0"/>
          </reference>
          <reference field="2" count="1" selected="0">
            <x v="4"/>
          </reference>
        </references>
      </pivotArea>
    </chartFormat>
    <chartFormat chart="23" format="82" series="1">
      <pivotArea type="data" outline="0" fieldPosition="0">
        <references count="2">
          <reference field="4294967294" count="1" selected="0">
            <x v="0"/>
          </reference>
          <reference field="2" count="1" selected="0">
            <x v="6"/>
          </reference>
        </references>
      </pivotArea>
    </chartFormat>
    <chartFormat chart="23" format="83" series="1">
      <pivotArea type="data" outline="0" fieldPosition="0">
        <references count="2">
          <reference field="4294967294" count="1" selected="0">
            <x v="0"/>
          </reference>
          <reference field="2" count="1" selected="0">
            <x v="7"/>
          </reference>
        </references>
      </pivotArea>
    </chartFormat>
    <chartFormat chart="23" format="84" series="1">
      <pivotArea type="data" outline="0" fieldPosition="0">
        <references count="2">
          <reference field="4294967294" count="1" selected="0">
            <x v="0"/>
          </reference>
          <reference field="2" count="1" selected="0">
            <x v="8"/>
          </reference>
        </references>
      </pivotArea>
    </chartFormat>
    <chartFormat chart="23" format="85" series="1">
      <pivotArea type="data" outline="0" fieldPosition="0">
        <references count="2">
          <reference field="4294967294" count="1" selected="0">
            <x v="0"/>
          </reference>
          <reference field="2" count="1" selected="0">
            <x v="9"/>
          </reference>
        </references>
      </pivotArea>
    </chartFormat>
    <chartFormat chart="23" format="86" series="1">
      <pivotArea type="data" outline="0" fieldPosition="0">
        <references count="2">
          <reference field="4294967294" count="1" selected="0">
            <x v="0"/>
          </reference>
          <reference field="2" count="1" selected="0">
            <x v="10"/>
          </reference>
        </references>
      </pivotArea>
    </chartFormat>
    <chartFormat chart="23" format="87" series="1">
      <pivotArea type="data" outline="0" fieldPosition="0">
        <references count="2">
          <reference field="4294967294" count="1" selected="0">
            <x v="0"/>
          </reference>
          <reference field="2" count="1" selected="0">
            <x v="12"/>
          </reference>
        </references>
      </pivotArea>
    </chartFormat>
    <chartFormat chart="23" format="88" series="1">
      <pivotArea type="data" outline="0" fieldPosition="0">
        <references count="2">
          <reference field="4294967294" count="1" selected="0">
            <x v="0"/>
          </reference>
          <reference field="2" count="1" selected="0">
            <x v="13"/>
          </reference>
        </references>
      </pivotArea>
    </chartFormat>
    <chartFormat chart="23" format="89" series="1">
      <pivotArea type="data" outline="0" fieldPosition="0">
        <references count="2">
          <reference field="4294967294" count="1" selected="0">
            <x v="0"/>
          </reference>
          <reference field="2" count="1" selected="0">
            <x v="14"/>
          </reference>
        </references>
      </pivotArea>
    </chartFormat>
    <chartFormat chart="23" format="90" series="1">
      <pivotArea type="data" outline="0" fieldPosition="0">
        <references count="2">
          <reference field="4294967294" count="1" selected="0">
            <x v="0"/>
          </reference>
          <reference field="2" count="1" selected="0">
            <x v="16"/>
          </reference>
        </references>
      </pivotArea>
    </chartFormat>
    <chartFormat chart="23" format="91" series="1">
      <pivotArea type="data" outline="0" fieldPosition="0">
        <references count="2">
          <reference field="4294967294" count="1" selected="0">
            <x v="0"/>
          </reference>
          <reference field="2" count="1" selected="0">
            <x v="18"/>
          </reference>
        </references>
      </pivotArea>
    </chartFormat>
    <chartFormat chart="23" format="92" series="1">
      <pivotArea type="data" outline="0" fieldPosition="0">
        <references count="2">
          <reference field="4294967294" count="1" selected="0">
            <x v="0"/>
          </reference>
          <reference field="2" count="1" selected="0">
            <x v="19"/>
          </reference>
        </references>
      </pivotArea>
    </chartFormat>
    <chartFormat chart="23" format="93" series="1">
      <pivotArea type="data" outline="0" fieldPosition="0">
        <references count="2">
          <reference field="4294967294" count="1" selected="0">
            <x v="0"/>
          </reference>
          <reference field="2" count="1" selected="0">
            <x v="20"/>
          </reference>
        </references>
      </pivotArea>
    </chartFormat>
    <chartFormat chart="23" format="94" series="1">
      <pivotArea type="data" outline="0" fieldPosition="0">
        <references count="2">
          <reference field="4294967294" count="1" selected="0">
            <x v="0"/>
          </reference>
          <reference field="2" count="1" selected="0">
            <x v="23"/>
          </reference>
        </references>
      </pivotArea>
    </chartFormat>
    <chartFormat chart="23" format="95" series="1">
      <pivotArea type="data" outline="0" fieldPosition="0">
        <references count="2">
          <reference field="4294967294" count="1" selected="0">
            <x v="0"/>
          </reference>
          <reference field="2" count="1" selected="0">
            <x v="24"/>
          </reference>
        </references>
      </pivotArea>
    </chartFormat>
    <chartFormat chart="23" format="96" series="1">
      <pivotArea type="data" outline="0" fieldPosition="0">
        <references count="2">
          <reference field="4294967294" count="1" selected="0">
            <x v="0"/>
          </reference>
          <reference field="2" count="1" selected="0">
            <x v="26"/>
          </reference>
        </references>
      </pivotArea>
    </chartFormat>
    <chartFormat chart="23" format="97" series="1">
      <pivotArea type="data" outline="0" fieldPosition="0">
        <references count="2">
          <reference field="4294967294" count="1" selected="0">
            <x v="0"/>
          </reference>
          <reference field="2" count="1" selected="0">
            <x v="27"/>
          </reference>
        </references>
      </pivotArea>
    </chartFormat>
    <chartFormat chart="23" format="98" series="1">
      <pivotArea type="data" outline="0" fieldPosition="0">
        <references count="2">
          <reference field="4294967294" count="1" selected="0">
            <x v="0"/>
          </reference>
          <reference field="2" count="1" selected="0">
            <x v="0"/>
          </reference>
        </references>
      </pivotArea>
    </chartFormat>
    <chartFormat chart="23" format="99" series="1">
      <pivotArea type="data" outline="0" fieldPosition="0">
        <references count="2">
          <reference field="4294967294" count="1" selected="0">
            <x v="0"/>
          </reference>
          <reference field="2" count="1" selected="0">
            <x v="2"/>
          </reference>
        </references>
      </pivotArea>
    </chartFormat>
    <chartFormat chart="23" format="100" series="1">
      <pivotArea type="data" outline="0" fieldPosition="0">
        <references count="2">
          <reference field="4294967294" count="1" selected="0">
            <x v="0"/>
          </reference>
          <reference field="2" count="1" selected="0">
            <x v="3"/>
          </reference>
        </references>
      </pivotArea>
    </chartFormat>
    <chartFormat chart="30" format="104" series="1">
      <pivotArea type="data" outline="0" fieldPosition="0">
        <references count="2">
          <reference field="4294967294" count="1" selected="0">
            <x v="0"/>
          </reference>
          <reference field="2" count="1" selected="0">
            <x v="3"/>
          </reference>
        </references>
      </pivotArea>
    </chartFormat>
    <chartFormat chart="30" format="105" series="1">
      <pivotArea type="data" outline="0" fieldPosition="0">
        <references count="2">
          <reference field="4294967294" count="1" selected="0">
            <x v="0"/>
          </reference>
          <reference field="2" count="1" selected="0">
            <x v="4"/>
          </reference>
        </references>
      </pivotArea>
    </chartFormat>
    <chartFormat chart="30" format="106" series="1">
      <pivotArea type="data" outline="0" fieldPosition="0">
        <references count="2">
          <reference field="4294967294" count="1" selected="0">
            <x v="0"/>
          </reference>
          <reference field="2" count="1" selected="0">
            <x v="9"/>
          </reference>
        </references>
      </pivotArea>
    </chartFormat>
    <chartFormat chart="30" format="107" series="1">
      <pivotArea type="data" outline="0" fieldPosition="0">
        <references count="2">
          <reference field="4294967294" count="1" selected="0">
            <x v="0"/>
          </reference>
          <reference field="2" count="1" selected="0">
            <x v="6"/>
          </reference>
        </references>
      </pivotArea>
    </chartFormat>
    <chartFormat chart="30" format="108" series="1">
      <pivotArea type="data" outline="0" fieldPosition="0">
        <references count="2">
          <reference field="4294967294" count="1" selected="0">
            <x v="0"/>
          </reference>
          <reference field="2" count="1" selected="0">
            <x v="7"/>
          </reference>
        </references>
      </pivotArea>
    </chartFormat>
    <chartFormat chart="30" format="109" series="1">
      <pivotArea type="data" outline="0" fieldPosition="0">
        <references count="2">
          <reference field="4294967294" count="1" selected="0">
            <x v="0"/>
          </reference>
          <reference field="2" count="1" selected="0">
            <x v="8"/>
          </reference>
        </references>
      </pivotArea>
    </chartFormat>
    <chartFormat chart="30" format="110" series="1">
      <pivotArea type="data" outline="0" fieldPosition="0">
        <references count="2">
          <reference field="4294967294" count="1" selected="0">
            <x v="0"/>
          </reference>
          <reference field="2" count="1" selected="0">
            <x v="10"/>
          </reference>
        </references>
      </pivotArea>
    </chartFormat>
    <chartFormat chart="30" format="111" series="1">
      <pivotArea type="data" outline="0" fieldPosition="0">
        <references count="2">
          <reference field="4294967294" count="1" selected="0">
            <x v="0"/>
          </reference>
          <reference field="2" count="1" selected="0">
            <x v="11"/>
          </reference>
        </references>
      </pivotArea>
    </chartFormat>
    <chartFormat chart="30" format="112" series="1">
      <pivotArea type="data" outline="0" fieldPosition="0">
        <references count="2">
          <reference field="4294967294" count="1" selected="0">
            <x v="0"/>
          </reference>
          <reference field="2" count="1" selected="0">
            <x v="12"/>
          </reference>
        </references>
      </pivotArea>
    </chartFormat>
    <chartFormat chart="30" format="113" series="1">
      <pivotArea type="data" outline="0" fieldPosition="0">
        <references count="2">
          <reference field="4294967294" count="1" selected="0">
            <x v="0"/>
          </reference>
          <reference field="2" count="1" selected="0">
            <x v="13"/>
          </reference>
        </references>
      </pivotArea>
    </chartFormat>
    <chartFormat chart="30" format="114" series="1">
      <pivotArea type="data" outline="0" fieldPosition="0">
        <references count="2">
          <reference field="4294967294" count="1" selected="0">
            <x v="0"/>
          </reference>
          <reference field="2" count="1" selected="0">
            <x v="14"/>
          </reference>
        </references>
      </pivotArea>
    </chartFormat>
    <chartFormat chart="30" format="115" series="1">
      <pivotArea type="data" outline="0" fieldPosition="0">
        <references count="2">
          <reference field="4294967294" count="1" selected="0">
            <x v="0"/>
          </reference>
          <reference field="2" count="1" selected="0">
            <x v="15"/>
          </reference>
        </references>
      </pivotArea>
    </chartFormat>
    <chartFormat chart="30" format="116" series="1">
      <pivotArea type="data" outline="0" fieldPosition="0">
        <references count="2">
          <reference field="4294967294" count="1" selected="0">
            <x v="0"/>
          </reference>
          <reference field="2" count="1" selected="0">
            <x v="16"/>
          </reference>
        </references>
      </pivotArea>
    </chartFormat>
    <chartFormat chart="30" format="117" series="1">
      <pivotArea type="data" outline="0" fieldPosition="0">
        <references count="2">
          <reference field="4294967294" count="1" selected="0">
            <x v="0"/>
          </reference>
          <reference field="2" count="1" selected="0">
            <x v="18"/>
          </reference>
        </references>
      </pivotArea>
    </chartFormat>
    <chartFormat chart="30" format="118" series="1">
      <pivotArea type="data" outline="0" fieldPosition="0">
        <references count="2">
          <reference field="4294967294" count="1" selected="0">
            <x v="0"/>
          </reference>
          <reference field="2" count="1" selected="0">
            <x v="19"/>
          </reference>
        </references>
      </pivotArea>
    </chartFormat>
    <chartFormat chart="30" format="119" series="1">
      <pivotArea type="data" outline="0" fieldPosition="0">
        <references count="2">
          <reference field="4294967294" count="1" selected="0">
            <x v="0"/>
          </reference>
          <reference field="2" count="1" selected="0">
            <x v="20"/>
          </reference>
        </references>
      </pivotArea>
    </chartFormat>
    <chartFormat chart="30" format="120" series="1">
      <pivotArea type="data" outline="0" fieldPosition="0">
        <references count="2">
          <reference field="4294967294" count="1" selected="0">
            <x v="0"/>
          </reference>
          <reference field="2" count="1" selected="0">
            <x v="23"/>
          </reference>
        </references>
      </pivotArea>
    </chartFormat>
    <chartFormat chart="30" format="121" series="1">
      <pivotArea type="data" outline="0" fieldPosition="0">
        <references count="2">
          <reference field="4294967294" count="1" selected="0">
            <x v="0"/>
          </reference>
          <reference field="2" count="1" selected="0">
            <x v="24"/>
          </reference>
        </references>
      </pivotArea>
    </chartFormat>
    <chartFormat chart="30" format="122" series="1">
      <pivotArea type="data" outline="0" fieldPosition="0">
        <references count="2">
          <reference field="4294967294" count="1" selected="0">
            <x v="0"/>
          </reference>
          <reference field="2" count="1" selected="0">
            <x v="25"/>
          </reference>
        </references>
      </pivotArea>
    </chartFormat>
    <chartFormat chart="30" format="123" series="1">
      <pivotArea type="data" outline="0" fieldPosition="0">
        <references count="2">
          <reference field="4294967294" count="1" selected="0">
            <x v="0"/>
          </reference>
          <reference field="2" count="1" selected="0">
            <x v="26"/>
          </reference>
        </references>
      </pivotArea>
    </chartFormat>
    <chartFormat chart="30" format="124" series="1">
      <pivotArea type="data" outline="0" fieldPosition="0">
        <references count="2">
          <reference field="4294967294" count="1" selected="0">
            <x v="0"/>
          </reference>
          <reference field="2" count="1" selected="0">
            <x v="27"/>
          </reference>
        </references>
      </pivotArea>
    </chartFormat>
    <chartFormat chart="30" format="125" series="1">
      <pivotArea type="data" outline="0" fieldPosition="0">
        <references count="2">
          <reference field="4294967294" count="1" selected="0">
            <x v="0"/>
          </reference>
          <reference field="2" count="1" selected="0">
            <x v="0"/>
          </reference>
        </references>
      </pivotArea>
    </chartFormat>
    <chartFormat chart="30" format="126" series="1">
      <pivotArea type="data" outline="0" fieldPosition="0">
        <references count="2">
          <reference field="4294967294" count="1" selected="0">
            <x v="0"/>
          </reference>
          <reference field="2" count="1" selected="0">
            <x v="1"/>
          </reference>
        </references>
      </pivotArea>
    </chartFormat>
    <chartFormat chart="30" format="127" series="1">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OpenTrades_Pivot" cacheId="6"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21" fieldListSortAscending="1">
  <location ref="A3:E60" firstHeaderRow="1" firstDataRow="2" firstDataCol="1" rowPageCount="1" colPageCount="1"/>
  <pivotFields count="4">
    <pivotField axis="axisPage" showAll="0" defaultSubtotal="0">
      <items count="17">
        <item x="3"/>
        <item x="4"/>
        <item x="6"/>
        <item x="7"/>
        <item x="8"/>
        <item x="9"/>
        <item x="10"/>
        <item x="11"/>
        <item x="12"/>
        <item x="13"/>
        <item x="14"/>
        <item x="15"/>
        <item x="16"/>
        <item x="2"/>
        <item x="5"/>
        <item x="0"/>
        <item x="1"/>
      </items>
    </pivotField>
    <pivotField axis="axisRow" numFmtId="2" showAll="0" defaultSubtotal="0">
      <items count="62">
        <item x="61"/>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25"/>
        <item x="26"/>
        <item x="27"/>
        <item x="0"/>
        <item x="1"/>
        <item x="2"/>
        <item x="3"/>
        <item x="4"/>
        <item x="5"/>
        <item x="6"/>
        <item x="7"/>
        <item x="8"/>
        <item x="9"/>
        <item x="10"/>
        <item x="11"/>
        <item x="12"/>
        <item x="13"/>
        <item x="14"/>
        <item x="15"/>
        <item x="16"/>
        <item x="17"/>
        <item x="18"/>
        <item x="19"/>
        <item x="20"/>
        <item x="21"/>
        <item x="22"/>
        <item x="23"/>
        <item x="24"/>
      </items>
    </pivotField>
    <pivotField axis="axisCol" showAll="0" defaultSubtotal="0">
      <items count="19">
        <item x="0"/>
        <item x="4"/>
        <item x="7"/>
        <item x="15"/>
        <item x="14"/>
        <item x="8"/>
        <item x="9"/>
        <item x="2"/>
        <item x="13"/>
        <item m="1" x="17"/>
        <item x="1"/>
        <item x="11"/>
        <item x="10"/>
        <item m="1" x="18"/>
        <item x="6"/>
        <item x="12"/>
        <item x="3"/>
        <item x="16"/>
        <item x="5"/>
      </items>
    </pivotField>
    <pivotField dataField="1" showAll="0" defaultSubtotal="0"/>
  </pivotFields>
  <rowFields count="1">
    <field x="1"/>
  </rowFields>
  <rowItems count="56">
    <i>
      <x v="5"/>
    </i>
    <i>
      <x v="6"/>
    </i>
    <i>
      <x v="7"/>
    </i>
    <i>
      <x v="8"/>
    </i>
    <i>
      <x v="9"/>
    </i>
    <i>
      <x v="10"/>
    </i>
    <i>
      <x v="11"/>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rowItems>
  <colFields count="1">
    <field x="2"/>
  </colFields>
  <colItems count="4">
    <i>
      <x v="1"/>
    </i>
    <i>
      <x v="7"/>
    </i>
    <i>
      <x v="14"/>
    </i>
    <i t="grand">
      <x/>
    </i>
  </colItems>
  <pageFields count="1">
    <pageField fld="0" item="3" hier="-1"/>
  </pageFields>
  <dataFields count="1">
    <dataField name="Open P/L" fld="3" baseField="1" baseItem="7" numFmtId="4"/>
  </dataFields>
  <formats count="2">
    <format dxfId="11">
      <pivotArea dataOnly="0" labelOnly="1" fieldPosition="0">
        <references count="1">
          <reference field="2" count="2">
            <x v="7"/>
            <x v="14"/>
          </reference>
        </references>
      </pivotArea>
    </format>
    <format dxfId="10">
      <pivotArea dataOnly="0" labelOnly="1" grandCol="1" outline="0" fieldPosition="0"/>
    </format>
  </formats>
  <chartFormats count="68">
    <chartFormat chart="12" format="42" series="1">
      <pivotArea type="data" outline="0" fieldPosition="0">
        <references count="2">
          <reference field="4294967294" count="1" selected="0">
            <x v="0"/>
          </reference>
          <reference field="2" count="1" selected="0">
            <x v="7"/>
          </reference>
        </references>
      </pivotArea>
    </chartFormat>
    <chartFormat chart="12" format="43" series="1">
      <pivotArea type="data" outline="0" fieldPosition="0">
        <references count="2">
          <reference field="4294967294" count="1" selected="0">
            <x v="0"/>
          </reference>
          <reference field="2" count="1" selected="0">
            <x v="14"/>
          </reference>
        </references>
      </pivotArea>
    </chartFormat>
    <chartFormat chart="0" format="23" series="1">
      <pivotArea type="data" outline="0" fieldPosition="0">
        <references count="2">
          <reference field="4294967294" count="1" selected="0">
            <x v="0"/>
          </reference>
          <reference field="2" count="1" selected="0">
            <x v="7"/>
          </reference>
        </references>
      </pivotArea>
    </chartFormat>
    <chartFormat chart="0" format="24" series="1">
      <pivotArea type="data" outline="0" fieldPosition="0">
        <references count="2">
          <reference field="4294967294" count="1" selected="0">
            <x v="0"/>
          </reference>
          <reference field="2" count="1" selected="0">
            <x v="14"/>
          </reference>
        </references>
      </pivotArea>
    </chartFormat>
    <chartFormat chart="0" format="25" series="1">
      <pivotArea type="data" outline="0" fieldPosition="0">
        <references count="2">
          <reference field="4294967294" count="1" selected="0">
            <x v="0"/>
          </reference>
          <reference field="2" count="1" selected="0">
            <x v="1"/>
          </reference>
        </references>
      </pivotArea>
    </chartFormat>
    <chartFormat chart="12" format="44" series="1">
      <pivotArea type="data" outline="0" fieldPosition="0">
        <references count="2">
          <reference field="4294967294" count="1" selected="0">
            <x v="0"/>
          </reference>
          <reference field="2" count="1" selected="0">
            <x v="1"/>
          </reference>
        </references>
      </pivotArea>
    </chartFormat>
    <chartFormat chart="12" format="45" series="1">
      <pivotArea type="data" outline="0" fieldPosition="0">
        <references count="2">
          <reference field="4294967294" count="1" selected="0">
            <x v="0"/>
          </reference>
          <reference field="2" count="1" selected="0">
            <x v="0"/>
          </reference>
        </references>
      </pivotArea>
    </chartFormat>
    <chartFormat chart="12" format="46" series="1">
      <pivotArea type="data" outline="0" fieldPosition="0">
        <references count="2">
          <reference field="4294967294" count="1" selected="0">
            <x v="0"/>
          </reference>
          <reference field="2" count="1" selected="0">
            <x v="2"/>
          </reference>
        </references>
      </pivotArea>
    </chartFormat>
    <chartFormat chart="12" format="47" series="1">
      <pivotArea type="data" outline="0" fieldPosition="0">
        <references count="2">
          <reference field="4294967294" count="1" selected="0">
            <x v="0"/>
          </reference>
          <reference field="2" count="1" selected="0">
            <x v="3"/>
          </reference>
        </references>
      </pivotArea>
    </chartFormat>
    <chartFormat chart="12" format="48" series="1">
      <pivotArea type="data" outline="0" fieldPosition="0">
        <references count="2">
          <reference field="4294967294" count="1" selected="0">
            <x v="0"/>
          </reference>
          <reference field="2" count="1" selected="0">
            <x v="4"/>
          </reference>
        </references>
      </pivotArea>
    </chartFormat>
    <chartFormat chart="12" format="49" series="1">
      <pivotArea type="data" outline="0" fieldPosition="0">
        <references count="2">
          <reference field="4294967294" count="1" selected="0">
            <x v="0"/>
          </reference>
          <reference field="2" count="1" selected="0">
            <x v="5"/>
          </reference>
        </references>
      </pivotArea>
    </chartFormat>
    <chartFormat chart="12" format="50" series="1">
      <pivotArea type="data" outline="0" fieldPosition="0">
        <references count="2">
          <reference field="4294967294" count="1" selected="0">
            <x v="0"/>
          </reference>
          <reference field="2" count="1" selected="0">
            <x v="6"/>
          </reference>
        </references>
      </pivotArea>
    </chartFormat>
    <chartFormat chart="12" format="51" series="1">
      <pivotArea type="data" outline="0" fieldPosition="0">
        <references count="2">
          <reference field="4294967294" count="1" selected="0">
            <x v="0"/>
          </reference>
          <reference field="2" count="1" selected="0">
            <x v="8"/>
          </reference>
        </references>
      </pivotArea>
    </chartFormat>
    <chartFormat chart="12" format="52" series="1">
      <pivotArea type="data" outline="0" fieldPosition="0">
        <references count="2">
          <reference field="4294967294" count="1" selected="0">
            <x v="0"/>
          </reference>
          <reference field="2" count="1" selected="0">
            <x v="10"/>
          </reference>
        </references>
      </pivotArea>
    </chartFormat>
    <chartFormat chart="12" format="53" series="1">
      <pivotArea type="data" outline="0" fieldPosition="0">
        <references count="2">
          <reference field="4294967294" count="1" selected="0">
            <x v="0"/>
          </reference>
          <reference field="2" count="1" selected="0">
            <x v="11"/>
          </reference>
        </references>
      </pivotArea>
    </chartFormat>
    <chartFormat chart="12" format="54" series="1">
      <pivotArea type="data" outline="0" fieldPosition="0">
        <references count="2">
          <reference field="4294967294" count="1" selected="0">
            <x v="0"/>
          </reference>
          <reference field="2" count="1" selected="0">
            <x v="12"/>
          </reference>
        </references>
      </pivotArea>
    </chartFormat>
    <chartFormat chart="12" format="55" series="1">
      <pivotArea type="data" outline="0" fieldPosition="0">
        <references count="2">
          <reference field="4294967294" count="1" selected="0">
            <x v="0"/>
          </reference>
          <reference field="2" count="1" selected="0">
            <x v="15"/>
          </reference>
        </references>
      </pivotArea>
    </chartFormat>
    <chartFormat chart="12" format="56" series="1">
      <pivotArea type="data" outline="0" fieldPosition="0">
        <references count="2">
          <reference field="4294967294" count="1" selected="0">
            <x v="0"/>
          </reference>
          <reference field="2" count="1" selected="0">
            <x v="16"/>
          </reference>
        </references>
      </pivotArea>
    </chartFormat>
    <chartFormat chart="12" format="57" series="1">
      <pivotArea type="data" outline="0" fieldPosition="0">
        <references count="2">
          <reference field="4294967294" count="1" selected="0">
            <x v="0"/>
          </reference>
          <reference field="2" count="1" selected="0">
            <x v="17"/>
          </reference>
        </references>
      </pivotArea>
    </chartFormat>
    <chartFormat chart="12" format="58" series="1">
      <pivotArea type="data" outline="0" fieldPosition="0">
        <references count="2">
          <reference field="4294967294" count="1" selected="0">
            <x v="0"/>
          </reference>
          <reference field="2" count="1" selected="0">
            <x v="18"/>
          </reference>
        </references>
      </pivotArea>
    </chartFormat>
    <chartFormat chart="0" format="26" series="1">
      <pivotArea type="data" outline="0" fieldPosition="0">
        <references count="2">
          <reference field="4294967294" count="1" selected="0">
            <x v="0"/>
          </reference>
          <reference field="2" count="1" selected="0">
            <x v="0"/>
          </reference>
        </references>
      </pivotArea>
    </chartFormat>
    <chartFormat chart="0" format="27" series="1">
      <pivotArea type="data" outline="0" fieldPosition="0">
        <references count="2">
          <reference field="4294967294" count="1" selected="0">
            <x v="0"/>
          </reference>
          <reference field="2" count="1" selected="0">
            <x v="2"/>
          </reference>
        </references>
      </pivotArea>
    </chartFormat>
    <chartFormat chart="0" format="28" series="1">
      <pivotArea type="data" outline="0" fieldPosition="0">
        <references count="2">
          <reference field="4294967294" count="1" selected="0">
            <x v="0"/>
          </reference>
          <reference field="2" count="1" selected="0">
            <x v="3"/>
          </reference>
        </references>
      </pivotArea>
    </chartFormat>
    <chartFormat chart="0" format="29" series="1">
      <pivotArea type="data" outline="0" fieldPosition="0">
        <references count="2">
          <reference field="4294967294" count="1" selected="0">
            <x v="0"/>
          </reference>
          <reference field="2" count="1" selected="0">
            <x v="4"/>
          </reference>
        </references>
      </pivotArea>
    </chartFormat>
    <chartFormat chart="0" format="30" series="1">
      <pivotArea type="data" outline="0" fieldPosition="0">
        <references count="2">
          <reference field="4294967294" count="1" selected="0">
            <x v="0"/>
          </reference>
          <reference field="2" count="1" selected="0">
            <x v="5"/>
          </reference>
        </references>
      </pivotArea>
    </chartFormat>
    <chartFormat chart="0" format="31" series="1">
      <pivotArea type="data" outline="0" fieldPosition="0">
        <references count="2">
          <reference field="4294967294" count="1" selected="0">
            <x v="0"/>
          </reference>
          <reference field="2" count="1" selected="0">
            <x v="6"/>
          </reference>
        </references>
      </pivotArea>
    </chartFormat>
    <chartFormat chart="0" format="32" series="1">
      <pivotArea type="data" outline="0" fieldPosition="0">
        <references count="2">
          <reference field="4294967294" count="1" selected="0">
            <x v="0"/>
          </reference>
          <reference field="2" count="1" selected="0">
            <x v="8"/>
          </reference>
        </references>
      </pivotArea>
    </chartFormat>
    <chartFormat chart="0" format="33" series="1">
      <pivotArea type="data" outline="0" fieldPosition="0">
        <references count="2">
          <reference field="4294967294" count="1" selected="0">
            <x v="0"/>
          </reference>
          <reference field="2" count="1" selected="0">
            <x v="10"/>
          </reference>
        </references>
      </pivotArea>
    </chartFormat>
    <chartFormat chart="0" format="34" series="1">
      <pivotArea type="data" outline="0" fieldPosition="0">
        <references count="2">
          <reference field="4294967294" count="1" selected="0">
            <x v="0"/>
          </reference>
          <reference field="2" count="1" selected="0">
            <x v="11"/>
          </reference>
        </references>
      </pivotArea>
    </chartFormat>
    <chartFormat chart="0" format="35" series="1">
      <pivotArea type="data" outline="0" fieldPosition="0">
        <references count="2">
          <reference field="4294967294" count="1" selected="0">
            <x v="0"/>
          </reference>
          <reference field="2" count="1" selected="0">
            <x v="12"/>
          </reference>
        </references>
      </pivotArea>
    </chartFormat>
    <chartFormat chart="0" format="36" series="1">
      <pivotArea type="data" outline="0" fieldPosition="0">
        <references count="2">
          <reference field="4294967294" count="1" selected="0">
            <x v="0"/>
          </reference>
          <reference field="2" count="1" selected="0">
            <x v="15"/>
          </reference>
        </references>
      </pivotArea>
    </chartFormat>
    <chartFormat chart="0" format="37" series="1">
      <pivotArea type="data" outline="0" fieldPosition="0">
        <references count="2">
          <reference field="4294967294" count="1" selected="0">
            <x v="0"/>
          </reference>
          <reference field="2" count="1" selected="0">
            <x v="16"/>
          </reference>
        </references>
      </pivotArea>
    </chartFormat>
    <chartFormat chart="0" format="38" series="1">
      <pivotArea type="data" outline="0" fieldPosition="0">
        <references count="2">
          <reference field="4294967294" count="1" selected="0">
            <x v="0"/>
          </reference>
          <reference field="2" count="1" selected="0">
            <x v="17"/>
          </reference>
        </references>
      </pivotArea>
    </chartFormat>
    <chartFormat chart="0" format="39" series="1">
      <pivotArea type="data" outline="0" fieldPosition="0">
        <references count="2">
          <reference field="4294967294" count="1" selected="0">
            <x v="0"/>
          </reference>
          <reference field="2" count="1" selected="0">
            <x v="18"/>
          </reference>
        </references>
      </pivotArea>
    </chartFormat>
    <chartFormat chart="18" format="40" series="1">
      <pivotArea type="data" outline="0" fieldPosition="0">
        <references count="2">
          <reference field="4294967294" count="1" selected="0">
            <x v="0"/>
          </reference>
          <reference field="2" count="1" selected="0">
            <x v="1"/>
          </reference>
        </references>
      </pivotArea>
    </chartFormat>
    <chartFormat chart="18" format="41" series="1">
      <pivotArea type="data" outline="0" fieldPosition="0">
        <references count="2">
          <reference field="4294967294" count="1" selected="0">
            <x v="0"/>
          </reference>
          <reference field="2" count="1" selected="0">
            <x v="7"/>
          </reference>
        </references>
      </pivotArea>
    </chartFormat>
    <chartFormat chart="18" format="42" series="1">
      <pivotArea type="data" outline="0" fieldPosition="0">
        <references count="2">
          <reference field="4294967294" count="1" selected="0">
            <x v="0"/>
          </reference>
          <reference field="2" count="1" selected="0">
            <x v="10"/>
          </reference>
        </references>
      </pivotArea>
    </chartFormat>
    <chartFormat chart="18" format="43" series="1">
      <pivotArea type="data" outline="0" fieldPosition="0">
        <references count="2">
          <reference field="4294967294" count="1" selected="0">
            <x v="0"/>
          </reference>
          <reference field="2" count="1" selected="0">
            <x v="16"/>
          </reference>
        </references>
      </pivotArea>
    </chartFormat>
    <chartFormat chart="18" format="44" series="1">
      <pivotArea type="data" outline="0" fieldPosition="0">
        <references count="2">
          <reference field="4294967294" count="1" selected="0">
            <x v="0"/>
          </reference>
          <reference field="2" count="1" selected="0">
            <x v="0"/>
          </reference>
        </references>
      </pivotArea>
    </chartFormat>
    <chartFormat chart="18" format="45" series="1">
      <pivotArea type="data" outline="0" fieldPosition="0">
        <references count="2">
          <reference field="4294967294" count="1" selected="0">
            <x v="0"/>
          </reference>
          <reference field="2" count="1" selected="0">
            <x v="2"/>
          </reference>
        </references>
      </pivotArea>
    </chartFormat>
    <chartFormat chart="18" format="46" series="1">
      <pivotArea type="data" outline="0" fieldPosition="0">
        <references count="2">
          <reference field="4294967294" count="1" selected="0">
            <x v="0"/>
          </reference>
          <reference field="2" count="1" selected="0">
            <x v="3"/>
          </reference>
        </references>
      </pivotArea>
    </chartFormat>
    <chartFormat chart="18" format="47" series="1">
      <pivotArea type="data" outline="0" fieldPosition="0">
        <references count="2">
          <reference field="4294967294" count="1" selected="0">
            <x v="0"/>
          </reference>
          <reference field="2" count="1" selected="0">
            <x v="4"/>
          </reference>
        </references>
      </pivotArea>
    </chartFormat>
    <chartFormat chart="18" format="48" series="1">
      <pivotArea type="data" outline="0" fieldPosition="0">
        <references count="2">
          <reference field="4294967294" count="1" selected="0">
            <x v="0"/>
          </reference>
          <reference field="2" count="1" selected="0">
            <x v="5"/>
          </reference>
        </references>
      </pivotArea>
    </chartFormat>
    <chartFormat chart="18" format="49" series="1">
      <pivotArea type="data" outline="0" fieldPosition="0">
        <references count="2">
          <reference field="4294967294" count="1" selected="0">
            <x v="0"/>
          </reference>
          <reference field="2" count="1" selected="0">
            <x v="6"/>
          </reference>
        </references>
      </pivotArea>
    </chartFormat>
    <chartFormat chart="18" format="50" series="1">
      <pivotArea type="data" outline="0" fieldPosition="0">
        <references count="2">
          <reference field="4294967294" count="1" selected="0">
            <x v="0"/>
          </reference>
          <reference field="2" count="1" selected="0">
            <x v="8"/>
          </reference>
        </references>
      </pivotArea>
    </chartFormat>
    <chartFormat chart="18" format="51" series="1">
      <pivotArea type="data" outline="0" fieldPosition="0">
        <references count="2">
          <reference field="4294967294" count="1" selected="0">
            <x v="0"/>
          </reference>
          <reference field="2" count="1" selected="0">
            <x v="11"/>
          </reference>
        </references>
      </pivotArea>
    </chartFormat>
    <chartFormat chart="18" format="52" series="1">
      <pivotArea type="data" outline="0" fieldPosition="0">
        <references count="2">
          <reference field="4294967294" count="1" selected="0">
            <x v="0"/>
          </reference>
          <reference field="2" count="1" selected="0">
            <x v="12"/>
          </reference>
        </references>
      </pivotArea>
    </chartFormat>
    <chartFormat chart="18" format="53" series="1">
      <pivotArea type="data" outline="0" fieldPosition="0">
        <references count="2">
          <reference field="4294967294" count="1" selected="0">
            <x v="0"/>
          </reference>
          <reference field="2" count="1" selected="0">
            <x v="14"/>
          </reference>
        </references>
      </pivotArea>
    </chartFormat>
    <chartFormat chart="18" format="54" series="1">
      <pivotArea type="data" outline="0" fieldPosition="0">
        <references count="2">
          <reference field="4294967294" count="1" selected="0">
            <x v="0"/>
          </reference>
          <reference field="2" count="1" selected="0">
            <x v="15"/>
          </reference>
        </references>
      </pivotArea>
    </chartFormat>
    <chartFormat chart="18" format="55" series="1">
      <pivotArea type="data" outline="0" fieldPosition="0">
        <references count="2">
          <reference field="4294967294" count="1" selected="0">
            <x v="0"/>
          </reference>
          <reference field="2" count="1" selected="0">
            <x v="17"/>
          </reference>
        </references>
      </pivotArea>
    </chartFormat>
    <chartFormat chart="18" format="56" series="1">
      <pivotArea type="data" outline="0" fieldPosition="0">
        <references count="2">
          <reference field="4294967294" count="1" selected="0">
            <x v="0"/>
          </reference>
          <reference field="2" count="1" selected="0">
            <x v="18"/>
          </reference>
        </references>
      </pivotArea>
    </chartFormat>
    <chartFormat chart="20" format="60" series="1">
      <pivotArea type="data" outline="0" fieldPosition="0">
        <references count="2">
          <reference field="4294967294" count="1" selected="0">
            <x v="0"/>
          </reference>
          <reference field="2" count="1" selected="0">
            <x v="3"/>
          </reference>
        </references>
      </pivotArea>
    </chartFormat>
    <chartFormat chart="20" format="61" series="1">
      <pivotArea type="data" outline="0" fieldPosition="0">
        <references count="2">
          <reference field="4294967294" count="1" selected="0">
            <x v="0"/>
          </reference>
          <reference field="2" count="1" selected="0">
            <x v="4"/>
          </reference>
        </references>
      </pivotArea>
    </chartFormat>
    <chartFormat chart="20" format="62" series="1">
      <pivotArea type="data" outline="0" fieldPosition="0">
        <references count="2">
          <reference field="4294967294" count="1" selected="0">
            <x v="0"/>
          </reference>
          <reference field="2" count="1" selected="0">
            <x v="6"/>
          </reference>
        </references>
      </pivotArea>
    </chartFormat>
    <chartFormat chart="20" format="63" series="1">
      <pivotArea type="data" outline="0" fieldPosition="0">
        <references count="2">
          <reference field="4294967294" count="1" selected="0">
            <x v="0"/>
          </reference>
          <reference field="2" count="1" selected="0">
            <x v="5"/>
          </reference>
        </references>
      </pivotArea>
    </chartFormat>
    <chartFormat chart="20" format="64" series="1">
      <pivotArea type="data" outline="0" fieldPosition="0">
        <references count="2">
          <reference field="4294967294" count="1" selected="0">
            <x v="0"/>
          </reference>
          <reference field="2" count="1" selected="0">
            <x v="7"/>
          </reference>
        </references>
      </pivotArea>
    </chartFormat>
    <chartFormat chart="20" format="65" series="1">
      <pivotArea type="data" outline="0" fieldPosition="0">
        <references count="2">
          <reference field="4294967294" count="1" selected="0">
            <x v="0"/>
          </reference>
          <reference field="2" count="1" selected="0">
            <x v="8"/>
          </reference>
        </references>
      </pivotArea>
    </chartFormat>
    <chartFormat chart="20" format="66" series="1">
      <pivotArea type="data" outline="0" fieldPosition="0">
        <references count="2">
          <reference field="4294967294" count="1" selected="0">
            <x v="0"/>
          </reference>
          <reference field="2" count="1" selected="0">
            <x v="10"/>
          </reference>
        </references>
      </pivotArea>
    </chartFormat>
    <chartFormat chart="20" format="67" series="1">
      <pivotArea type="data" outline="0" fieldPosition="0">
        <references count="2">
          <reference field="4294967294" count="1" selected="0">
            <x v="0"/>
          </reference>
          <reference field="2" count="1" selected="0">
            <x v="11"/>
          </reference>
        </references>
      </pivotArea>
    </chartFormat>
    <chartFormat chart="20" format="68" series="1">
      <pivotArea type="data" outline="0" fieldPosition="0">
        <references count="2">
          <reference field="4294967294" count="1" selected="0">
            <x v="0"/>
          </reference>
          <reference field="2" count="1" selected="0">
            <x v="12"/>
          </reference>
        </references>
      </pivotArea>
    </chartFormat>
    <chartFormat chart="20" format="69" series="1">
      <pivotArea type="data" outline="0" fieldPosition="0">
        <references count="2">
          <reference field="4294967294" count="1" selected="0">
            <x v="0"/>
          </reference>
          <reference field="2" count="1" selected="0">
            <x v="14"/>
          </reference>
        </references>
      </pivotArea>
    </chartFormat>
    <chartFormat chart="20" format="70" series="1">
      <pivotArea type="data" outline="0" fieldPosition="0">
        <references count="2">
          <reference field="4294967294" count="1" selected="0">
            <x v="0"/>
          </reference>
          <reference field="2" count="1" selected="0">
            <x v="15"/>
          </reference>
        </references>
      </pivotArea>
    </chartFormat>
    <chartFormat chart="20" format="71" series="1">
      <pivotArea type="data" outline="0" fieldPosition="0">
        <references count="2">
          <reference field="4294967294" count="1" selected="0">
            <x v="0"/>
          </reference>
          <reference field="2" count="1" selected="0">
            <x v="16"/>
          </reference>
        </references>
      </pivotArea>
    </chartFormat>
    <chartFormat chart="20" format="72" series="1">
      <pivotArea type="data" outline="0" fieldPosition="0">
        <references count="2">
          <reference field="4294967294" count="1" selected="0">
            <x v="0"/>
          </reference>
          <reference field="2" count="1" selected="0">
            <x v="17"/>
          </reference>
        </references>
      </pivotArea>
    </chartFormat>
    <chartFormat chart="20" format="73" series="1">
      <pivotArea type="data" outline="0" fieldPosition="0">
        <references count="2">
          <reference field="4294967294" count="1" selected="0">
            <x v="0"/>
          </reference>
          <reference field="2" count="1" selected="0">
            <x v="18"/>
          </reference>
        </references>
      </pivotArea>
    </chartFormat>
    <chartFormat chart="20" format="74" series="1">
      <pivotArea type="data" outline="0" fieldPosition="0">
        <references count="2">
          <reference field="4294967294" count="1" selected="0">
            <x v="0"/>
          </reference>
          <reference field="2" count="1" selected="0">
            <x v="0"/>
          </reference>
        </references>
      </pivotArea>
    </chartFormat>
    <chartFormat chart="20" format="75" series="1">
      <pivotArea type="data" outline="0" fieldPosition="0">
        <references count="2">
          <reference field="4294967294" count="1" selected="0">
            <x v="0"/>
          </reference>
          <reference field="2" count="1" selected="0">
            <x v="1"/>
          </reference>
        </references>
      </pivotArea>
    </chartFormat>
    <chartFormat chart="20" format="76" series="1">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ClosedOpen_Pivot" cacheId="3"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21" fieldListSortAscending="1">
  <location ref="A4:C63" firstHeaderRow="0" firstDataRow="1" firstDataCol="1" rowPageCount="1" colPageCount="1"/>
  <pivotFields count="5">
    <pivotField axis="axisPage" showAll="0">
      <items count="1473">
        <item m="1" x="1336"/>
        <item m="1" x="262"/>
        <item m="1" x="206"/>
        <item m="1" x="291"/>
        <item m="1" x="724"/>
        <item m="1" x="1193"/>
        <item m="1" x="100"/>
        <item m="1" x="531"/>
        <item m="1" x="81"/>
        <item m="1" x="886"/>
        <item m="1" x="483"/>
        <item m="1" x="555"/>
        <item m="1" x="1459"/>
        <item m="1" x="1189"/>
        <item m="1" x="303"/>
        <item m="1" x="282"/>
        <item m="1" x="1212"/>
        <item m="1" x="1088"/>
        <item m="1" x="625"/>
        <item m="1" x="1262"/>
        <item m="1" x="984"/>
        <item m="1" x="665"/>
        <item m="1" x="174"/>
        <item m="1" x="1454"/>
        <item m="1" x="562"/>
        <item m="1" x="546"/>
        <item m="1" x="1468"/>
        <item m="1" x="760"/>
        <item m="1" x="47"/>
        <item m="1" x="1114"/>
        <item m="1" x="1224"/>
        <item m="1" x="440"/>
        <item m="1" x="172"/>
        <item m="1" x="977"/>
        <item m="1" x="659"/>
        <item m="1" x="189"/>
        <item m="1" x="917"/>
        <item m="1" x="231"/>
        <item m="1" x="274"/>
        <item m="1" x="1327"/>
        <item m="1" x="21"/>
        <item m="1" x="433"/>
        <item m="1" x="1112"/>
        <item m="1" x="814"/>
        <item m="1" x="461"/>
        <item m="1" x="205"/>
        <item m="1" x="508"/>
        <item m="1" x="92"/>
        <item m="1" x="1131"/>
        <item m="1" x="1149"/>
        <item m="1" x="197"/>
        <item m="1" x="602"/>
        <item m="1" x="1318"/>
        <item m="1" x="615"/>
        <item m="1" x="480"/>
        <item m="1" x="642"/>
        <item m="1" x="292"/>
        <item m="1" x="1381"/>
        <item m="1" x="472"/>
        <item m="1" x="875"/>
        <item m="1" x="86"/>
        <item m="1" x="624"/>
        <item m="1" x="48"/>
        <item m="1" x="121"/>
        <item m="1" x="137"/>
        <item m="1" x="620"/>
        <item m="1" x="1084"/>
        <item m="1" x="285"/>
        <item m="1" x="1357"/>
        <item m="1" x="758"/>
        <item m="1" x="232"/>
        <item m="1" x="990"/>
        <item m="1" x="339"/>
        <item m="1" x="369"/>
        <item m="1" x="1220"/>
        <item m="1" x="1079"/>
        <item m="1" x="1113"/>
        <item m="1" x="722"/>
        <item m="1" x="614"/>
        <item m="1" x="29"/>
        <item m="1" x="767"/>
        <item m="1" x="538"/>
        <item m="1" x="97"/>
        <item m="1" x="1075"/>
        <item m="1" x="857"/>
        <item m="1" x="1308"/>
        <item m="1" x="1349"/>
        <item m="1" x="1322"/>
        <item m="1" x="873"/>
        <item m="1" x="213"/>
        <item m="1" x="924"/>
        <item m="1" x="962"/>
        <item m="1" x="652"/>
        <item m="1" x="731"/>
        <item m="1" x="1199"/>
        <item m="1" x="1071"/>
        <item m="1" x="537"/>
        <item m="1" x="87"/>
        <item m="1" x="1083"/>
        <item m="1" x="489"/>
        <item m="1" x="1100"/>
        <item m="1" x="1107"/>
        <item m="1" x="809"/>
        <item m="1" x="582"/>
        <item m="1" x="884"/>
        <item m="1" x="1195"/>
        <item m="1" x="651"/>
        <item m="1" x="290"/>
        <item m="1" x="1219"/>
        <item m="1" x="1090"/>
        <item m="1" x="1271"/>
        <item m="1" x="991"/>
        <item m="1" x="668"/>
        <item m="1" x="1087"/>
        <item m="1" x="1460"/>
        <item m="1" x="805"/>
        <item m="1" x="17"/>
        <item m="1" x="1241"/>
        <item m="1" x="57"/>
        <item m="1" x="1118"/>
        <item m="1" x="825"/>
        <item m="1" x="838"/>
        <item m="1" x="1232"/>
        <item m="1" x="448"/>
        <item m="1" x="655"/>
        <item m="1" x="985"/>
        <item m="1" x="28"/>
        <item m="1" x="925"/>
        <item m="1" x="1019"/>
        <item m="1" x="24"/>
        <item m="1" x="607"/>
        <item m="1" x="811"/>
        <item m="1" x="831"/>
        <item m="1" x="1116"/>
        <item m="1" x="818"/>
        <item m="1" x="212"/>
        <item m="1" x="1101"/>
        <item m="1" x="1134"/>
        <item m="1" x="1154"/>
        <item m="1" x="729"/>
        <item m="1" x="605"/>
        <item m="1" x="998"/>
        <item m="1" x="1010"/>
        <item m="1" x="619"/>
        <item m="1" x="488"/>
        <item m="1" x="1272"/>
        <item m="1" x="647"/>
        <item m="1" x="654"/>
        <item m="1" x="304"/>
        <item m="1" x="1392"/>
        <item m="1" x="882"/>
        <item m="1" x="723"/>
        <item m="1" x="1123"/>
        <item m="1" x="1130"/>
        <item m="1" x="746"/>
        <item m="1" x="58"/>
        <item m="1" x="787"/>
        <item m="1" x="563"/>
        <item m="1" x="623"/>
        <item m="1" x="1086"/>
        <item m="1" x="877"/>
        <item m="1" x="1346"/>
        <item m="1" x="294"/>
        <item m="1" x="1377"/>
        <item m="1" x="906"/>
        <item m="1" x="242"/>
        <item m="1" x="961"/>
        <item m="1" x="669"/>
        <item m="1" x="755"/>
        <item m="1" x="1085"/>
        <item m="1" x="76"/>
        <item m="1" x="1117"/>
        <item m="1" x="728"/>
        <item m="1" x="618"/>
        <item m="1" x="771"/>
        <item m="1" x="541"/>
        <item m="1" x="107"/>
        <item m="1" x="613"/>
        <item m="1" x="862"/>
        <item m="1" x="1368"/>
        <item m="1" x="276"/>
        <item m="1" x="880"/>
        <item m="1" x="744"/>
        <item m="1" x="934"/>
        <item m="1" x="656"/>
        <item m="1" x="313"/>
        <item m="1" x="353"/>
        <item m="1" x="736"/>
        <item m="1" x="1207"/>
        <item m="1" x="84"/>
        <item m="1" x="539"/>
        <item m="1" x="903"/>
        <item m="1" x="493"/>
        <item m="1" x="568"/>
        <item m="1" x="893"/>
        <item m="1" x="1466"/>
        <item m="1" x="283"/>
        <item m="1" x="653"/>
        <item m="1" x="302"/>
        <item m="1" x="1093"/>
        <item m="1" x="633"/>
        <item m="1" x="672"/>
        <item m="1" x="684"/>
        <item m="1" x="186"/>
        <item m="1" x="1463"/>
        <item m="1" x="548"/>
        <item m="1" x="561"/>
        <item m="1" x="22"/>
        <item m="1" x="1250"/>
        <item m="1" x="772"/>
        <item m="1" x="67"/>
        <item m="1" x="1124"/>
        <item m="1" x="829"/>
        <item m="1" x="456"/>
        <item m="1" x="179"/>
        <item m="1" x="662"/>
        <item m="1" x="676"/>
        <item m="1" x="200"/>
        <item m="1" x="935"/>
        <item m="1" x="254"/>
        <item m="1" x="1350"/>
        <item m="1" x="27"/>
        <item m="1" x="611"/>
        <item m="1" x="451"/>
        <item m="1" x="816"/>
        <item m="1" x="1121"/>
        <item m="1" x="823"/>
        <item m="1" x="476"/>
        <item m="1" x="1103"/>
        <item m="1" x="525"/>
        <item m="1" x="110"/>
        <item m="1" x="211"/>
        <item m="1" x="609"/>
        <item m="1" x="1340"/>
        <item m="1" x="1016"/>
        <item m="1" x="622"/>
        <item m="1" x="492"/>
        <item m="1" x="649"/>
        <item m="1" x="314"/>
        <item m="1" x="1399"/>
        <item m="1" x="487"/>
        <item m="1" x="891"/>
        <item m="1" x="730"/>
        <item m="1" x="1144"/>
        <item m="1" x="102"/>
        <item m="1" x="753"/>
        <item m="1" x="632"/>
        <item m="1" x="794"/>
        <item m="1" x="569"/>
        <item m="1" x="129"/>
        <item m="1" x="149"/>
        <item m="1" x="628"/>
        <item m="1" x="1089"/>
        <item m="1" x="1365"/>
        <item m="1" x="305"/>
        <item m="1" x="770"/>
        <item m="1" x="255"/>
        <item m="1" x="352"/>
        <item m="1" x="392"/>
        <item m="1" x="765"/>
        <item m="1" x="1237"/>
        <item m="1" x="1115"/>
        <item m="1" x="1132"/>
        <item m="1" x="79"/>
        <item m="1" x="1122"/>
        <item m="1" x="621"/>
        <item m="1" x="38"/>
        <item m="1" x="115"/>
        <item m="1" x="1080"/>
        <item m="1" x="867"/>
        <item m="1" x="1344"/>
        <item m="1" x="751"/>
        <item m="1" x="221"/>
        <item m="1" x="663"/>
        <item m="1" x="328"/>
        <item m="1" x="1214"/>
        <item x="2"/>
        <item m="1" x="234"/>
        <item m="1" x="1056"/>
        <item m="1" x="513"/>
        <item m="1" x="494"/>
        <item m="1" x="1177"/>
        <item m="1" x="26"/>
        <item m="1" x="804"/>
        <item m="1" x="644"/>
        <item m="1" x="634"/>
        <item m="1" x="154"/>
        <item m="1" x="1449"/>
        <item m="1" x="207"/>
        <item m="1" x="1260"/>
        <item m="1" x="782"/>
        <item m="1" x="773"/>
        <item m="1" x="402"/>
        <item m="1" x="484"/>
        <item m="1" x="40"/>
        <item m="1" x="164"/>
        <item m="1" x="936"/>
        <item m="1" x="593"/>
        <item m="1" x="626"/>
        <item m="1" x="224"/>
        <item m="1" x="1328"/>
        <item m="1" x="416"/>
        <item m="1" x="1104"/>
        <item m="1" x="698"/>
        <item m="1" x="597"/>
        <item m="1" x="762"/>
        <item m="1" x="504"/>
        <item m="1" x="93"/>
        <item m="1" x="595"/>
        <item m="1" x="1301"/>
        <item m="1" x="852"/>
        <item m="1" x="715"/>
        <item m="1" x="639"/>
        <item m="1" x="293"/>
        <item m="1" x="706"/>
        <item m="1" x="74"/>
        <item m="1" x="865"/>
        <item m="1" x="556"/>
        <item m="1" x="858"/>
        <item m="1" x="275"/>
        <item m="1" x="256"/>
        <item m="1" x="1077"/>
        <item m="1" x="1264"/>
        <item m="1" x="666"/>
        <item m="1" x="162"/>
        <item m="1" x="61"/>
        <item m="1" x="39"/>
        <item m="1" x="1051"/>
        <item m="1" x="850"/>
        <item m="1" x="1091"/>
        <item m="1" x="763"/>
        <item m="1" x="245"/>
        <item m="1" x="222"/>
        <item m="1" x="1166"/>
        <item m="1" x="1242"/>
        <item m="1" x="918"/>
        <item m="1" x="1062"/>
        <item m="1" x="501"/>
        <item m="1" x="1440"/>
        <item m="1" x="30"/>
        <item m="1" x="1097"/>
        <item m="1" x="810"/>
        <item m="1" x="1176"/>
        <item m="1" x="638"/>
        <item m="1" x="160"/>
        <item m="1" x="1452"/>
        <item m="1" x="214"/>
        <item m="1" x="1268"/>
        <item m="1" x="992"/>
        <item m="1" x="1448"/>
        <item m="1" x="789"/>
        <item m="1" x="412"/>
        <item m="1" x="170"/>
        <item m="1" x="51"/>
        <item m="1" x="1119"/>
        <item m="1" x="167"/>
        <item m="1" x="964"/>
        <item m="1" x="432"/>
        <item m="1" x="1337"/>
        <item m="1" x="423"/>
        <item m="1" x="1110"/>
        <item m="1" x="1105"/>
        <item m="1" x="599"/>
        <item m="1" x="768"/>
        <item m="1" x="101"/>
        <item m="1" x="1059"/>
        <item m="1" x="1309"/>
        <item m="1" x="1291"/>
        <item m="1" x="856"/>
        <item m="1" x="719"/>
        <item m="1" x="926"/>
        <item m="1" x="645"/>
        <item m="1" x="1174"/>
        <item m="1" x="71"/>
        <item m="1" x="1070"/>
        <item m="1" x="1102"/>
        <item m="1" x="783"/>
        <item m="1" x="863"/>
        <item m="1" x="1447"/>
        <item m="1" x="267"/>
        <item m="1" x="1191"/>
        <item m="1" x="1273"/>
        <item m="1" x="953"/>
        <item m="1" x="670"/>
        <item m="1" x="1076"/>
        <item m="1" x="49"/>
        <item m="1" x="1057"/>
        <item m="1" x="854"/>
        <item m="1" x="1094"/>
        <item m="1" x="769"/>
        <item m="1" x="542"/>
        <item m="1" x="848"/>
        <item m="1" x="258"/>
        <item m="1" x="1172"/>
        <item m="1" x="1069"/>
        <item m="1" x="928"/>
        <item m="1" x="657"/>
        <item m="1" x="1065"/>
        <item m="1" x="150"/>
        <item m="1" x="529"/>
        <item m="1" x="1190"/>
        <item m="1" x="812"/>
        <item m="1" x="1184"/>
        <item m="1" x="393"/>
        <item m="1" x="650"/>
        <item m="1" x="643"/>
        <item m="1" x="1455"/>
        <item m="1" x="590"/>
        <item m="1" x="797"/>
        <item m="1" x="780"/>
        <item m="1" x="420"/>
        <item m="1" x="173"/>
        <item m="1" x="62"/>
        <item m="1" x="694"/>
        <item m="1" x="975"/>
        <item m="1" x="596"/>
        <item m="1" x="246"/>
        <item m="1" x="429"/>
        <item m="1" x="847"/>
        <item m="1" x="1106"/>
        <item m="1" x="710"/>
        <item m="1" x="521"/>
        <item m="1" x="111"/>
        <item m="1" x="598"/>
        <item m="1" x="1299"/>
        <item m="1" x="861"/>
        <item m="1" x="721"/>
        <item m="1" x="648"/>
        <item m="1" x="315"/>
        <item m="1" x="718"/>
        <item m="1" x="1183"/>
        <item m="1" x="85"/>
        <item m="1" x="1074"/>
        <item m="1" x="871"/>
        <item m="1" x="790"/>
        <item m="1" x="570"/>
        <item m="1" x="868"/>
        <item m="1" x="284"/>
        <item m="1" x="1082"/>
        <item m="1" x="673"/>
        <item m="1" x="1078"/>
        <item m="1" x="169"/>
        <item m="1" x="72"/>
        <item m="1" x="59"/>
        <item m="1" x="859"/>
        <item m="1" x="551"/>
        <item m="1" x="1431"/>
        <item m="1" x="243"/>
        <item m="1" x="1073"/>
        <item m="1" x="940"/>
        <item m="1" x="156"/>
        <item x="3"/>
        <item m="1" x="1351"/>
        <item m="1" x="347"/>
        <item m="1" x="112"/>
        <item m="1" x="1108"/>
        <item m="1" x="583"/>
        <item m="1" x="316"/>
        <item m="1" x="1305"/>
        <item m="1" x="571"/>
        <item m="1" x="78"/>
        <item m="1" x="277"/>
        <item m="1" x="1044"/>
        <item m="1" x="540"/>
        <item m="1" x="1155"/>
        <item m="1" x="1026"/>
        <item m="1" x="1418"/>
        <item m="1" x="1139"/>
        <item m="1" x="143"/>
        <item m="1" x="1401"/>
        <item m="1" x="997"/>
        <item m="1" x="379"/>
        <item m="1" x="1127"/>
        <item m="1" x="795"/>
        <item m="1" x="543"/>
        <item m="1" x="1369"/>
        <item m="1" x="973"/>
        <item m="1" x="658"/>
        <item m="1" x="1111"/>
        <item m="1" x="813"/>
        <item m="1" x="584"/>
        <item m="1" x="1314"/>
        <item m="1" x="999"/>
        <item m="1" x="685"/>
        <item m="1" x="577"/>
        <item m="1" x="1125"/>
        <item m="1" x="841"/>
        <item m="1" x="677"/>
        <item m="1" x="1048"/>
        <item m="1" x="835"/>
        <item m="1" x="547"/>
        <item m="1" x="1159"/>
        <item m="1" x="1035"/>
        <item m="1" x="661"/>
        <item m="1" x="317"/>
        <item m="1" x="1145"/>
        <item m="1" x="815"/>
        <item m="1" x="572"/>
        <item m="1" x="1004"/>
        <item m="1" x="674"/>
        <item m="1" x="394"/>
        <item m="1" x="802"/>
        <item m="1" x="552"/>
        <item m="1" x="132"/>
        <item m="1" x="1388"/>
        <item m="1" x="664"/>
        <item m="1" x="360"/>
        <item m="1" x="124"/>
        <item m="1" x="587"/>
        <item m="1" x="340"/>
        <item m="1" x="687"/>
        <item m="1" x="581"/>
        <item m="1" x="1128"/>
        <item m="1" x="679"/>
        <item m="1" x="1370"/>
        <item m="1" x="118"/>
        <item m="1" x="1162"/>
        <item m="1" x="329"/>
        <item m="1" x="1432"/>
        <item m="1" x="1151"/>
        <item m="1" x="578"/>
        <item m="1" x="157"/>
        <item m="1" x="1414"/>
        <item m="1" x="406"/>
        <item m="1" x="1135"/>
        <item m="1" x="138"/>
        <item m="1" x="667"/>
        <item x="4"/>
        <item m="1" x="533"/>
        <item m="1" x="1358"/>
        <item x="5"/>
        <item m="1" x="942"/>
        <item m="1" x="1371"/>
        <item m="1" x="761"/>
        <item m="1" x="949"/>
        <item m="1" x="136"/>
        <item m="1" x="980"/>
        <item m="1" x="33"/>
        <item m="1" x="1389"/>
        <item m="1" x="957"/>
        <item m="1" x="142"/>
        <item m="1" x="351"/>
        <item m="1" x="987"/>
        <item m="1" x="37"/>
        <item m="1" x="1252"/>
        <item m="1" x="968"/>
        <item m="1" x="148"/>
        <item m="1" x="356"/>
        <item m="1" x="44"/>
        <item m="1" x="1257"/>
        <item m="1" x="776"/>
        <item m="1" x="155"/>
        <item m="1" x="366"/>
        <item m="1" x="55"/>
        <item m="1" x="1265"/>
        <item m="1" x="1409"/>
        <item m="1" x="781"/>
        <item m="1" x="161"/>
        <item m="1" x="376"/>
        <item m="1" x="1008"/>
        <item m="1" x="65"/>
        <item m="1" x="1274"/>
        <item m="1" x="1415"/>
        <item m="1" x="788"/>
        <item m="1" x="993"/>
        <item m="1" x="389"/>
        <item m="1" x="1013"/>
        <item m="1" x="1282"/>
        <item m="1" x="1420"/>
        <item m="1" x="796"/>
        <item m="1" x="1451"/>
        <item m="1" x="1001"/>
        <item m="1" x="1020"/>
        <item m="1" x="1427"/>
        <item m="1" x="803"/>
        <item m="1" x="1453"/>
        <item m="1" x="1006"/>
        <item m="1" x="171"/>
        <item m="1" x="1027"/>
        <item m="1" x="77"/>
        <item m="1" x="1436"/>
        <item m="1" x="1458"/>
        <item m="1" x="897"/>
        <item m="1" x="104"/>
        <item m="1" x="281"/>
        <item m="1" x="922"/>
        <item m="1" x="1462"/>
        <item m="1" x="1197"/>
        <item m="1" x="1354"/>
        <item m="1" x="909"/>
        <item m="1" x="113"/>
        <item m="1" x="289"/>
        <item m="1" x="1467"/>
        <item m="1" x="1204"/>
        <item m="1" x="734"/>
        <item m="1" x="1374"/>
        <item m="1" x="120"/>
        <item m="1" x="300"/>
        <item m="1" x="1471"/>
        <item m="1" x="1211"/>
        <item m="1" x="1326"/>
        <item m="1" x="739"/>
        <item m="1" x="126"/>
        <item m="1" x="311"/>
        <item m="1" x="950"/>
        <item m="1" x="20"/>
        <item m="1" x="1218"/>
        <item m="1" x="1335"/>
        <item m="1" x="743"/>
        <item m="1" x="930"/>
        <item m="1" x="323"/>
        <item m="1" x="958"/>
        <item m="1" x="1228"/>
        <item m="1" x="1347"/>
        <item m="1" x="749"/>
        <item m="1" x="1405"/>
        <item m="1" x="941"/>
        <item m="1" x="969"/>
        <item m="1" x="1366"/>
        <item m="1" x="759"/>
        <item m="1" x="1411"/>
        <item m="1" x="947"/>
        <item m="1" x="135"/>
        <item m="1" x="978"/>
        <item m="1" x="32"/>
        <item m="1" x="1384"/>
        <item m="1" x="1417"/>
        <item m="1" x="955"/>
        <item m="1" x="141"/>
        <item m="1" x="350"/>
        <item m="1" x="986"/>
        <item m="1" x="36"/>
        <item m="1" x="1251"/>
        <item m="1" x="1423"/>
        <item m="1" x="966"/>
        <item m="1" x="147"/>
        <item m="1" x="354"/>
        <item m="1" x="43"/>
        <item m="1" x="1256"/>
        <item m="1" x="775"/>
        <item m="1" x="1430"/>
        <item m="1" x="153"/>
        <item m="1" x="363"/>
        <item m="1" x="54"/>
        <item m="1" x="1263"/>
        <item m="1" x="1406"/>
        <item m="1" x="779"/>
        <item m="1" x="75"/>
        <item m="1" x="250"/>
        <item m="1" x="889"/>
        <item m="1" x="1446"/>
        <item m="1" x="1167"/>
        <item m="1" x="1270"/>
        <item m="1" x="704"/>
        <item m="1" x="872"/>
        <item m="1" x="263"/>
        <item m="1" x="898"/>
        <item m="1" x="1175"/>
        <item m="1" x="1280"/>
        <item m="1" x="712"/>
        <item m="1" x="1316"/>
        <item m="1" x="879"/>
        <item m="1" x="910"/>
        <item m="1" x="1289"/>
        <item m="1" x="717"/>
        <item m="1" x="1329"/>
        <item m="1" x="888"/>
        <item m="1" x="94"/>
        <item m="1" x="916"/>
        <item m="1" x="1297"/>
        <item m="1" x="1338"/>
        <item m="1" x="896"/>
        <item m="1" x="103"/>
        <item m="1" x="280"/>
        <item m="1" x="921"/>
        <item m="1" x="1196"/>
        <item m="1" x="1353"/>
        <item m="1" x="907"/>
        <item m="1" x="286"/>
        <item m="1" x="1203"/>
        <item m="1" x="732"/>
        <item m="1" x="1373"/>
        <item m="1" x="119"/>
        <item m="1" x="296"/>
        <item m="1" x="1210"/>
        <item m="1" x="1323"/>
        <item m="1" x="737"/>
        <item m="1" x="125"/>
        <item m="1" x="307"/>
        <item m="1" x="948"/>
        <item m="1" x="1217"/>
        <item m="1" x="1334"/>
        <item m="1" x="742"/>
        <item m="1" x="927"/>
        <item m="1" x="321"/>
        <item m="1" x="956"/>
        <item m="1" x="1227"/>
        <item m="1" x="1345"/>
        <item m="1" x="748"/>
        <item m="1" x="1404"/>
        <item m="1" x="939"/>
        <item m="1" x="967"/>
        <item m="1" x="1362"/>
        <item m="1" x="757"/>
        <item m="1" x="1410"/>
        <item m="1" x="849"/>
        <item m="1" x="50"/>
        <item m="1" x="866"/>
        <item m="1" x="1239"/>
        <item m="1" x="1275"/>
        <item m="1" x="60"/>
        <item m="1" x="870"/>
        <item m="1" x="1153"/>
        <item m="1" x="1283"/>
        <item x="6"/>
        <item m="1" x="1165"/>
        <item m="1" x="194"/>
        <item m="1" x="1170"/>
        <item m="1" x="500"/>
        <item m="1" x="1194"/>
        <item m="1" x="357"/>
        <item m="1" x="199"/>
        <item m="1" x="1180"/>
        <item m="1" x="507"/>
        <item m="1" x="629"/>
        <item m="1" x="1200"/>
        <item m="1" x="367"/>
        <item m="1" x="134"/>
        <item m="1" x="1186"/>
        <item m="1" x="516"/>
        <item m="1" x="631"/>
        <item m="1" x="377"/>
        <item m="1" x="140"/>
        <item m="1" x="524"/>
        <item m="1" x="637"/>
        <item m="1" x="390"/>
        <item m="1" x="145"/>
        <item m="1" x="217"/>
        <item m="1" x="532"/>
        <item m="1" x="641"/>
        <item m="1" x="1222"/>
        <item m="1" x="404"/>
        <item m="1" x="152"/>
        <item m="1" x="223"/>
        <item m="1" x="1206"/>
        <item m="1" x="646"/>
        <item m="1" x="1230"/>
        <item m="1" x="159"/>
        <item m="1" x="233"/>
        <item m="1" x="1213"/>
        <item m="1" x="1238"/>
        <item m="1" x="244"/>
        <item m="1" x="1221"/>
        <item m="1" x="545"/>
        <item m="1" x="1245"/>
        <item m="1" x="427"/>
        <item m="1" x="257"/>
        <item m="1" x="1141"/>
        <item m="1" x="455"/>
        <item m="1" x="601"/>
        <item m="1" x="1157"/>
        <item m="1" x="301"/>
        <item m="1" x="90"/>
        <item m="1" x="1147"/>
        <item m="1" x="462"/>
        <item m="1" x="604"/>
        <item m="1" x="312"/>
        <item m="1" x="98"/>
        <item m="1" x="469"/>
        <item m="1" x="608"/>
        <item m="1" x="324"/>
        <item m="1" x="108"/>
        <item m="1" x="176"/>
        <item m="1" x="479"/>
        <item m="1" x="612"/>
        <item m="1" x="1171"/>
        <item m="1" x="334"/>
        <item m="1" x="116"/>
        <item m="1" x="181"/>
        <item m="1" x="1161"/>
        <item m="1" x="617"/>
        <item m="1" x="1181"/>
        <item m="1" x="123"/>
        <item m="1" x="188"/>
        <item m="1" x="1040"/>
        <item m="1" x="1164"/>
        <item m="1" x="1187"/>
        <item m="1" x="193"/>
        <item m="1" x="1046"/>
        <item m="1" x="1168"/>
        <item m="1" x="499"/>
        <item m="1" x="1192"/>
        <item m="1" x="355"/>
        <item m="1" x="198"/>
        <item m="1" x="1178"/>
        <item m="1" x="506"/>
        <item m="1" x="627"/>
        <item m="1" x="1198"/>
        <item m="1" x="364"/>
        <item m="1" x="133"/>
        <item m="1" x="515"/>
        <item m="1" x="630"/>
        <item m="1" x="374"/>
        <item m="1" x="139"/>
        <item m="1" x="1055"/>
        <item m="1" x="523"/>
        <item m="1" x="636"/>
        <item m="1" x="387"/>
        <item m="1" x="144"/>
        <item m="1" x="216"/>
        <item m="1" x="1061"/>
        <item m="1" x="426"/>
        <item m="1" x="592"/>
        <item m="1" x="1137"/>
        <item m="1" x="271"/>
        <item m="1" x="69"/>
        <item m="1" x="151"/>
        <item m="1" x="983"/>
        <item m="1" x="1129"/>
        <item m="1" x="594"/>
        <item m="1" x="1142"/>
        <item m="1" x="73"/>
        <item m="1" x="158"/>
        <item m="1" x="989"/>
        <item m="1" x="1133"/>
        <item m="1" x="1148"/>
        <item m="1" x="163"/>
        <item m="1" x="996"/>
        <item m="1" x="1136"/>
        <item m="1" x="447"/>
        <item m="1" x="1152"/>
        <item m="1" x="166"/>
        <item m="1" x="1140"/>
        <item m="1" x="454"/>
        <item m="1" x="600"/>
        <item m="1" x="1156"/>
        <item m="1" x="88"/>
        <item m="1" x="1146"/>
        <item m="1" x="603"/>
        <item m="1" x="95"/>
        <item m="1" x="1017"/>
        <item m="1" x="468"/>
        <item m="1" x="606"/>
        <item m="1" x="105"/>
        <item m="1" x="175"/>
        <item m="1" x="1024"/>
        <item m="1" x="477"/>
        <item m="1" x="610"/>
        <item m="1" x="1169"/>
        <item m="1" x="114"/>
        <item m="1" x="180"/>
        <item m="1" x="1031"/>
        <item m="1" x="1160"/>
        <item m="1" x="616"/>
        <item m="1" x="1179"/>
        <item m="1" x="122"/>
        <item m="1" x="187"/>
        <item m="1" x="1037"/>
        <item m="1" x="1163"/>
        <item m="1" x="1185"/>
        <item m="1" x="192"/>
        <item m="1" x="1042"/>
        <item m="1" x="1109"/>
        <item m="1" x="382"/>
        <item m="1" x="1120"/>
        <item m="1" x="128"/>
        <item m="1" x="397"/>
        <item m="1" x="1126"/>
        <item m="1" x="45"/>
        <item x="7"/>
        <item m="1" x="1011"/>
        <item m="1" x="1439"/>
        <item m="1" x="1018"/>
        <item m="1" x="83"/>
        <item m="1" x="1445"/>
        <item m="1" x="1025"/>
        <item m="1" x="430"/>
        <item m="1" x="91"/>
        <item m="1" x="1319"/>
        <item m="1" x="1032"/>
        <item m="1" x="435"/>
        <item m="1" x="99"/>
        <item m="1" x="1331"/>
        <item m="1" x="444"/>
        <item m="1" x="109"/>
        <item m="1" x="1341"/>
        <item m="1" x="1457"/>
        <item m="1" x="452"/>
        <item m="1" x="117"/>
        <item m="1" x="1355"/>
        <item m="1" x="1461"/>
        <item m="1" x="1047"/>
        <item m="1" x="459"/>
        <item m="1" x="1375"/>
        <item m="1" x="1464"/>
        <item m="1" x="1050"/>
        <item m="1" x="1469"/>
        <item m="1" x="1053"/>
        <item m="1" x="1068"/>
        <item m="1" x="131"/>
        <item m="1" x="18"/>
        <item m="1" x="971"/>
        <item m="1" x="359"/>
        <item m="1" x="46"/>
        <item m="1" x="1259"/>
        <item m="1" x="981"/>
        <item m="1" x="370"/>
        <item m="1" x="56"/>
        <item m="1" x="1267"/>
        <item m="1" x="380"/>
        <item m="1" x="66"/>
        <item m="1" x="1277"/>
        <item m="1" x="1416"/>
        <item m="1" x="395"/>
        <item m="1" x="70"/>
        <item m="1" x="1285"/>
        <item m="1" x="1422"/>
        <item m="1" x="1003"/>
        <item m="1" x="407"/>
        <item m="1" x="1294"/>
        <item m="1" x="1429"/>
        <item m="1" x="1009"/>
        <item m="1" x="1033"/>
        <item m="1" x="1438"/>
        <item m="1" x="1014"/>
        <item m="1" x="1038"/>
        <item m="1" x="82"/>
        <item m="1" x="1444"/>
        <item m="1" x="1021"/>
        <item m="1" x="428"/>
        <item m="1" x="1043"/>
        <item m="1" x="89"/>
        <item m="1" x="1317"/>
        <item m="1" x="1028"/>
        <item m="1" x="434"/>
        <item m="1" x="96"/>
        <item m="1" x="1330"/>
        <item m="1" x="443"/>
        <item m="1" x="106"/>
        <item m="1" x="1339"/>
        <item m="1" x="1456"/>
        <item m="1" x="327"/>
        <item m="1" x="960"/>
        <item m="1" x="25"/>
        <item m="1" x="1229"/>
        <item m="1" x="1352"/>
        <item m="1" x="943"/>
        <item m="1" x="338"/>
        <item m="1" x="972"/>
        <item m="1" x="1235"/>
        <item m="1" x="1372"/>
        <item m="1" x="951"/>
        <item m="1" x="982"/>
        <item m="1" x="1390"/>
        <item m="1" x="959"/>
        <item m="1" x="988"/>
        <item m="1" x="1398"/>
        <item m="1" x="970"/>
        <item m="1" x="358"/>
        <item m="1" x="995"/>
        <item m="1" x="1258"/>
        <item m="1" x="979"/>
        <item m="1" x="368"/>
        <item m="1" x="1266"/>
        <item m="1" x="378"/>
        <item m="1" x="1276"/>
        <item m="1" x="391"/>
        <item m="1" x="1015"/>
        <item m="1" x="1284"/>
        <item m="1" x="1421"/>
        <item m="1" x="1002"/>
        <item m="1" x="405"/>
        <item m="1" x="1022"/>
        <item m="1" x="1293"/>
        <item m="1" x="1428"/>
        <item m="1" x="1007"/>
        <item m="1" x="1029"/>
        <item m="1" x="1437"/>
        <item m="1" x="899"/>
        <item m="1" x="923"/>
        <item m="1" x="1306"/>
        <item m="1" x="931"/>
        <item m="1" x="1205"/>
        <item x="8"/>
        <item m="1" x="1292"/>
        <item m="1" x="335"/>
        <item m="1" x="1300"/>
        <item m="1" x="496"/>
        <item m="1" x="345"/>
        <item m="1" x="1307"/>
        <item m="1" x="503"/>
        <item m="1" x="220"/>
        <item m="1" x="1315"/>
        <item m="1" x="512"/>
        <item m="1" x="230"/>
        <item m="1" x="520"/>
        <item m="1" x="241"/>
        <item m="1" x="365"/>
        <item m="1" x="528"/>
        <item m="1" x="253"/>
        <item m="1" x="375"/>
        <item m="1" x="1348"/>
        <item m="1" x="266"/>
        <item m="1" x="388"/>
        <item m="1" x="1367"/>
        <item m="1" x="403"/>
        <item m="1" x="1385"/>
        <item m="1" x="544"/>
        <item m="1" x="413"/>
        <item m="1" x="1249"/>
        <item m="1" x="453"/>
        <item m="1" x="178"/>
        <item m="1" x="1255"/>
        <item m="1" x="460"/>
        <item m="1" x="185"/>
        <item m="1" x="465"/>
        <item m="1" x="191"/>
        <item m="1" x="297"/>
        <item m="1" x="473"/>
        <item m="1" x="196"/>
        <item m="1" x="308"/>
        <item m="1" x="1281"/>
        <item m="1" x="204"/>
        <item m="1" x="322"/>
        <item m="1" x="1290"/>
        <item m="1" x="333"/>
        <item m="1" x="1298"/>
        <item m="1" x="495"/>
        <item m="1" x="344"/>
        <item m="1" x="1304"/>
        <item m="1" x="502"/>
        <item m="1" x="219"/>
        <item m="1" x="1311"/>
        <item m="1" x="509"/>
        <item m="1" x="227"/>
        <item m="1" x="517"/>
        <item m="1" x="238"/>
        <item m="1" x="362"/>
        <item m="1" x="424"/>
        <item m="1" x="165"/>
        <item m="1" x="247"/>
        <item m="1" x="1225"/>
        <item m="1" x="168"/>
        <item m="1" x="259"/>
        <item m="1" x="1233"/>
        <item m="1" x="268"/>
        <item m="1" x="1240"/>
        <item m="1" x="1248"/>
        <item m="1" x="177"/>
        <item m="1" x="1253"/>
        <item m="1" x="184"/>
        <item m="1" x="190"/>
        <item m="1" x="295"/>
        <item m="1" x="195"/>
        <item m="1" x="306"/>
        <item m="1" x="1279"/>
        <item m="1" x="201"/>
        <item m="1" x="318"/>
        <item m="1" x="1287"/>
        <item m="1" x="330"/>
        <item m="1" x="1188"/>
        <item m="1" x="215"/>
        <item m="1" x="146"/>
        <item x="9"/>
        <item m="1" x="1386"/>
        <item m="1" x="414"/>
        <item m="1" x="1396"/>
        <item m="1" x="553"/>
        <item m="1" x="421"/>
        <item m="1" x="1402"/>
        <item m="1" x="559"/>
        <item m="1" x="1407"/>
        <item m="1" x="566"/>
        <item m="1" x="575"/>
        <item m="1" x="441"/>
        <item m="1" x="579"/>
        <item m="1" x="325"/>
        <item m="1" x="449"/>
        <item m="1" x="1425"/>
        <item m="1" x="336"/>
        <item m="1" x="457"/>
        <item m="1" x="1434"/>
        <item m="1" x="463"/>
        <item m="1" x="1442"/>
        <item m="1" x="585"/>
        <item m="1" x="470"/>
        <item m="1" x="1312"/>
        <item m="1" x="510"/>
        <item m="1" x="228"/>
        <item m="1" x="1324"/>
        <item m="1" x="518"/>
        <item m="1" x="239"/>
        <item m="1" x="526"/>
        <item m="1" x="251"/>
        <item m="1" x="372"/>
        <item m="1" x="534"/>
        <item m="1" x="264"/>
        <item m="1" x="385"/>
        <item m="1" x="1363"/>
        <item m="1" x="272"/>
        <item m="1" x="400"/>
        <item m="1" x="1382"/>
        <item m="1" x="410"/>
        <item m="1" x="1394"/>
        <item m="1" x="549"/>
        <item m="1" x="418"/>
        <item m="1" x="1400"/>
        <item m="1" x="557"/>
        <item m="1" x="287"/>
        <item m="1" x="564"/>
        <item m="1" x="298"/>
        <item m="1" x="573"/>
        <item m="1" x="309"/>
        <item m="1" x="438"/>
        <item m="1" x="481"/>
        <item m="1" x="202"/>
        <item m="1" x="319"/>
        <item m="1" x="1288"/>
        <item m="1" x="209"/>
        <item m="1" x="331"/>
        <item m="1" x="1296"/>
        <item m="1" x="341"/>
        <item m="1" x="1303"/>
        <item m="1" x="348"/>
        <item m="1" x="1310"/>
        <item m="1" x="225"/>
        <item m="1" x="1320"/>
        <item m="1" x="235"/>
        <item m="1" x="248"/>
        <item m="1" x="260"/>
        <item m="1" x="383"/>
        <item m="1" x="1359"/>
        <item m="1" x="269"/>
        <item m="1" x="398"/>
        <item m="1" x="1378"/>
        <item m="1" x="408"/>
        <item m="1" x="1246"/>
        <item m="1" x="278"/>
        <item m="1" x="182"/>
        <item x="10"/>
        <item m="1" x="1387"/>
        <item m="1" x="415"/>
        <item m="1" x="1397"/>
        <item m="1" x="554"/>
        <item m="1" x="422"/>
        <item m="1" x="1403"/>
        <item m="1" x="560"/>
        <item m="1" x="1408"/>
        <item m="1" x="567"/>
        <item m="1" x="576"/>
        <item m="1" x="442"/>
        <item m="1" x="580"/>
        <item m="1" x="326"/>
        <item m="1" x="450"/>
        <item m="1" x="1426"/>
        <item m="1" x="337"/>
        <item m="1" x="458"/>
        <item m="1" x="1435"/>
        <item m="1" x="464"/>
        <item m="1" x="1443"/>
        <item m="1" x="586"/>
        <item m="1" x="471"/>
        <item m="1" x="1313"/>
        <item m="1" x="511"/>
        <item m="1" x="229"/>
        <item m="1" x="1325"/>
        <item m="1" x="519"/>
        <item m="1" x="240"/>
        <item m="1" x="527"/>
        <item m="1" x="252"/>
        <item m="1" x="373"/>
        <item m="1" x="535"/>
        <item m="1" x="265"/>
        <item m="1" x="386"/>
        <item m="1" x="1364"/>
        <item m="1" x="273"/>
        <item m="1" x="401"/>
        <item m="1" x="411"/>
        <item m="1" x="550"/>
        <item m="1" x="419"/>
        <item m="1" x="558"/>
        <item m="1" x="288"/>
        <item m="1" x="565"/>
        <item m="1" x="299"/>
        <item m="1" x="574"/>
        <item m="1" x="310"/>
        <item m="1" x="439"/>
        <item m="1" x="482"/>
        <item m="1" x="203"/>
        <item m="1" x="320"/>
        <item m="1" x="210"/>
        <item m="1" x="332"/>
        <item m="1" x="342"/>
        <item m="1" x="349"/>
        <item m="1" x="226"/>
        <item m="1" x="1321"/>
        <item m="1" x="236"/>
        <item m="1" x="249"/>
        <item m="1" x="371"/>
        <item m="1" x="261"/>
        <item m="1" x="384"/>
        <item m="1" x="1360"/>
        <item m="1" x="270"/>
        <item m="1" x="399"/>
        <item m="1" x="1379"/>
        <item m="1" x="409"/>
        <item m="1" x="1247"/>
        <item m="1" x="279"/>
        <item m="1" x="183"/>
        <item x="11"/>
        <item m="1" x="946"/>
        <item m="1" x="1383"/>
        <item m="1" x="954"/>
        <item m="1" x="35"/>
        <item m="1" x="1395"/>
        <item m="1" x="965"/>
        <item m="1" x="42"/>
        <item m="1" x="976"/>
        <item m="1" x="53"/>
        <item m="1" x="64"/>
        <item m="1" x="1413"/>
        <item m="1" x="68"/>
        <item m="1" x="1419"/>
        <item m="1" x="1000"/>
        <item m="1" x="1424"/>
        <item m="1" x="1005"/>
        <item m="1" x="1433"/>
        <item m="1" x="1012"/>
        <item m="1" x="80"/>
        <item m="1" x="1441"/>
        <item m="1" x="905"/>
        <item m="1" x="1465"/>
        <item m="1" x="1202"/>
        <item m="1" x="914"/>
        <item m="1" x="1470"/>
        <item m="1" x="1209"/>
        <item m="1" x="19"/>
        <item m="1" x="1216"/>
        <item m="1" x="1333"/>
        <item m="1" x="23"/>
        <item m="1" x="1226"/>
        <item m="1" x="1343"/>
        <item m="1" x="938"/>
        <item m="1" x="1234"/>
        <item m="1" x="1361"/>
        <item m="1" x="945"/>
        <item m="1" x="1380"/>
        <item m="1" x="952"/>
        <item m="1" x="34"/>
        <item m="1" x="1391"/>
        <item m="1" x="963"/>
        <item m="1" x="41"/>
        <item m="1" x="1254"/>
        <item m="1" x="974"/>
        <item m="1" x="52"/>
        <item m="1" x="1261"/>
        <item m="1" x="63"/>
        <item m="1" x="1269"/>
        <item m="1" x="1412"/>
        <item m="1" x="1450"/>
        <item m="1" x="1173"/>
        <item m="1" x="1278"/>
        <item m="1" x="878"/>
        <item m="1" x="1182"/>
        <item m="1" x="1286"/>
        <item m="1" x="887"/>
        <item m="1" x="1295"/>
        <item m="1" x="895"/>
        <item m="1" x="1302"/>
        <item m="1" x="904"/>
        <item m="1" x="1201"/>
        <item m="1" x="913"/>
        <item m="1" x="1208"/>
        <item m="1" x="1215"/>
        <item m="1" x="1332"/>
        <item m="1" x="1223"/>
        <item m="1" x="1342"/>
        <item m="1" x="937"/>
        <item m="1" x="1231"/>
        <item m="1" x="1356"/>
        <item m="1" x="944"/>
        <item m="1" x="1376"/>
        <item m="1" x="853"/>
        <item m="1" x="1244"/>
        <item m="1" x="1158"/>
        <item x="12"/>
        <item m="1" x="237"/>
        <item m="1" x="681"/>
        <item m="1" x="381"/>
        <item m="1" x="754"/>
        <item m="1" x="505"/>
        <item m="1" x="588"/>
        <item m="1" x="908"/>
        <item m="1" x="635"/>
        <item m="1" x="1034"/>
        <item m="1" x="688"/>
        <item m="1" x="1092"/>
        <item m="1" x="1138"/>
        <item m="1" x="842"/>
        <item m="1" x="1236"/>
        <item m="1" x="919"/>
        <item m="1" x="1393"/>
        <item m="1" x="933"/>
        <item m="1" x="396"/>
        <item m="1" x="514"/>
        <item m="1" x="839"/>
        <item m="1" x="589"/>
        <item m="1" x="915"/>
        <item m="1" x="640"/>
        <item m="1" x="1039"/>
        <item m="1" x="1095"/>
        <item m="1" x="774"/>
        <item m="1" x="1143"/>
        <item m="1" x="845"/>
        <item m="1" x="1243"/>
        <item m="1" x="929"/>
        <item m="1" x="1049"/>
        <item m="1" x="1098"/>
        <item m="1" x="127"/>
        <item m="1" x="591"/>
        <item m="1" x="920"/>
        <item m="1" x="1045"/>
        <item m="1" x="1096"/>
        <item m="1" x="1150"/>
        <item m="1" x="31"/>
        <item m="1" x="130"/>
        <item m="1" x="208"/>
        <item m="1" x="346"/>
        <item m="1" x="1099"/>
        <item x="13"/>
        <item m="1" x="478"/>
        <item m="1" x="801"/>
        <item m="1" x="486"/>
        <item m="1" x="876"/>
        <item m="1" x="808"/>
        <item m="1" x="491"/>
        <item m="1" x="883"/>
        <item m="1" x="498"/>
        <item m="1" x="892"/>
        <item m="1" x="901"/>
        <item m="1" x="821"/>
        <item m="1" x="911"/>
        <item m="1" x="826"/>
        <item m="1" x="522"/>
        <item m="1" x="750"/>
        <item m="1" x="830"/>
        <item m="1" x="530"/>
        <item m="1" x="834"/>
        <item m="1" x="536"/>
        <item m="1" x="932"/>
        <item m="1" x="837"/>
        <item m="1" x="437"/>
        <item m="1" x="846"/>
        <item m="1" x="690"/>
        <item m="1" x="446"/>
        <item m="1" x="851"/>
        <item m="1" x="695"/>
        <item m="1" x="855"/>
        <item m="1" x="700"/>
        <item m="1" x="778"/>
        <item m="1" x="860"/>
        <item m="1" x="705"/>
        <item m="1" x="786"/>
        <item m="1" x="467"/>
        <item m="1" x="713"/>
        <item m="1" x="793"/>
        <item m="1" x="475"/>
        <item m="1" x="800"/>
        <item m="1" x="485"/>
        <item m="1" x="874"/>
        <item m="1" x="807"/>
        <item m="1" x="490"/>
        <item m="1" x="881"/>
        <item m="1" x="725"/>
        <item m="1" x="497"/>
        <item m="1" x="890"/>
        <item m="1" x="733"/>
        <item m="1" x="900"/>
        <item m="1" x="738"/>
        <item m="1" x="819"/>
        <item m="1" x="840"/>
        <item m="1" x="680"/>
        <item m="1" x="741"/>
        <item m="1" x="417"/>
        <item m="1" x="683"/>
        <item m="1" x="747"/>
        <item m="1" x="425"/>
        <item m="1" x="756"/>
        <item m="1" x="431"/>
        <item m="1" x="766"/>
        <item m="1" x="436"/>
        <item m="1" x="689"/>
        <item m="1" x="445"/>
        <item m="1" x="693"/>
        <item m="1" x="699"/>
        <item m="1" x="777"/>
        <item m="1" x="703"/>
        <item m="1" x="784"/>
        <item m="1" x="466"/>
        <item m="1" x="711"/>
        <item m="1" x="791"/>
        <item m="1" x="474"/>
        <item m="1" x="798"/>
        <item m="1" x="361"/>
        <item m="1" x="720"/>
        <item m="1" x="671"/>
        <item x="14"/>
        <item m="1" x="709"/>
        <item m="1" x="820"/>
        <item m="1" x="716"/>
        <item m="1" x="824"/>
        <item m="1" x="828"/>
        <item m="1" x="833"/>
        <item m="1" x="727"/>
        <item m="1" x="836"/>
        <item m="1" x="735"/>
        <item m="1" x="740"/>
        <item m="1" x="745"/>
        <item m="1" x="843"/>
        <item m="1" x="752"/>
        <item m="1" x="785"/>
        <item m="1" x="792"/>
        <item m="1" x="799"/>
        <item m="1" x="692"/>
        <item m="1" x="806"/>
        <item m="1" x="697"/>
        <item m="1" x="702"/>
        <item m="1" x="708"/>
        <item m="1" x="817"/>
        <item m="1" x="714"/>
        <item m="1" x="822"/>
        <item m="1" x="827"/>
        <item m="1" x="832"/>
        <item m="1" x="726"/>
        <item m="1" x="764"/>
        <item m="1" x="675"/>
        <item m="1" x="678"/>
        <item m="1" x="682"/>
        <item m="1" x="686"/>
        <item m="1" x="691"/>
        <item m="1" x="696"/>
        <item m="1" x="701"/>
        <item m="1" x="343"/>
        <item m="1" x="707"/>
        <item m="1" x="218"/>
        <item m="1" x="660"/>
        <item x="15"/>
        <item m="1" x="1054"/>
        <item m="1" x="1060"/>
        <item m="1" x="1064"/>
        <item m="1" x="1067"/>
        <item m="1" x="1072"/>
        <item m="1" x="1081"/>
        <item m="1" x="1023"/>
        <item m="1" x="1030"/>
        <item m="1" x="1036"/>
        <item m="1" x="1041"/>
        <item m="1" x="1052"/>
        <item m="1" x="1058"/>
        <item m="1" x="1063"/>
        <item m="1" x="1066"/>
        <item m="1" x="994"/>
        <item m="1" x="864"/>
        <item m="1" x="869"/>
        <item m="1" x="885"/>
        <item m="1" x="894"/>
        <item m="1" x="902"/>
        <item m="1" x="912"/>
        <item m="1" x="844"/>
        <item x="16"/>
        <item x="0"/>
        <item x="1"/>
        <item t="default"/>
      </items>
    </pivotField>
    <pivotField axis="axisRow" numFmtId="2" showAll="0" sortType="ascending">
      <items count="91">
        <item m="1" x="89"/>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88"/>
        <item x="77"/>
        <item x="78"/>
        <item x="79"/>
        <item x="80"/>
        <item x="81"/>
        <item x="82"/>
        <item x="83"/>
        <item x="84"/>
        <item x="85"/>
        <item x="86"/>
        <item x="87"/>
        <item x="0"/>
        <item x="1"/>
        <item x="2"/>
        <item x="3"/>
        <item x="4"/>
        <item x="5"/>
        <item x="6"/>
        <item x="7"/>
        <item x="8"/>
        <item x="9"/>
        <item x="10"/>
        <item x="11"/>
        <item x="12"/>
        <item x="13"/>
        <item x="14"/>
        <item x="15"/>
        <item x="16"/>
        <item x="17"/>
        <item x="18"/>
        <item x="19"/>
        <item x="20"/>
        <item x="21"/>
        <item x="22"/>
        <item x="23"/>
        <item x="24"/>
        <item t="default"/>
      </items>
    </pivotField>
    <pivotField showAll="0"/>
    <pivotField dataField="1" showAll="0" defaultSubtotal="0"/>
    <pivotField dataField="1" showAll="0" defaultSubtotal="0"/>
  </pivotFields>
  <rowFields count="1">
    <field x="1"/>
  </rowFields>
  <rowItems count="59">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rowItems>
  <colFields count="1">
    <field x="-2"/>
  </colFields>
  <colItems count="2">
    <i>
      <x/>
    </i>
    <i i="1">
      <x v="1"/>
    </i>
  </colItems>
  <pageFields count="1">
    <pageField fld="0" item="869" hier="-1"/>
  </pageFields>
  <dataFields count="2">
    <dataField name="Closed" fld="3" showDataAs="runTotal" baseField="1" baseItem="70" numFmtId="4"/>
    <dataField name="Open" fld="4" baseField="1" baseItem="65" numFmtId="4"/>
  </dataFields>
  <formats count="4">
    <format dxfId="9">
      <pivotArea grandRow="1" grandCol="1" outline="0" collapsedLevelsAreSubtotals="1" fieldPosition="0"/>
    </format>
    <format dxfId="8">
      <pivotArea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2">
            <x v="0"/>
            <x v="1"/>
          </reference>
        </references>
      </pivotArea>
    </format>
  </formats>
  <chartFormats count="8">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11" format="12" series="1">
      <pivotArea type="data" outline="0" fieldPosition="0">
        <references count="1">
          <reference field="4294967294" count="1" selected="0">
            <x v="0"/>
          </reference>
        </references>
      </pivotArea>
    </chartFormat>
    <chartFormat chart="11" format="13" series="1">
      <pivotArea type="data" outline="0" fieldPosition="0">
        <references count="1">
          <reference field="4294967294" count="1" selected="0">
            <x v="1"/>
          </reference>
        </references>
      </pivotArea>
    </chartFormat>
    <chartFormat chart="18" format="8" series="1">
      <pivotArea type="data" outline="0" fieldPosition="0">
        <references count="1">
          <reference field="4294967294" count="1" selected="0">
            <x v="0"/>
          </reference>
        </references>
      </pivotArea>
    </chartFormat>
    <chartFormat chart="18" format="9" series="1">
      <pivotArea type="data" outline="0" fieldPosition="0">
        <references count="1">
          <reference field="4294967294" count="1" selected="0">
            <x v="1"/>
          </reference>
        </references>
      </pivotArea>
    </chartFormat>
    <chartFormat chart="20" format="12" series="1">
      <pivotArea type="data" outline="0" fieldPosition="0">
        <references count="1">
          <reference field="4294967294" count="1" selected="0">
            <x v="0"/>
          </reference>
        </references>
      </pivotArea>
    </chartFormat>
    <chartFormat chart="20" format="1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Equity_Pivot" cacheId="10"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25" fieldListSortAscending="1">
  <location ref="A3:B49" firstHeaderRow="1" firstDataRow="1" firstDataCol="1" rowPageCount="1" colPageCount="1"/>
  <pivotFields count="6">
    <pivotField axis="axisPage" showAll="0" defaultSubtotal="0">
      <items count="18">
        <item x="2"/>
        <item x="3"/>
        <item x="4"/>
        <item m="1" x="17"/>
        <item x="6"/>
        <item x="7"/>
        <item x="8"/>
        <item x="9"/>
        <item x="10"/>
        <item x="11"/>
        <item x="12"/>
        <item x="13"/>
        <item x="14"/>
        <item x="15"/>
        <item x="16"/>
        <item x="0"/>
        <item x="1"/>
        <item x="5"/>
      </items>
    </pivotField>
    <pivotField axis="axisRow" numFmtId="2" showAll="0" sortType="ascending">
      <items count="97">
        <item m="1" x="94"/>
        <item m="1" x="95"/>
        <item m="1" x="75"/>
        <item m="1" x="84"/>
        <item m="1" x="85"/>
        <item m="1" x="70"/>
        <item m="1" x="78"/>
        <item m="1" x="90"/>
        <item m="1" x="91"/>
        <item m="1" x="73"/>
        <item m="1" x="80"/>
        <item m="1" x="81"/>
        <item m="1" x="68"/>
        <item m="1" x="76"/>
        <item m="1" x="86"/>
        <item m="1" x="87"/>
        <item m="1" x="71"/>
        <item m="1" x="79"/>
        <item m="1" x="92"/>
        <item m="1" x="93"/>
        <item m="1" x="74"/>
        <item m="1" x="82"/>
        <item m="1" x="83"/>
        <item m="1" x="69"/>
        <item m="1" x="77"/>
        <item m="1" x="88"/>
        <item x="67"/>
        <item x="33"/>
        <item x="34"/>
        <item x="35"/>
        <item x="36"/>
        <item x="37"/>
        <item x="38"/>
        <item x="39"/>
        <item x="40"/>
        <item x="41"/>
        <item x="42"/>
        <item m="1" x="89"/>
        <item m="1" x="72"/>
        <item x="23"/>
        <item x="43"/>
        <item x="44"/>
        <item x="45"/>
        <item x="46"/>
        <item x="47"/>
        <item x="48"/>
        <item x="49"/>
        <item x="50"/>
        <item x="51"/>
        <item x="52"/>
        <item x="53"/>
        <item x="54"/>
        <item x="55"/>
        <item x="56"/>
        <item x="57"/>
        <item x="58"/>
        <item x="59"/>
        <item x="60"/>
        <item x="61"/>
        <item x="62"/>
        <item x="63"/>
        <item x="64"/>
        <item x="30"/>
        <item x="31"/>
        <item x="32"/>
        <item x="0"/>
        <item x="1"/>
        <item x="2"/>
        <item x="3"/>
        <item x="4"/>
        <item x="5"/>
        <item x="6"/>
        <item x="7"/>
        <item x="8"/>
        <item x="9"/>
        <item x="10"/>
        <item x="11"/>
        <item x="12"/>
        <item x="13"/>
        <item x="14"/>
        <item x="15"/>
        <item x="16"/>
        <item x="17"/>
        <item x="18"/>
        <item x="19"/>
        <item x="20"/>
        <item x="21"/>
        <item x="22"/>
        <item x="24"/>
        <item x="25"/>
        <item x="26"/>
        <item x="27"/>
        <item x="28"/>
        <item x="29"/>
        <item x="65"/>
        <item x="66"/>
        <item t="default"/>
      </items>
    </pivotField>
    <pivotField showAll="0" defaultSubtotal="0"/>
    <pivotField showAll="0" defaultSubtotal="0"/>
    <pivotField showAll="0" defaultSubtotal="0"/>
    <pivotField dataField="1" showAll="0" defaultSubtotal="0"/>
  </pivotFields>
  <rowFields count="1">
    <field x="1"/>
  </rowFields>
  <rowItems count="46">
    <i>
      <x v="39"/>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1"/>
    </i>
    <i>
      <x v="92"/>
    </i>
    <i>
      <x v="93"/>
    </i>
  </rowItems>
  <colItems count="1">
    <i/>
  </colItems>
  <pageFields count="1">
    <pageField fld="0" item="8" hier="-1"/>
  </pageFields>
  <dataFields count="1">
    <dataField name="Net Equity" fld="5" baseField="1" baseItem="42" numFmtId="4"/>
  </dataFields>
  <chartFormats count="2">
    <chartFormat chart="24" format="12" series="1">
      <pivotArea type="data" outline="0" fieldPosition="0">
        <references count="1">
          <reference field="4294967294" count="1" selected="0">
            <x v="0"/>
          </reference>
        </references>
      </pivotArea>
    </chartFormat>
    <chartFormat chart="22"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chartFormat="181" fieldListSortAscending="1">
  <location ref="A3:C5" firstHeaderRow="1" firstDataRow="3" firstDataCol="1" rowPageCount="1" colPageCount="1"/>
  <pivotFields count="8">
    <pivotField axis="axisPage" showAll="0">
      <items count="18">
        <item x="0"/>
        <item x="1"/>
        <item x="2"/>
        <item x="3"/>
        <item x="4"/>
        <item x="5"/>
        <item x="6"/>
        <item x="7"/>
        <item x="8"/>
        <item x="9"/>
        <item x="10"/>
        <item x="11"/>
        <item x="12"/>
        <item x="13"/>
        <item x="14"/>
        <item x="15"/>
        <item x="16"/>
        <item t="default"/>
      </items>
    </pivotField>
    <pivotField axis="axisRow" numFmtId="2" showAll="0" sortType="ascending">
      <items count="63">
        <item x="61"/>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25"/>
        <item x="60"/>
        <item x="26"/>
        <item x="0"/>
        <item x="1"/>
        <item x="2"/>
        <item x="3"/>
        <item x="4"/>
        <item x="5"/>
        <item x="6"/>
        <item x="7"/>
        <item x="8"/>
        <item x="9"/>
        <item x="10"/>
        <item x="11"/>
        <item x="12"/>
        <item x="13"/>
        <item x="14"/>
        <item x="15"/>
        <item x="16"/>
        <item x="17"/>
        <item x="18"/>
        <item x="19"/>
        <item x="20"/>
        <item x="21"/>
        <item x="22"/>
        <item x="23"/>
        <item x="24"/>
        <item t="default"/>
      </items>
    </pivotField>
    <pivotField axis="axisCol" showAll="0">
      <items count="18">
        <item x="1"/>
        <item h="1" x="4"/>
        <item h="1" m="1" x="15"/>
        <item h="1" x="13"/>
        <item h="1" x="12"/>
        <item h="1" x="7"/>
        <item h="1" x="9"/>
        <item h="1" x="3"/>
        <item h="1" x="11"/>
        <item h="1" x="0"/>
        <item h="1" x="5"/>
        <item h="1" m="1" x="16"/>
        <item h="1" x="8"/>
        <item h="1" x="6"/>
        <item h="1" x="10"/>
        <item h="1" x="2"/>
        <item h="1" x="14"/>
        <item t="default"/>
      </items>
    </pivotField>
    <pivotField dataField="1" showAll="0"/>
    <pivotField dataField="1" showAll="0"/>
    <pivotField dataField="1" showAll="0"/>
    <pivotField dataField="1" showAll="0" defaultSubtotal="0"/>
    <pivotField dataField="1" showAll="0" defaultSubtotal="0"/>
  </pivotFields>
  <rowFields count="1">
    <field x="1"/>
  </rowFields>
  <colFields count="2">
    <field x="2"/>
    <field x="-2"/>
  </colFields>
  <pageFields count="1">
    <pageField fld="0" item="7" hier="-1"/>
  </pageFields>
  <dataFields count="5">
    <dataField name="Channel Min" fld="4" subtotal="min" baseField="1" baseItem="34" numFmtId="165"/>
    <dataField name="Channel Max" fld="5" subtotal="max" baseField="1" baseItem="34" numFmtId="165"/>
    <dataField name="Channel Avg" fld="6" subtotal="average" baseField="1" baseItem="31"/>
    <dataField name="Current Price" fld="3" subtotal="average" baseField="1" baseItem="34" numFmtId="165"/>
    <dataField name="Channel Width" fld="7" subtotal="average" baseField="1" baseItem="35"/>
  </dataFields>
  <chartFormats count="207">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1"/>
          </reference>
          <reference field="2" count="1" selected="0">
            <x v="1"/>
          </reference>
        </references>
      </pivotArea>
    </chartFormat>
    <chartFormat chart="0" format="2" series="1">
      <pivotArea type="data" outline="0" fieldPosition="0">
        <references count="2">
          <reference field="4294967294" count="1" selected="0">
            <x v="3"/>
          </reference>
          <reference field="2" count="1" selected="0">
            <x v="1"/>
          </reference>
        </references>
      </pivotArea>
    </chartFormat>
    <chartFormat chart="0" format="3" series="1">
      <pivotArea type="data" outline="0" fieldPosition="0">
        <references count="2">
          <reference field="4294967294" count="1" selected="0">
            <x v="0"/>
          </reference>
          <reference field="2" count="1" selected="0">
            <x v="9"/>
          </reference>
        </references>
      </pivotArea>
    </chartFormat>
    <chartFormat chart="0" format="4" series="1">
      <pivotArea type="data" outline="0" fieldPosition="0">
        <references count="2">
          <reference field="4294967294" count="1" selected="0">
            <x v="1"/>
          </reference>
          <reference field="2" count="1" selected="0">
            <x v="9"/>
          </reference>
        </references>
      </pivotArea>
    </chartFormat>
    <chartFormat chart="0" format="5" series="1">
      <pivotArea type="data" outline="0" fieldPosition="0">
        <references count="2">
          <reference field="4294967294" count="1" selected="0">
            <x v="3"/>
          </reference>
          <reference field="2" count="1" selected="0">
            <x v="9"/>
          </reference>
        </references>
      </pivotArea>
    </chartFormat>
    <chartFormat chart="0" format="6" series="1">
      <pivotArea type="data" outline="0" fieldPosition="0">
        <references count="2">
          <reference field="4294967294" count="1" selected="0">
            <x v="0"/>
          </reference>
          <reference field="2" count="1" selected="0">
            <x v="14"/>
          </reference>
        </references>
      </pivotArea>
    </chartFormat>
    <chartFormat chart="0" format="7" series="1">
      <pivotArea type="data" outline="0" fieldPosition="0">
        <references count="2">
          <reference field="4294967294" count="1" selected="0">
            <x v="1"/>
          </reference>
          <reference field="2" count="1" selected="0">
            <x v="14"/>
          </reference>
        </references>
      </pivotArea>
    </chartFormat>
    <chartFormat chart="0" format="8" series="1">
      <pivotArea type="data" outline="0" fieldPosition="0">
        <references count="2">
          <reference field="4294967294" count="1" selected="0">
            <x v="3"/>
          </reference>
          <reference field="2" count="1" selected="0">
            <x v="14"/>
          </reference>
        </references>
      </pivotArea>
    </chartFormat>
    <chartFormat chart="0" format="9" series="1">
      <pivotArea type="data" outline="0" fieldPosition="0">
        <references count="2">
          <reference field="4294967294" count="1" selected="0">
            <x v="0"/>
          </reference>
          <reference field="2" count="1" selected="0">
            <x v="0"/>
          </reference>
        </references>
      </pivotArea>
    </chartFormat>
    <chartFormat chart="0" format="10" series="1">
      <pivotArea type="data" outline="0" fieldPosition="0">
        <references count="2">
          <reference field="4294967294" count="1" selected="0">
            <x v="1"/>
          </reference>
          <reference field="2" count="1" selected="0">
            <x v="0"/>
          </reference>
        </references>
      </pivotArea>
    </chartFormat>
    <chartFormat chart="0" format="11" series="1">
      <pivotArea type="data" outline="0" fieldPosition="0">
        <references count="2">
          <reference field="4294967294" count="1" selected="0">
            <x v="3"/>
          </reference>
          <reference field="2" count="1" selected="0">
            <x v="0"/>
          </reference>
        </references>
      </pivotArea>
    </chartFormat>
    <chartFormat chart="0" format="12" series="1">
      <pivotArea type="data" outline="0" fieldPosition="0">
        <references count="2">
          <reference field="4294967294" count="1" selected="0">
            <x v="0"/>
          </reference>
          <reference field="2" count="1" selected="0">
            <x v="7"/>
          </reference>
        </references>
      </pivotArea>
    </chartFormat>
    <chartFormat chart="0" format="13" series="1">
      <pivotArea type="data" outline="0" fieldPosition="0">
        <references count="2">
          <reference field="4294967294" count="1" selected="0">
            <x v="1"/>
          </reference>
          <reference field="2" count="1" selected="0">
            <x v="7"/>
          </reference>
        </references>
      </pivotArea>
    </chartFormat>
    <chartFormat chart="0" format="14" series="1">
      <pivotArea type="data" outline="0" fieldPosition="0">
        <references count="2">
          <reference field="4294967294" count="1" selected="0">
            <x v="3"/>
          </reference>
          <reference field="2" count="1" selected="0">
            <x v="7"/>
          </reference>
        </references>
      </pivotArea>
    </chartFormat>
    <chartFormat chart="0" format="15" series="1">
      <pivotArea type="data" outline="0" fieldPosition="0">
        <references count="2">
          <reference field="4294967294" count="1" selected="0">
            <x v="0"/>
          </reference>
          <reference field="2" count="1" selected="0">
            <x v="15"/>
          </reference>
        </references>
      </pivotArea>
    </chartFormat>
    <chartFormat chart="0" format="16" series="1">
      <pivotArea type="data" outline="0" fieldPosition="0">
        <references count="2">
          <reference field="4294967294" count="1" selected="0">
            <x v="1"/>
          </reference>
          <reference field="2" count="1" selected="0">
            <x v="15"/>
          </reference>
        </references>
      </pivotArea>
    </chartFormat>
    <chartFormat chart="0" format="17" series="1">
      <pivotArea type="data" outline="0" fieldPosition="0">
        <references count="2">
          <reference field="4294967294" count="1" selected="0">
            <x v="3"/>
          </reference>
          <reference field="2" count="1" selected="0">
            <x v="15"/>
          </reference>
        </references>
      </pivotArea>
    </chartFormat>
    <chartFormat chart="0" format="18" series="1">
      <pivotArea type="data" outline="0" fieldPosition="0">
        <references count="2">
          <reference field="4294967294" count="1" selected="0">
            <x v="0"/>
          </reference>
          <reference field="2" count="1" selected="0">
            <x v="11"/>
          </reference>
        </references>
      </pivotArea>
    </chartFormat>
    <chartFormat chart="0" format="19" series="1">
      <pivotArea type="data" outline="0" fieldPosition="0">
        <references count="2">
          <reference field="4294967294" count="1" selected="0">
            <x v="1"/>
          </reference>
          <reference field="2" count="1" selected="0">
            <x v="11"/>
          </reference>
        </references>
      </pivotArea>
    </chartFormat>
    <chartFormat chart="0" format="20" series="1">
      <pivotArea type="data" outline="0" fieldPosition="0">
        <references count="2">
          <reference field="4294967294" count="1" selected="0">
            <x v="3"/>
          </reference>
          <reference field="2" count="1" selected="0">
            <x v="11"/>
          </reference>
        </references>
      </pivotArea>
    </chartFormat>
    <chartFormat chart="0" format="21" series="1">
      <pivotArea type="data" outline="0" fieldPosition="0">
        <references count="2">
          <reference field="4294967294" count="1" selected="0">
            <x v="0"/>
          </reference>
          <reference field="2" count="1" selected="0">
            <x v="5"/>
          </reference>
        </references>
      </pivotArea>
    </chartFormat>
    <chartFormat chart="0" format="22" series="1">
      <pivotArea type="data" outline="0" fieldPosition="0">
        <references count="2">
          <reference field="4294967294" count="1" selected="0">
            <x v="1"/>
          </reference>
          <reference field="2" count="1" selected="0">
            <x v="5"/>
          </reference>
        </references>
      </pivotArea>
    </chartFormat>
    <chartFormat chart="0" format="23" series="1">
      <pivotArea type="data" outline="0" fieldPosition="0">
        <references count="2">
          <reference field="4294967294" count="1" selected="0">
            <x v="3"/>
          </reference>
          <reference field="2" count="1" selected="0">
            <x v="5"/>
          </reference>
        </references>
      </pivotArea>
    </chartFormat>
    <chartFormat chart="0" format="24" series="1">
      <pivotArea type="data" outline="0" fieldPosition="0">
        <references count="2">
          <reference field="4294967294" count="1" selected="0">
            <x v="0"/>
          </reference>
          <reference field="2" count="1" selected="0">
            <x v="10"/>
          </reference>
        </references>
      </pivotArea>
    </chartFormat>
    <chartFormat chart="0" format="25" series="1">
      <pivotArea type="data" outline="0" fieldPosition="0">
        <references count="2">
          <reference field="4294967294" count="1" selected="0">
            <x v="1"/>
          </reference>
          <reference field="2" count="1" selected="0">
            <x v="10"/>
          </reference>
        </references>
      </pivotArea>
    </chartFormat>
    <chartFormat chart="0" format="26" series="1">
      <pivotArea type="data" outline="0" fieldPosition="0">
        <references count="2">
          <reference field="4294967294" count="1" selected="0">
            <x v="3"/>
          </reference>
          <reference field="2" count="1" selected="0">
            <x v="10"/>
          </reference>
        </references>
      </pivotArea>
    </chartFormat>
    <chartFormat chart="0" format="27" series="1">
      <pivotArea type="data" outline="0" fieldPosition="0">
        <references count="2">
          <reference field="4294967294" count="1" selected="0">
            <x v="0"/>
          </reference>
          <reference field="2" count="1" selected="0">
            <x v="12"/>
          </reference>
        </references>
      </pivotArea>
    </chartFormat>
    <chartFormat chart="0" format="28" series="1">
      <pivotArea type="data" outline="0" fieldPosition="0">
        <references count="2">
          <reference field="4294967294" count="1" selected="0">
            <x v="1"/>
          </reference>
          <reference field="2" count="1" selected="0">
            <x v="12"/>
          </reference>
        </references>
      </pivotArea>
    </chartFormat>
    <chartFormat chart="0" format="29" series="1">
      <pivotArea type="data" outline="0" fieldPosition="0">
        <references count="2">
          <reference field="4294967294" count="1" selected="0">
            <x v="3"/>
          </reference>
          <reference field="2" count="1" selected="0">
            <x v="12"/>
          </reference>
        </references>
      </pivotArea>
    </chartFormat>
    <chartFormat chart="0" format="30" series="1">
      <pivotArea type="data" outline="0" fieldPosition="0">
        <references count="2">
          <reference field="4294967294" count="1" selected="0">
            <x v="0"/>
          </reference>
          <reference field="2" count="1" selected="0">
            <x v="6"/>
          </reference>
        </references>
      </pivotArea>
    </chartFormat>
    <chartFormat chart="0" format="31" series="1">
      <pivotArea type="data" outline="0" fieldPosition="0">
        <references count="2">
          <reference field="4294967294" count="1" selected="0">
            <x v="1"/>
          </reference>
          <reference field="2" count="1" selected="0">
            <x v="6"/>
          </reference>
        </references>
      </pivotArea>
    </chartFormat>
    <chartFormat chart="0" format="32" series="1">
      <pivotArea type="data" outline="0" fieldPosition="0">
        <references count="2">
          <reference field="4294967294" count="1" selected="0">
            <x v="3"/>
          </reference>
          <reference field="2" count="1" selected="0">
            <x v="6"/>
          </reference>
        </references>
      </pivotArea>
    </chartFormat>
    <chartFormat chart="0" format="33" series="1">
      <pivotArea type="data" outline="0" fieldPosition="0">
        <references count="2">
          <reference field="4294967294" count="1" selected="0">
            <x v="0"/>
          </reference>
          <reference field="2" count="1" selected="0">
            <x v="8"/>
          </reference>
        </references>
      </pivotArea>
    </chartFormat>
    <chartFormat chart="0" format="34" series="1">
      <pivotArea type="data" outline="0" fieldPosition="0">
        <references count="2">
          <reference field="4294967294" count="1" selected="0">
            <x v="1"/>
          </reference>
          <reference field="2" count="1" selected="0">
            <x v="8"/>
          </reference>
        </references>
      </pivotArea>
    </chartFormat>
    <chartFormat chart="0" format="35" series="1">
      <pivotArea type="data" outline="0" fieldPosition="0">
        <references count="2">
          <reference field="4294967294" count="1" selected="0">
            <x v="3"/>
          </reference>
          <reference field="2" count="1" selected="0">
            <x v="8"/>
          </reference>
        </references>
      </pivotArea>
    </chartFormat>
    <chartFormat chart="0" format="36" series="1">
      <pivotArea type="data" outline="0" fieldPosition="0">
        <references count="2">
          <reference field="4294967294" count="1" selected="0">
            <x v="0"/>
          </reference>
          <reference field="2" count="1" selected="0">
            <x v="13"/>
          </reference>
        </references>
      </pivotArea>
    </chartFormat>
    <chartFormat chart="0" format="37" series="1">
      <pivotArea type="data" outline="0" fieldPosition="0">
        <references count="2">
          <reference field="4294967294" count="1" selected="0">
            <x v="1"/>
          </reference>
          <reference field="2" count="1" selected="0">
            <x v="13"/>
          </reference>
        </references>
      </pivotArea>
    </chartFormat>
    <chartFormat chart="0" format="38" series="1">
      <pivotArea type="data" outline="0" fieldPosition="0">
        <references count="2">
          <reference field="4294967294" count="1" selected="0">
            <x v="3"/>
          </reference>
          <reference field="2" count="1" selected="0">
            <x v="13"/>
          </reference>
        </references>
      </pivotArea>
    </chartFormat>
    <chartFormat chart="0" format="39" series="1">
      <pivotArea type="data" outline="0" fieldPosition="0">
        <references count="2">
          <reference field="4294967294" count="1" selected="0">
            <x v="0"/>
          </reference>
          <reference field="2" count="1" selected="0">
            <x v="4"/>
          </reference>
        </references>
      </pivotArea>
    </chartFormat>
    <chartFormat chart="0" format="40" series="1">
      <pivotArea type="data" outline="0" fieldPosition="0">
        <references count="2">
          <reference field="4294967294" count="1" selected="0">
            <x v="1"/>
          </reference>
          <reference field="2" count="1" selected="0">
            <x v="4"/>
          </reference>
        </references>
      </pivotArea>
    </chartFormat>
    <chartFormat chart="0" format="41" series="1">
      <pivotArea type="data" outline="0" fieldPosition="0">
        <references count="2">
          <reference field="4294967294" count="1" selected="0">
            <x v="3"/>
          </reference>
          <reference field="2" count="1" selected="0">
            <x v="4"/>
          </reference>
        </references>
      </pivotArea>
    </chartFormat>
    <chartFormat chart="0" format="42" series="1">
      <pivotArea type="data" outline="0" fieldPosition="0">
        <references count="2">
          <reference field="4294967294" count="1" selected="0">
            <x v="0"/>
          </reference>
          <reference field="2" count="1" selected="0">
            <x v="3"/>
          </reference>
        </references>
      </pivotArea>
    </chartFormat>
    <chartFormat chart="0" format="43" series="1">
      <pivotArea type="data" outline="0" fieldPosition="0">
        <references count="2">
          <reference field="4294967294" count="1" selected="0">
            <x v="1"/>
          </reference>
          <reference field="2" count="1" selected="0">
            <x v="3"/>
          </reference>
        </references>
      </pivotArea>
    </chartFormat>
    <chartFormat chart="0" format="44" series="1">
      <pivotArea type="data" outline="0" fieldPosition="0">
        <references count="2">
          <reference field="4294967294" count="1" selected="0">
            <x v="3"/>
          </reference>
          <reference field="2" count="1" selected="0">
            <x v="3"/>
          </reference>
        </references>
      </pivotArea>
    </chartFormat>
    <chartFormat chart="0" format="45" series="1">
      <pivotArea type="data" outline="0" fieldPosition="0">
        <references count="2">
          <reference field="4294967294" count="1" selected="0">
            <x v="0"/>
          </reference>
          <reference field="2" count="1" selected="0">
            <x v="16"/>
          </reference>
        </references>
      </pivotArea>
    </chartFormat>
    <chartFormat chart="0" format="46" series="1">
      <pivotArea type="data" outline="0" fieldPosition="0">
        <references count="2">
          <reference field="4294967294" count="1" selected="0">
            <x v="1"/>
          </reference>
          <reference field="2" count="1" selected="0">
            <x v="16"/>
          </reference>
        </references>
      </pivotArea>
    </chartFormat>
    <chartFormat chart="0" format="47" series="1">
      <pivotArea type="data" outline="0" fieldPosition="0">
        <references count="2">
          <reference field="4294967294" count="1" selected="0">
            <x v="3"/>
          </reference>
          <reference field="2" count="1" selected="0">
            <x v="16"/>
          </reference>
        </references>
      </pivotArea>
    </chartFormat>
    <chartFormat chart="2" format="48" series="1">
      <pivotArea type="data" outline="0" fieldPosition="0">
        <references count="2">
          <reference field="4294967294" count="1" selected="0">
            <x v="0"/>
          </reference>
          <reference field="2" count="1" selected="0">
            <x v="14"/>
          </reference>
        </references>
      </pivotArea>
    </chartFormat>
    <chartFormat chart="2" format="49" series="1">
      <pivotArea type="data" outline="0" fieldPosition="0">
        <references count="2">
          <reference field="4294967294" count="1" selected="0">
            <x v="1"/>
          </reference>
          <reference field="2" count="1" selected="0">
            <x v="14"/>
          </reference>
        </references>
      </pivotArea>
    </chartFormat>
    <chartFormat chart="2" format="50" series="1">
      <pivotArea type="data" outline="0" fieldPosition="0">
        <references count="2">
          <reference field="4294967294" count="1" selected="0">
            <x v="3"/>
          </reference>
          <reference field="2" count="1" selected="0">
            <x v="14"/>
          </reference>
        </references>
      </pivotArea>
    </chartFormat>
    <chartFormat chart="0" format="49" series="1">
      <pivotArea type="data" outline="0" fieldPosition="0">
        <references count="2">
          <reference field="4294967294" count="1" selected="0">
            <x v="2"/>
          </reference>
          <reference field="2" count="1" selected="0">
            <x v="14"/>
          </reference>
        </references>
      </pivotArea>
    </chartFormat>
    <chartFormat chart="0" format="50" series="1">
      <pivotArea type="data" outline="0" fieldPosition="0">
        <references count="2">
          <reference field="4294967294" count="1" selected="0">
            <x v="2"/>
          </reference>
          <reference field="2" count="1" selected="0">
            <x v="9"/>
          </reference>
        </references>
      </pivotArea>
    </chartFormat>
    <chartFormat chart="0" format="51" series="1">
      <pivotArea type="data" outline="0" fieldPosition="0">
        <references count="2">
          <reference field="4294967294" count="1" selected="0">
            <x v="2"/>
          </reference>
          <reference field="2" count="1" selected="0">
            <x v="7"/>
          </reference>
        </references>
      </pivotArea>
    </chartFormat>
    <chartFormat chart="0" format="52" series="1">
      <pivotArea type="data" outline="0" fieldPosition="0">
        <references count="2">
          <reference field="4294967294" count="1" selected="0">
            <x v="2"/>
          </reference>
          <reference field="2" count="1" selected="0">
            <x v="15"/>
          </reference>
        </references>
      </pivotArea>
    </chartFormat>
    <chartFormat chart="0" format="53" series="1">
      <pivotArea type="data" outline="0" fieldPosition="0">
        <references count="2">
          <reference field="4294967294" count="1" selected="0">
            <x v="2"/>
          </reference>
          <reference field="2" count="1" selected="0">
            <x v="0"/>
          </reference>
        </references>
      </pivotArea>
    </chartFormat>
    <chartFormat chart="0" format="54" series="1">
      <pivotArea type="data" outline="0" fieldPosition="0">
        <references count="2">
          <reference field="4294967294" count="1" selected="0">
            <x v="2"/>
          </reference>
          <reference field="2" count="1" selected="0">
            <x v="1"/>
          </reference>
        </references>
      </pivotArea>
    </chartFormat>
    <chartFormat chart="0" format="55" series="1">
      <pivotArea type="data" outline="0" fieldPosition="0">
        <references count="2">
          <reference field="4294967294" count="1" selected="0">
            <x v="2"/>
          </reference>
          <reference field="2" count="1" selected="0">
            <x v="10"/>
          </reference>
        </references>
      </pivotArea>
    </chartFormat>
    <chartFormat chart="0" format="56" series="1">
      <pivotArea type="data" outline="0" fieldPosition="0">
        <references count="2">
          <reference field="4294967294" count="1" selected="0">
            <x v="2"/>
          </reference>
          <reference field="2" count="1" selected="0">
            <x v="6"/>
          </reference>
        </references>
      </pivotArea>
    </chartFormat>
    <chartFormat chart="0" format="57" series="1">
      <pivotArea type="data" outline="0" fieldPosition="0">
        <references count="2">
          <reference field="4294967294" count="1" selected="0">
            <x v="2"/>
          </reference>
          <reference field="2" count="1" selected="0">
            <x v="11"/>
          </reference>
        </references>
      </pivotArea>
    </chartFormat>
    <chartFormat chart="0" format="58" series="1">
      <pivotArea type="data" outline="0" fieldPosition="0">
        <references count="2">
          <reference field="4294967294" count="1" selected="0">
            <x v="2"/>
          </reference>
          <reference field="2" count="1" selected="0">
            <x v="5"/>
          </reference>
        </references>
      </pivotArea>
    </chartFormat>
    <chartFormat chart="0" format="59" series="1">
      <pivotArea type="data" outline="0" fieldPosition="0">
        <references count="2">
          <reference field="4294967294" count="1" selected="0">
            <x v="2"/>
          </reference>
          <reference field="2" count="1" selected="0">
            <x v="8"/>
          </reference>
        </references>
      </pivotArea>
    </chartFormat>
    <chartFormat chart="0" format="60" series="1">
      <pivotArea type="data" outline="0" fieldPosition="0">
        <references count="2">
          <reference field="4294967294" count="1" selected="0">
            <x v="2"/>
          </reference>
          <reference field="2" count="1" selected="0">
            <x v="13"/>
          </reference>
        </references>
      </pivotArea>
    </chartFormat>
    <chartFormat chart="0" format="61" series="1">
      <pivotArea type="data" outline="0" fieldPosition="0">
        <references count="2">
          <reference field="4294967294" count="1" selected="0">
            <x v="2"/>
          </reference>
          <reference field="2" count="1" selected="0">
            <x v="4"/>
          </reference>
        </references>
      </pivotArea>
    </chartFormat>
    <chartFormat chart="0" format="62" series="1">
      <pivotArea type="data" outline="0" fieldPosition="0">
        <references count="2">
          <reference field="4294967294" count="1" selected="0">
            <x v="2"/>
          </reference>
          <reference field="2" count="1" selected="0">
            <x v="3"/>
          </reference>
        </references>
      </pivotArea>
    </chartFormat>
    <chartFormat chart="0" format="63" series="1">
      <pivotArea type="data" outline="0" fieldPosition="0">
        <references count="2">
          <reference field="4294967294" count="1" selected="0">
            <x v="2"/>
          </reference>
          <reference field="2" count="1" selected="0">
            <x v="16"/>
          </reference>
        </references>
      </pivotArea>
    </chartFormat>
    <chartFormat chart="0" format="64" series="1">
      <pivotArea type="data" outline="0" fieldPosition="0">
        <references count="2">
          <reference field="4294967294" count="1" selected="0">
            <x v="4"/>
          </reference>
          <reference field="2" count="1" selected="0">
            <x v="14"/>
          </reference>
        </references>
      </pivotArea>
    </chartFormat>
    <chartFormat chart="0" format="65" series="1">
      <pivotArea type="data" outline="0" fieldPosition="0">
        <references count="2">
          <reference field="4294967294" count="1" selected="0">
            <x v="4"/>
          </reference>
          <reference field="2" count="1" selected="0">
            <x v="9"/>
          </reference>
        </references>
      </pivotArea>
    </chartFormat>
    <chartFormat chart="0" format="66" series="1">
      <pivotArea type="data" outline="0" fieldPosition="0">
        <references count="2">
          <reference field="4294967294" count="1" selected="0">
            <x v="4"/>
          </reference>
          <reference field="2" count="1" selected="0">
            <x v="0"/>
          </reference>
        </references>
      </pivotArea>
    </chartFormat>
    <chartFormat chart="0" format="67" series="1">
      <pivotArea type="data" outline="0" fieldPosition="0">
        <references count="2">
          <reference field="4294967294" count="1" selected="0">
            <x v="4"/>
          </reference>
          <reference field="2" count="1" selected="0">
            <x v="7"/>
          </reference>
        </references>
      </pivotArea>
    </chartFormat>
    <chartFormat chart="0" format="68" series="1">
      <pivotArea type="data" outline="0" fieldPosition="0">
        <references count="2">
          <reference field="4294967294" count="1" selected="0">
            <x v="4"/>
          </reference>
          <reference field="2" count="1" selected="0">
            <x v="15"/>
          </reference>
        </references>
      </pivotArea>
    </chartFormat>
    <chartFormat chart="0" format="69" series="1">
      <pivotArea type="data" outline="0" fieldPosition="0">
        <references count="2">
          <reference field="4294967294" count="1" selected="0">
            <x v="4"/>
          </reference>
          <reference field="2" count="1" selected="0">
            <x v="1"/>
          </reference>
        </references>
      </pivotArea>
    </chartFormat>
    <chartFormat chart="0" format="70" series="1">
      <pivotArea type="data" outline="0" fieldPosition="0">
        <references count="2">
          <reference field="4294967294" count="1" selected="0">
            <x v="4"/>
          </reference>
          <reference field="2" count="1" selected="0">
            <x v="10"/>
          </reference>
        </references>
      </pivotArea>
    </chartFormat>
    <chartFormat chart="0" format="71" series="1">
      <pivotArea type="data" outline="0" fieldPosition="0">
        <references count="2">
          <reference field="4294967294" count="1" selected="0">
            <x v="4"/>
          </reference>
          <reference field="2" count="1" selected="0">
            <x v="6"/>
          </reference>
        </references>
      </pivotArea>
    </chartFormat>
    <chartFormat chart="0" format="72" series="1">
      <pivotArea type="data" outline="0" fieldPosition="0">
        <references count="2">
          <reference field="4294967294" count="1" selected="0">
            <x v="2"/>
          </reference>
          <reference field="2" count="1" selected="0">
            <x v="12"/>
          </reference>
        </references>
      </pivotArea>
    </chartFormat>
    <chartFormat chart="0" format="73" series="1">
      <pivotArea type="data" outline="0" fieldPosition="0">
        <references count="2">
          <reference field="4294967294" count="1" selected="0">
            <x v="4"/>
          </reference>
          <reference field="2" count="1" selected="0">
            <x v="12"/>
          </reference>
        </references>
      </pivotArea>
    </chartFormat>
    <chartFormat chart="0" format="74" series="1">
      <pivotArea type="data" outline="0" fieldPosition="0">
        <references count="2">
          <reference field="4294967294" count="1" selected="0">
            <x v="4"/>
          </reference>
          <reference field="2" count="1" selected="0">
            <x v="5"/>
          </reference>
        </references>
      </pivotArea>
    </chartFormat>
    <chartFormat chart="0" format="75" series="1">
      <pivotArea type="data" outline="0" fieldPosition="0">
        <references count="2">
          <reference field="4294967294" count="1" selected="0">
            <x v="4"/>
          </reference>
          <reference field="2" count="1" selected="0">
            <x v="8"/>
          </reference>
        </references>
      </pivotArea>
    </chartFormat>
    <chartFormat chart="0" format="76" series="1">
      <pivotArea type="data" outline="0" fieldPosition="0">
        <references count="2">
          <reference field="4294967294" count="1" selected="0">
            <x v="4"/>
          </reference>
          <reference field="2" count="1" selected="0">
            <x v="13"/>
          </reference>
        </references>
      </pivotArea>
    </chartFormat>
    <chartFormat chart="0" format="77" series="1">
      <pivotArea type="data" outline="0" fieldPosition="0">
        <references count="2">
          <reference field="4294967294" count="1" selected="0">
            <x v="4"/>
          </reference>
          <reference field="2" count="1" selected="0">
            <x v="4"/>
          </reference>
        </references>
      </pivotArea>
    </chartFormat>
    <chartFormat chart="0" format="78" series="1">
      <pivotArea type="data" outline="0" fieldPosition="0">
        <references count="2">
          <reference field="4294967294" count="1" selected="0">
            <x v="4"/>
          </reference>
          <reference field="2" count="1" selected="0">
            <x v="3"/>
          </reference>
        </references>
      </pivotArea>
    </chartFormat>
    <chartFormat chart="0" format="79" series="1">
      <pivotArea type="data" outline="0" fieldPosition="0">
        <references count="2">
          <reference field="4294967294" count="1" selected="0">
            <x v="4"/>
          </reference>
          <reference field="2" count="1" selected="0">
            <x v="16"/>
          </reference>
        </references>
      </pivotArea>
    </chartFormat>
    <chartFormat chart="9" format="74" series="1">
      <pivotArea type="data" outline="0" fieldPosition="0">
        <references count="2">
          <reference field="4294967294" count="1" selected="0">
            <x v="0"/>
          </reference>
          <reference field="2" count="1" selected="0">
            <x v="14"/>
          </reference>
        </references>
      </pivotArea>
    </chartFormat>
    <chartFormat chart="9" format="75" series="1">
      <pivotArea type="data" outline="0" fieldPosition="0">
        <references count="2">
          <reference field="4294967294" count="1" selected="0">
            <x v="1"/>
          </reference>
          <reference field="2" count="1" selected="0">
            <x v="14"/>
          </reference>
        </references>
      </pivotArea>
    </chartFormat>
    <chartFormat chart="9" format="76" series="1">
      <pivotArea type="data" outline="0" fieldPosition="0">
        <references count="2">
          <reference field="4294967294" count="1" selected="0">
            <x v="2"/>
          </reference>
          <reference field="2" count="1" selected="0">
            <x v="14"/>
          </reference>
        </references>
      </pivotArea>
    </chartFormat>
    <chartFormat chart="9" format="77" series="1">
      <pivotArea type="data" outline="0" fieldPosition="0">
        <references count="2">
          <reference field="4294967294" count="1" selected="0">
            <x v="3"/>
          </reference>
          <reference field="2" count="1" selected="0">
            <x v="14"/>
          </reference>
        </references>
      </pivotArea>
    </chartFormat>
    <chartFormat chart="9" format="78" series="1">
      <pivotArea type="data" outline="0" fieldPosition="0">
        <references count="2">
          <reference field="4294967294" count="1" selected="0">
            <x v="4"/>
          </reference>
          <reference field="2" count="1" selected="0">
            <x v="14"/>
          </reference>
        </references>
      </pivotArea>
    </chartFormat>
    <chartFormat chart="9" format="79" series="1">
      <pivotArea type="data" outline="0" fieldPosition="0">
        <references count="2">
          <reference field="4294967294" count="1" selected="0">
            <x v="0"/>
          </reference>
          <reference field="2" count="1" selected="0">
            <x v="1"/>
          </reference>
        </references>
      </pivotArea>
    </chartFormat>
    <chartFormat chart="9" format="80" series="1">
      <pivotArea type="data" outline="0" fieldPosition="0">
        <references count="2">
          <reference field="4294967294" count="1" selected="0">
            <x v="1"/>
          </reference>
          <reference field="2" count="1" selected="0">
            <x v="1"/>
          </reference>
        </references>
      </pivotArea>
    </chartFormat>
    <chartFormat chart="9" format="81" series="1">
      <pivotArea type="data" outline="0" fieldPosition="0">
        <references count="2">
          <reference field="4294967294" count="1" selected="0">
            <x v="2"/>
          </reference>
          <reference field="2" count="1" selected="0">
            <x v="1"/>
          </reference>
        </references>
      </pivotArea>
    </chartFormat>
    <chartFormat chart="9" format="82" series="1">
      <pivotArea type="data" outline="0" fieldPosition="0">
        <references count="2">
          <reference field="4294967294" count="1" selected="0">
            <x v="3"/>
          </reference>
          <reference field="2" count="1" selected="0">
            <x v="1"/>
          </reference>
        </references>
      </pivotArea>
    </chartFormat>
    <chartFormat chart="9" format="83" series="1">
      <pivotArea type="data" outline="0" fieldPosition="0">
        <references count="2">
          <reference field="4294967294" count="1" selected="0">
            <x v="4"/>
          </reference>
          <reference field="2" count="1" selected="0">
            <x v="1"/>
          </reference>
        </references>
      </pivotArea>
    </chartFormat>
    <chartFormat chart="9" format="84" series="1">
      <pivotArea type="data" outline="0" fieldPosition="0">
        <references count="2">
          <reference field="4294967294" count="1" selected="0">
            <x v="0"/>
          </reference>
          <reference field="2" count="1" selected="0">
            <x v="9"/>
          </reference>
        </references>
      </pivotArea>
    </chartFormat>
    <chartFormat chart="9" format="85" series="1">
      <pivotArea type="data" outline="0" fieldPosition="0">
        <references count="2">
          <reference field="4294967294" count="1" selected="0">
            <x v="1"/>
          </reference>
          <reference field="2" count="1" selected="0">
            <x v="9"/>
          </reference>
        </references>
      </pivotArea>
    </chartFormat>
    <chartFormat chart="9" format="86" series="1">
      <pivotArea type="data" outline="0" fieldPosition="0">
        <references count="2">
          <reference field="4294967294" count="1" selected="0">
            <x v="2"/>
          </reference>
          <reference field="2" count="1" selected="0">
            <x v="9"/>
          </reference>
        </references>
      </pivotArea>
    </chartFormat>
    <chartFormat chart="9" format="87" series="1">
      <pivotArea type="data" outline="0" fieldPosition="0">
        <references count="2">
          <reference field="4294967294" count="1" selected="0">
            <x v="3"/>
          </reference>
          <reference field="2" count="1" selected="0">
            <x v="9"/>
          </reference>
        </references>
      </pivotArea>
    </chartFormat>
    <chartFormat chart="9" format="88" series="1">
      <pivotArea type="data" outline="0" fieldPosition="0">
        <references count="2">
          <reference field="4294967294" count="1" selected="0">
            <x v="4"/>
          </reference>
          <reference field="2" count="1" selected="0">
            <x v="9"/>
          </reference>
        </references>
      </pivotArea>
    </chartFormat>
    <chartFormat chart="9" format="89" series="1">
      <pivotArea type="data" outline="0" fieldPosition="0">
        <references count="2">
          <reference field="4294967294" count="1" selected="0">
            <x v="0"/>
          </reference>
          <reference field="2" count="1" selected="0">
            <x v="0"/>
          </reference>
        </references>
      </pivotArea>
    </chartFormat>
    <chartFormat chart="9" format="90" series="1">
      <pivotArea type="data" outline="0" fieldPosition="0">
        <references count="2">
          <reference field="4294967294" count="1" selected="0">
            <x v="1"/>
          </reference>
          <reference field="2" count="1" selected="0">
            <x v="0"/>
          </reference>
        </references>
      </pivotArea>
    </chartFormat>
    <chartFormat chart="9" format="91" series="1">
      <pivotArea type="data" outline="0" fieldPosition="0">
        <references count="2">
          <reference field="4294967294" count="1" selected="0">
            <x v="2"/>
          </reference>
          <reference field="2" count="1" selected="0">
            <x v="0"/>
          </reference>
        </references>
      </pivotArea>
    </chartFormat>
    <chartFormat chart="9" format="92" series="1">
      <pivotArea type="data" outline="0" fieldPosition="0">
        <references count="2">
          <reference field="4294967294" count="1" selected="0">
            <x v="3"/>
          </reference>
          <reference field="2" count="1" selected="0">
            <x v="0"/>
          </reference>
        </references>
      </pivotArea>
    </chartFormat>
    <chartFormat chart="9" format="93" series="1">
      <pivotArea type="data" outline="0" fieldPosition="0">
        <references count="2">
          <reference field="4294967294" count="1" selected="0">
            <x v="4"/>
          </reference>
          <reference field="2" count="1" selected="0">
            <x v="0"/>
          </reference>
        </references>
      </pivotArea>
    </chartFormat>
    <chartFormat chart="9" format="94" series="1">
      <pivotArea type="data" outline="0" fieldPosition="0">
        <references count="2">
          <reference field="4294967294" count="1" selected="0">
            <x v="0"/>
          </reference>
          <reference field="2" count="1" selected="0">
            <x v="7"/>
          </reference>
        </references>
      </pivotArea>
    </chartFormat>
    <chartFormat chart="9" format="95" series="1">
      <pivotArea type="data" outline="0" fieldPosition="0">
        <references count="2">
          <reference field="4294967294" count="1" selected="0">
            <x v="1"/>
          </reference>
          <reference field="2" count="1" selected="0">
            <x v="7"/>
          </reference>
        </references>
      </pivotArea>
    </chartFormat>
    <chartFormat chart="9" format="96" series="1">
      <pivotArea type="data" outline="0" fieldPosition="0">
        <references count="2">
          <reference field="4294967294" count="1" selected="0">
            <x v="2"/>
          </reference>
          <reference field="2" count="1" selected="0">
            <x v="7"/>
          </reference>
        </references>
      </pivotArea>
    </chartFormat>
    <chartFormat chart="9" format="97" series="1">
      <pivotArea type="data" outline="0" fieldPosition="0">
        <references count="2">
          <reference field="4294967294" count="1" selected="0">
            <x v="3"/>
          </reference>
          <reference field="2" count="1" selected="0">
            <x v="7"/>
          </reference>
        </references>
      </pivotArea>
    </chartFormat>
    <chartFormat chart="9" format="98" series="1">
      <pivotArea type="data" outline="0" fieldPosition="0">
        <references count="2">
          <reference field="4294967294" count="1" selected="0">
            <x v="4"/>
          </reference>
          <reference field="2" count="1" selected="0">
            <x v="7"/>
          </reference>
        </references>
      </pivotArea>
    </chartFormat>
    <chartFormat chart="9" format="99" series="1">
      <pivotArea type="data" outline="0" fieldPosition="0">
        <references count="2">
          <reference field="4294967294" count="1" selected="0">
            <x v="0"/>
          </reference>
          <reference field="2" count="1" selected="0">
            <x v="15"/>
          </reference>
        </references>
      </pivotArea>
    </chartFormat>
    <chartFormat chart="9" format="100" series="1">
      <pivotArea type="data" outline="0" fieldPosition="0">
        <references count="2">
          <reference field="4294967294" count="1" selected="0">
            <x v="1"/>
          </reference>
          <reference field="2" count="1" selected="0">
            <x v="15"/>
          </reference>
        </references>
      </pivotArea>
    </chartFormat>
    <chartFormat chart="9" format="101" series="1">
      <pivotArea type="data" outline="0" fieldPosition="0">
        <references count="2">
          <reference field="4294967294" count="1" selected="0">
            <x v="2"/>
          </reference>
          <reference field="2" count="1" selected="0">
            <x v="15"/>
          </reference>
        </references>
      </pivotArea>
    </chartFormat>
    <chartFormat chart="9" format="102" series="1">
      <pivotArea type="data" outline="0" fieldPosition="0">
        <references count="2">
          <reference field="4294967294" count="1" selected="0">
            <x v="3"/>
          </reference>
          <reference field="2" count="1" selected="0">
            <x v="15"/>
          </reference>
        </references>
      </pivotArea>
    </chartFormat>
    <chartFormat chart="9" format="103" series="1">
      <pivotArea type="data" outline="0" fieldPosition="0">
        <references count="2">
          <reference field="4294967294" count="1" selected="0">
            <x v="4"/>
          </reference>
          <reference field="2" count="1" selected="0">
            <x v="15"/>
          </reference>
        </references>
      </pivotArea>
    </chartFormat>
    <chartFormat chart="9" format="104" series="1">
      <pivotArea type="data" outline="0" fieldPosition="0">
        <references count="2">
          <reference field="4294967294" count="1" selected="0">
            <x v="0"/>
          </reference>
          <reference field="2" count="1" selected="0">
            <x v="10"/>
          </reference>
        </references>
      </pivotArea>
    </chartFormat>
    <chartFormat chart="9" format="105" series="1">
      <pivotArea type="data" outline="0" fieldPosition="0">
        <references count="2">
          <reference field="4294967294" count="1" selected="0">
            <x v="1"/>
          </reference>
          <reference field="2" count="1" selected="0">
            <x v="10"/>
          </reference>
        </references>
      </pivotArea>
    </chartFormat>
    <chartFormat chart="9" format="106" series="1">
      <pivotArea type="data" outline="0" fieldPosition="0">
        <references count="2">
          <reference field="4294967294" count="1" selected="0">
            <x v="2"/>
          </reference>
          <reference field="2" count="1" selected="0">
            <x v="10"/>
          </reference>
        </references>
      </pivotArea>
    </chartFormat>
    <chartFormat chart="9" format="107" series="1">
      <pivotArea type="data" outline="0" fieldPosition="0">
        <references count="2">
          <reference field="4294967294" count="1" selected="0">
            <x v="3"/>
          </reference>
          <reference field="2" count="1" selected="0">
            <x v="10"/>
          </reference>
        </references>
      </pivotArea>
    </chartFormat>
    <chartFormat chart="9" format="108" series="1">
      <pivotArea type="data" outline="0" fieldPosition="0">
        <references count="2">
          <reference field="4294967294" count="1" selected="0">
            <x v="4"/>
          </reference>
          <reference field="2" count="1" selected="0">
            <x v="10"/>
          </reference>
        </references>
      </pivotArea>
    </chartFormat>
    <chartFormat chart="9" format="109" series="1">
      <pivotArea type="data" outline="0" fieldPosition="0">
        <references count="2">
          <reference field="4294967294" count="1" selected="0">
            <x v="0"/>
          </reference>
          <reference field="2" count="1" selected="0">
            <x v="6"/>
          </reference>
        </references>
      </pivotArea>
    </chartFormat>
    <chartFormat chart="9" format="110" series="1">
      <pivotArea type="data" outline="0" fieldPosition="0">
        <references count="2">
          <reference field="4294967294" count="1" selected="0">
            <x v="1"/>
          </reference>
          <reference field="2" count="1" selected="0">
            <x v="6"/>
          </reference>
        </references>
      </pivotArea>
    </chartFormat>
    <chartFormat chart="9" format="111" series="1">
      <pivotArea type="data" outline="0" fieldPosition="0">
        <references count="2">
          <reference field="4294967294" count="1" selected="0">
            <x v="2"/>
          </reference>
          <reference field="2" count="1" selected="0">
            <x v="6"/>
          </reference>
        </references>
      </pivotArea>
    </chartFormat>
    <chartFormat chart="9" format="112" series="1">
      <pivotArea type="data" outline="0" fieldPosition="0">
        <references count="2">
          <reference field="4294967294" count="1" selected="0">
            <x v="3"/>
          </reference>
          <reference field="2" count="1" selected="0">
            <x v="6"/>
          </reference>
        </references>
      </pivotArea>
    </chartFormat>
    <chartFormat chart="9" format="113" series="1">
      <pivotArea type="data" outline="0" fieldPosition="0">
        <references count="2">
          <reference field="4294967294" count="1" selected="0">
            <x v="4"/>
          </reference>
          <reference field="2" count="1" selected="0">
            <x v="6"/>
          </reference>
        </references>
      </pivotArea>
    </chartFormat>
    <chartFormat chart="9" format="114" series="1">
      <pivotArea type="data" outline="0" fieldPosition="0">
        <references count="2">
          <reference field="4294967294" count="1" selected="0">
            <x v="0"/>
          </reference>
          <reference field="2" count="1" selected="0">
            <x v="12"/>
          </reference>
        </references>
      </pivotArea>
    </chartFormat>
    <chartFormat chart="9" format="115" series="1">
      <pivotArea type="data" outline="0" fieldPosition="0">
        <references count="2">
          <reference field="4294967294" count="1" selected="0">
            <x v="1"/>
          </reference>
          <reference field="2" count="1" selected="0">
            <x v="12"/>
          </reference>
        </references>
      </pivotArea>
    </chartFormat>
    <chartFormat chart="9" format="116" series="1">
      <pivotArea type="data" outline="0" fieldPosition="0">
        <references count="2">
          <reference field="4294967294" count="1" selected="0">
            <x v="2"/>
          </reference>
          <reference field="2" count="1" selected="0">
            <x v="12"/>
          </reference>
        </references>
      </pivotArea>
    </chartFormat>
    <chartFormat chart="9" format="117" series="1">
      <pivotArea type="data" outline="0" fieldPosition="0">
        <references count="2">
          <reference field="4294967294" count="1" selected="0">
            <x v="3"/>
          </reference>
          <reference field="2" count="1" selected="0">
            <x v="12"/>
          </reference>
        </references>
      </pivotArea>
    </chartFormat>
    <chartFormat chart="9" format="118" series="1">
      <pivotArea type="data" outline="0" fieldPosition="0">
        <references count="2">
          <reference field="4294967294" count="1" selected="0">
            <x v="4"/>
          </reference>
          <reference field="2" count="1" selected="0">
            <x v="12"/>
          </reference>
        </references>
      </pivotArea>
    </chartFormat>
    <chartFormat chart="9" format="119" series="1">
      <pivotArea type="data" outline="0" fieldPosition="0">
        <references count="2">
          <reference field="4294967294" count="1" selected="0">
            <x v="0"/>
          </reference>
          <reference field="2" count="1" selected="0">
            <x v="5"/>
          </reference>
        </references>
      </pivotArea>
    </chartFormat>
    <chartFormat chart="9" format="120" series="1">
      <pivotArea type="data" outline="0" fieldPosition="0">
        <references count="2">
          <reference field="4294967294" count="1" selected="0">
            <x v="1"/>
          </reference>
          <reference field="2" count="1" selected="0">
            <x v="5"/>
          </reference>
        </references>
      </pivotArea>
    </chartFormat>
    <chartFormat chart="9" format="121" series="1">
      <pivotArea type="data" outline="0" fieldPosition="0">
        <references count="2">
          <reference field="4294967294" count="1" selected="0">
            <x v="2"/>
          </reference>
          <reference field="2" count="1" selected="0">
            <x v="5"/>
          </reference>
        </references>
      </pivotArea>
    </chartFormat>
    <chartFormat chart="9" format="122" series="1">
      <pivotArea type="data" outline="0" fieldPosition="0">
        <references count="2">
          <reference field="4294967294" count="1" selected="0">
            <x v="3"/>
          </reference>
          <reference field="2" count="1" selected="0">
            <x v="5"/>
          </reference>
        </references>
      </pivotArea>
    </chartFormat>
    <chartFormat chart="9" format="123" series="1">
      <pivotArea type="data" outline="0" fieldPosition="0">
        <references count="2">
          <reference field="4294967294" count="1" selected="0">
            <x v="4"/>
          </reference>
          <reference field="2" count="1" selected="0">
            <x v="5"/>
          </reference>
        </references>
      </pivotArea>
    </chartFormat>
    <chartFormat chart="9" format="124" series="1">
      <pivotArea type="data" outline="0" fieldPosition="0">
        <references count="2">
          <reference field="4294967294" count="1" selected="0">
            <x v="0"/>
          </reference>
          <reference field="2" count="1" selected="0">
            <x v="8"/>
          </reference>
        </references>
      </pivotArea>
    </chartFormat>
    <chartFormat chart="9" format="125" series="1">
      <pivotArea type="data" outline="0" fieldPosition="0">
        <references count="2">
          <reference field="4294967294" count="1" selected="0">
            <x v="1"/>
          </reference>
          <reference field="2" count="1" selected="0">
            <x v="8"/>
          </reference>
        </references>
      </pivotArea>
    </chartFormat>
    <chartFormat chart="9" format="126" series="1">
      <pivotArea type="data" outline="0" fieldPosition="0">
        <references count="2">
          <reference field="4294967294" count="1" selected="0">
            <x v="2"/>
          </reference>
          <reference field="2" count="1" selected="0">
            <x v="8"/>
          </reference>
        </references>
      </pivotArea>
    </chartFormat>
    <chartFormat chart="9" format="127" series="1">
      <pivotArea type="data" outline="0" fieldPosition="0">
        <references count="2">
          <reference field="4294967294" count="1" selected="0">
            <x v="3"/>
          </reference>
          <reference field="2" count="1" selected="0">
            <x v="8"/>
          </reference>
        </references>
      </pivotArea>
    </chartFormat>
    <chartFormat chart="9" format="128" series="1">
      <pivotArea type="data" outline="0" fieldPosition="0">
        <references count="2">
          <reference field="4294967294" count="1" selected="0">
            <x v="4"/>
          </reference>
          <reference field="2" count="1" selected="0">
            <x v="8"/>
          </reference>
        </references>
      </pivotArea>
    </chartFormat>
    <chartFormat chart="9" format="129" series="1">
      <pivotArea type="data" outline="0" fieldPosition="0">
        <references count="2">
          <reference field="4294967294" count="1" selected="0">
            <x v="0"/>
          </reference>
          <reference field="2" count="1" selected="0">
            <x v="13"/>
          </reference>
        </references>
      </pivotArea>
    </chartFormat>
    <chartFormat chart="9" format="130" series="1">
      <pivotArea type="data" outline="0" fieldPosition="0">
        <references count="2">
          <reference field="4294967294" count="1" selected="0">
            <x v="1"/>
          </reference>
          <reference field="2" count="1" selected="0">
            <x v="13"/>
          </reference>
        </references>
      </pivotArea>
    </chartFormat>
    <chartFormat chart="9" format="131" series="1">
      <pivotArea type="data" outline="0" fieldPosition="0">
        <references count="2">
          <reference field="4294967294" count="1" selected="0">
            <x v="2"/>
          </reference>
          <reference field="2" count="1" selected="0">
            <x v="13"/>
          </reference>
        </references>
      </pivotArea>
    </chartFormat>
    <chartFormat chart="9" format="132" series="1">
      <pivotArea type="data" outline="0" fieldPosition="0">
        <references count="2">
          <reference field="4294967294" count="1" selected="0">
            <x v="3"/>
          </reference>
          <reference field="2" count="1" selected="0">
            <x v="13"/>
          </reference>
        </references>
      </pivotArea>
    </chartFormat>
    <chartFormat chart="9" format="133" series="1">
      <pivotArea type="data" outline="0" fieldPosition="0">
        <references count="2">
          <reference field="4294967294" count="1" selected="0">
            <x v="4"/>
          </reference>
          <reference field="2" count="1" selected="0">
            <x v="13"/>
          </reference>
        </references>
      </pivotArea>
    </chartFormat>
    <chartFormat chart="9" format="134" series="1">
      <pivotArea type="data" outline="0" fieldPosition="0">
        <references count="2">
          <reference field="4294967294" count="1" selected="0">
            <x v="0"/>
          </reference>
          <reference field="2" count="1" selected="0">
            <x v="4"/>
          </reference>
        </references>
      </pivotArea>
    </chartFormat>
    <chartFormat chart="9" format="135" series="1">
      <pivotArea type="data" outline="0" fieldPosition="0">
        <references count="2">
          <reference field="4294967294" count="1" selected="0">
            <x v="1"/>
          </reference>
          <reference field="2" count="1" selected="0">
            <x v="4"/>
          </reference>
        </references>
      </pivotArea>
    </chartFormat>
    <chartFormat chart="9" format="136" series="1">
      <pivotArea type="data" outline="0" fieldPosition="0">
        <references count="2">
          <reference field="4294967294" count="1" selected="0">
            <x v="2"/>
          </reference>
          <reference field="2" count="1" selected="0">
            <x v="4"/>
          </reference>
        </references>
      </pivotArea>
    </chartFormat>
    <chartFormat chart="9" format="137" series="1">
      <pivotArea type="data" outline="0" fieldPosition="0">
        <references count="2">
          <reference field="4294967294" count="1" selected="0">
            <x v="3"/>
          </reference>
          <reference field="2" count="1" selected="0">
            <x v="4"/>
          </reference>
        </references>
      </pivotArea>
    </chartFormat>
    <chartFormat chart="9" format="138" series="1">
      <pivotArea type="data" outline="0" fieldPosition="0">
        <references count="2">
          <reference field="4294967294" count="1" selected="0">
            <x v="4"/>
          </reference>
          <reference field="2" count="1" selected="0">
            <x v="4"/>
          </reference>
        </references>
      </pivotArea>
    </chartFormat>
    <chartFormat chart="9" format="139" series="1">
      <pivotArea type="data" outline="0" fieldPosition="0">
        <references count="2">
          <reference field="4294967294" count="1" selected="0">
            <x v="0"/>
          </reference>
          <reference field="2" count="1" selected="0">
            <x v="3"/>
          </reference>
        </references>
      </pivotArea>
    </chartFormat>
    <chartFormat chart="9" format="140" series="1">
      <pivotArea type="data" outline="0" fieldPosition="0">
        <references count="2">
          <reference field="4294967294" count="1" selected="0">
            <x v="1"/>
          </reference>
          <reference field="2" count="1" selected="0">
            <x v="3"/>
          </reference>
        </references>
      </pivotArea>
    </chartFormat>
    <chartFormat chart="9" format="141" series="1">
      <pivotArea type="data" outline="0" fieldPosition="0">
        <references count="2">
          <reference field="4294967294" count="1" selected="0">
            <x v="2"/>
          </reference>
          <reference field="2" count="1" selected="0">
            <x v="3"/>
          </reference>
        </references>
      </pivotArea>
    </chartFormat>
    <chartFormat chart="9" format="142" series="1">
      <pivotArea type="data" outline="0" fieldPosition="0">
        <references count="2">
          <reference field="4294967294" count="1" selected="0">
            <x v="3"/>
          </reference>
          <reference field="2" count="1" selected="0">
            <x v="3"/>
          </reference>
        </references>
      </pivotArea>
    </chartFormat>
    <chartFormat chart="9" format="143" series="1">
      <pivotArea type="data" outline="0" fieldPosition="0">
        <references count="2">
          <reference field="4294967294" count="1" selected="0">
            <x v="4"/>
          </reference>
          <reference field="2" count="1" selected="0">
            <x v="3"/>
          </reference>
        </references>
      </pivotArea>
    </chartFormat>
    <chartFormat chart="9" format="144" series="1">
      <pivotArea type="data" outline="0" fieldPosition="0">
        <references count="2">
          <reference field="4294967294" count="1" selected="0">
            <x v="0"/>
          </reference>
          <reference field="2" count="1" selected="0">
            <x v="16"/>
          </reference>
        </references>
      </pivotArea>
    </chartFormat>
    <chartFormat chart="9" format="145" series="1">
      <pivotArea type="data" outline="0" fieldPosition="0">
        <references count="2">
          <reference field="4294967294" count="1" selected="0">
            <x v="1"/>
          </reference>
          <reference field="2" count="1" selected="0">
            <x v="16"/>
          </reference>
        </references>
      </pivotArea>
    </chartFormat>
    <chartFormat chart="9" format="146" series="1">
      <pivotArea type="data" outline="0" fieldPosition="0">
        <references count="2">
          <reference field="4294967294" count="1" selected="0">
            <x v="2"/>
          </reference>
          <reference field="2" count="1" selected="0">
            <x v="16"/>
          </reference>
        </references>
      </pivotArea>
    </chartFormat>
    <chartFormat chart="9" format="147" series="1">
      <pivotArea type="data" outline="0" fieldPosition="0">
        <references count="2">
          <reference field="4294967294" count="1" selected="0">
            <x v="3"/>
          </reference>
          <reference field="2" count="1" selected="0">
            <x v="16"/>
          </reference>
        </references>
      </pivotArea>
    </chartFormat>
    <chartFormat chart="9" format="148" series="1">
      <pivotArea type="data" outline="0" fieldPosition="0">
        <references count="2">
          <reference field="4294967294" count="1" selected="0">
            <x v="4"/>
          </reference>
          <reference field="2" count="1" selected="0">
            <x v="16"/>
          </reference>
        </references>
      </pivotArea>
    </chartFormat>
    <chartFormat chart="68" format="149" series="1">
      <pivotArea type="data" outline="0" fieldPosition="0">
        <references count="2">
          <reference field="4294967294" count="1" selected="0">
            <x v="0"/>
          </reference>
          <reference field="2" count="1" selected="0">
            <x v="14"/>
          </reference>
        </references>
      </pivotArea>
    </chartFormat>
    <chartFormat chart="68" format="150" series="1">
      <pivotArea type="data" outline="0" fieldPosition="0">
        <references count="2">
          <reference field="4294967294" count="1" selected="0">
            <x v="1"/>
          </reference>
          <reference field="2" count="1" selected="0">
            <x v="14"/>
          </reference>
        </references>
      </pivotArea>
    </chartFormat>
    <chartFormat chart="68" format="151" series="1">
      <pivotArea type="data" outline="0" fieldPosition="0">
        <references count="2">
          <reference field="4294967294" count="1" selected="0">
            <x v="2"/>
          </reference>
          <reference field="2" count="1" selected="0">
            <x v="14"/>
          </reference>
        </references>
      </pivotArea>
    </chartFormat>
    <chartFormat chart="68" format="152" series="1">
      <pivotArea type="data" outline="0" fieldPosition="0">
        <references count="2">
          <reference field="4294967294" count="1" selected="0">
            <x v="3"/>
          </reference>
          <reference field="2" count="1" selected="0">
            <x v="14"/>
          </reference>
        </references>
      </pivotArea>
    </chartFormat>
    <chartFormat chart="68" format="153" series="1">
      <pivotArea type="data" outline="0" fieldPosition="0">
        <references count="2">
          <reference field="4294967294" count="1" selected="0">
            <x v="4"/>
          </reference>
          <reference field="2" count="1" selected="0">
            <x v="14"/>
          </reference>
        </references>
      </pivotArea>
    </chartFormat>
    <chartFormat chart="88" format="149" series="1">
      <pivotArea type="data" outline="0" fieldPosition="0">
        <references count="2">
          <reference field="4294967294" count="1" selected="0">
            <x v="0"/>
          </reference>
          <reference field="2" count="1" selected="0">
            <x v="14"/>
          </reference>
        </references>
      </pivotArea>
    </chartFormat>
    <chartFormat chart="88" format="150" series="1">
      <pivotArea type="data" outline="0" fieldPosition="0">
        <references count="2">
          <reference field="4294967294" count="1" selected="0">
            <x v="1"/>
          </reference>
          <reference field="2" count="1" selected="0">
            <x v="14"/>
          </reference>
        </references>
      </pivotArea>
    </chartFormat>
    <chartFormat chart="88" format="151" series="1">
      <pivotArea type="data" outline="0" fieldPosition="0">
        <references count="2">
          <reference field="4294967294" count="1" selected="0">
            <x v="2"/>
          </reference>
          <reference field="2" count="1" selected="0">
            <x v="14"/>
          </reference>
        </references>
      </pivotArea>
    </chartFormat>
    <chartFormat chart="88" format="152" series="1">
      <pivotArea type="data" outline="0" fieldPosition="0">
        <references count="2">
          <reference field="4294967294" count="1" selected="0">
            <x v="3"/>
          </reference>
          <reference field="2" count="1" selected="0">
            <x v="14"/>
          </reference>
        </references>
      </pivotArea>
    </chartFormat>
    <chartFormat chart="88" format="153" series="1">
      <pivotArea type="data" outline="0" fieldPosition="0">
        <references count="2">
          <reference field="4294967294" count="1" selected="0">
            <x v="4"/>
          </reference>
          <reference field="2" count="1" selected="0">
            <x v="14"/>
          </reference>
        </references>
      </pivotArea>
    </chartFormat>
    <chartFormat chart="109" format="149" series="1">
      <pivotArea type="data" outline="0" fieldPosition="0">
        <references count="2">
          <reference field="4294967294" count="1" selected="0">
            <x v="0"/>
          </reference>
          <reference field="2" count="1" selected="0">
            <x v="0"/>
          </reference>
        </references>
      </pivotArea>
    </chartFormat>
    <chartFormat chart="109" format="150" series="1">
      <pivotArea type="data" outline="0" fieldPosition="0">
        <references count="2">
          <reference field="4294967294" count="1" selected="0">
            <x v="1"/>
          </reference>
          <reference field="2" count="1" selected="0">
            <x v="0"/>
          </reference>
        </references>
      </pivotArea>
    </chartFormat>
    <chartFormat chart="109" format="151" series="1">
      <pivotArea type="data" outline="0" fieldPosition="0">
        <references count="2">
          <reference field="4294967294" count="1" selected="0">
            <x v="2"/>
          </reference>
          <reference field="2" count="1" selected="0">
            <x v="0"/>
          </reference>
        </references>
      </pivotArea>
    </chartFormat>
    <chartFormat chart="109" format="152" series="1">
      <pivotArea type="data" outline="0" fieldPosition="0">
        <references count="2">
          <reference field="4294967294" count="1" selected="0">
            <x v="3"/>
          </reference>
          <reference field="2" count="1" selected="0">
            <x v="0"/>
          </reference>
        </references>
      </pivotArea>
    </chartFormat>
    <chartFormat chart="109" format="153" series="1">
      <pivotArea type="data" outline="0" fieldPosition="0">
        <references count="2">
          <reference field="4294967294" count="1" selected="0">
            <x v="4"/>
          </reference>
          <reference field="2" count="1" selected="0">
            <x v="0"/>
          </reference>
        </references>
      </pivotArea>
    </chartFormat>
    <chartFormat chart="110" format="149" series="1">
      <pivotArea type="data" outline="0" fieldPosition="0">
        <references count="2">
          <reference field="4294967294" count="1" selected="0">
            <x v="0"/>
          </reference>
          <reference field="2" count="1" selected="0">
            <x v="0"/>
          </reference>
        </references>
      </pivotArea>
    </chartFormat>
    <chartFormat chart="110" format="150" series="1">
      <pivotArea type="data" outline="0" fieldPosition="0">
        <references count="2">
          <reference field="4294967294" count="1" selected="0">
            <x v="1"/>
          </reference>
          <reference field="2" count="1" selected="0">
            <x v="0"/>
          </reference>
        </references>
      </pivotArea>
    </chartFormat>
    <chartFormat chart="110" format="151" series="1">
      <pivotArea type="data" outline="0" fieldPosition="0">
        <references count="2">
          <reference field="4294967294" count="1" selected="0">
            <x v="2"/>
          </reference>
          <reference field="2" count="1" selected="0">
            <x v="0"/>
          </reference>
        </references>
      </pivotArea>
    </chartFormat>
    <chartFormat chart="110" format="152" series="1">
      <pivotArea type="data" outline="0" fieldPosition="0">
        <references count="2">
          <reference field="4294967294" count="1" selected="0">
            <x v="3"/>
          </reference>
          <reference field="2" count="1" selected="0">
            <x v="0"/>
          </reference>
        </references>
      </pivotArea>
    </chartFormat>
    <chartFormat chart="110" format="153" series="1">
      <pivotArea type="data" outline="0" fieldPosition="0">
        <references count="2">
          <reference field="4294967294" count="1" selected="0">
            <x v="4"/>
          </reference>
          <reference field="2" count="1" selected="0">
            <x v="0"/>
          </reference>
        </references>
      </pivotArea>
    </chartFormat>
    <chartFormat chart="109" format="154" series="1">
      <pivotArea type="data" outline="0" fieldPosition="0">
        <references count="2">
          <reference field="4294967294" count="1" selected="0">
            <x v="0"/>
          </reference>
          <reference field="2" count="1" selected="0">
            <x v="1"/>
          </reference>
        </references>
      </pivotArea>
    </chartFormat>
    <chartFormat chart="109" format="155" series="1">
      <pivotArea type="data" outline="0" fieldPosition="0">
        <references count="2">
          <reference field="4294967294" count="1" selected="0">
            <x v="1"/>
          </reference>
          <reference field="2" count="1" selected="0">
            <x v="1"/>
          </reference>
        </references>
      </pivotArea>
    </chartFormat>
    <chartFormat chart="109" format="156" series="1">
      <pivotArea type="data" outline="0" fieldPosition="0">
        <references count="2">
          <reference field="4294967294" count="1" selected="0">
            <x v="2"/>
          </reference>
          <reference field="2" count="1" selected="0">
            <x v="1"/>
          </reference>
        </references>
      </pivotArea>
    </chartFormat>
    <chartFormat chart="109" format="157" series="1">
      <pivotArea type="data" outline="0" fieldPosition="0">
        <references count="2">
          <reference field="4294967294" count="1" selected="0">
            <x v="3"/>
          </reference>
          <reference field="2" count="1" selected="0">
            <x v="1"/>
          </reference>
        </references>
      </pivotArea>
    </chartFormat>
    <chartFormat chart="109" format="158" series="1">
      <pivotArea type="data" outline="0" fieldPosition="0">
        <references count="2">
          <reference field="4294967294" count="1" selected="0">
            <x v="4"/>
          </reference>
          <reference field="2" count="1" selected="0">
            <x v="1"/>
          </reference>
        </references>
      </pivotArea>
    </chartFormat>
    <chartFormat chart="110" format="154" series="1">
      <pivotArea type="data" outline="0" fieldPosition="0">
        <references count="2">
          <reference field="4294967294" count="1" selected="0">
            <x v="0"/>
          </reference>
          <reference field="2" count="1" selected="0">
            <x v="1"/>
          </reference>
        </references>
      </pivotArea>
    </chartFormat>
    <chartFormat chart="110" format="155" series="1">
      <pivotArea type="data" outline="0" fieldPosition="0">
        <references count="2">
          <reference field="4294967294" count="1" selected="0">
            <x v="1"/>
          </reference>
          <reference field="2" count="1" selected="0">
            <x v="1"/>
          </reference>
        </references>
      </pivotArea>
    </chartFormat>
    <chartFormat chart="110" format="156" series="1">
      <pivotArea type="data" outline="0" fieldPosition="0">
        <references count="2">
          <reference field="4294967294" count="1" selected="0">
            <x v="2"/>
          </reference>
          <reference field="2" count="1" selected="0">
            <x v="1"/>
          </reference>
        </references>
      </pivotArea>
    </chartFormat>
    <chartFormat chart="110" format="157" series="1">
      <pivotArea type="data" outline="0" fieldPosition="0">
        <references count="2">
          <reference field="4294967294" count="1" selected="0">
            <x v="3"/>
          </reference>
          <reference field="2" count="1" selected="0">
            <x v="1"/>
          </reference>
        </references>
      </pivotArea>
    </chartFormat>
    <chartFormat chart="110" format="158" series="1">
      <pivotArea type="data" outline="0" fieldPosition="0">
        <references count="2">
          <reference field="4294967294" count="1" selected="0">
            <x v="4"/>
          </reference>
          <reference field="2" count="1" selected="0">
            <x v="1"/>
          </reference>
        </references>
      </pivotArea>
    </chartFormat>
    <chartFormat chart="109" format="159" series="1">
      <pivotArea type="data" outline="0" fieldPosition="0">
        <references count="2">
          <reference field="4294967294" count="1" selected="0">
            <x v="0"/>
          </reference>
          <reference field="2" count="1" selected="0">
            <x v="7"/>
          </reference>
        </references>
      </pivotArea>
    </chartFormat>
    <chartFormat chart="109" format="160" series="1">
      <pivotArea type="data" outline="0" fieldPosition="0">
        <references count="2">
          <reference field="4294967294" count="1" selected="0">
            <x v="1"/>
          </reference>
          <reference field="2" count="1" selected="0">
            <x v="7"/>
          </reference>
        </references>
      </pivotArea>
    </chartFormat>
    <chartFormat chart="109" format="161" series="1">
      <pivotArea type="data" outline="0" fieldPosition="0">
        <references count="2">
          <reference field="4294967294" count="1" selected="0">
            <x v="2"/>
          </reference>
          <reference field="2" count="1" selected="0">
            <x v="7"/>
          </reference>
        </references>
      </pivotArea>
    </chartFormat>
    <chartFormat chart="109" format="162" series="1">
      <pivotArea type="data" outline="0" fieldPosition="0">
        <references count="2">
          <reference field="4294967294" count="1" selected="0">
            <x v="3"/>
          </reference>
          <reference field="2" count="1" selected="0">
            <x v="7"/>
          </reference>
        </references>
      </pivotArea>
    </chartFormat>
    <chartFormat chart="109" format="163" series="1">
      <pivotArea type="data" outline="0" fieldPosition="0">
        <references count="2">
          <reference field="4294967294" count="1" selected="0">
            <x v="4"/>
          </reference>
          <reference field="2" count="1" selected="0">
            <x v="7"/>
          </reference>
        </references>
      </pivotArea>
    </chartFormat>
    <chartFormat chart="110" format="159" series="1">
      <pivotArea type="data" outline="0" fieldPosition="0">
        <references count="2">
          <reference field="4294967294" count="1" selected="0">
            <x v="0"/>
          </reference>
          <reference field="2" count="1" selected="0">
            <x v="7"/>
          </reference>
        </references>
      </pivotArea>
    </chartFormat>
    <chartFormat chart="110" format="160" series="1">
      <pivotArea type="data" outline="0" fieldPosition="0">
        <references count="2">
          <reference field="4294967294" count="1" selected="0">
            <x v="1"/>
          </reference>
          <reference field="2" count="1" selected="0">
            <x v="7"/>
          </reference>
        </references>
      </pivotArea>
    </chartFormat>
    <chartFormat chart="110" format="161" series="1">
      <pivotArea type="data" outline="0" fieldPosition="0">
        <references count="2">
          <reference field="4294967294" count="1" selected="0">
            <x v="2"/>
          </reference>
          <reference field="2" count="1" selected="0">
            <x v="7"/>
          </reference>
        </references>
      </pivotArea>
    </chartFormat>
    <chartFormat chart="110" format="162" series="1">
      <pivotArea type="data" outline="0" fieldPosition="0">
        <references count="2">
          <reference field="4294967294" count="1" selected="0">
            <x v="3"/>
          </reference>
          <reference field="2" count="1" selected="0">
            <x v="7"/>
          </reference>
        </references>
      </pivotArea>
    </chartFormat>
    <chartFormat chart="110" format="163" series="1">
      <pivotArea type="data" outline="0" fieldPosition="0">
        <references count="2">
          <reference field="4294967294" count="1" selected="0">
            <x v="4"/>
          </reference>
          <reference field="2" count="1" selected="0">
            <x v="7"/>
          </reference>
        </references>
      </pivotArea>
    </chartFormat>
    <chartFormat chart="109" format="164" series="1">
      <pivotArea type="data" outline="0" fieldPosition="0">
        <references count="2">
          <reference field="4294967294" count="1" selected="0">
            <x v="0"/>
          </reference>
          <reference field="2" count="1" selected="0">
            <x v="13"/>
          </reference>
        </references>
      </pivotArea>
    </chartFormat>
    <chartFormat chart="109" format="165" series="1">
      <pivotArea type="data" outline="0" fieldPosition="0">
        <references count="2">
          <reference field="4294967294" count="1" selected="0">
            <x v="1"/>
          </reference>
          <reference field="2" count="1" selected="0">
            <x v="13"/>
          </reference>
        </references>
      </pivotArea>
    </chartFormat>
    <chartFormat chart="109" format="166" series="1">
      <pivotArea type="data" outline="0" fieldPosition="0">
        <references count="2">
          <reference field="4294967294" count="1" selected="0">
            <x v="2"/>
          </reference>
          <reference field="2" count="1" selected="0">
            <x v="13"/>
          </reference>
        </references>
      </pivotArea>
    </chartFormat>
    <chartFormat chart="109" format="167" series="1">
      <pivotArea type="data" outline="0" fieldPosition="0">
        <references count="2">
          <reference field="4294967294" count="1" selected="0">
            <x v="3"/>
          </reference>
          <reference field="2" count="1" selected="0">
            <x v="13"/>
          </reference>
        </references>
      </pivotArea>
    </chartFormat>
    <chartFormat chart="109" format="168" series="1">
      <pivotArea type="data" outline="0" fieldPosition="0">
        <references count="2">
          <reference field="4294967294" count="1" selected="0">
            <x v="4"/>
          </reference>
          <reference field="2" count="1" selected="0">
            <x v="13"/>
          </reference>
        </references>
      </pivotArea>
    </chartFormat>
    <chartFormat chart="110" format="164" series="1">
      <pivotArea type="data" outline="0" fieldPosition="0">
        <references count="2">
          <reference field="4294967294" count="1" selected="0">
            <x v="0"/>
          </reference>
          <reference field="2" count="1" selected="0">
            <x v="13"/>
          </reference>
        </references>
      </pivotArea>
    </chartFormat>
    <chartFormat chart="110" format="165" series="1">
      <pivotArea type="data" outline="0" fieldPosition="0">
        <references count="2">
          <reference field="4294967294" count="1" selected="0">
            <x v="1"/>
          </reference>
          <reference field="2" count="1" selected="0">
            <x v="13"/>
          </reference>
        </references>
      </pivotArea>
    </chartFormat>
    <chartFormat chart="110" format="166" series="1">
      <pivotArea type="data" outline="0" fieldPosition="0">
        <references count="2">
          <reference field="4294967294" count="1" selected="0">
            <x v="2"/>
          </reference>
          <reference field="2" count="1" selected="0">
            <x v="13"/>
          </reference>
        </references>
      </pivotArea>
    </chartFormat>
    <chartFormat chart="110" format="167" series="1">
      <pivotArea type="data" outline="0" fieldPosition="0">
        <references count="2">
          <reference field="4294967294" count="1" selected="0">
            <x v="3"/>
          </reference>
          <reference field="2" count="1" selected="0">
            <x v="13"/>
          </reference>
        </references>
      </pivotArea>
    </chartFormat>
    <chartFormat chart="110" format="168" series="1">
      <pivotArea type="data" outline="0" fieldPosition="0">
        <references count="2">
          <reference field="4294967294" count="1" selected="0">
            <x v="4"/>
          </reference>
          <reference field="2"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Balancing_Pivot" cacheId="2"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31" fieldListSortAscending="1">
  <location ref="A3:B5" firstHeaderRow="1" firstDataRow="1" firstDataCol="1" rowPageCount="1" colPageCount="1"/>
  <pivotFields count="7">
    <pivotField axis="axisPage" showAll="0" defaultSubtotal="0">
      <items count="17">
        <item x="1"/>
        <item m="1" x="12"/>
        <item x="2"/>
        <item x="3"/>
        <item x="4"/>
        <item x="5"/>
        <item x="6"/>
        <item x="7"/>
        <item x="8"/>
        <item m="1" x="15"/>
        <item x="9"/>
        <item m="1" x="10"/>
        <item m="1" x="13"/>
        <item m="1" x="14"/>
        <item m="1" x="11"/>
        <item m="1" x="16"/>
        <item x="0"/>
      </items>
    </pivotField>
    <pivotField axis="axisRow" showAll="0">
      <items count="20">
        <item x="0"/>
        <item x="8"/>
        <item x="6"/>
        <item x="11"/>
        <item x="2"/>
        <item x="5"/>
        <item x="3"/>
        <item x="7"/>
        <item x="4"/>
        <item x="10"/>
        <item x="9"/>
        <item x="12"/>
        <item m="1" x="18"/>
        <item m="1" x="13"/>
        <item m="1" x="16"/>
        <item m="1" x="15"/>
        <item m="1" x="17"/>
        <item m="1" x="14"/>
        <item x="1"/>
        <item t="default"/>
      </items>
    </pivotField>
    <pivotField showAll="0" defaultSubtotal="0"/>
    <pivotField showAll="0" defaultSubtotal="0"/>
    <pivotField showAll="0" defaultSubtotal="0"/>
    <pivotField showAll="0" defaultSubtotal="0"/>
    <pivotField dataField="1" dragToRow="0" dragToCol="0" dragToPage="0" showAll="0" defaultSubtotal="0"/>
  </pivotFields>
  <rowFields count="1">
    <field x="1"/>
  </rowFields>
  <rowItems count="2">
    <i>
      <x v="5"/>
    </i>
    <i>
      <x v="8"/>
    </i>
  </rowItems>
  <colItems count="1">
    <i/>
  </colItems>
  <pageFields count="1">
    <pageField fld="0" item="3" hier="-1"/>
  </pageFields>
  <dataFields count="1">
    <dataField name="Average of Position" fld="6" subtotal="average" baseField="1" baseItem="9" numFmtId="164"/>
  </dataFields>
  <chartFormats count="5">
    <chartFormat chart="3" format="2" series="1">
      <pivotArea type="data" outline="0" fieldPosition="0">
        <references count="1">
          <reference field="4294967294" count="1" selected="0">
            <x v="0"/>
          </reference>
        </references>
      </pivotArea>
    </chartFormat>
    <chartFormat chart="21" format="4" series="1">
      <pivotArea type="data" outline="0" fieldPosition="0">
        <references count="1">
          <reference field="4294967294" count="1" selected="0">
            <x v="0"/>
          </reference>
        </references>
      </pivotArea>
    </chartFormat>
    <chartFormat chart="28" format="3" series="1">
      <pivotArea type="data" outline="0" fieldPosition="0">
        <references count="1">
          <reference field="4294967294" count="1" selected="0">
            <x v="0"/>
          </reference>
        </references>
      </pivotArea>
    </chartFormat>
    <chartFormat chart="29" format="4" series="1">
      <pivotArea type="data" outline="0" fieldPosition="0">
        <references count="1">
          <reference field="4294967294" count="1" selected="0">
            <x v="0"/>
          </reference>
        </references>
      </pivotArea>
    </chartFormat>
    <chartFormat chart="30"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20" fieldListSortAscending="1">
  <location ref="A104:B162" firstHeaderRow="1" firstDataRow="1" firstDataCol="1" rowPageCount="1" colPageCount="1"/>
  <pivotFields count="6">
    <pivotField axis="axisPage" showAll="0" defaultSubtotal="0">
      <items count="18">
        <item x="2"/>
        <item x="3"/>
        <item x="4"/>
        <item m="1" x="17"/>
        <item x="6"/>
        <item x="7"/>
        <item x="8"/>
        <item x="9"/>
        <item x="10"/>
        <item x="11"/>
        <item x="12"/>
        <item x="13"/>
        <item x="14"/>
        <item x="15"/>
        <item x="16"/>
        <item x="0"/>
        <item x="1"/>
        <item x="5"/>
      </items>
    </pivotField>
    <pivotField axis="axisRow" numFmtId="2" showAll="0" sortType="ascending">
      <items count="97">
        <item m="1" x="94"/>
        <item m="1" x="95"/>
        <item m="1" x="75"/>
        <item m="1" x="84"/>
        <item m="1" x="85"/>
        <item m="1" x="70"/>
        <item m="1" x="78"/>
        <item m="1" x="90"/>
        <item m="1" x="91"/>
        <item m="1" x="73"/>
        <item m="1" x="80"/>
        <item m="1" x="81"/>
        <item m="1" x="68"/>
        <item m="1" x="76"/>
        <item m="1" x="86"/>
        <item m="1" x="87"/>
        <item m="1" x="71"/>
        <item m="1" x="79"/>
        <item m="1" x="92"/>
        <item m="1" x="93"/>
        <item m="1" x="74"/>
        <item m="1" x="82"/>
        <item m="1" x="83"/>
        <item m="1" x="69"/>
        <item m="1" x="77"/>
        <item m="1" x="88"/>
        <item x="67"/>
        <item x="33"/>
        <item x="34"/>
        <item x="35"/>
        <item x="36"/>
        <item x="37"/>
        <item x="38"/>
        <item x="39"/>
        <item x="40"/>
        <item x="41"/>
        <item x="42"/>
        <item m="1" x="89"/>
        <item m="1" x="72"/>
        <item x="23"/>
        <item x="43"/>
        <item x="44"/>
        <item x="45"/>
        <item x="46"/>
        <item x="47"/>
        <item x="48"/>
        <item x="49"/>
        <item x="50"/>
        <item x="51"/>
        <item x="52"/>
        <item x="53"/>
        <item x="54"/>
        <item x="55"/>
        <item x="56"/>
        <item x="57"/>
        <item x="58"/>
        <item x="59"/>
        <item x="60"/>
        <item x="61"/>
        <item x="62"/>
        <item x="63"/>
        <item x="64"/>
        <item x="30"/>
        <item x="31"/>
        <item x="32"/>
        <item x="0"/>
        <item x="1"/>
        <item x="2"/>
        <item x="3"/>
        <item x="4"/>
        <item x="5"/>
        <item x="6"/>
        <item x="7"/>
        <item x="8"/>
        <item x="9"/>
        <item x="10"/>
        <item x="11"/>
        <item x="12"/>
        <item x="13"/>
        <item x="14"/>
        <item x="15"/>
        <item x="16"/>
        <item x="17"/>
        <item x="18"/>
        <item x="19"/>
        <item x="20"/>
        <item x="21"/>
        <item x="22"/>
        <item x="24"/>
        <item x="25"/>
        <item x="26"/>
        <item x="27"/>
        <item x="28"/>
        <item x="29"/>
        <item x="65"/>
        <item x="66"/>
        <item t="default"/>
      </items>
    </pivotField>
    <pivotField showAll="0" defaultSubtotal="0"/>
    <pivotField showAll="0" defaultSubtotal="0"/>
    <pivotField showAll="0" defaultSubtotal="0"/>
    <pivotField dataField="1" showAll="0" defaultSubtotal="0"/>
  </pivotFields>
  <rowFields count="1">
    <field x="1"/>
  </rowFields>
  <rowItems count="58">
    <i>
      <x v="31"/>
    </i>
    <i>
      <x v="32"/>
    </i>
    <i>
      <x v="33"/>
    </i>
    <i>
      <x v="34"/>
    </i>
    <i>
      <x v="35"/>
    </i>
    <i>
      <x v="36"/>
    </i>
    <i>
      <x v="39"/>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91"/>
    </i>
    <i>
      <x v="92"/>
    </i>
    <i>
      <x v="93"/>
    </i>
  </rowItems>
  <colItems count="1">
    <i/>
  </colItems>
  <pageFields count="1">
    <pageField fld="0" item="5" hier="-1"/>
  </pageFields>
  <dataFields count="1">
    <dataField name="Sum of EQUITY" fld="5" baseField="1" baseItem="71" numFmtId="4"/>
  </dataFields>
  <chartFormats count="2">
    <chartFormat chart="11" format="13"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MyNN" headers="0" growShrinkType="overwriteClear" adjustColumnWidth="0" connectionId="5" autoFormatId="16" applyNumberFormats="0" applyBorderFormats="0" applyFontFormats="0" applyPatternFormats="0" applyAlignmentFormats="0" applyWidthHeightFormats="0">
  <queryTableRefresh headersInLastRefresh="0" nextId="2">
    <queryTableFields count="1">
      <queryTableField id="1" name="DECODE(MARGINP,0,0,(ACCOUNTEQUITY/MARGINP))" tableColumnId="1"/>
    </queryTableFields>
  </queryTableRefresh>
</queryTable>
</file>

<file path=xl/queryTables/queryTable2.xml><?xml version="1.0" encoding="utf-8"?>
<queryTable xmlns="http://schemas.openxmlformats.org/spreadsheetml/2006/main" name="Query from MyNN" connectionId="9" autoFormatId="16" applyNumberFormats="0" applyBorderFormats="0" applyFontFormats="0" applyPatternFormats="0" applyAlignmentFormats="0" applyWidthHeightFormats="0">
  <queryTableRefresh nextId="12">
    <queryTableFields count="6">
      <queryTableField id="1" name="ACCOUNTNUMBER" tableColumnId="1"/>
      <queryTableField id="2" name="TRADEITEM" tableColumnId="2"/>
      <queryTableField id="3" name="OPENPRICE" tableColumnId="3"/>
      <queryTableField id="8" name="OP_Step" tableColumnId="8"/>
      <queryTableField id="5" name="TRADETP" tableColumnId="5"/>
      <queryTableField id="10" name="TRADETYPE"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RADEITEM" sourceName="TRADEITEM">
  <pivotTables>
    <pivotTable tabId="9" name="PivotTable4"/>
  </pivotTables>
  <data>
    <tabular pivotCacheId="4">
      <items count="17">
        <i x="4"/>
        <i x="3"/>
        <i x="6"/>
        <i x="1" s="1" nd="1"/>
        <i x="15" nd="1"/>
        <i x="13" nd="1"/>
        <i x="12" nd="1"/>
        <i x="7" nd="1"/>
        <i x="9" nd="1"/>
        <i x="11" nd="1"/>
        <i x="0" nd="1"/>
        <i x="5" nd="1"/>
        <i x="16" nd="1"/>
        <i x="8" nd="1"/>
        <i x="10" nd="1"/>
        <i x="2" nd="1"/>
        <i x="14"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ACCOUNT" sourceName="ACCOUNT">
  <pivotTables>
    <pivotTable tabId="11" name="PivotTable3"/>
  </pivotTables>
  <data>
    <tabular pivotCacheId="5">
      <items count="16">
        <i x="12"/>
        <i x="8"/>
        <i x="9"/>
        <i x="13"/>
        <i x="10"/>
        <i x="3"/>
        <i x="4" s="1"/>
        <i x="5"/>
        <i x="2"/>
        <i x="0"/>
        <i x="1"/>
        <i x="6"/>
        <i x="15"/>
        <i x="14"/>
        <i x="7"/>
        <i x="1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ACCOUNT 1" cache="Slicer_ACCOUNT" caption="ACCOUNT"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TRADEITEM" cache="Slicer_TRADEITEM" caption="TRADEITEM"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2" name="Table_Query_from_MyNN3" displayName="Table_Query_from_MyNN3" ref="F102" tableType="queryTable" headerRowCount="0" totalsRowShown="0" headerRowDxfId="5" dataDxfId="4">
  <tableColumns count="1">
    <tableColumn id="1" uniqueName="1" name="DECODE(MARGINP,0,0,(ACCOUNTEQUITY/MARGINP))" queryTableFieldId="1" headerRowDxfId="3" dataDxfId="2"/>
  </tableColumns>
  <tableStyleInfo name="TableStyleMedium2" showFirstColumn="0" showLastColumn="0" showRowStripes="0" showColumnStripes="0"/>
</table>
</file>

<file path=xl/tables/table2.xml><?xml version="1.0" encoding="utf-8"?>
<table xmlns="http://schemas.openxmlformats.org/spreadsheetml/2006/main" id="1" name="Table_Query_from_MyNN" displayName="Table_Query_from_MyNN" ref="A1:F782" tableType="queryTable" totalsRowShown="0">
  <autoFilter ref="A1:F782">
    <filterColumn colId="0">
      <filters>
        <filter val="2131916"/>
        <filter val="2148515"/>
        <filter val="2171896"/>
        <filter val="774678"/>
        <filter val="775191"/>
        <filter val="776849"/>
        <filter val="776980"/>
        <filter val="776982"/>
        <filter val="777094"/>
        <filter val="87012568"/>
        <filter val="917261"/>
        <filter val="918062"/>
        <filter val="918583"/>
      </filters>
    </filterColumn>
  </autoFilter>
  <tableColumns count="6">
    <tableColumn id="1" uniqueName="1" name="ACCOUNTNUMBER" queryTableFieldId="1"/>
    <tableColumn id="2" uniqueName="2" name="TRADEITEM" queryTableFieldId="2"/>
    <tableColumn id="3" uniqueName="3" name="OPENPRICE" queryTableFieldId="3" dataDxfId="1"/>
    <tableColumn id="8" uniqueName="8" name="OP_Step" queryTableFieldId="8"/>
    <tableColumn id="5" uniqueName="5" name="TRADETP" queryTableFieldId="5" dataDxfId="0"/>
    <tableColumn id="10" uniqueName="10" name="TRADETYPE" queryTableFieldId="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pivotTable" Target="../pivotTables/pivotTable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7.bin"/><Relationship Id="rId1" Type="http://schemas.openxmlformats.org/officeDocument/2006/relationships/pivotTable" Target="../pivotTables/pivotTable9.xml"/><Relationship Id="rId4"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E11"/>
  <sheetViews>
    <sheetView workbookViewId="0">
      <selection activeCell="G8" sqref="G8"/>
    </sheetView>
  </sheetViews>
  <sheetFormatPr defaultRowHeight="15" x14ac:dyDescent="0.25"/>
  <cols>
    <col min="1" max="1" width="13.140625" customWidth="1"/>
    <col min="2" max="3" width="16" bestFit="1" customWidth="1"/>
    <col min="4" max="4" width="20.85546875" bestFit="1" customWidth="1"/>
    <col min="5" max="6" width="10.140625" bestFit="1" customWidth="1"/>
    <col min="7" max="8" width="10.85546875" bestFit="1" customWidth="1"/>
    <col min="9" max="11" width="10.140625" bestFit="1" customWidth="1"/>
    <col min="12" max="12" width="10.85546875" bestFit="1" customWidth="1"/>
    <col min="13" max="14" width="11.85546875" customWidth="1"/>
    <col min="15" max="15" width="8.42578125" bestFit="1" customWidth="1"/>
  </cols>
  <sheetData>
    <row r="1" spans="1:57" s="13" customFormat="1" ht="30" x14ac:dyDescent="0.25">
      <c r="A1" s="23" t="s">
        <v>3</v>
      </c>
      <c r="B1" t="s">
        <v>33</v>
      </c>
      <c r="C1" t="s">
        <v>34</v>
      </c>
      <c r="D1" s="13" t="s">
        <v>35</v>
      </c>
      <c r="E1" s="13" t="s">
        <v>36</v>
      </c>
      <c r="F1" s="13" t="s">
        <v>37</v>
      </c>
      <c r="G1" s="13" t="s">
        <v>38</v>
      </c>
      <c r="H1" s="13" t="s">
        <v>39</v>
      </c>
      <c r="I1" s="13" t="s">
        <v>40</v>
      </c>
      <c r="J1" t="s">
        <v>41</v>
      </c>
      <c r="K1" s="13" t="s">
        <v>42</v>
      </c>
      <c r="L1" s="13" t="s">
        <v>43</v>
      </c>
      <c r="M1" t="s">
        <v>44</v>
      </c>
      <c r="N1" s="13" t="s">
        <v>45</v>
      </c>
      <c r="O1" s="13" t="s">
        <v>46</v>
      </c>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row>
    <row r="2" spans="1:57" x14ac:dyDescent="0.25">
      <c r="A2" s="4" t="s">
        <v>51</v>
      </c>
      <c r="B2" s="6">
        <v>774678</v>
      </c>
      <c r="C2" s="14">
        <v>42024.373078703706</v>
      </c>
      <c r="D2" s="15">
        <v>41694</v>
      </c>
      <c r="E2" s="16">
        <v>80000</v>
      </c>
      <c r="F2" s="2">
        <v>1693.09</v>
      </c>
      <c r="G2" s="2">
        <v>0</v>
      </c>
      <c r="H2" s="2">
        <v>1693.09</v>
      </c>
      <c r="I2" s="2">
        <v>1693.09</v>
      </c>
      <c r="J2" s="17">
        <v>0</v>
      </c>
      <c r="K2" s="11">
        <v>11.047284336419754</v>
      </c>
      <c r="L2" s="2">
        <v>-78306.91</v>
      </c>
      <c r="M2" s="5">
        <v>-0.97883637499999998</v>
      </c>
      <c r="N2" s="5">
        <v>-1.0780184100604859</v>
      </c>
      <c r="O2" s="18">
        <v>0.6</v>
      </c>
    </row>
    <row r="3" spans="1:57" x14ac:dyDescent="0.25">
      <c r="A3" s="4" t="s">
        <v>53</v>
      </c>
      <c r="B3" s="6">
        <v>776849</v>
      </c>
      <c r="C3" s="14">
        <v>42024.363576388889</v>
      </c>
      <c r="D3" s="15">
        <v>41701</v>
      </c>
      <c r="E3" s="16">
        <v>100000</v>
      </c>
      <c r="F3" s="2">
        <v>47305.94</v>
      </c>
      <c r="G3" s="2">
        <v>0</v>
      </c>
      <c r="H3" s="2">
        <v>47305.94</v>
      </c>
      <c r="I3" s="2">
        <v>47305.94</v>
      </c>
      <c r="J3" s="17">
        <v>0</v>
      </c>
      <c r="K3" s="11">
        <v>10.813951003086419</v>
      </c>
      <c r="L3" s="2">
        <v>-52694.06</v>
      </c>
      <c r="M3" s="5">
        <v>-0.52694059999999998</v>
      </c>
      <c r="N3" s="5">
        <v>-0.59285552815095355</v>
      </c>
      <c r="O3" s="18">
        <v>0.7</v>
      </c>
      <c r="P3" t="s">
        <v>74</v>
      </c>
    </row>
    <row r="4" spans="1:57" x14ac:dyDescent="0.25">
      <c r="A4" s="4" t="s">
        <v>52</v>
      </c>
      <c r="B4" s="6">
        <v>776980</v>
      </c>
      <c r="C4" s="14">
        <v>42024.394988425927</v>
      </c>
      <c r="D4" s="15">
        <v>41704</v>
      </c>
      <c r="E4" s="16">
        <v>50000</v>
      </c>
      <c r="F4" s="2">
        <v>13061.9</v>
      </c>
      <c r="G4" s="2">
        <v>0</v>
      </c>
      <c r="H4" s="2">
        <v>13061.9</v>
      </c>
      <c r="I4" s="2">
        <v>13061.9</v>
      </c>
      <c r="J4" s="17">
        <v>0</v>
      </c>
      <c r="K4" s="11">
        <v>10.71395100308642</v>
      </c>
      <c r="L4" s="2">
        <v>-36938.1</v>
      </c>
      <c r="M4" s="5">
        <v>-0.73876200000000003</v>
      </c>
      <c r="N4" s="5">
        <v>-0.83893150131176675</v>
      </c>
      <c r="O4" s="18">
        <v>0.3</v>
      </c>
      <c r="P4" t="s">
        <v>74</v>
      </c>
    </row>
    <row r="5" spans="1:57" x14ac:dyDescent="0.25">
      <c r="A5" s="4" t="s">
        <v>49</v>
      </c>
      <c r="B5" s="6">
        <v>777094</v>
      </c>
      <c r="C5" s="14">
        <v>42024.363402777781</v>
      </c>
      <c r="D5" s="15">
        <v>41704</v>
      </c>
      <c r="E5" s="16">
        <v>100000</v>
      </c>
      <c r="F5" s="2">
        <v>82005.37</v>
      </c>
      <c r="G5" s="2">
        <v>0</v>
      </c>
      <c r="H5" s="2">
        <v>82005.37</v>
      </c>
      <c r="I5" s="2">
        <v>82005.37</v>
      </c>
      <c r="J5" s="17">
        <v>0</v>
      </c>
      <c r="K5" s="11">
        <v>10.71395100308642</v>
      </c>
      <c r="L5" s="2">
        <v>-17994.63</v>
      </c>
      <c r="M5" s="5">
        <v>-0.1799463</v>
      </c>
      <c r="N5" s="5">
        <v>-0.2043454043582339</v>
      </c>
      <c r="O5" s="18">
        <v>0.8</v>
      </c>
      <c r="P5" t="s">
        <v>74</v>
      </c>
    </row>
    <row r="6" spans="1:57" x14ac:dyDescent="0.25">
      <c r="A6" s="4" t="s">
        <v>59</v>
      </c>
      <c r="B6" s="6">
        <v>1505425</v>
      </c>
      <c r="C6" s="14">
        <v>42024.363912037035</v>
      </c>
      <c r="D6" s="15">
        <v>41927.525983796295</v>
      </c>
      <c r="E6" s="16">
        <v>25000</v>
      </c>
      <c r="F6" s="2">
        <v>21983.85</v>
      </c>
      <c r="G6" s="2">
        <v>0</v>
      </c>
      <c r="H6" s="2">
        <v>21983.85</v>
      </c>
      <c r="I6" s="2">
        <v>21983.85</v>
      </c>
      <c r="J6" s="17">
        <v>0</v>
      </c>
      <c r="K6" s="11">
        <v>3.2630848765432097</v>
      </c>
      <c r="L6" s="2">
        <v>-3016.15</v>
      </c>
      <c r="M6" s="5">
        <v>-0.120646</v>
      </c>
      <c r="N6" s="5">
        <v>-0.44983802818566654</v>
      </c>
      <c r="O6" s="18">
        <v>0.6</v>
      </c>
      <c r="P6" t="s">
        <v>74</v>
      </c>
    </row>
    <row r="7" spans="1:57" x14ac:dyDescent="0.25">
      <c r="A7" s="4" t="s">
        <v>57</v>
      </c>
      <c r="B7" s="6">
        <v>774022</v>
      </c>
      <c r="C7" s="14">
        <v>42024.363032407404</v>
      </c>
      <c r="D7" s="15">
        <v>41787</v>
      </c>
      <c r="E7" s="16">
        <v>40000</v>
      </c>
      <c r="F7" s="2">
        <v>28307.93</v>
      </c>
      <c r="G7" s="2">
        <v>0</v>
      </c>
      <c r="H7" s="2">
        <v>28307.93</v>
      </c>
      <c r="I7" s="2">
        <v>28307.93</v>
      </c>
      <c r="J7" s="17">
        <v>0</v>
      </c>
      <c r="K7" s="11">
        <v>7.9472843364197532</v>
      </c>
      <c r="L7" s="2">
        <v>-11692.07</v>
      </c>
      <c r="M7" s="5">
        <v>-0.29230175000000003</v>
      </c>
      <c r="N7" s="5">
        <v>-0.44749096770526037</v>
      </c>
      <c r="O7" s="18">
        <v>0.2</v>
      </c>
      <c r="P7" t="s">
        <v>74</v>
      </c>
    </row>
    <row r="8" spans="1:57" x14ac:dyDescent="0.25">
      <c r="A8" s="4" t="s">
        <v>50</v>
      </c>
      <c r="B8" s="6">
        <v>776982</v>
      </c>
      <c r="C8" s="14">
        <v>42024.392777777779</v>
      </c>
      <c r="D8" s="15">
        <v>41754</v>
      </c>
      <c r="E8" s="16">
        <v>100000</v>
      </c>
      <c r="F8" s="2">
        <v>3341.86</v>
      </c>
      <c r="G8" s="2">
        <v>0</v>
      </c>
      <c r="H8" s="2">
        <v>3341.86</v>
      </c>
      <c r="I8" s="2">
        <v>3341.86</v>
      </c>
      <c r="J8" s="17">
        <v>0</v>
      </c>
      <c r="K8" s="11">
        <v>9.0472843364197537</v>
      </c>
      <c r="L8" s="2">
        <v>-96658.14</v>
      </c>
      <c r="M8" s="5">
        <v>-0.96658140000000003</v>
      </c>
      <c r="N8" s="5">
        <v>-1.2998457064801137</v>
      </c>
      <c r="O8" s="18">
        <v>0.8</v>
      </c>
    </row>
    <row r="9" spans="1:57" x14ac:dyDescent="0.25">
      <c r="A9" s="4" t="s">
        <v>54</v>
      </c>
      <c r="B9" s="6">
        <v>775191</v>
      </c>
      <c r="C9" s="14">
        <v>42024.362812500003</v>
      </c>
      <c r="D9" s="15">
        <v>41787</v>
      </c>
      <c r="E9" s="16">
        <v>50000</v>
      </c>
      <c r="F9" s="2">
        <v>19387.650000000001</v>
      </c>
      <c r="G9" s="2">
        <v>0</v>
      </c>
      <c r="H9" s="2">
        <v>19387.650000000001</v>
      </c>
      <c r="I9" s="2">
        <v>19387.650000000001</v>
      </c>
      <c r="J9" s="17">
        <v>0</v>
      </c>
      <c r="K9" s="11">
        <v>7.9472843364197532</v>
      </c>
      <c r="L9" s="2">
        <v>-30612.35</v>
      </c>
      <c r="M9" s="5">
        <v>-0.61224699999999999</v>
      </c>
      <c r="N9" s="5">
        <v>-0.93730195766752178</v>
      </c>
      <c r="O9" s="18">
        <v>0.3</v>
      </c>
      <c r="P9" t="s">
        <v>74</v>
      </c>
    </row>
    <row r="10" spans="1:57" x14ac:dyDescent="0.25">
      <c r="A10" s="4" t="s">
        <v>73</v>
      </c>
      <c r="B10" s="6">
        <v>5145521</v>
      </c>
      <c r="C10" s="14">
        <v>42025.416180555556</v>
      </c>
      <c r="D10" s="15">
        <v>42018.693819444445</v>
      </c>
      <c r="E10" s="16">
        <v>4999</v>
      </c>
      <c r="F10" s="2">
        <v>6512.14</v>
      </c>
      <c r="G10" s="2">
        <v>-1457.27</v>
      </c>
      <c r="H10" s="2">
        <v>5054.87</v>
      </c>
      <c r="I10" s="2">
        <v>5054.87</v>
      </c>
      <c r="J10" s="17">
        <v>1172.2396393221259</v>
      </c>
      <c r="K10" s="11">
        <v>0.22415702160493828</v>
      </c>
      <c r="L10" s="2">
        <v>55.87</v>
      </c>
      <c r="M10" s="5">
        <v>1.117623524704941E-2</v>
      </c>
      <c r="N10" s="5">
        <v>0.60661730721401375</v>
      </c>
      <c r="O10" s="18">
        <v>0.02</v>
      </c>
    </row>
    <row r="11" spans="1:57" x14ac:dyDescent="0.25">
      <c r="A11" s="4" t="s">
        <v>8</v>
      </c>
      <c r="B11" s="19">
        <v>1342526.888888889</v>
      </c>
      <c r="C11" s="14">
        <v>42024.362812500003</v>
      </c>
      <c r="D11" s="19">
        <v>41786.35775591564</v>
      </c>
      <c r="E11" s="16">
        <v>549999</v>
      </c>
      <c r="F11" s="2">
        <v>223599.72999999998</v>
      </c>
      <c r="G11" s="2">
        <v>-1457.27</v>
      </c>
      <c r="H11" s="2">
        <v>222142.45999999996</v>
      </c>
      <c r="I11" s="2">
        <v>222142.45999999996</v>
      </c>
      <c r="J11" s="20">
        <v>1172.2396393221259</v>
      </c>
      <c r="K11" s="21">
        <v>71.718232253086427</v>
      </c>
      <c r="L11" s="2">
        <v>-327856.53999999998</v>
      </c>
      <c r="M11" s="22">
        <v>-4.4050851897529508</v>
      </c>
      <c r="N11" s="22">
        <v>-5.2420101967059889</v>
      </c>
      <c r="O11" s="18">
        <v>4.3199999999999994</v>
      </c>
    </row>
  </sheetData>
  <conditionalFormatting pivot="1" sqref="L2:L5 L7:L9">
    <cfRule type="cellIs" dxfId="35" priority="16" operator="greaterThan">
      <formula>0</formula>
    </cfRule>
  </conditionalFormatting>
  <conditionalFormatting pivot="1" sqref="L2:L5 L7:L9">
    <cfRule type="cellIs" dxfId="34" priority="15" operator="lessThan">
      <formula>0</formula>
    </cfRule>
  </conditionalFormatting>
  <conditionalFormatting pivot="1">
    <cfRule type="cellIs" dxfId="33" priority="14" operator="greaterThan">
      <formula>0</formula>
    </cfRule>
  </conditionalFormatting>
  <conditionalFormatting pivot="1">
    <cfRule type="cellIs" dxfId="32" priority="13" operator="lessThan">
      <formula>0</formula>
    </cfRule>
  </conditionalFormatting>
  <conditionalFormatting pivot="1" sqref="J2:J5 J7:J9">
    <cfRule type="colorScale" priority="12">
      <colorScale>
        <cfvo type="min"/>
        <cfvo type="percentile" val="50"/>
        <cfvo type="max"/>
        <color rgb="FFF8696B"/>
        <color rgb="FFFFEB84"/>
        <color rgb="FF63BE7B"/>
      </colorScale>
    </cfRule>
  </conditionalFormatting>
  <conditionalFormatting pivot="1">
    <cfRule type="cellIs" dxfId="31" priority="11" operator="greaterThan">
      <formula>0</formula>
    </cfRule>
  </conditionalFormatting>
  <conditionalFormatting pivot="1">
    <cfRule type="cellIs" dxfId="30" priority="10" operator="lessThan">
      <formula>0</formula>
    </cfRule>
  </conditionalFormatting>
  <conditionalFormatting pivot="1">
    <cfRule type="colorScale" priority="9">
      <colorScale>
        <cfvo type="min"/>
        <cfvo type="percentile" val="50"/>
        <cfvo type="max"/>
        <color rgb="FFF8696B"/>
        <color rgb="FFFFEB84"/>
        <color rgb="FF63BE7B"/>
      </colorScale>
    </cfRule>
  </conditionalFormatting>
  <conditionalFormatting pivot="1" sqref="J2:J5 J7:J9">
    <cfRule type="colorScale" priority="8">
      <colorScale>
        <cfvo type="min"/>
        <cfvo type="percentile" val="50"/>
        <cfvo type="max"/>
        <color rgb="FFF8696B"/>
        <color rgb="FFFFEB84"/>
        <color rgb="FF63BE7B"/>
      </colorScale>
    </cfRule>
  </conditionalFormatting>
  <conditionalFormatting pivot="1" sqref="J2:J9">
    <cfRule type="colorScale" priority="5">
      <colorScale>
        <cfvo type="min"/>
        <cfvo type="percentile" val="50"/>
        <cfvo type="max"/>
        <color rgb="FFF8696B"/>
        <color rgb="FFFFEB84"/>
        <color rgb="FF63BE7B"/>
      </colorScale>
    </cfRule>
  </conditionalFormatting>
  <conditionalFormatting pivot="1" sqref="L6">
    <cfRule type="cellIs" dxfId="29" priority="7" operator="greaterThan">
      <formula>0</formula>
    </cfRule>
  </conditionalFormatting>
  <conditionalFormatting pivot="1" sqref="L6">
    <cfRule type="cellIs" dxfId="28" priority="6" operator="lessThan">
      <formula>0</formula>
    </cfRule>
  </conditionalFormatting>
  <conditionalFormatting pivot="1" sqref="F2:F9">
    <cfRule type="expression" dxfId="27" priority="4">
      <formula>F2&lt;E2</formula>
    </cfRule>
  </conditionalFormatting>
  <conditionalFormatting pivot="1" sqref="J10">
    <cfRule type="colorScale" priority="3">
      <colorScale>
        <cfvo type="min"/>
        <cfvo type="percentile" val="50"/>
        <cfvo type="max"/>
        <color rgb="FFF8696B"/>
        <color rgb="FFFFEB84"/>
        <color rgb="FF63BE7B"/>
      </colorScale>
    </cfRule>
  </conditionalFormatting>
  <conditionalFormatting pivot="1" sqref="L10">
    <cfRule type="cellIs" dxfId="26" priority="2" operator="greaterThan">
      <formula>0</formula>
    </cfRule>
  </conditionalFormatting>
  <conditionalFormatting pivot="1" sqref="L10">
    <cfRule type="cellIs" dxfId="25" priority="1" operator="lessThan">
      <formula>0</formula>
    </cfRule>
  </conditionalFormatting>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100"/>
  <sheetViews>
    <sheetView workbookViewId="0">
      <selection activeCell="C6" sqref="C6"/>
    </sheetView>
  </sheetViews>
  <sheetFormatPr defaultRowHeight="15" x14ac:dyDescent="0.25"/>
  <cols>
    <col min="1" max="1" width="11.28515625" customWidth="1"/>
    <col min="2" max="2" width="18.7109375" customWidth="1"/>
    <col min="3" max="3" width="8.85546875" customWidth="1"/>
    <col min="4" max="4" width="9.85546875" customWidth="1"/>
  </cols>
  <sheetData>
    <row r="1" spans="1:4" x14ac:dyDescent="0.25">
      <c r="A1" s="9" t="s">
        <v>0</v>
      </c>
      <c r="B1" t="s">
        <v>75</v>
      </c>
    </row>
    <row r="3" spans="1:4" x14ac:dyDescent="0.25">
      <c r="B3" t="s">
        <v>11</v>
      </c>
      <c r="C3" t="s">
        <v>12</v>
      </c>
      <c r="D3" t="s">
        <v>61</v>
      </c>
    </row>
    <row r="4" spans="1:4" x14ac:dyDescent="0.25">
      <c r="A4" s="4" t="s">
        <v>4</v>
      </c>
      <c r="B4" s="2">
        <v>1999.97</v>
      </c>
      <c r="C4" s="2">
        <v>0</v>
      </c>
      <c r="D4" s="2">
        <v>1999.97</v>
      </c>
    </row>
    <row r="5" spans="1:4" x14ac:dyDescent="0.25">
      <c r="A5" s="4" t="s">
        <v>25</v>
      </c>
      <c r="B5" s="2">
        <v>-11928.55</v>
      </c>
      <c r="C5" s="2">
        <v>-7172.22</v>
      </c>
      <c r="D5" s="2">
        <v>-19100.77</v>
      </c>
    </row>
    <row r="6" spans="1:4" x14ac:dyDescent="0.25">
      <c r="A6" s="4" t="s">
        <v>5</v>
      </c>
      <c r="B6" s="2">
        <v>-45968.22</v>
      </c>
      <c r="C6" s="2">
        <v>-1637.58</v>
      </c>
      <c r="D6" s="2">
        <v>-47605.8</v>
      </c>
    </row>
    <row r="7" spans="1:4" x14ac:dyDescent="0.25">
      <c r="A7" s="4" t="s">
        <v>8</v>
      </c>
      <c r="B7" s="2">
        <v>-55896.800000000003</v>
      </c>
      <c r="C7" s="2">
        <v>-8809.7999999999993</v>
      </c>
      <c r="D7" s="2">
        <v>-64706.600000000006</v>
      </c>
    </row>
    <row r="100" spans="11:11" x14ac:dyDescent="0.25">
      <c r="K100" t="str">
        <f>"P/L by Pair, "&amp;$B$1</f>
        <v>P/L by Pair, 774678 - M-Alpari</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100"/>
  <sheetViews>
    <sheetView workbookViewId="0">
      <selection activeCell="G20" sqref="G20"/>
    </sheetView>
  </sheetViews>
  <sheetFormatPr defaultRowHeight="15" x14ac:dyDescent="0.25"/>
  <cols>
    <col min="1" max="1" width="13.140625" customWidth="1"/>
    <col min="2" max="2" width="18.7109375" customWidth="1"/>
    <col min="3" max="4" width="9.85546875" customWidth="1"/>
    <col min="5" max="5" width="11.28515625" customWidth="1"/>
    <col min="6" max="7" width="9.85546875" customWidth="1"/>
    <col min="8" max="8" width="8.28515625" customWidth="1"/>
    <col min="9" max="9" width="8" customWidth="1"/>
    <col min="10" max="10" width="9.85546875" customWidth="1"/>
    <col min="11" max="11" width="7.5703125" customWidth="1"/>
    <col min="12" max="12" width="9.85546875" customWidth="1"/>
    <col min="13" max="13" width="9.140625" customWidth="1"/>
    <col min="14" max="14" width="8.140625" customWidth="1"/>
    <col min="15" max="15" width="7.7109375" customWidth="1"/>
    <col min="16" max="16" width="10.140625" customWidth="1"/>
    <col min="17" max="17" width="8.42578125" customWidth="1"/>
    <col min="18" max="18" width="8.140625" customWidth="1"/>
    <col min="19" max="19" width="7.7109375" customWidth="1"/>
    <col min="20" max="22" width="9.85546875" customWidth="1"/>
    <col min="23" max="23" width="9.140625" bestFit="1" customWidth="1"/>
    <col min="24" max="24" width="9.140625" customWidth="1"/>
    <col min="25" max="25" width="9.85546875" customWidth="1"/>
    <col min="26" max="26" width="11.28515625" customWidth="1"/>
    <col min="29" max="29" width="11.28515625" bestFit="1" customWidth="1"/>
  </cols>
  <sheetData>
    <row r="1" spans="1:5" x14ac:dyDescent="0.25">
      <c r="A1" s="9" t="s">
        <v>0</v>
      </c>
      <c r="B1" t="s">
        <v>75</v>
      </c>
    </row>
    <row r="3" spans="1:5" x14ac:dyDescent="0.25">
      <c r="A3" s="9" t="s">
        <v>1</v>
      </c>
      <c r="B3" s="9" t="s">
        <v>2</v>
      </c>
    </row>
    <row r="4" spans="1:5" x14ac:dyDescent="0.25">
      <c r="A4" s="9" t="s">
        <v>3</v>
      </c>
      <c r="B4" t="s">
        <v>4</v>
      </c>
      <c r="C4" t="s">
        <v>5</v>
      </c>
      <c r="D4" t="s">
        <v>25</v>
      </c>
      <c r="E4" t="s">
        <v>8</v>
      </c>
    </row>
    <row r="5" spans="1:5" x14ac:dyDescent="0.25">
      <c r="A5" s="1">
        <v>13.46</v>
      </c>
      <c r="B5" s="2">
        <v>14.8</v>
      </c>
      <c r="C5" s="2">
        <v>22.02</v>
      </c>
      <c r="D5" s="2">
        <v>29.68</v>
      </c>
      <c r="E5" s="2">
        <v>66.5</v>
      </c>
    </row>
    <row r="6" spans="1:5" x14ac:dyDescent="0.25">
      <c r="A6" s="1">
        <v>13.47</v>
      </c>
      <c r="B6" s="2">
        <v>494.55</v>
      </c>
      <c r="C6" s="2">
        <v>243.1</v>
      </c>
      <c r="D6" s="2">
        <v>502.44</v>
      </c>
      <c r="E6" s="2">
        <v>1240.0899999999999</v>
      </c>
    </row>
    <row r="7" spans="1:5" x14ac:dyDescent="0.25">
      <c r="A7" s="1">
        <v>13.48</v>
      </c>
      <c r="B7" s="2">
        <v>424.27</v>
      </c>
      <c r="C7" s="2">
        <v>131.94999999999999</v>
      </c>
      <c r="D7" s="2">
        <v>361.97</v>
      </c>
      <c r="E7" s="2">
        <v>918.19</v>
      </c>
    </row>
    <row r="8" spans="1:5" x14ac:dyDescent="0.25">
      <c r="A8" s="1">
        <v>13.49</v>
      </c>
      <c r="B8" s="2">
        <v>659.5</v>
      </c>
      <c r="C8" s="2">
        <v>371.68</v>
      </c>
      <c r="D8" s="2">
        <v>526.37</v>
      </c>
      <c r="E8" s="2">
        <v>1557.5500000000002</v>
      </c>
    </row>
    <row r="9" spans="1:5" x14ac:dyDescent="0.25">
      <c r="A9" s="1">
        <v>13.5</v>
      </c>
      <c r="B9" s="2">
        <v>674.96</v>
      </c>
      <c r="C9" s="2">
        <v>151.46</v>
      </c>
      <c r="D9" s="2">
        <v>426.15</v>
      </c>
      <c r="E9" s="2">
        <v>1252.5700000000002</v>
      </c>
    </row>
    <row r="10" spans="1:5" x14ac:dyDescent="0.25">
      <c r="A10" s="1">
        <v>13.51</v>
      </c>
      <c r="B10" s="2">
        <v>530.13</v>
      </c>
      <c r="C10" s="2">
        <v>348.48</v>
      </c>
      <c r="D10" s="2">
        <v>471.47</v>
      </c>
      <c r="E10" s="2">
        <v>1350.08</v>
      </c>
    </row>
    <row r="11" spans="1:5" x14ac:dyDescent="0.25">
      <c r="A11" s="1">
        <v>13.52</v>
      </c>
      <c r="B11" s="2">
        <v>82.5</v>
      </c>
      <c r="C11" s="2">
        <v>259.77999999999997</v>
      </c>
      <c r="D11" s="2">
        <v>68.94</v>
      </c>
      <c r="E11" s="2">
        <v>411.21999999999997</v>
      </c>
    </row>
    <row r="12" spans="1:5" x14ac:dyDescent="0.25">
      <c r="A12" s="1">
        <v>13.53</v>
      </c>
      <c r="B12" s="2">
        <v>101.41</v>
      </c>
      <c r="C12" s="2">
        <v>65.38</v>
      </c>
      <c r="D12" s="2">
        <v>80.7</v>
      </c>
      <c r="E12" s="2">
        <v>247.49</v>
      </c>
    </row>
    <row r="13" spans="1:5" x14ac:dyDescent="0.25">
      <c r="A13" s="1">
        <v>14.01</v>
      </c>
      <c r="B13" s="2">
        <v>224.17</v>
      </c>
      <c r="C13" s="2">
        <v>172.54</v>
      </c>
      <c r="D13" s="2">
        <v>214.96</v>
      </c>
      <c r="E13" s="2">
        <v>611.66999999999996</v>
      </c>
    </row>
    <row r="14" spans="1:5" x14ac:dyDescent="0.25">
      <c r="A14" s="1">
        <v>14.02</v>
      </c>
      <c r="B14" s="2">
        <v>205.63</v>
      </c>
      <c r="C14" s="2">
        <v>240</v>
      </c>
      <c r="D14" s="2">
        <v>234.29</v>
      </c>
      <c r="E14" s="2">
        <v>679.92</v>
      </c>
    </row>
    <row r="15" spans="1:5" x14ac:dyDescent="0.25">
      <c r="A15" s="1">
        <v>14.03</v>
      </c>
      <c r="B15" s="2">
        <v>188.07</v>
      </c>
      <c r="C15" s="2">
        <v>173.97</v>
      </c>
      <c r="D15" s="2">
        <v>426.8</v>
      </c>
      <c r="E15" s="2">
        <v>788.83999999999992</v>
      </c>
    </row>
    <row r="16" spans="1:5" x14ac:dyDescent="0.25">
      <c r="A16" s="1">
        <v>14.04</v>
      </c>
      <c r="B16" s="2">
        <v>900.46</v>
      </c>
      <c r="C16" s="2">
        <v>285.19</v>
      </c>
      <c r="D16" s="2">
        <v>417.17</v>
      </c>
      <c r="E16" s="2">
        <v>1602.8200000000002</v>
      </c>
    </row>
    <row r="17" spans="1:5" x14ac:dyDescent="0.25">
      <c r="A17" s="1">
        <v>14.05</v>
      </c>
      <c r="B17" s="2">
        <v>1300.1600000000001</v>
      </c>
      <c r="C17" s="2">
        <v>328.12</v>
      </c>
      <c r="D17" s="2">
        <v>409.49</v>
      </c>
      <c r="E17" s="2">
        <v>2037.7700000000002</v>
      </c>
    </row>
    <row r="18" spans="1:5" x14ac:dyDescent="0.25">
      <c r="A18" s="1">
        <v>14.06</v>
      </c>
      <c r="B18" s="2">
        <v>1214.83</v>
      </c>
      <c r="C18" s="2">
        <v>308.57</v>
      </c>
      <c r="D18" s="2">
        <v>501.75</v>
      </c>
      <c r="E18" s="2">
        <v>2025.1499999999999</v>
      </c>
    </row>
    <row r="19" spans="1:5" x14ac:dyDescent="0.25">
      <c r="A19" s="1">
        <v>14.07</v>
      </c>
      <c r="B19" s="2">
        <v>646.17999999999995</v>
      </c>
      <c r="C19" s="2">
        <v>240.42</v>
      </c>
      <c r="D19" s="2">
        <v>281.13</v>
      </c>
      <c r="E19" s="2">
        <v>1167.73</v>
      </c>
    </row>
    <row r="20" spans="1:5" x14ac:dyDescent="0.25">
      <c r="A20" s="1">
        <v>14.08</v>
      </c>
      <c r="B20" s="2">
        <v>-3194.44</v>
      </c>
      <c r="C20" s="2">
        <v>-1713.17</v>
      </c>
      <c r="D20" s="2">
        <v>-1485.97</v>
      </c>
      <c r="E20" s="2">
        <v>-6393.5800000000008</v>
      </c>
    </row>
    <row r="21" spans="1:5" x14ac:dyDescent="0.25">
      <c r="A21" s="1">
        <v>14.09</v>
      </c>
      <c r="B21" s="2">
        <v>630.23</v>
      </c>
      <c r="C21" s="2">
        <v>426.28</v>
      </c>
      <c r="D21" s="2">
        <v>269.69</v>
      </c>
      <c r="E21" s="2">
        <v>1326.2</v>
      </c>
    </row>
    <row r="22" spans="1:5" x14ac:dyDescent="0.25">
      <c r="A22" s="1">
        <v>14.1</v>
      </c>
      <c r="B22" s="2">
        <v>1502.97</v>
      </c>
      <c r="C22" s="2">
        <v>778.72</v>
      </c>
      <c r="D22" s="2">
        <v>500.8</v>
      </c>
      <c r="E22" s="2">
        <v>2782.4900000000002</v>
      </c>
    </row>
    <row r="23" spans="1:5" x14ac:dyDescent="0.25">
      <c r="A23" s="1">
        <v>14.11</v>
      </c>
      <c r="B23" s="2">
        <v>1569.5</v>
      </c>
      <c r="C23" s="2">
        <v>387.12</v>
      </c>
      <c r="D23" s="2">
        <v>651.11</v>
      </c>
      <c r="E23" s="2">
        <v>2607.73</v>
      </c>
    </row>
    <row r="24" spans="1:5" x14ac:dyDescent="0.25">
      <c r="A24" s="1">
        <v>14.12</v>
      </c>
      <c r="B24" s="2">
        <v>854.18</v>
      </c>
      <c r="C24" s="2">
        <v>516.55999999999995</v>
      </c>
      <c r="D24" s="2">
        <v>535.54999999999995</v>
      </c>
      <c r="E24" s="2">
        <v>1906.2899999999997</v>
      </c>
    </row>
    <row r="25" spans="1:5" x14ac:dyDescent="0.25">
      <c r="A25" s="1">
        <v>14.13</v>
      </c>
      <c r="B25" s="2">
        <v>775.59</v>
      </c>
      <c r="C25" s="2">
        <v>563.17999999999995</v>
      </c>
      <c r="D25" s="2">
        <v>403.17</v>
      </c>
      <c r="E25" s="2">
        <v>1741.94</v>
      </c>
    </row>
    <row r="26" spans="1:5" x14ac:dyDescent="0.25">
      <c r="A26" s="1">
        <v>14.14</v>
      </c>
      <c r="B26" s="2">
        <v>447.61</v>
      </c>
      <c r="C26" s="2">
        <v>431.56</v>
      </c>
      <c r="D26" s="2">
        <v>455.37</v>
      </c>
      <c r="E26" s="2">
        <v>1334.54</v>
      </c>
    </row>
    <row r="27" spans="1:5" x14ac:dyDescent="0.25">
      <c r="A27" s="1">
        <v>14.15</v>
      </c>
      <c r="B27" s="2">
        <v>879.24</v>
      </c>
      <c r="C27" s="2">
        <v>259.32</v>
      </c>
      <c r="D27" s="2">
        <v>726.88</v>
      </c>
      <c r="E27" s="2">
        <v>1865.44</v>
      </c>
    </row>
    <row r="28" spans="1:5" x14ac:dyDescent="0.25">
      <c r="A28" s="1">
        <v>14.16</v>
      </c>
      <c r="B28" s="2">
        <v>589.54999999999995</v>
      </c>
      <c r="C28" s="2">
        <v>264.13</v>
      </c>
      <c r="D28" s="2">
        <v>338.61</v>
      </c>
      <c r="E28" s="2">
        <v>1192.29</v>
      </c>
    </row>
    <row r="29" spans="1:5" x14ac:dyDescent="0.25">
      <c r="A29" s="1">
        <v>14.17</v>
      </c>
      <c r="B29" s="2">
        <v>358.16</v>
      </c>
      <c r="C29" s="2">
        <v>172.44</v>
      </c>
      <c r="D29" s="2">
        <v>329.79</v>
      </c>
      <c r="E29" s="2">
        <v>860.3900000000001</v>
      </c>
    </row>
    <row r="30" spans="1:5" x14ac:dyDescent="0.25">
      <c r="A30" s="1">
        <v>14.18</v>
      </c>
      <c r="B30" s="2">
        <v>514.6</v>
      </c>
      <c r="C30" s="2">
        <v>478.02</v>
      </c>
      <c r="D30" s="2">
        <v>346.46</v>
      </c>
      <c r="E30" s="2">
        <v>1339.08</v>
      </c>
    </row>
    <row r="31" spans="1:5" x14ac:dyDescent="0.25">
      <c r="A31" s="1">
        <v>14.19</v>
      </c>
      <c r="B31" s="2">
        <v>424.83</v>
      </c>
      <c r="C31" s="2">
        <v>507.3</v>
      </c>
      <c r="D31" s="2">
        <v>497.57</v>
      </c>
      <c r="E31" s="2">
        <v>1429.7</v>
      </c>
    </row>
    <row r="32" spans="1:5" x14ac:dyDescent="0.25">
      <c r="A32" s="1">
        <v>14.2</v>
      </c>
      <c r="B32" s="2">
        <v>379.21</v>
      </c>
      <c r="C32" s="2">
        <v>291.18</v>
      </c>
      <c r="D32" s="2">
        <v>261.22000000000003</v>
      </c>
      <c r="E32" s="2">
        <v>931.61</v>
      </c>
    </row>
    <row r="33" spans="1:5" x14ac:dyDescent="0.25">
      <c r="A33" s="1">
        <v>14.21</v>
      </c>
      <c r="B33" s="2">
        <v>82.24</v>
      </c>
      <c r="C33" s="2">
        <v>185.94</v>
      </c>
      <c r="D33" s="2">
        <v>123.78</v>
      </c>
      <c r="E33" s="2">
        <v>391.96000000000004</v>
      </c>
    </row>
    <row r="34" spans="1:5" x14ac:dyDescent="0.25">
      <c r="A34" s="1">
        <v>14.22</v>
      </c>
      <c r="B34" s="2">
        <v>293.98</v>
      </c>
      <c r="C34" s="2">
        <v>121.7</v>
      </c>
      <c r="D34" s="2">
        <v>83.74</v>
      </c>
      <c r="E34" s="2">
        <v>499.42</v>
      </c>
    </row>
    <row r="35" spans="1:5" x14ac:dyDescent="0.25">
      <c r="A35" s="1">
        <v>14.23</v>
      </c>
      <c r="B35" s="2">
        <v>469.9</v>
      </c>
      <c r="C35" s="2">
        <v>702.62</v>
      </c>
      <c r="D35" s="2">
        <v>142.34</v>
      </c>
      <c r="E35" s="2">
        <v>1314.86</v>
      </c>
    </row>
    <row r="36" spans="1:5" x14ac:dyDescent="0.25">
      <c r="A36" s="1">
        <v>14.24</v>
      </c>
      <c r="B36" s="2">
        <v>298.27999999999997</v>
      </c>
      <c r="C36" s="2">
        <v>220.72</v>
      </c>
      <c r="D36" s="2">
        <v>581</v>
      </c>
      <c r="E36" s="2">
        <v>1100</v>
      </c>
    </row>
    <row r="37" spans="1:5" x14ac:dyDescent="0.25">
      <c r="A37" s="1">
        <v>14.25</v>
      </c>
      <c r="B37" s="2">
        <v>101.32</v>
      </c>
      <c r="C37" s="2">
        <v>482.37</v>
      </c>
      <c r="D37" s="2">
        <v>323.95</v>
      </c>
      <c r="E37" s="2">
        <v>907.6400000000001</v>
      </c>
    </row>
    <row r="38" spans="1:5" x14ac:dyDescent="0.25">
      <c r="A38" s="1">
        <v>14.26</v>
      </c>
      <c r="B38" s="2">
        <v>263.99</v>
      </c>
      <c r="C38" s="2">
        <v>175.87</v>
      </c>
      <c r="D38" s="2">
        <v>343.47</v>
      </c>
      <c r="E38" s="2">
        <v>783.33</v>
      </c>
    </row>
    <row r="39" spans="1:5" x14ac:dyDescent="0.25">
      <c r="A39" s="1">
        <v>14.27</v>
      </c>
      <c r="B39" s="2">
        <v>388.39</v>
      </c>
      <c r="C39" s="2">
        <v>154.12</v>
      </c>
      <c r="D39" s="2">
        <v>283.37</v>
      </c>
      <c r="E39" s="2">
        <v>825.88</v>
      </c>
    </row>
    <row r="40" spans="1:5" x14ac:dyDescent="0.25">
      <c r="A40" s="1">
        <v>14.28</v>
      </c>
      <c r="B40" s="2">
        <v>145.85</v>
      </c>
      <c r="C40" s="2">
        <v>228.4</v>
      </c>
      <c r="D40" s="2">
        <v>211.13</v>
      </c>
      <c r="E40" s="2">
        <v>585.38</v>
      </c>
    </row>
    <row r="41" spans="1:5" x14ac:dyDescent="0.25">
      <c r="A41" s="1">
        <v>14.29</v>
      </c>
      <c r="B41" s="2">
        <v>274.60000000000002</v>
      </c>
      <c r="C41" s="2">
        <v>134.28</v>
      </c>
      <c r="D41" s="2">
        <v>168.19</v>
      </c>
      <c r="E41" s="2">
        <v>577.06999999999994</v>
      </c>
    </row>
    <row r="42" spans="1:5" x14ac:dyDescent="0.25">
      <c r="A42" s="1">
        <v>14.3</v>
      </c>
      <c r="B42" s="2">
        <v>285.55</v>
      </c>
      <c r="C42" s="2">
        <v>224.84</v>
      </c>
      <c r="D42" s="2">
        <v>41.36</v>
      </c>
      <c r="E42" s="2">
        <v>551.75</v>
      </c>
    </row>
    <row r="43" spans="1:5" x14ac:dyDescent="0.25">
      <c r="A43" s="1">
        <v>14.31</v>
      </c>
      <c r="B43" s="2">
        <v>110.66</v>
      </c>
      <c r="C43" s="2">
        <v>271.27999999999997</v>
      </c>
      <c r="D43" s="2">
        <v>144.06</v>
      </c>
      <c r="E43" s="2">
        <v>526</v>
      </c>
    </row>
    <row r="44" spans="1:5" x14ac:dyDescent="0.25">
      <c r="A44" s="1">
        <v>14.32</v>
      </c>
      <c r="B44" s="2">
        <v>80.430000000000007</v>
      </c>
      <c r="C44" s="2">
        <v>358.71</v>
      </c>
      <c r="D44" s="2">
        <v>91.3</v>
      </c>
      <c r="E44" s="2">
        <v>530.43999999999994</v>
      </c>
    </row>
    <row r="45" spans="1:5" x14ac:dyDescent="0.25">
      <c r="A45" s="1">
        <v>14.33</v>
      </c>
      <c r="B45" s="2">
        <v>221.2</v>
      </c>
      <c r="C45" s="2">
        <v>403.95</v>
      </c>
      <c r="D45" s="2">
        <v>237.03</v>
      </c>
      <c r="E45" s="2">
        <v>862.18</v>
      </c>
    </row>
    <row r="46" spans="1:5" x14ac:dyDescent="0.25">
      <c r="A46" s="1">
        <v>14.34</v>
      </c>
      <c r="B46" s="2">
        <v>501.05</v>
      </c>
      <c r="C46" s="2">
        <v>319.77</v>
      </c>
      <c r="D46" s="2">
        <v>-295.63</v>
      </c>
      <c r="E46" s="2">
        <v>525.18999999999994</v>
      </c>
    </row>
    <row r="47" spans="1:5" x14ac:dyDescent="0.25">
      <c r="A47" s="1">
        <v>14.35</v>
      </c>
      <c r="B47" s="2">
        <v>269.19</v>
      </c>
      <c r="C47" s="2">
        <v>350.48</v>
      </c>
      <c r="D47" s="2">
        <v>-329.76</v>
      </c>
      <c r="E47" s="2">
        <v>289.91000000000008</v>
      </c>
    </row>
    <row r="48" spans="1:5" x14ac:dyDescent="0.25">
      <c r="A48" s="1">
        <v>14.36</v>
      </c>
      <c r="B48" s="2">
        <v>90.65</v>
      </c>
      <c r="C48" s="2">
        <v>95.12</v>
      </c>
      <c r="D48" s="2">
        <v>2.88</v>
      </c>
      <c r="E48" s="2">
        <v>188.65</v>
      </c>
    </row>
    <row r="49" spans="1:5" x14ac:dyDescent="0.25">
      <c r="A49" s="1">
        <v>14.37</v>
      </c>
      <c r="B49" s="2">
        <v>42.51</v>
      </c>
      <c r="C49" s="2"/>
      <c r="D49" s="2">
        <v>-112.4</v>
      </c>
      <c r="E49" s="2">
        <v>-69.890000000000015</v>
      </c>
    </row>
    <row r="50" spans="1:5" x14ac:dyDescent="0.25">
      <c r="A50" s="1">
        <v>14.38</v>
      </c>
      <c r="B50" s="2">
        <v>28.49</v>
      </c>
      <c r="C50" s="2"/>
      <c r="D50" s="2"/>
      <c r="E50" s="2">
        <v>28.49</v>
      </c>
    </row>
    <row r="51" spans="1:5" x14ac:dyDescent="0.25">
      <c r="A51" s="1">
        <v>14.39</v>
      </c>
      <c r="B51" s="2">
        <v>-50.07</v>
      </c>
      <c r="C51" s="2"/>
      <c r="D51" s="2"/>
      <c r="E51" s="2">
        <v>-50.07</v>
      </c>
    </row>
    <row r="52" spans="1:5" x14ac:dyDescent="0.25">
      <c r="A52" s="1">
        <v>14.4</v>
      </c>
      <c r="B52" s="2">
        <v>-60.12</v>
      </c>
      <c r="C52" s="2"/>
      <c r="D52" s="2"/>
      <c r="E52" s="2">
        <v>-60.12</v>
      </c>
    </row>
    <row r="53" spans="1:5" x14ac:dyDescent="0.25">
      <c r="A53" s="1">
        <v>14.41</v>
      </c>
      <c r="B53" s="2">
        <v>-15230.97</v>
      </c>
      <c r="C53" s="2">
        <v>47.1</v>
      </c>
      <c r="D53" s="2">
        <v>63.04</v>
      </c>
      <c r="E53" s="2">
        <v>-15120.829999999998</v>
      </c>
    </row>
    <row r="54" spans="1:5" x14ac:dyDescent="0.25">
      <c r="A54" s="1">
        <v>14.42</v>
      </c>
      <c r="B54" s="2"/>
      <c r="C54" s="2">
        <v>517.51</v>
      </c>
      <c r="D54" s="2">
        <v>439.43</v>
      </c>
      <c r="E54" s="2">
        <v>956.94</v>
      </c>
    </row>
    <row r="55" spans="1:5" x14ac:dyDescent="0.25">
      <c r="A55" s="1">
        <v>14.43</v>
      </c>
      <c r="B55" s="2"/>
      <c r="C55" s="2">
        <v>140.81</v>
      </c>
      <c r="D55" s="2">
        <v>253.86</v>
      </c>
      <c r="E55" s="2">
        <v>394.67</v>
      </c>
    </row>
    <row r="56" spans="1:5" x14ac:dyDescent="0.25">
      <c r="A56" s="1">
        <v>14.44</v>
      </c>
      <c r="B56" s="2"/>
      <c r="C56" s="2">
        <v>0</v>
      </c>
      <c r="D56" s="2">
        <v>0</v>
      </c>
      <c r="E56" s="2">
        <v>0</v>
      </c>
    </row>
    <row r="57" spans="1:5" x14ac:dyDescent="0.25">
      <c r="A57" s="1">
        <v>14.45</v>
      </c>
      <c r="B57" s="2"/>
      <c r="C57" s="2">
        <v>-41956.26</v>
      </c>
      <c r="D57" s="2">
        <v>-11247.33</v>
      </c>
      <c r="E57" s="2">
        <v>-53203.590000000004</v>
      </c>
    </row>
    <row r="58" spans="1:5" x14ac:dyDescent="0.25">
      <c r="A58" s="1">
        <v>14.46</v>
      </c>
      <c r="B58" s="2">
        <v>0</v>
      </c>
      <c r="C58" s="2">
        <v>0</v>
      </c>
      <c r="D58" s="2">
        <v>0</v>
      </c>
      <c r="E58" s="2">
        <v>0</v>
      </c>
    </row>
    <row r="59" spans="1:5" x14ac:dyDescent="0.25">
      <c r="A59" s="1">
        <v>14.47</v>
      </c>
      <c r="B59" s="2"/>
      <c r="C59" s="2">
        <v>0</v>
      </c>
      <c r="D59" s="2"/>
      <c r="E59" s="2">
        <v>0</v>
      </c>
    </row>
    <row r="60" spans="1:5" x14ac:dyDescent="0.25">
      <c r="A60" s="1">
        <v>14.48</v>
      </c>
      <c r="B60" s="2">
        <v>0</v>
      </c>
      <c r="C60" s="2"/>
      <c r="D60" s="2"/>
      <c r="E60" s="2">
        <v>0</v>
      </c>
    </row>
    <row r="61" spans="1:5" x14ac:dyDescent="0.25">
      <c r="A61" s="1">
        <v>14.49</v>
      </c>
      <c r="B61" s="2"/>
      <c r="C61" s="2">
        <v>-5247.01</v>
      </c>
      <c r="D61" s="2">
        <v>0</v>
      </c>
      <c r="E61" s="2">
        <v>-5247.01</v>
      </c>
    </row>
    <row r="62" spans="1:5" x14ac:dyDescent="0.25">
      <c r="A62" s="1">
        <v>14.5</v>
      </c>
      <c r="B62" s="2">
        <v>0</v>
      </c>
      <c r="C62" s="2">
        <v>-10605.84</v>
      </c>
      <c r="D62" s="2">
        <v>-12260.92</v>
      </c>
      <c r="E62" s="2">
        <v>-22866.760000000002</v>
      </c>
    </row>
    <row r="63" spans="1:5" x14ac:dyDescent="0.25">
      <c r="A63" s="1" t="s">
        <v>8</v>
      </c>
      <c r="B63" s="2">
        <v>1999.9699999999993</v>
      </c>
      <c r="C63" s="2">
        <v>-45968.22</v>
      </c>
      <c r="D63" s="2">
        <v>-11928.549999999997</v>
      </c>
      <c r="E63" s="2">
        <v>-55896.80000000001</v>
      </c>
    </row>
    <row r="100" spans="11:11" x14ac:dyDescent="0.25">
      <c r="K100" t="str">
        <f>"Closed Profits, "&amp;$B$1</f>
        <v>Closed Profits, 774678 - M-Alpari</v>
      </c>
    </row>
  </sheetData>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00"/>
  <sheetViews>
    <sheetView workbookViewId="0">
      <selection activeCell="B6" sqref="B6"/>
    </sheetView>
  </sheetViews>
  <sheetFormatPr defaultRowHeight="15" x14ac:dyDescent="0.25"/>
  <cols>
    <col min="1" max="1" width="13.140625" customWidth="1"/>
    <col min="2" max="2" width="18.7109375" customWidth="1"/>
    <col min="3" max="4" width="9.85546875" customWidth="1"/>
    <col min="5" max="5" width="11.28515625" customWidth="1"/>
    <col min="6" max="6" width="9.85546875" customWidth="1"/>
    <col min="7" max="7" width="10.85546875" customWidth="1"/>
    <col min="8" max="8" width="9.85546875" customWidth="1"/>
    <col min="9" max="9" width="10.85546875" customWidth="1"/>
    <col min="10" max="10" width="9.85546875" customWidth="1"/>
    <col min="11" max="11" width="10.85546875" customWidth="1"/>
    <col min="12" max="12" width="9.85546875" customWidth="1"/>
    <col min="13" max="13" width="8.140625" customWidth="1"/>
    <col min="14" max="15" width="9.85546875" customWidth="1"/>
    <col min="16" max="16" width="10.85546875" customWidth="1"/>
    <col min="17" max="17" width="9.85546875" customWidth="1"/>
    <col min="18" max="18" width="8.85546875" customWidth="1"/>
    <col min="19" max="20" width="11.28515625" customWidth="1"/>
    <col min="21" max="21" width="8.7109375" customWidth="1"/>
    <col min="22" max="22" width="8.42578125" customWidth="1"/>
    <col min="23" max="23" width="7.28515625" customWidth="1"/>
    <col min="24" max="24" width="8.42578125" customWidth="1"/>
    <col min="25" max="25" width="8.140625" customWidth="1"/>
    <col min="26" max="27" width="8.85546875" customWidth="1"/>
    <col min="28" max="28" width="16.42578125" bestFit="1" customWidth="1"/>
    <col min="29" max="29" width="9.85546875" bestFit="1" customWidth="1"/>
    <col min="30" max="30" width="8.85546875" customWidth="1"/>
    <col min="31" max="31" width="10.85546875" bestFit="1" customWidth="1"/>
    <col min="32" max="33" width="9.85546875" bestFit="1" customWidth="1"/>
    <col min="34" max="34" width="8.85546875" customWidth="1"/>
    <col min="35" max="36" width="9.85546875" bestFit="1" customWidth="1"/>
    <col min="37" max="38" width="8.85546875" customWidth="1"/>
    <col min="39" max="40" width="9.85546875" bestFit="1" customWidth="1"/>
    <col min="41" max="41" width="24.85546875" bestFit="1" customWidth="1"/>
    <col min="42" max="42" width="24" bestFit="1" customWidth="1"/>
    <col min="43" max="43" width="21.5703125" bestFit="1" customWidth="1"/>
  </cols>
  <sheetData>
    <row r="1" spans="1:5" x14ac:dyDescent="0.25">
      <c r="A1" s="9" t="s">
        <v>0</v>
      </c>
      <c r="B1" t="s">
        <v>75</v>
      </c>
    </row>
    <row r="3" spans="1:5" x14ac:dyDescent="0.25">
      <c r="A3" s="9" t="s">
        <v>9</v>
      </c>
      <c r="B3" s="9" t="s">
        <v>2</v>
      </c>
    </row>
    <row r="4" spans="1:5" x14ac:dyDescent="0.25">
      <c r="A4" s="9" t="s">
        <v>3</v>
      </c>
      <c r="B4" t="s">
        <v>4</v>
      </c>
      <c r="C4" s="3" t="s">
        <v>5</v>
      </c>
      <c r="D4" s="3" t="s">
        <v>25</v>
      </c>
      <c r="E4" s="3" t="s">
        <v>8</v>
      </c>
    </row>
    <row r="5" spans="1:5" x14ac:dyDescent="0.25">
      <c r="A5" s="1">
        <v>13.46</v>
      </c>
      <c r="B5" s="2">
        <v>-48.39</v>
      </c>
      <c r="C5" s="2">
        <v>-29.84</v>
      </c>
      <c r="D5" s="2">
        <v>-168.21</v>
      </c>
      <c r="E5" s="2">
        <v>-246.44</v>
      </c>
    </row>
    <row r="6" spans="1:5" x14ac:dyDescent="0.25">
      <c r="A6" s="1">
        <v>13.47</v>
      </c>
      <c r="B6" s="2">
        <v>-574.79999999999995</v>
      </c>
      <c r="C6" s="2">
        <v>-381.2</v>
      </c>
      <c r="D6" s="2">
        <v>-559.65</v>
      </c>
      <c r="E6" s="2">
        <v>-1515.65</v>
      </c>
    </row>
    <row r="7" spans="1:5" x14ac:dyDescent="0.25">
      <c r="A7" s="1">
        <v>13.48</v>
      </c>
      <c r="B7" s="2">
        <v>-501.98</v>
      </c>
      <c r="C7" s="2">
        <v>-530.51</v>
      </c>
      <c r="D7" s="2">
        <v>-844.08</v>
      </c>
      <c r="E7" s="2">
        <v>-1876.5700000000002</v>
      </c>
    </row>
    <row r="8" spans="1:5" x14ac:dyDescent="0.25">
      <c r="A8" s="1">
        <v>13.49</v>
      </c>
      <c r="B8" s="2">
        <v>-886.57</v>
      </c>
      <c r="C8" s="2">
        <v>-1269.5999999999999</v>
      </c>
      <c r="D8" s="2">
        <v>-943.31</v>
      </c>
      <c r="E8" s="2">
        <v>-3099.48</v>
      </c>
    </row>
    <row r="9" spans="1:5" x14ac:dyDescent="0.25">
      <c r="A9" s="1">
        <v>13.5</v>
      </c>
      <c r="B9" s="2">
        <v>-1010.78</v>
      </c>
      <c r="C9" s="2">
        <v>-1629.85</v>
      </c>
      <c r="D9" s="2">
        <v>-983.04</v>
      </c>
      <c r="E9" s="2">
        <v>-3623.67</v>
      </c>
    </row>
    <row r="10" spans="1:5" x14ac:dyDescent="0.25">
      <c r="A10" s="1">
        <v>13.51</v>
      </c>
      <c r="B10" s="2">
        <v>-1203.3900000000001</v>
      </c>
      <c r="C10" s="2">
        <v>-1384.14</v>
      </c>
      <c r="D10" s="2">
        <v>-730.62</v>
      </c>
      <c r="E10" s="2">
        <v>-3318.15</v>
      </c>
    </row>
    <row r="11" spans="1:5" x14ac:dyDescent="0.25">
      <c r="A11" s="1">
        <v>14.01</v>
      </c>
      <c r="B11" s="2">
        <v>-1521.78</v>
      </c>
      <c r="C11" s="2">
        <v>-1680.87</v>
      </c>
      <c r="D11" s="2">
        <v>-972.94</v>
      </c>
      <c r="E11" s="2">
        <v>-4175.59</v>
      </c>
    </row>
    <row r="12" spans="1:5" x14ac:dyDescent="0.25">
      <c r="A12" s="1">
        <v>14.03</v>
      </c>
      <c r="B12" s="2">
        <v>-1630.34</v>
      </c>
      <c r="C12" s="2">
        <v>-1860.14</v>
      </c>
      <c r="D12" s="2">
        <v>-1047.73</v>
      </c>
      <c r="E12" s="2">
        <v>-4538.21</v>
      </c>
    </row>
    <row r="13" spans="1:5" x14ac:dyDescent="0.25">
      <c r="A13" s="1">
        <v>14.04</v>
      </c>
      <c r="B13" s="2">
        <v>-5894.44</v>
      </c>
      <c r="C13" s="2">
        <v>-1656.86</v>
      </c>
      <c r="D13" s="2">
        <v>-853.26</v>
      </c>
      <c r="E13" s="2">
        <v>-8404.56</v>
      </c>
    </row>
    <row r="14" spans="1:5" x14ac:dyDescent="0.25">
      <c r="A14" s="1">
        <v>14.05</v>
      </c>
      <c r="B14" s="2">
        <v>-5147.97</v>
      </c>
      <c r="C14" s="2">
        <v>-2225.6799999999998</v>
      </c>
      <c r="D14" s="2">
        <v>-930.79</v>
      </c>
      <c r="E14" s="2">
        <v>-8304.4399999999987</v>
      </c>
    </row>
    <row r="15" spans="1:5" x14ac:dyDescent="0.25">
      <c r="A15" s="1">
        <v>14.06</v>
      </c>
      <c r="B15" s="2">
        <v>-3504.87</v>
      </c>
      <c r="C15" s="2">
        <v>-1611.53</v>
      </c>
      <c r="D15" s="2">
        <v>-1585.74</v>
      </c>
      <c r="E15" s="2">
        <v>-6702.1399999999994</v>
      </c>
    </row>
    <row r="16" spans="1:5" x14ac:dyDescent="0.25">
      <c r="A16" s="1">
        <v>14.07</v>
      </c>
      <c r="B16" s="2">
        <v>-3690.06</v>
      </c>
      <c r="C16" s="2">
        <v>-1681.06</v>
      </c>
      <c r="D16" s="2">
        <v>-2695.52</v>
      </c>
      <c r="E16" s="2">
        <v>-8066.6399999999994</v>
      </c>
    </row>
    <row r="17" spans="1:5" x14ac:dyDescent="0.25">
      <c r="A17" s="1">
        <v>14.08</v>
      </c>
      <c r="B17" s="2">
        <v>-8.5399999999999991</v>
      </c>
      <c r="C17" s="2"/>
      <c r="D17" s="2">
        <v>-14.44</v>
      </c>
      <c r="E17" s="2">
        <v>-22.979999999999997</v>
      </c>
    </row>
    <row r="18" spans="1:5" x14ac:dyDescent="0.25">
      <c r="A18" s="1">
        <v>14.09</v>
      </c>
      <c r="B18" s="2">
        <v>-978.85</v>
      </c>
      <c r="C18" s="2">
        <v>-644.79</v>
      </c>
      <c r="D18" s="2">
        <v>-900.92</v>
      </c>
      <c r="E18" s="2">
        <v>-2524.56</v>
      </c>
    </row>
    <row r="19" spans="1:5" x14ac:dyDescent="0.25">
      <c r="A19" s="1">
        <v>14.1</v>
      </c>
      <c r="B19" s="2">
        <v>-4921.9799999999996</v>
      </c>
      <c r="C19" s="2">
        <v>-1399</v>
      </c>
      <c r="D19" s="2">
        <v>-1616.5</v>
      </c>
      <c r="E19" s="2">
        <v>-7937.48</v>
      </c>
    </row>
    <row r="20" spans="1:5" x14ac:dyDescent="0.25">
      <c r="A20" s="1">
        <v>14.11</v>
      </c>
      <c r="B20" s="2">
        <v>-4073.75</v>
      </c>
      <c r="C20" s="2">
        <v>-1838.71</v>
      </c>
      <c r="D20" s="2">
        <v>-2962.73</v>
      </c>
      <c r="E20" s="2">
        <v>-8875.19</v>
      </c>
    </row>
    <row r="21" spans="1:5" x14ac:dyDescent="0.25">
      <c r="A21" s="1">
        <v>14.12</v>
      </c>
      <c r="B21" s="2">
        <v>-3986.46</v>
      </c>
      <c r="C21" s="2">
        <v>-1204.43</v>
      </c>
      <c r="D21" s="2">
        <v>-3300.04</v>
      </c>
      <c r="E21" s="2">
        <v>-8490.93</v>
      </c>
    </row>
    <row r="22" spans="1:5" x14ac:dyDescent="0.25">
      <c r="A22" s="1">
        <v>14.13</v>
      </c>
      <c r="B22" s="2">
        <v>-9416.56</v>
      </c>
      <c r="C22" s="2">
        <v>-1301.29</v>
      </c>
      <c r="D22" s="2">
        <v>-6054.06</v>
      </c>
      <c r="E22" s="2">
        <v>-16771.91</v>
      </c>
    </row>
    <row r="23" spans="1:5" x14ac:dyDescent="0.25">
      <c r="A23" s="1">
        <v>14.14</v>
      </c>
      <c r="B23" s="2">
        <v>-13199.4</v>
      </c>
      <c r="C23" s="2">
        <v>-1667.11</v>
      </c>
      <c r="D23" s="2">
        <v>-4931.93</v>
      </c>
      <c r="E23" s="2">
        <v>-19798.440000000002</v>
      </c>
    </row>
    <row r="24" spans="1:5" x14ac:dyDescent="0.25">
      <c r="A24" s="1">
        <v>14.15</v>
      </c>
      <c r="B24" s="2">
        <v>-12348.41</v>
      </c>
      <c r="C24" s="2">
        <v>-1572.86</v>
      </c>
      <c r="D24" s="2">
        <v>-7056.47</v>
      </c>
      <c r="E24" s="2">
        <v>-20977.74</v>
      </c>
    </row>
    <row r="25" spans="1:5" x14ac:dyDescent="0.25">
      <c r="A25" s="1">
        <v>14.16</v>
      </c>
      <c r="B25" s="2">
        <v>-12817.94</v>
      </c>
      <c r="C25" s="2">
        <v>-1414.53</v>
      </c>
      <c r="D25" s="2">
        <v>-5397.57</v>
      </c>
      <c r="E25" s="2">
        <v>-19630.04</v>
      </c>
    </row>
    <row r="26" spans="1:5" x14ac:dyDescent="0.25">
      <c r="A26" s="1">
        <v>14.17</v>
      </c>
      <c r="B26" s="2">
        <v>-10433.799999999999</v>
      </c>
      <c r="C26" s="2">
        <v>-1298.6199999999999</v>
      </c>
      <c r="D26" s="2">
        <v>-5590.66</v>
      </c>
      <c r="E26" s="2">
        <v>-17323.079999999998</v>
      </c>
    </row>
    <row r="27" spans="1:5" x14ac:dyDescent="0.25">
      <c r="A27" s="1">
        <v>14.18</v>
      </c>
      <c r="B27" s="2">
        <v>-10397.290000000001</v>
      </c>
      <c r="C27" s="2">
        <v>-1470.03</v>
      </c>
      <c r="D27" s="2">
        <v>-6752.17</v>
      </c>
      <c r="E27" s="2">
        <v>-18619.490000000002</v>
      </c>
    </row>
    <row r="28" spans="1:5" x14ac:dyDescent="0.25">
      <c r="A28" s="1">
        <v>14.19</v>
      </c>
      <c r="B28" s="2">
        <v>-12167.1</v>
      </c>
      <c r="C28" s="2">
        <v>-1624.04</v>
      </c>
      <c r="D28" s="2">
        <v>-6453.24</v>
      </c>
      <c r="E28" s="2">
        <v>-20244.379999999997</v>
      </c>
    </row>
    <row r="29" spans="1:5" x14ac:dyDescent="0.25">
      <c r="A29" s="1">
        <v>14.2</v>
      </c>
      <c r="B29" s="2">
        <v>-12068.53</v>
      </c>
      <c r="C29" s="2">
        <v>-2137.12</v>
      </c>
      <c r="D29" s="2">
        <v>-6790.49</v>
      </c>
      <c r="E29" s="2">
        <v>-20996.14</v>
      </c>
    </row>
    <row r="30" spans="1:5" x14ac:dyDescent="0.25">
      <c r="A30" s="1">
        <v>14.21</v>
      </c>
      <c r="B30" s="2">
        <v>-9193.49</v>
      </c>
      <c r="C30" s="2">
        <v>-3148.7</v>
      </c>
      <c r="D30" s="2">
        <v>-6186.11</v>
      </c>
      <c r="E30" s="2">
        <v>-18528.3</v>
      </c>
    </row>
    <row r="31" spans="1:5" x14ac:dyDescent="0.25">
      <c r="A31" s="1">
        <v>14.22</v>
      </c>
      <c r="B31" s="2">
        <v>-10794.16</v>
      </c>
      <c r="C31" s="2">
        <v>-3074.98</v>
      </c>
      <c r="D31" s="2">
        <v>-5825.41</v>
      </c>
      <c r="E31" s="2">
        <v>-19694.55</v>
      </c>
    </row>
    <row r="32" spans="1:5" x14ac:dyDescent="0.25">
      <c r="A32" s="1">
        <v>14.23</v>
      </c>
      <c r="B32" s="2">
        <v>-13315.47</v>
      </c>
      <c r="C32" s="2">
        <v>-3373.46</v>
      </c>
      <c r="D32" s="2">
        <v>-5879.84</v>
      </c>
      <c r="E32" s="2">
        <v>-22568.77</v>
      </c>
    </row>
    <row r="33" spans="1:5" x14ac:dyDescent="0.25">
      <c r="A33" s="1">
        <v>14.24</v>
      </c>
      <c r="B33" s="2">
        <v>-14746.6</v>
      </c>
      <c r="C33" s="2">
        <v>-5094.22</v>
      </c>
      <c r="D33" s="2">
        <v>-7522.27</v>
      </c>
      <c r="E33" s="2">
        <v>-27363.09</v>
      </c>
    </row>
    <row r="34" spans="1:5" x14ac:dyDescent="0.25">
      <c r="A34" s="1">
        <v>14.25</v>
      </c>
      <c r="B34" s="2">
        <v>-15103.09</v>
      </c>
      <c r="C34" s="2">
        <v>-3870.42</v>
      </c>
      <c r="D34" s="2">
        <v>-8036.21</v>
      </c>
      <c r="E34" s="2">
        <v>-27009.72</v>
      </c>
    </row>
    <row r="35" spans="1:5" x14ac:dyDescent="0.25">
      <c r="A35" s="1">
        <v>14.26</v>
      </c>
      <c r="B35" s="2">
        <v>-14488.28</v>
      </c>
      <c r="C35" s="2">
        <v>-3277.77</v>
      </c>
      <c r="D35" s="2">
        <v>-10608.72</v>
      </c>
      <c r="E35" s="2">
        <v>-28374.769999999997</v>
      </c>
    </row>
    <row r="36" spans="1:5" x14ac:dyDescent="0.25">
      <c r="A36" s="1">
        <v>14.27</v>
      </c>
      <c r="B36" s="2">
        <v>-14506.67</v>
      </c>
      <c r="C36" s="2">
        <v>-3887.11</v>
      </c>
      <c r="D36" s="2">
        <v>-9942.32</v>
      </c>
      <c r="E36" s="2">
        <v>-28336.1</v>
      </c>
    </row>
    <row r="37" spans="1:5" x14ac:dyDescent="0.25">
      <c r="A37" s="1">
        <v>14.28</v>
      </c>
      <c r="B37" s="2">
        <v>-13318.67</v>
      </c>
      <c r="C37" s="2">
        <v>-3929.5</v>
      </c>
      <c r="D37" s="2">
        <v>-13402.89</v>
      </c>
      <c r="E37" s="2">
        <v>-30651.059999999998</v>
      </c>
    </row>
    <row r="38" spans="1:5" x14ac:dyDescent="0.25">
      <c r="A38" s="1">
        <v>14.29</v>
      </c>
      <c r="B38" s="2">
        <v>-13521.58</v>
      </c>
      <c r="C38" s="2">
        <v>-5391.28</v>
      </c>
      <c r="D38" s="2">
        <v>-9635.9500000000007</v>
      </c>
      <c r="E38" s="2">
        <v>-28548.81</v>
      </c>
    </row>
    <row r="39" spans="1:5" x14ac:dyDescent="0.25">
      <c r="A39" s="1">
        <v>14.3</v>
      </c>
      <c r="B39" s="2">
        <v>-15150.91</v>
      </c>
      <c r="C39" s="2">
        <v>-7770.9</v>
      </c>
      <c r="D39" s="2">
        <v>-7474.06</v>
      </c>
      <c r="E39" s="2">
        <v>-30395.87</v>
      </c>
    </row>
    <row r="40" spans="1:5" x14ac:dyDescent="0.25">
      <c r="A40" s="1">
        <v>14.31</v>
      </c>
      <c r="B40" s="2">
        <v>-14920.21</v>
      </c>
      <c r="C40" s="2">
        <v>-7985.41</v>
      </c>
      <c r="D40" s="2">
        <v>-7287.88</v>
      </c>
      <c r="E40" s="2">
        <v>-30193.5</v>
      </c>
    </row>
    <row r="41" spans="1:5" x14ac:dyDescent="0.25">
      <c r="A41" s="1">
        <v>14.32</v>
      </c>
      <c r="B41" s="2">
        <v>-12229.8</v>
      </c>
      <c r="C41" s="2">
        <v>-8518.23</v>
      </c>
      <c r="D41" s="2">
        <v>-7340.65</v>
      </c>
      <c r="E41" s="2">
        <v>-28088.68</v>
      </c>
    </row>
    <row r="42" spans="1:5" x14ac:dyDescent="0.25">
      <c r="A42" s="1">
        <v>14.33</v>
      </c>
      <c r="B42" s="2">
        <v>-14389.7</v>
      </c>
      <c r="C42" s="2">
        <v>-8522.7900000000009</v>
      </c>
      <c r="D42" s="2">
        <v>-6737.7</v>
      </c>
      <c r="E42" s="2">
        <v>-29650.190000000002</v>
      </c>
    </row>
    <row r="43" spans="1:5" x14ac:dyDescent="0.25">
      <c r="A43" s="1">
        <v>14.34</v>
      </c>
      <c r="B43" s="2">
        <v>-20930.82</v>
      </c>
      <c r="C43" s="2">
        <v>-14278.05</v>
      </c>
      <c r="D43" s="2">
        <v>-8008.42</v>
      </c>
      <c r="E43" s="2">
        <v>-43217.289999999994</v>
      </c>
    </row>
    <row r="44" spans="1:5" x14ac:dyDescent="0.25">
      <c r="A44" s="1">
        <v>14.35</v>
      </c>
      <c r="B44" s="2">
        <v>-23707.3</v>
      </c>
      <c r="C44" s="2">
        <v>-18779.68</v>
      </c>
      <c r="D44" s="2">
        <v>-8411.56</v>
      </c>
      <c r="E44" s="2">
        <v>-50898.539999999994</v>
      </c>
    </row>
    <row r="45" spans="1:5" x14ac:dyDescent="0.25">
      <c r="A45" s="1">
        <v>14.36</v>
      </c>
      <c r="B45" s="2">
        <v>-31581.919999999998</v>
      </c>
      <c r="C45" s="2">
        <v>-27482.51</v>
      </c>
      <c r="D45" s="2">
        <v>-8143.09</v>
      </c>
      <c r="E45" s="2">
        <v>-67207.51999999999</v>
      </c>
    </row>
    <row r="46" spans="1:5" x14ac:dyDescent="0.25">
      <c r="A46" s="1">
        <v>14.37</v>
      </c>
      <c r="B46" s="2">
        <v>-22665.35</v>
      </c>
      <c r="C46" s="2">
        <v>-26901.3</v>
      </c>
      <c r="D46" s="2">
        <v>-14763.31</v>
      </c>
      <c r="E46" s="2">
        <v>-64329.959999999992</v>
      </c>
    </row>
    <row r="47" spans="1:5" x14ac:dyDescent="0.25">
      <c r="A47" s="1">
        <v>14.38</v>
      </c>
      <c r="B47" s="2">
        <v>-24334.25</v>
      </c>
      <c r="C47" s="2">
        <v>-33537.86</v>
      </c>
      <c r="D47" s="2">
        <v>-15412.17</v>
      </c>
      <c r="E47" s="2">
        <v>-73284.28</v>
      </c>
    </row>
    <row r="48" spans="1:5" x14ac:dyDescent="0.25">
      <c r="A48" s="1">
        <v>14.39</v>
      </c>
      <c r="B48" s="2">
        <v>-17648.349999999999</v>
      </c>
      <c r="C48" s="2">
        <v>-40835.199999999997</v>
      </c>
      <c r="D48" s="2">
        <v>-24585.49</v>
      </c>
      <c r="E48" s="2">
        <v>-83069.039999999994</v>
      </c>
    </row>
    <row r="49" spans="1:5" x14ac:dyDescent="0.25">
      <c r="A49" s="1">
        <v>14.4</v>
      </c>
      <c r="B49" s="2">
        <v>-15194.74</v>
      </c>
      <c r="C49" s="2">
        <v>-49437.86</v>
      </c>
      <c r="D49" s="2">
        <v>-28557.439999999999</v>
      </c>
      <c r="E49" s="2">
        <v>-93190.04</v>
      </c>
    </row>
    <row r="50" spans="1:5" x14ac:dyDescent="0.25">
      <c r="A50" s="1">
        <v>14.41</v>
      </c>
      <c r="B50" s="2"/>
      <c r="C50" s="2">
        <v>-43686.75</v>
      </c>
      <c r="D50" s="2">
        <v>-26625.07</v>
      </c>
      <c r="E50" s="2">
        <v>-70311.820000000007</v>
      </c>
    </row>
    <row r="51" spans="1:5" x14ac:dyDescent="0.25">
      <c r="A51" s="1">
        <v>14.42</v>
      </c>
      <c r="B51" s="2"/>
      <c r="C51" s="2">
        <v>-37306.18</v>
      </c>
      <c r="D51" s="2">
        <v>-22501.439999999999</v>
      </c>
      <c r="E51" s="2">
        <v>-59807.619999999995</v>
      </c>
    </row>
    <row r="52" spans="1:5" x14ac:dyDescent="0.25">
      <c r="A52" s="1">
        <v>14.43</v>
      </c>
      <c r="B52" s="2"/>
      <c r="C52" s="2">
        <v>-42363.76</v>
      </c>
      <c r="D52" s="2">
        <v>-25493.45</v>
      </c>
      <c r="E52" s="2">
        <v>-67857.210000000006</v>
      </c>
    </row>
    <row r="53" spans="1:5" x14ac:dyDescent="0.25">
      <c r="A53" s="1">
        <v>14.44</v>
      </c>
      <c r="B53" s="2"/>
      <c r="C53" s="2">
        <v>-50593.94</v>
      </c>
      <c r="D53" s="2">
        <v>-28147.59</v>
      </c>
      <c r="E53" s="2">
        <v>-78741.53</v>
      </c>
    </row>
    <row r="54" spans="1:5" x14ac:dyDescent="0.25">
      <c r="A54" s="1">
        <v>14.45</v>
      </c>
      <c r="B54" s="2"/>
      <c r="C54" s="2">
        <v>-14629.62</v>
      </c>
      <c r="D54" s="2">
        <v>-19190.23</v>
      </c>
      <c r="E54" s="2">
        <v>-33819.85</v>
      </c>
    </row>
    <row r="55" spans="1:5" x14ac:dyDescent="0.25">
      <c r="A55" s="1">
        <v>14.46</v>
      </c>
      <c r="B55" s="2"/>
      <c r="C55" s="2">
        <v>-13091.92</v>
      </c>
      <c r="D55" s="2">
        <v>-14405.06</v>
      </c>
      <c r="E55" s="2">
        <v>-27496.98</v>
      </c>
    </row>
    <row r="56" spans="1:5" x14ac:dyDescent="0.25">
      <c r="A56" s="1">
        <v>14.47</v>
      </c>
      <c r="B56" s="2"/>
      <c r="C56" s="2">
        <v>-16064.52</v>
      </c>
      <c r="D56" s="2">
        <v>-15308.02</v>
      </c>
      <c r="E56" s="2">
        <v>-31372.54</v>
      </c>
    </row>
    <row r="57" spans="1:5" x14ac:dyDescent="0.25">
      <c r="A57" s="1">
        <v>14.48</v>
      </c>
      <c r="B57" s="2"/>
      <c r="C57" s="2">
        <v>-14769.14</v>
      </c>
      <c r="D57" s="2">
        <v>-16661.96</v>
      </c>
      <c r="E57" s="2">
        <v>-31431.1</v>
      </c>
    </row>
    <row r="58" spans="1:5" x14ac:dyDescent="0.25">
      <c r="A58" s="1">
        <v>14.49</v>
      </c>
      <c r="B58" s="2"/>
      <c r="C58" s="2">
        <v>-13305.81</v>
      </c>
      <c r="D58" s="2">
        <v>-20211.89</v>
      </c>
      <c r="E58" s="2">
        <v>-33517.699999999997</v>
      </c>
    </row>
    <row r="59" spans="1:5" x14ac:dyDescent="0.25">
      <c r="A59" s="1">
        <v>14.5</v>
      </c>
      <c r="B59" s="2"/>
      <c r="C59" s="2">
        <v>-1808.7</v>
      </c>
      <c r="D59" s="2">
        <v>-7387.96</v>
      </c>
      <c r="E59" s="2">
        <v>-9196.66</v>
      </c>
    </row>
    <row r="60" spans="1:5" x14ac:dyDescent="0.25">
      <c r="A60" s="1">
        <v>14.51</v>
      </c>
      <c r="B60" s="2"/>
      <c r="C60" s="2">
        <v>-1809.66</v>
      </c>
      <c r="D60" s="2">
        <v>-8189.38</v>
      </c>
      <c r="E60" s="2">
        <v>-9999.0400000000009</v>
      </c>
    </row>
    <row r="100" spans="11:11" x14ac:dyDescent="0.25">
      <c r="K100" t="str">
        <f>"Open Trades, "&amp;$B$1</f>
        <v>Open Trades, 774678 - M-Alpari</v>
      </c>
    </row>
  </sheetData>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K100"/>
  <sheetViews>
    <sheetView workbookViewId="0">
      <selection activeCell="C58" sqref="C58"/>
    </sheetView>
  </sheetViews>
  <sheetFormatPr defaultRowHeight="15" x14ac:dyDescent="0.25"/>
  <cols>
    <col min="1" max="1" width="13.140625" customWidth="1"/>
    <col min="2" max="2" width="18.7109375" customWidth="1"/>
    <col min="3" max="4" width="9.85546875" customWidth="1"/>
    <col min="5" max="6" width="11.28515625" customWidth="1"/>
    <col min="7" max="7" width="12.5703125" bestFit="1" customWidth="1"/>
    <col min="8" max="8" width="9.7109375" bestFit="1" customWidth="1"/>
    <col min="9" max="9" width="13.28515625" bestFit="1" customWidth="1"/>
    <col min="10" max="10" width="9.140625" customWidth="1"/>
    <col min="11" max="11" width="12.140625" bestFit="1" customWidth="1"/>
    <col min="12" max="12" width="11.28515625" bestFit="1" customWidth="1"/>
  </cols>
  <sheetData>
    <row r="2" spans="1:6" x14ac:dyDescent="0.25">
      <c r="A2" s="9" t="s">
        <v>0</v>
      </c>
      <c r="B2" t="s">
        <v>75</v>
      </c>
    </row>
    <row r="4" spans="1:6" x14ac:dyDescent="0.25">
      <c r="A4" s="9" t="s">
        <v>3</v>
      </c>
      <c r="B4" s="3" t="s">
        <v>11</v>
      </c>
      <c r="C4" s="3" t="s">
        <v>12</v>
      </c>
    </row>
    <row r="5" spans="1:6" x14ac:dyDescent="0.25">
      <c r="A5" s="1">
        <v>13.46</v>
      </c>
      <c r="B5" s="2">
        <v>66.5</v>
      </c>
      <c r="C5" s="2">
        <v>-246.44</v>
      </c>
    </row>
    <row r="6" spans="1:6" x14ac:dyDescent="0.25">
      <c r="A6" s="1">
        <v>13.47</v>
      </c>
      <c r="B6" s="2">
        <v>1306.5899999999999</v>
      </c>
      <c r="C6" s="2">
        <v>-1515.6499999999999</v>
      </c>
    </row>
    <row r="7" spans="1:6" x14ac:dyDescent="0.25">
      <c r="A7" s="1">
        <v>13.48</v>
      </c>
      <c r="B7" s="2">
        <v>2224.7799999999997</v>
      </c>
      <c r="C7" s="2">
        <v>-1876.5700000000002</v>
      </c>
    </row>
    <row r="8" spans="1:6" x14ac:dyDescent="0.25">
      <c r="A8" s="1">
        <v>13.49</v>
      </c>
      <c r="B8" s="2">
        <v>3782.33</v>
      </c>
      <c r="C8" s="2">
        <v>-3099.48</v>
      </c>
    </row>
    <row r="9" spans="1:6" x14ac:dyDescent="0.25">
      <c r="A9" s="1">
        <v>13.5</v>
      </c>
      <c r="B9" s="2">
        <v>5034.8999999999996</v>
      </c>
      <c r="C9" s="2">
        <v>-3623.67</v>
      </c>
    </row>
    <row r="10" spans="1:6" x14ac:dyDescent="0.25">
      <c r="A10" s="1">
        <v>13.51</v>
      </c>
      <c r="B10" s="2">
        <v>6384.98</v>
      </c>
      <c r="C10" s="2">
        <v>-3318.1500000000005</v>
      </c>
    </row>
    <row r="11" spans="1:6" x14ac:dyDescent="0.25">
      <c r="A11" s="1">
        <v>13.52</v>
      </c>
      <c r="B11" s="2">
        <v>6796.2</v>
      </c>
      <c r="C11" s="2">
        <v>0</v>
      </c>
    </row>
    <row r="12" spans="1:6" x14ac:dyDescent="0.25">
      <c r="A12" s="1">
        <v>13.53</v>
      </c>
      <c r="B12" s="2">
        <v>7043.69</v>
      </c>
      <c r="C12" s="2">
        <v>0</v>
      </c>
    </row>
    <row r="13" spans="1:6" x14ac:dyDescent="0.25">
      <c r="A13" s="1">
        <v>14.01</v>
      </c>
      <c r="B13" s="2">
        <v>7655.36</v>
      </c>
      <c r="C13" s="2">
        <v>-4175.59</v>
      </c>
    </row>
    <row r="14" spans="1:6" x14ac:dyDescent="0.25">
      <c r="A14" s="1">
        <v>14.02</v>
      </c>
      <c r="B14" s="2">
        <v>8335.2799999999988</v>
      </c>
      <c r="C14" s="2">
        <v>0</v>
      </c>
    </row>
    <row r="15" spans="1:6" x14ac:dyDescent="0.25">
      <c r="A15" s="1">
        <v>14.03</v>
      </c>
      <c r="B15" s="2">
        <v>9124.119999999999</v>
      </c>
      <c r="C15" s="2">
        <v>-4538.21</v>
      </c>
      <c r="F15" s="2"/>
    </row>
    <row r="16" spans="1:6" x14ac:dyDescent="0.25">
      <c r="A16" s="1">
        <v>14.04</v>
      </c>
      <c r="B16" s="2">
        <v>10726.939999999999</v>
      </c>
      <c r="C16" s="2">
        <v>-8404.56</v>
      </c>
    </row>
    <row r="17" spans="1:3" x14ac:dyDescent="0.25">
      <c r="A17" s="1">
        <v>14.05</v>
      </c>
      <c r="B17" s="2">
        <v>12764.71</v>
      </c>
      <c r="C17" s="2">
        <v>-8304.4399999999987</v>
      </c>
    </row>
    <row r="18" spans="1:3" x14ac:dyDescent="0.25">
      <c r="A18" s="1">
        <v>14.06</v>
      </c>
      <c r="B18" s="2">
        <v>14789.859999999999</v>
      </c>
      <c r="C18" s="2">
        <v>-6702.1399999999994</v>
      </c>
    </row>
    <row r="19" spans="1:3" x14ac:dyDescent="0.25">
      <c r="A19" s="1">
        <v>14.07</v>
      </c>
      <c r="B19" s="2">
        <v>15957.589999999998</v>
      </c>
      <c r="C19" s="2">
        <v>-8066.6399999999994</v>
      </c>
    </row>
    <row r="20" spans="1:3" x14ac:dyDescent="0.25">
      <c r="A20" s="1">
        <v>14.08</v>
      </c>
      <c r="B20" s="2">
        <v>9564.0099999999984</v>
      </c>
      <c r="C20" s="2">
        <v>-22.979999999999997</v>
      </c>
    </row>
    <row r="21" spans="1:3" x14ac:dyDescent="0.25">
      <c r="A21" s="1">
        <v>14.09</v>
      </c>
      <c r="B21" s="2">
        <v>10890.21</v>
      </c>
      <c r="C21" s="2">
        <v>-2524.56</v>
      </c>
    </row>
    <row r="22" spans="1:3" x14ac:dyDescent="0.25">
      <c r="A22" s="1">
        <v>14.1</v>
      </c>
      <c r="B22" s="2">
        <v>13672.699999999999</v>
      </c>
      <c r="C22" s="2">
        <v>-7937.48</v>
      </c>
    </row>
    <row r="23" spans="1:3" x14ac:dyDescent="0.25">
      <c r="A23" s="1">
        <v>14.11</v>
      </c>
      <c r="B23" s="2">
        <v>16280.429999999998</v>
      </c>
      <c r="C23" s="2">
        <v>-8875.19</v>
      </c>
    </row>
    <row r="24" spans="1:3" x14ac:dyDescent="0.25">
      <c r="A24" s="1">
        <v>14.12</v>
      </c>
      <c r="B24" s="2">
        <v>18186.719999999998</v>
      </c>
      <c r="C24" s="2">
        <v>-8490.93</v>
      </c>
    </row>
    <row r="25" spans="1:3" x14ac:dyDescent="0.25">
      <c r="A25" s="1">
        <v>14.13</v>
      </c>
      <c r="B25" s="2">
        <v>19928.659999999996</v>
      </c>
      <c r="C25" s="2">
        <v>-16771.91</v>
      </c>
    </row>
    <row r="26" spans="1:3" x14ac:dyDescent="0.25">
      <c r="A26" s="1">
        <v>14.14</v>
      </c>
      <c r="B26" s="2">
        <v>21263.199999999997</v>
      </c>
      <c r="C26" s="2">
        <v>-19798.440000000002</v>
      </c>
    </row>
    <row r="27" spans="1:3" x14ac:dyDescent="0.25">
      <c r="A27" s="1">
        <v>14.15</v>
      </c>
      <c r="B27" s="2">
        <v>23128.639999999996</v>
      </c>
      <c r="C27" s="2">
        <v>-20977.74</v>
      </c>
    </row>
    <row r="28" spans="1:3" x14ac:dyDescent="0.25">
      <c r="A28" s="1">
        <v>14.16</v>
      </c>
      <c r="B28" s="2">
        <v>24320.929999999997</v>
      </c>
      <c r="C28" s="2">
        <v>-19630.04</v>
      </c>
    </row>
    <row r="29" spans="1:3" x14ac:dyDescent="0.25">
      <c r="A29" s="1">
        <v>14.17</v>
      </c>
      <c r="B29" s="2">
        <v>25181.319999999996</v>
      </c>
      <c r="C29" s="2">
        <v>-17323.079999999998</v>
      </c>
    </row>
    <row r="30" spans="1:3" x14ac:dyDescent="0.25">
      <c r="A30" s="1">
        <v>14.18</v>
      </c>
      <c r="B30" s="2">
        <v>26520.399999999994</v>
      </c>
      <c r="C30" s="2">
        <v>-18619.490000000002</v>
      </c>
    </row>
    <row r="31" spans="1:3" x14ac:dyDescent="0.25">
      <c r="A31" s="1">
        <v>14.19</v>
      </c>
      <c r="B31" s="2">
        <v>27950.099999999995</v>
      </c>
      <c r="C31" s="2">
        <v>-20244.38</v>
      </c>
    </row>
    <row r="32" spans="1:3" x14ac:dyDescent="0.25">
      <c r="A32" s="1">
        <v>14.2</v>
      </c>
      <c r="B32" s="2">
        <v>28881.709999999995</v>
      </c>
      <c r="C32" s="2">
        <v>-20996.14</v>
      </c>
    </row>
    <row r="33" spans="1:3" x14ac:dyDescent="0.25">
      <c r="A33" s="1">
        <v>14.21</v>
      </c>
      <c r="B33" s="2">
        <v>29273.669999999995</v>
      </c>
      <c r="C33" s="2">
        <v>-18528.3</v>
      </c>
    </row>
    <row r="34" spans="1:3" x14ac:dyDescent="0.25">
      <c r="A34" s="1">
        <v>14.22</v>
      </c>
      <c r="B34" s="2">
        <v>29773.089999999993</v>
      </c>
      <c r="C34" s="2">
        <v>-19694.55</v>
      </c>
    </row>
    <row r="35" spans="1:3" x14ac:dyDescent="0.25">
      <c r="A35" s="1">
        <v>14.23</v>
      </c>
      <c r="B35" s="2">
        <v>31087.949999999993</v>
      </c>
      <c r="C35" s="2">
        <v>-22568.769999999997</v>
      </c>
    </row>
    <row r="36" spans="1:3" x14ac:dyDescent="0.25">
      <c r="A36" s="1">
        <v>14.24</v>
      </c>
      <c r="B36" s="2">
        <v>32187.949999999993</v>
      </c>
      <c r="C36" s="2">
        <v>-27363.090000000004</v>
      </c>
    </row>
    <row r="37" spans="1:3" x14ac:dyDescent="0.25">
      <c r="A37" s="1">
        <v>14.25</v>
      </c>
      <c r="B37" s="2">
        <v>33095.589999999997</v>
      </c>
      <c r="C37" s="2">
        <v>-27009.72</v>
      </c>
    </row>
    <row r="38" spans="1:3" x14ac:dyDescent="0.25">
      <c r="A38" s="1">
        <v>14.26</v>
      </c>
      <c r="B38" s="2">
        <v>33878.92</v>
      </c>
      <c r="C38" s="2">
        <v>-28374.769999999997</v>
      </c>
    </row>
    <row r="39" spans="1:3" x14ac:dyDescent="0.25">
      <c r="A39" s="1">
        <v>14.27</v>
      </c>
      <c r="B39" s="2">
        <v>34704.799999999996</v>
      </c>
      <c r="C39" s="2">
        <v>-28336.1</v>
      </c>
    </row>
    <row r="40" spans="1:3" x14ac:dyDescent="0.25">
      <c r="A40" s="1">
        <v>14.28</v>
      </c>
      <c r="B40" s="2">
        <v>35290.179999999993</v>
      </c>
      <c r="C40" s="2">
        <v>-30651.059999999998</v>
      </c>
    </row>
    <row r="41" spans="1:3" x14ac:dyDescent="0.25">
      <c r="A41" s="1">
        <v>14.29</v>
      </c>
      <c r="B41" s="2">
        <v>35867.249999999993</v>
      </c>
      <c r="C41" s="2">
        <v>-28548.809999999998</v>
      </c>
    </row>
    <row r="42" spans="1:3" x14ac:dyDescent="0.25">
      <c r="A42" s="1">
        <v>14.3</v>
      </c>
      <c r="B42" s="2">
        <v>36418.999999999993</v>
      </c>
      <c r="C42" s="2">
        <v>-30395.87</v>
      </c>
    </row>
    <row r="43" spans="1:3" x14ac:dyDescent="0.25">
      <c r="A43" s="1">
        <v>14.31</v>
      </c>
      <c r="B43" s="2">
        <v>36944.999999999993</v>
      </c>
      <c r="C43" s="2">
        <v>-30193.5</v>
      </c>
    </row>
    <row r="44" spans="1:3" x14ac:dyDescent="0.25">
      <c r="A44" s="1">
        <v>14.32</v>
      </c>
      <c r="B44" s="2">
        <v>37475.439999999995</v>
      </c>
      <c r="C44" s="2">
        <v>-28088.679999999997</v>
      </c>
    </row>
    <row r="45" spans="1:3" x14ac:dyDescent="0.25">
      <c r="A45" s="1">
        <v>14.33</v>
      </c>
      <c r="B45" s="2">
        <v>38337.619999999995</v>
      </c>
      <c r="C45" s="2">
        <v>-29650.190000000002</v>
      </c>
    </row>
    <row r="46" spans="1:3" x14ac:dyDescent="0.25">
      <c r="A46" s="1">
        <v>14.34</v>
      </c>
      <c r="B46" s="2">
        <v>38862.81</v>
      </c>
      <c r="C46" s="2">
        <v>-43217.289999999994</v>
      </c>
    </row>
    <row r="47" spans="1:3" x14ac:dyDescent="0.25">
      <c r="A47" s="1">
        <v>14.35</v>
      </c>
      <c r="B47" s="2">
        <v>39152.720000000001</v>
      </c>
      <c r="C47" s="2">
        <v>-50898.54</v>
      </c>
    </row>
    <row r="48" spans="1:3" x14ac:dyDescent="0.25">
      <c r="A48" s="1">
        <v>14.36</v>
      </c>
      <c r="B48" s="2">
        <v>39341.370000000003</v>
      </c>
      <c r="C48" s="2">
        <v>-67207.51999999999</v>
      </c>
    </row>
    <row r="49" spans="1:3" x14ac:dyDescent="0.25">
      <c r="A49" s="1">
        <v>14.37</v>
      </c>
      <c r="B49" s="2">
        <v>39271.480000000003</v>
      </c>
      <c r="C49" s="2">
        <v>-64329.959999999992</v>
      </c>
    </row>
    <row r="50" spans="1:3" x14ac:dyDescent="0.25">
      <c r="A50" s="1">
        <v>14.38</v>
      </c>
      <c r="B50" s="2">
        <v>39299.97</v>
      </c>
      <c r="C50" s="2">
        <v>-73284.28</v>
      </c>
    </row>
    <row r="51" spans="1:3" x14ac:dyDescent="0.25">
      <c r="A51" s="1">
        <v>14.39</v>
      </c>
      <c r="B51" s="2">
        <v>39249.9</v>
      </c>
      <c r="C51" s="2">
        <v>-83069.039999999994</v>
      </c>
    </row>
    <row r="52" spans="1:3" x14ac:dyDescent="0.25">
      <c r="A52" s="1">
        <v>14.4</v>
      </c>
      <c r="B52" s="2">
        <v>39189.78</v>
      </c>
      <c r="C52" s="2">
        <v>-93190.04</v>
      </c>
    </row>
    <row r="53" spans="1:3" x14ac:dyDescent="0.25">
      <c r="A53" s="1">
        <v>14.41</v>
      </c>
      <c r="B53" s="2">
        <v>24068.95</v>
      </c>
      <c r="C53" s="2">
        <v>-70311.820000000007</v>
      </c>
    </row>
    <row r="54" spans="1:3" x14ac:dyDescent="0.25">
      <c r="A54" s="1">
        <v>14.42</v>
      </c>
      <c r="B54" s="2">
        <v>25025.89</v>
      </c>
      <c r="C54" s="2">
        <v>-59807.619999999995</v>
      </c>
    </row>
    <row r="55" spans="1:3" x14ac:dyDescent="0.25">
      <c r="A55" s="1">
        <v>14.43</v>
      </c>
      <c r="B55" s="2">
        <v>25420.559999999998</v>
      </c>
      <c r="C55" s="2">
        <v>-67857.210000000006</v>
      </c>
    </row>
    <row r="56" spans="1:3" x14ac:dyDescent="0.25">
      <c r="A56" s="1">
        <v>14.44</v>
      </c>
      <c r="B56" s="2">
        <v>25420.559999999998</v>
      </c>
      <c r="C56" s="2">
        <v>-78741.53</v>
      </c>
    </row>
    <row r="57" spans="1:3" x14ac:dyDescent="0.25">
      <c r="A57" s="1">
        <v>14.45</v>
      </c>
      <c r="B57" s="2">
        <v>-27783.030000000006</v>
      </c>
      <c r="C57" s="2">
        <v>-33819.85</v>
      </c>
    </row>
    <row r="58" spans="1:3" x14ac:dyDescent="0.25">
      <c r="A58" s="1">
        <v>14.46</v>
      </c>
      <c r="B58" s="2">
        <v>-27783.030000000006</v>
      </c>
      <c r="C58" s="2">
        <v>-27496.98</v>
      </c>
    </row>
    <row r="59" spans="1:3" x14ac:dyDescent="0.25">
      <c r="A59" s="1">
        <v>14.47</v>
      </c>
      <c r="B59" s="2">
        <v>-27783.030000000006</v>
      </c>
      <c r="C59" s="2">
        <v>-31372.54</v>
      </c>
    </row>
    <row r="60" spans="1:3" x14ac:dyDescent="0.25">
      <c r="A60" s="1">
        <v>14.48</v>
      </c>
      <c r="B60" s="2">
        <v>-27783.030000000006</v>
      </c>
      <c r="C60" s="2">
        <v>-31431.1</v>
      </c>
    </row>
    <row r="61" spans="1:3" x14ac:dyDescent="0.25">
      <c r="A61" s="1">
        <v>14.49</v>
      </c>
      <c r="B61" s="2">
        <v>-33030.040000000008</v>
      </c>
      <c r="C61" s="2">
        <v>-33517.699999999997</v>
      </c>
    </row>
    <row r="62" spans="1:3" x14ac:dyDescent="0.25">
      <c r="A62" s="1">
        <v>14.5</v>
      </c>
      <c r="B62" s="2">
        <v>-55896.80000000001</v>
      </c>
      <c r="C62" s="2">
        <v>-9196.66</v>
      </c>
    </row>
    <row r="63" spans="1:3" x14ac:dyDescent="0.25">
      <c r="A63" s="1">
        <v>14.51</v>
      </c>
      <c r="B63" s="2">
        <v>-55896.80000000001</v>
      </c>
      <c r="C63" s="2">
        <v>-9662.2099999999991</v>
      </c>
    </row>
    <row r="100" spans="11:11" x14ac:dyDescent="0.25">
      <c r="K100" t="str">
        <f>"Closed vs. Open, "&amp;$B$2</f>
        <v>Closed vs. Open, 774678 - M-Alpari</v>
      </c>
    </row>
  </sheetData>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100"/>
  <sheetViews>
    <sheetView tabSelected="1" topLeftCell="A25" workbookViewId="0">
      <selection activeCell="B54" sqref="B54"/>
    </sheetView>
  </sheetViews>
  <sheetFormatPr defaultRowHeight="15" x14ac:dyDescent="0.25"/>
  <cols>
    <col min="1" max="1" width="13.140625" customWidth="1"/>
    <col min="2" max="2" width="18.140625" customWidth="1"/>
    <col min="3" max="3" width="9.140625" customWidth="1"/>
    <col min="4" max="6" width="10.140625" customWidth="1"/>
    <col min="7" max="7" width="11.28515625" customWidth="1"/>
    <col min="8" max="8" width="19.7109375" bestFit="1" customWidth="1"/>
    <col min="9" max="9" width="21.5703125" bestFit="1" customWidth="1"/>
  </cols>
  <sheetData>
    <row r="1" spans="1:2" x14ac:dyDescent="0.25">
      <c r="A1" s="9" t="s">
        <v>0</v>
      </c>
      <c r="B1" t="s">
        <v>76</v>
      </c>
    </row>
    <row r="3" spans="1:2" x14ac:dyDescent="0.25">
      <c r="A3" s="9" t="s">
        <v>3</v>
      </c>
      <c r="B3" t="s">
        <v>31</v>
      </c>
    </row>
    <row r="4" spans="1:2" x14ac:dyDescent="0.25">
      <c r="A4" s="1">
        <v>14.01</v>
      </c>
      <c r="B4" s="2">
        <v>-39737.21</v>
      </c>
    </row>
    <row r="5" spans="1:2" x14ac:dyDescent="0.25">
      <c r="A5" s="1">
        <v>14.1</v>
      </c>
      <c r="B5" s="2">
        <v>49827.62</v>
      </c>
    </row>
    <row r="6" spans="1:2" x14ac:dyDescent="0.25">
      <c r="A6" s="1">
        <v>14.11</v>
      </c>
      <c r="B6" s="2">
        <v>48855.65</v>
      </c>
    </row>
    <row r="7" spans="1:2" x14ac:dyDescent="0.25">
      <c r="A7" s="1">
        <v>14.12</v>
      </c>
      <c r="B7" s="2">
        <v>49309.53</v>
      </c>
    </row>
    <row r="8" spans="1:2" x14ac:dyDescent="0.25">
      <c r="A8" s="1">
        <v>14.13</v>
      </c>
      <c r="B8" s="2">
        <v>48628.44</v>
      </c>
    </row>
    <row r="9" spans="1:2" x14ac:dyDescent="0.25">
      <c r="A9" s="1">
        <v>14.14</v>
      </c>
      <c r="B9" s="2">
        <v>47858.44</v>
      </c>
    </row>
    <row r="10" spans="1:2" x14ac:dyDescent="0.25">
      <c r="A10" s="1">
        <v>14.15</v>
      </c>
      <c r="B10" s="2">
        <v>47543.66</v>
      </c>
    </row>
    <row r="11" spans="1:2" x14ac:dyDescent="0.25">
      <c r="A11" s="1">
        <v>14.16</v>
      </c>
      <c r="B11" s="2">
        <v>48217.39</v>
      </c>
    </row>
    <row r="12" spans="1:2" x14ac:dyDescent="0.25">
      <c r="A12" s="1">
        <v>14.17</v>
      </c>
      <c r="B12" s="2">
        <v>49063.64</v>
      </c>
    </row>
    <row r="13" spans="1:2" x14ac:dyDescent="0.25">
      <c r="A13" s="1">
        <v>14.18</v>
      </c>
      <c r="B13" s="2">
        <v>49507.81</v>
      </c>
    </row>
    <row r="14" spans="1:2" x14ac:dyDescent="0.25">
      <c r="A14" s="1">
        <v>14.19</v>
      </c>
      <c r="B14" s="2">
        <v>48176.160000000003</v>
      </c>
    </row>
    <row r="15" spans="1:2" x14ac:dyDescent="0.25">
      <c r="A15" s="1">
        <v>14.2</v>
      </c>
      <c r="B15" s="2">
        <v>48135.4</v>
      </c>
    </row>
    <row r="16" spans="1:2" x14ac:dyDescent="0.25">
      <c r="A16" s="1">
        <v>14.21</v>
      </c>
      <c r="B16" s="2">
        <v>48253.21</v>
      </c>
    </row>
    <row r="17" spans="1:2" x14ac:dyDescent="0.25">
      <c r="A17" s="1">
        <v>14.22</v>
      </c>
      <c r="B17" s="2">
        <v>48953.71</v>
      </c>
    </row>
    <row r="18" spans="1:2" x14ac:dyDescent="0.25">
      <c r="A18" s="1">
        <v>14.23</v>
      </c>
      <c r="B18" s="2">
        <v>49020.85</v>
      </c>
    </row>
    <row r="19" spans="1:2" x14ac:dyDescent="0.25">
      <c r="A19" s="1">
        <v>14.24</v>
      </c>
      <c r="B19" s="2">
        <v>45069.95</v>
      </c>
    </row>
    <row r="20" spans="1:2" x14ac:dyDescent="0.25">
      <c r="A20" s="1">
        <v>14.25</v>
      </c>
      <c r="B20" s="2">
        <v>44848.32</v>
      </c>
    </row>
    <row r="21" spans="1:2" x14ac:dyDescent="0.25">
      <c r="A21" s="1">
        <v>14.26</v>
      </c>
      <c r="B21" s="2">
        <v>44077.72</v>
      </c>
    </row>
    <row r="22" spans="1:2" x14ac:dyDescent="0.25">
      <c r="A22" s="1">
        <v>14.27</v>
      </c>
      <c r="B22" s="2">
        <v>41683.480000000003</v>
      </c>
    </row>
    <row r="23" spans="1:2" x14ac:dyDescent="0.25">
      <c r="A23" s="1">
        <v>14.28</v>
      </c>
      <c r="B23" s="2">
        <v>43791.15</v>
      </c>
    </row>
    <row r="24" spans="1:2" x14ac:dyDescent="0.25">
      <c r="A24" s="1">
        <v>14.29</v>
      </c>
      <c r="B24" s="2">
        <v>43134.47</v>
      </c>
    </row>
    <row r="25" spans="1:2" x14ac:dyDescent="0.25">
      <c r="A25" s="1">
        <v>14.3</v>
      </c>
      <c r="B25" s="2">
        <v>43404.4</v>
      </c>
    </row>
    <row r="26" spans="1:2" x14ac:dyDescent="0.25">
      <c r="A26" s="1">
        <v>14.31</v>
      </c>
      <c r="B26" s="2">
        <v>46685.19</v>
      </c>
    </row>
    <row r="27" spans="1:2" x14ac:dyDescent="0.25">
      <c r="A27" s="1">
        <v>14.32</v>
      </c>
      <c r="B27" s="2">
        <v>47631.199999999997</v>
      </c>
    </row>
    <row r="28" spans="1:2" x14ac:dyDescent="0.25">
      <c r="A28" s="1">
        <v>14.33</v>
      </c>
      <c r="B28" s="2">
        <v>58340.86</v>
      </c>
    </row>
    <row r="29" spans="1:2" x14ac:dyDescent="0.25">
      <c r="A29" s="1">
        <v>14.34</v>
      </c>
      <c r="B29" s="2">
        <v>47114.19</v>
      </c>
    </row>
    <row r="30" spans="1:2" x14ac:dyDescent="0.25">
      <c r="A30" s="1">
        <v>14.35</v>
      </c>
      <c r="B30" s="2">
        <v>44173.36</v>
      </c>
    </row>
    <row r="31" spans="1:2" x14ac:dyDescent="0.25">
      <c r="A31" s="1">
        <v>14.36</v>
      </c>
      <c r="B31" s="2">
        <v>43170.61</v>
      </c>
    </row>
    <row r="32" spans="1:2" x14ac:dyDescent="0.25">
      <c r="A32" s="1">
        <v>14.37</v>
      </c>
      <c r="B32" s="2">
        <v>45010.28</v>
      </c>
    </row>
    <row r="33" spans="1:2" x14ac:dyDescent="0.25">
      <c r="A33" s="1">
        <v>14.38</v>
      </c>
      <c r="B33" s="2">
        <v>34944.5</v>
      </c>
    </row>
    <row r="34" spans="1:2" x14ac:dyDescent="0.25">
      <c r="A34" s="1">
        <v>14.39</v>
      </c>
      <c r="B34" s="2">
        <v>32977.129999999997</v>
      </c>
    </row>
    <row r="35" spans="1:2" x14ac:dyDescent="0.25">
      <c r="A35" s="1">
        <v>14.4</v>
      </c>
      <c r="B35" s="2">
        <v>32628.98</v>
      </c>
    </row>
    <row r="36" spans="1:2" x14ac:dyDescent="0.25">
      <c r="A36" s="1">
        <v>14.41</v>
      </c>
      <c r="B36" s="2">
        <v>36701.56</v>
      </c>
    </row>
    <row r="37" spans="1:2" x14ac:dyDescent="0.25">
      <c r="A37" s="1">
        <v>14.42</v>
      </c>
      <c r="B37" s="2">
        <v>43049.97</v>
      </c>
    </row>
    <row r="38" spans="1:2" x14ac:dyDescent="0.25">
      <c r="A38" s="1">
        <v>14.43</v>
      </c>
      <c r="B38" s="2">
        <v>43710.47</v>
      </c>
    </row>
    <row r="39" spans="1:2" x14ac:dyDescent="0.25">
      <c r="A39" s="1">
        <v>14.44</v>
      </c>
      <c r="B39" s="2">
        <v>36981.199999999997</v>
      </c>
    </row>
    <row r="40" spans="1:2" x14ac:dyDescent="0.25">
      <c r="A40" s="1">
        <v>14.45</v>
      </c>
      <c r="B40" s="2">
        <v>29189.59</v>
      </c>
    </row>
    <row r="41" spans="1:2" x14ac:dyDescent="0.25">
      <c r="A41" s="1">
        <v>14.46</v>
      </c>
      <c r="B41" s="2">
        <v>31254.7</v>
      </c>
    </row>
    <row r="42" spans="1:2" x14ac:dyDescent="0.25">
      <c r="A42" s="1">
        <v>14.47</v>
      </c>
      <c r="B42" s="2">
        <v>21232.66</v>
      </c>
    </row>
    <row r="43" spans="1:2" x14ac:dyDescent="0.25">
      <c r="A43" s="1">
        <v>14.48</v>
      </c>
      <c r="B43" s="2">
        <v>20342.38</v>
      </c>
    </row>
    <row r="44" spans="1:2" x14ac:dyDescent="0.25">
      <c r="A44" s="1">
        <v>14.49</v>
      </c>
      <c r="B44" s="2">
        <v>5773.16</v>
      </c>
    </row>
    <row r="45" spans="1:2" x14ac:dyDescent="0.25">
      <c r="A45" s="1">
        <v>14.5</v>
      </c>
      <c r="B45" s="2">
        <v>12627.65</v>
      </c>
    </row>
    <row r="46" spans="1:2" x14ac:dyDescent="0.25">
      <c r="A46" s="1">
        <v>14.51</v>
      </c>
      <c r="B46" s="2">
        <v>7428.75</v>
      </c>
    </row>
    <row r="47" spans="1:2" x14ac:dyDescent="0.25">
      <c r="A47" s="1">
        <v>15.01</v>
      </c>
      <c r="B47" s="2">
        <v>7808.89</v>
      </c>
    </row>
    <row r="48" spans="1:2" x14ac:dyDescent="0.25">
      <c r="A48" s="1">
        <v>15.02</v>
      </c>
      <c r="B48" s="2">
        <v>13076.04</v>
      </c>
    </row>
    <row r="49" spans="1:2" x14ac:dyDescent="0.25">
      <c r="A49" s="1">
        <v>15.03</v>
      </c>
      <c r="B49" s="2">
        <v>-2562.04</v>
      </c>
    </row>
    <row r="100" spans="11:11" x14ac:dyDescent="0.25">
      <c r="K100" t="str">
        <f>"Equity, "&amp;$B$1</f>
        <v>Equity, 776980 - R-Alpari</v>
      </c>
    </row>
  </sheetData>
  <pageMargins left="0.7" right="0.7" top="0.75" bottom="0.75" header="0.3" footer="0.3"/>
  <pageSetup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100"/>
  <sheetViews>
    <sheetView workbookViewId="0">
      <selection activeCell="C16" sqref="C16"/>
    </sheetView>
  </sheetViews>
  <sheetFormatPr defaultRowHeight="15" x14ac:dyDescent="0.25"/>
  <cols>
    <col min="1" max="1" width="13.140625" customWidth="1"/>
    <col min="2" max="2" width="18.7109375" customWidth="1"/>
    <col min="3" max="3" width="12.5703125" bestFit="1" customWidth="1"/>
    <col min="4" max="4" width="12" customWidth="1"/>
    <col min="5" max="5" width="12.5703125" customWidth="1"/>
    <col min="6" max="6" width="14.42578125" customWidth="1"/>
    <col min="7" max="7" width="12.28515625" customWidth="1"/>
    <col min="8" max="8" width="12.5703125" customWidth="1"/>
    <col min="9" max="9" width="12" customWidth="1"/>
    <col min="10" max="10" width="12.5703125" customWidth="1"/>
    <col min="11" max="11" width="14.42578125" bestFit="1" customWidth="1"/>
    <col min="12" max="12" width="12.28515625" bestFit="1" customWidth="1"/>
    <col min="13" max="13" width="12.5703125" bestFit="1" customWidth="1"/>
    <col min="14" max="14" width="12" bestFit="1" customWidth="1"/>
    <col min="15" max="15" width="12.5703125" bestFit="1" customWidth="1"/>
    <col min="16" max="16" width="14.42578125" bestFit="1" customWidth="1"/>
    <col min="17" max="17" width="12.28515625" bestFit="1" customWidth="1"/>
    <col min="18" max="18" width="12.5703125" bestFit="1" customWidth="1"/>
    <col min="19" max="19" width="12" bestFit="1" customWidth="1"/>
    <col min="20" max="20" width="12.5703125" bestFit="1" customWidth="1"/>
    <col min="21" max="21" width="14.42578125" bestFit="1" customWidth="1"/>
    <col min="22" max="22" width="12.28515625" bestFit="1" customWidth="1"/>
    <col min="23" max="23" width="12.5703125" bestFit="1" customWidth="1"/>
    <col min="24" max="24" width="12" bestFit="1" customWidth="1"/>
    <col min="25" max="25" width="12.5703125" bestFit="1" customWidth="1"/>
    <col min="26" max="26" width="14.42578125" bestFit="1" customWidth="1"/>
    <col min="27" max="27" width="12.28515625" bestFit="1" customWidth="1"/>
    <col min="28" max="28" width="12.5703125" bestFit="1" customWidth="1"/>
    <col min="29" max="29" width="12" bestFit="1" customWidth="1"/>
    <col min="30" max="30" width="12.5703125" bestFit="1" customWidth="1"/>
    <col min="31" max="31" width="14.42578125" bestFit="1" customWidth="1"/>
    <col min="32" max="32" width="12.28515625" bestFit="1" customWidth="1"/>
    <col min="33" max="33" width="12.5703125" bestFit="1" customWidth="1"/>
    <col min="34" max="34" width="12" bestFit="1" customWidth="1"/>
    <col min="35" max="35" width="12.5703125" bestFit="1" customWidth="1"/>
    <col min="36" max="36" width="14.42578125" bestFit="1" customWidth="1"/>
    <col min="37" max="37" width="12.28515625" bestFit="1" customWidth="1"/>
    <col min="38" max="38" width="12.5703125" bestFit="1" customWidth="1"/>
    <col min="39" max="39" width="12" bestFit="1" customWidth="1"/>
    <col min="40" max="40" width="12.5703125" bestFit="1" customWidth="1"/>
    <col min="41" max="41" width="14.42578125" bestFit="1" customWidth="1"/>
    <col min="42" max="42" width="12.28515625" bestFit="1" customWidth="1"/>
    <col min="43" max="43" width="12.5703125" bestFit="1" customWidth="1"/>
    <col min="44" max="44" width="12" bestFit="1" customWidth="1"/>
    <col min="45" max="45" width="12.5703125" bestFit="1" customWidth="1"/>
    <col min="46" max="46" width="14.42578125" bestFit="1" customWidth="1"/>
    <col min="47" max="47" width="12.28515625" bestFit="1" customWidth="1"/>
    <col min="48" max="48" width="12.5703125" bestFit="1" customWidth="1"/>
    <col min="49" max="49" width="12" bestFit="1" customWidth="1"/>
    <col min="50" max="50" width="12.5703125" bestFit="1" customWidth="1"/>
    <col min="51" max="51" width="14.42578125" bestFit="1" customWidth="1"/>
    <col min="52" max="52" width="12.28515625" bestFit="1" customWidth="1"/>
    <col min="53" max="53" width="12.5703125" bestFit="1" customWidth="1"/>
    <col min="54" max="54" width="12" bestFit="1" customWidth="1"/>
    <col min="55" max="55" width="12.5703125" bestFit="1" customWidth="1"/>
    <col min="56" max="56" width="14.42578125" bestFit="1" customWidth="1"/>
    <col min="57" max="57" width="12.28515625" bestFit="1" customWidth="1"/>
    <col min="58" max="58" width="12.5703125" bestFit="1" customWidth="1"/>
    <col min="59" max="59" width="12" bestFit="1" customWidth="1"/>
    <col min="60" max="60" width="12.5703125" bestFit="1" customWidth="1"/>
    <col min="61" max="61" width="14.42578125" bestFit="1" customWidth="1"/>
    <col min="62" max="62" width="12.28515625" bestFit="1" customWidth="1"/>
    <col min="63" max="63" width="12.5703125" bestFit="1" customWidth="1"/>
    <col min="64" max="64" width="12" bestFit="1" customWidth="1"/>
    <col min="65" max="65" width="12.5703125" bestFit="1" customWidth="1"/>
    <col min="66" max="66" width="14.42578125" bestFit="1" customWidth="1"/>
    <col min="67" max="67" width="12.28515625" bestFit="1" customWidth="1"/>
    <col min="68" max="68" width="12.5703125" bestFit="1" customWidth="1"/>
    <col min="69" max="69" width="12" bestFit="1" customWidth="1"/>
    <col min="70" max="70" width="12.5703125" bestFit="1" customWidth="1"/>
    <col min="71" max="71" width="14.42578125" bestFit="1" customWidth="1"/>
    <col min="72" max="72" width="12.28515625" bestFit="1" customWidth="1"/>
    <col min="73" max="73" width="12.5703125" bestFit="1" customWidth="1"/>
    <col min="74" max="74" width="12" bestFit="1" customWidth="1"/>
    <col min="75" max="75" width="12.5703125" bestFit="1" customWidth="1"/>
    <col min="76" max="76" width="14.42578125" bestFit="1" customWidth="1"/>
  </cols>
  <sheetData>
    <row r="1" spans="1:2" x14ac:dyDescent="0.25">
      <c r="A1" s="9" t="s">
        <v>0</v>
      </c>
      <c r="B1" t="s">
        <v>75</v>
      </c>
    </row>
    <row r="3" spans="1:2" x14ac:dyDescent="0.25">
      <c r="B3" s="9" t="s">
        <v>2</v>
      </c>
    </row>
    <row r="5" spans="1:2" x14ac:dyDescent="0.25">
      <c r="A5" s="9" t="s">
        <v>3</v>
      </c>
    </row>
    <row r="100" spans="11:11" x14ac:dyDescent="0.25">
      <c r="K100" t="str">
        <f>"Channel Status - "&amp;B4&amp;" ("&amp;B1&amp;")"</f>
        <v>Channel Status -  (774678 - M-Alpari)</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100"/>
  <sheetViews>
    <sheetView workbookViewId="0">
      <selection activeCell="B5" sqref="B5"/>
    </sheetView>
  </sheetViews>
  <sheetFormatPr defaultRowHeight="15" x14ac:dyDescent="0.25"/>
  <cols>
    <col min="1" max="1" width="13.140625" customWidth="1"/>
    <col min="2" max="3" width="18.7109375" customWidth="1"/>
    <col min="4" max="5" width="12" bestFit="1" customWidth="1"/>
    <col min="6" max="12" width="12" customWidth="1"/>
    <col min="13" max="13" width="13.140625" customWidth="1"/>
    <col min="14" max="14" width="18.140625" customWidth="1"/>
  </cols>
  <sheetData>
    <row r="1" spans="1:14" x14ac:dyDescent="0.25">
      <c r="A1" s="9" t="s">
        <v>14</v>
      </c>
      <c r="B1" t="s">
        <v>75</v>
      </c>
    </row>
    <row r="3" spans="1:14" x14ac:dyDescent="0.25">
      <c r="A3" s="9" t="s">
        <v>3</v>
      </c>
      <c r="B3" t="s">
        <v>15</v>
      </c>
    </row>
    <row r="4" spans="1:14" x14ac:dyDescent="0.25">
      <c r="A4" s="4" t="s">
        <v>5</v>
      </c>
      <c r="B4" s="5">
        <v>-0.2462499999999995</v>
      </c>
      <c r="M4" s="4"/>
      <c r="N4" s="6"/>
    </row>
    <row r="5" spans="1:14" x14ac:dyDescent="0.25">
      <c r="A5" s="4" t="s">
        <v>25</v>
      </c>
      <c r="B5" s="5">
        <v>-0.21758969000348338</v>
      </c>
      <c r="M5" s="4"/>
      <c r="N5" s="6"/>
    </row>
    <row r="6" spans="1:14" x14ac:dyDescent="0.25">
      <c r="M6" s="4"/>
      <c r="N6" s="6"/>
    </row>
    <row r="7" spans="1:14" x14ac:dyDescent="0.25">
      <c r="M7" s="4"/>
      <c r="N7" s="6"/>
    </row>
    <row r="23" spans="1:3" x14ac:dyDescent="0.25">
      <c r="A23" s="4"/>
      <c r="B23" s="5"/>
      <c r="C23" s="5"/>
    </row>
    <row r="24" spans="1:3" x14ac:dyDescent="0.25">
      <c r="A24" s="4"/>
      <c r="B24" s="5"/>
      <c r="C24" s="5"/>
    </row>
    <row r="25" spans="1:3" x14ac:dyDescent="0.25">
      <c r="A25" s="4"/>
      <c r="B25" s="5"/>
      <c r="C25" s="5"/>
    </row>
    <row r="26" spans="1:3" x14ac:dyDescent="0.25">
      <c r="A26" s="4"/>
      <c r="B26" s="5"/>
      <c r="C26" s="5"/>
    </row>
    <row r="27" spans="1:3" x14ac:dyDescent="0.25">
      <c r="A27" s="4"/>
      <c r="B27" s="5"/>
      <c r="C27" s="5"/>
    </row>
    <row r="39" spans="1:3" x14ac:dyDescent="0.25">
      <c r="A39" s="4"/>
      <c r="B39" s="5"/>
      <c r="C39" s="5"/>
    </row>
    <row r="40" spans="1:3" x14ac:dyDescent="0.25">
      <c r="A40" s="4"/>
      <c r="B40" s="5"/>
      <c r="C40" s="5"/>
    </row>
    <row r="41" spans="1:3" x14ac:dyDescent="0.25">
      <c r="A41" s="4"/>
      <c r="B41" s="5"/>
      <c r="C41" s="5"/>
    </row>
    <row r="100" spans="11:11" x14ac:dyDescent="0.25">
      <c r="K100" t="str">
        <f>"Balancing, "&amp;$B$1</f>
        <v>Balancing, 774678 - M-Alpari</v>
      </c>
    </row>
  </sheetData>
  <pageMargins left="0.7" right="0.7" top="0.75" bottom="0.75" header="0.3" footer="0.3"/>
  <pageSetup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02:W198"/>
  <sheetViews>
    <sheetView view="pageBreakPreview" topLeftCell="A95" zoomScale="55" zoomScaleNormal="75" zoomScaleSheetLayoutView="55" workbookViewId="0">
      <selection activeCell="F159" sqref="F159"/>
    </sheetView>
  </sheetViews>
  <sheetFormatPr defaultRowHeight="15" x14ac:dyDescent="0.25"/>
  <cols>
    <col min="1" max="1" width="19.85546875" bestFit="1" customWidth="1"/>
    <col min="2" max="2" width="23.5703125" customWidth="1"/>
    <col min="3" max="3" width="10.5703125" customWidth="1"/>
    <col min="4" max="4" width="11.5703125" customWidth="1"/>
    <col min="5" max="5" width="16.5703125" customWidth="1"/>
    <col min="6" max="6" width="14.7109375" bestFit="1" customWidth="1"/>
  </cols>
  <sheetData>
    <row r="102" spans="1:6" ht="15.75" x14ac:dyDescent="0.25">
      <c r="A102" s="9" t="s">
        <v>0</v>
      </c>
      <c r="B102" t="s">
        <v>75</v>
      </c>
      <c r="E102" t="s">
        <v>30</v>
      </c>
      <c r="F102" s="10">
        <v>0</v>
      </c>
    </row>
    <row r="103" spans="1:6" x14ac:dyDescent="0.25">
      <c r="E103" t="str">
        <f ca="1">"as of "&amp;TEXT(TODAY(),"DD-MMM-YY")</f>
        <v>as of 26-Jun-15</v>
      </c>
    </row>
    <row r="104" spans="1:6" x14ac:dyDescent="0.25">
      <c r="A104" s="9" t="s">
        <v>3</v>
      </c>
      <c r="B104" t="s">
        <v>13</v>
      </c>
    </row>
    <row r="105" spans="1:6" x14ac:dyDescent="0.25">
      <c r="A105" s="1">
        <v>13.46</v>
      </c>
      <c r="B105" s="2">
        <v>39820.06</v>
      </c>
    </row>
    <row r="106" spans="1:6" x14ac:dyDescent="0.25">
      <c r="A106" s="1">
        <v>13.47</v>
      </c>
      <c r="B106" s="2">
        <v>39790.94</v>
      </c>
    </row>
    <row r="107" spans="1:6" x14ac:dyDescent="0.25">
      <c r="A107" s="1">
        <v>13.48</v>
      </c>
      <c r="B107" s="2">
        <v>40348.21</v>
      </c>
    </row>
    <row r="108" spans="1:6" x14ac:dyDescent="0.25">
      <c r="A108" s="1">
        <v>13.49</v>
      </c>
      <c r="B108" s="2">
        <v>40682.85</v>
      </c>
    </row>
    <row r="109" spans="1:6" x14ac:dyDescent="0.25">
      <c r="A109" s="1">
        <v>13.5</v>
      </c>
      <c r="B109" s="2">
        <v>41411.230000000003</v>
      </c>
    </row>
    <row r="110" spans="1:6" x14ac:dyDescent="0.25">
      <c r="A110" s="1">
        <v>13.51</v>
      </c>
      <c r="B110" s="2">
        <v>43066.83</v>
      </c>
    </row>
    <row r="111" spans="1:6" x14ac:dyDescent="0.25">
      <c r="A111" s="1">
        <v>14.01</v>
      </c>
      <c r="B111" s="2">
        <v>37615.64</v>
      </c>
    </row>
    <row r="112" spans="1:6" x14ac:dyDescent="0.25">
      <c r="A112" s="1">
        <v>14.03</v>
      </c>
      <c r="B112" s="2">
        <v>44585.91</v>
      </c>
    </row>
    <row r="113" spans="1:2" x14ac:dyDescent="0.25">
      <c r="A113" s="1">
        <v>14.04</v>
      </c>
      <c r="B113" s="2">
        <v>42322.38</v>
      </c>
    </row>
    <row r="114" spans="1:2" x14ac:dyDescent="0.25">
      <c r="A114" s="1">
        <v>14.05</v>
      </c>
      <c r="B114" s="2">
        <v>44460.27</v>
      </c>
    </row>
    <row r="115" spans="1:2" x14ac:dyDescent="0.25">
      <c r="A115" s="1">
        <v>14.06</v>
      </c>
      <c r="B115" s="2">
        <v>48087.72</v>
      </c>
    </row>
    <row r="116" spans="1:2" x14ac:dyDescent="0.25">
      <c r="A116" s="1">
        <v>14.07</v>
      </c>
      <c r="B116" s="2">
        <v>47890.95</v>
      </c>
    </row>
    <row r="117" spans="1:2" x14ac:dyDescent="0.25">
      <c r="A117" s="1">
        <v>14.08</v>
      </c>
      <c r="B117" s="2">
        <v>49541.03</v>
      </c>
    </row>
    <row r="118" spans="1:2" x14ac:dyDescent="0.25">
      <c r="A118" s="1">
        <v>14.09</v>
      </c>
      <c r="B118" s="2">
        <v>78801.649999999994</v>
      </c>
    </row>
    <row r="119" spans="1:2" x14ac:dyDescent="0.25">
      <c r="A119" s="1">
        <v>14.1</v>
      </c>
      <c r="B119" s="2">
        <v>76171.22</v>
      </c>
    </row>
    <row r="120" spans="1:2" x14ac:dyDescent="0.25">
      <c r="A120" s="1">
        <v>14.11</v>
      </c>
      <c r="B120" s="2">
        <v>77841.240000000005</v>
      </c>
    </row>
    <row r="121" spans="1:2" x14ac:dyDescent="0.25">
      <c r="A121" s="1">
        <v>14.12</v>
      </c>
      <c r="B121" s="2">
        <v>80131.789999999994</v>
      </c>
    </row>
    <row r="122" spans="1:2" x14ac:dyDescent="0.25">
      <c r="A122" s="1">
        <v>14.13</v>
      </c>
      <c r="B122" s="2">
        <v>73592.75</v>
      </c>
    </row>
    <row r="123" spans="1:2" x14ac:dyDescent="0.25">
      <c r="A123" s="1">
        <v>14.14</v>
      </c>
      <c r="B123" s="2">
        <v>71900.759999999995</v>
      </c>
    </row>
    <row r="124" spans="1:2" x14ac:dyDescent="0.25">
      <c r="A124" s="1">
        <v>14.15</v>
      </c>
      <c r="B124" s="2">
        <v>72586.899999999994</v>
      </c>
    </row>
    <row r="125" spans="1:2" x14ac:dyDescent="0.25">
      <c r="A125" s="1">
        <v>14.16</v>
      </c>
      <c r="B125" s="2">
        <v>75126.89</v>
      </c>
    </row>
    <row r="126" spans="1:2" x14ac:dyDescent="0.25">
      <c r="A126" s="1">
        <v>14.17</v>
      </c>
      <c r="B126" s="2">
        <v>78294.240000000005</v>
      </c>
    </row>
    <row r="127" spans="1:2" x14ac:dyDescent="0.25">
      <c r="A127" s="1">
        <v>14.18</v>
      </c>
      <c r="B127" s="2">
        <v>78336.91</v>
      </c>
    </row>
    <row r="128" spans="1:2" x14ac:dyDescent="0.25">
      <c r="A128" s="1">
        <v>14.19</v>
      </c>
      <c r="B128" s="2">
        <v>78141.72</v>
      </c>
    </row>
    <row r="129" spans="1:2" x14ac:dyDescent="0.25">
      <c r="A129" s="1">
        <v>14.2</v>
      </c>
      <c r="B129" s="2">
        <v>78321.570000000007</v>
      </c>
    </row>
    <row r="130" spans="1:2" x14ac:dyDescent="0.25">
      <c r="A130" s="1">
        <v>14.21</v>
      </c>
      <c r="B130" s="2">
        <v>81181.37</v>
      </c>
    </row>
    <row r="131" spans="1:2" x14ac:dyDescent="0.25">
      <c r="A131" s="1">
        <v>14.22</v>
      </c>
      <c r="B131" s="2">
        <v>80514.539999999994</v>
      </c>
    </row>
    <row r="132" spans="1:2" x14ac:dyDescent="0.25">
      <c r="A132" s="1">
        <v>14.23</v>
      </c>
      <c r="B132" s="2">
        <v>78955.179999999993</v>
      </c>
    </row>
    <row r="133" spans="1:2" x14ac:dyDescent="0.25">
      <c r="A133" s="1">
        <v>14.24</v>
      </c>
      <c r="B133" s="2">
        <v>75260.86</v>
      </c>
    </row>
    <row r="134" spans="1:2" x14ac:dyDescent="0.25">
      <c r="A134" s="1">
        <v>14.25</v>
      </c>
      <c r="B134" s="2">
        <v>76521.87</v>
      </c>
    </row>
    <row r="135" spans="1:2" x14ac:dyDescent="0.25">
      <c r="A135" s="1">
        <v>14.26</v>
      </c>
      <c r="B135" s="2">
        <v>75940.149999999994</v>
      </c>
    </row>
    <row r="136" spans="1:2" x14ac:dyDescent="0.25">
      <c r="A136" s="1">
        <v>14.27</v>
      </c>
      <c r="B136" s="2">
        <v>76804.7</v>
      </c>
    </row>
    <row r="137" spans="1:2" x14ac:dyDescent="0.25">
      <c r="A137" s="1">
        <v>14.28</v>
      </c>
      <c r="B137" s="2">
        <v>75075.12</v>
      </c>
    </row>
    <row r="138" spans="1:2" x14ac:dyDescent="0.25">
      <c r="A138" s="1">
        <v>14.29</v>
      </c>
      <c r="B138" s="2">
        <v>77754.44</v>
      </c>
    </row>
    <row r="139" spans="1:2" x14ac:dyDescent="0.25">
      <c r="A139" s="1">
        <v>14.3</v>
      </c>
      <c r="B139" s="2">
        <v>76459.13</v>
      </c>
    </row>
    <row r="140" spans="1:2" x14ac:dyDescent="0.25">
      <c r="A140" s="1">
        <v>14.31</v>
      </c>
      <c r="B140" s="2">
        <v>77187.5</v>
      </c>
    </row>
    <row r="141" spans="1:2" x14ac:dyDescent="0.25">
      <c r="A141" s="1">
        <v>14.32</v>
      </c>
      <c r="B141" s="2">
        <v>79822.759999999995</v>
      </c>
    </row>
    <row r="142" spans="1:2" x14ac:dyDescent="0.25">
      <c r="A142" s="1">
        <v>14.33</v>
      </c>
      <c r="B142" s="2">
        <v>79123.429999999993</v>
      </c>
    </row>
    <row r="143" spans="1:2" x14ac:dyDescent="0.25">
      <c r="A143" s="1">
        <v>14.34</v>
      </c>
      <c r="B143" s="2">
        <v>66081.52</v>
      </c>
    </row>
    <row r="144" spans="1:2" x14ac:dyDescent="0.25">
      <c r="A144" s="1">
        <v>14.35</v>
      </c>
      <c r="B144" s="2">
        <v>58690.18</v>
      </c>
    </row>
    <row r="145" spans="1:2" x14ac:dyDescent="0.25">
      <c r="A145" s="1">
        <v>14.36</v>
      </c>
      <c r="B145" s="2">
        <v>42569.85</v>
      </c>
    </row>
    <row r="146" spans="1:2" x14ac:dyDescent="0.25">
      <c r="A146" s="1">
        <v>14.37</v>
      </c>
      <c r="B146" s="2">
        <v>45377.52</v>
      </c>
    </row>
    <row r="147" spans="1:2" x14ac:dyDescent="0.25">
      <c r="A147" s="1">
        <v>14.38</v>
      </c>
      <c r="B147" s="2">
        <v>36451.69</v>
      </c>
    </row>
    <row r="148" spans="1:2" x14ac:dyDescent="0.25">
      <c r="A148" s="1">
        <v>14.39</v>
      </c>
      <c r="B148" s="2">
        <v>26616.86</v>
      </c>
    </row>
    <row r="149" spans="1:2" x14ac:dyDescent="0.25">
      <c r="A149" s="1">
        <v>14.4</v>
      </c>
      <c r="B149" s="2">
        <v>16435.740000000002</v>
      </c>
    </row>
    <row r="150" spans="1:2" x14ac:dyDescent="0.25">
      <c r="A150" s="1">
        <v>14.41</v>
      </c>
      <c r="B150" s="2">
        <v>24193.13</v>
      </c>
    </row>
    <row r="151" spans="1:2" x14ac:dyDescent="0.25">
      <c r="A151" s="1">
        <v>14.42</v>
      </c>
      <c r="B151" s="2">
        <v>35654.269999999997</v>
      </c>
    </row>
    <row r="152" spans="1:2" x14ac:dyDescent="0.25">
      <c r="A152" s="1">
        <v>14.43</v>
      </c>
      <c r="B152" s="2">
        <v>27999.35</v>
      </c>
    </row>
    <row r="153" spans="1:2" x14ac:dyDescent="0.25">
      <c r="A153" s="1">
        <v>14.44</v>
      </c>
      <c r="B153" s="2">
        <v>17115.03</v>
      </c>
    </row>
    <row r="154" spans="1:2" x14ac:dyDescent="0.25">
      <c r="A154" s="1">
        <v>14.45</v>
      </c>
      <c r="B154" s="2">
        <v>8833.1200000000008</v>
      </c>
    </row>
    <row r="155" spans="1:2" x14ac:dyDescent="0.25">
      <c r="A155" s="1">
        <v>14.46</v>
      </c>
      <c r="B155" s="2">
        <v>15155.99</v>
      </c>
    </row>
    <row r="156" spans="1:2" x14ac:dyDescent="0.25">
      <c r="A156" s="1">
        <v>14.47</v>
      </c>
      <c r="B156" s="2">
        <v>11280.43</v>
      </c>
    </row>
    <row r="157" spans="1:2" x14ac:dyDescent="0.25">
      <c r="A157" s="1">
        <v>14.48</v>
      </c>
      <c r="B157" s="2">
        <v>11221.87</v>
      </c>
    </row>
    <row r="158" spans="1:2" x14ac:dyDescent="0.25">
      <c r="A158" s="1">
        <v>14.49</v>
      </c>
      <c r="B158" s="2">
        <v>3888.26</v>
      </c>
    </row>
    <row r="159" spans="1:2" x14ac:dyDescent="0.25">
      <c r="A159" s="1">
        <v>14.5</v>
      </c>
      <c r="B159" s="2">
        <v>5342.54</v>
      </c>
    </row>
    <row r="160" spans="1:2" x14ac:dyDescent="0.25">
      <c r="A160" s="1">
        <v>15.01</v>
      </c>
      <c r="B160" s="2">
        <v>1252.44</v>
      </c>
    </row>
    <row r="161" spans="1:2" x14ac:dyDescent="0.25">
      <c r="A161" s="1">
        <v>15.02</v>
      </c>
      <c r="B161" s="2">
        <v>1855.49</v>
      </c>
    </row>
    <row r="162" spans="1:2" x14ac:dyDescent="0.25">
      <c r="A162" s="1">
        <v>15.03</v>
      </c>
      <c r="B162" s="2">
        <v>-58.37</v>
      </c>
    </row>
    <row r="198" spans="23:23" x14ac:dyDescent="0.25">
      <c r="W198" s="12" t="s">
        <v>32</v>
      </c>
    </row>
  </sheetData>
  <pageMargins left="0.7" right="0.7" top="0.75" bottom="0.75" header="0.3" footer="0.3"/>
  <pageSetup paperSize="9" fitToHeight="7" orientation="landscape" r:id="rId2"/>
  <headerFooter>
    <oddHeader>&amp;LAlgoInvest&amp;CWeekly Report&amp;R&amp;D</oddHeader>
    <oddFooter>Page &amp;P of &amp;N</oddFooter>
  </headerFooter>
  <drawing r:id="rId3"/>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782"/>
  <sheetViews>
    <sheetView workbookViewId="0"/>
  </sheetViews>
  <sheetFormatPr defaultRowHeight="15" x14ac:dyDescent="0.25"/>
  <cols>
    <col min="1" max="1" width="20.42578125" bestFit="1" customWidth="1"/>
    <col min="2" max="2" width="13.42578125" bestFit="1" customWidth="1"/>
    <col min="3" max="3" width="13.28515625" bestFit="1" customWidth="1"/>
    <col min="4" max="4" width="10.85546875" bestFit="1" customWidth="1"/>
    <col min="5" max="5" width="11.140625" bestFit="1" customWidth="1"/>
    <col min="6" max="6" width="13.28515625" bestFit="1" customWidth="1"/>
    <col min="7" max="7" width="10.42578125" customWidth="1"/>
    <col min="8" max="8" width="13.28515625" bestFit="1" customWidth="1"/>
    <col min="9" max="9" width="13.28515625" customWidth="1"/>
    <col min="10" max="11" width="81.140625" bestFit="1" customWidth="1"/>
  </cols>
  <sheetData>
    <row r="1" spans="1:6" x14ac:dyDescent="0.25">
      <c r="A1" t="s">
        <v>16</v>
      </c>
      <c r="B1" t="s">
        <v>10</v>
      </c>
      <c r="C1" t="s">
        <v>17</v>
      </c>
      <c r="D1" t="s">
        <v>18</v>
      </c>
      <c r="E1" t="s">
        <v>19</v>
      </c>
      <c r="F1" t="s">
        <v>20</v>
      </c>
    </row>
    <row r="2" spans="1:6" hidden="1" x14ac:dyDescent="0.25">
      <c r="A2">
        <v>620082</v>
      </c>
      <c r="B2" t="s">
        <v>21</v>
      </c>
      <c r="C2" s="7">
        <v>1.4629399999999999</v>
      </c>
      <c r="D2">
        <v>20</v>
      </c>
      <c r="E2" s="7">
        <v>0</v>
      </c>
      <c r="F2" t="s">
        <v>22</v>
      </c>
    </row>
    <row r="3" spans="1:6" hidden="1" x14ac:dyDescent="0.25">
      <c r="A3">
        <v>620082</v>
      </c>
      <c r="B3" t="s">
        <v>21</v>
      </c>
      <c r="C3" s="7">
        <v>1.46374</v>
      </c>
      <c r="D3">
        <v>8</v>
      </c>
      <c r="E3" s="7">
        <v>0</v>
      </c>
      <c r="F3" t="s">
        <v>23</v>
      </c>
    </row>
    <row r="4" spans="1:6" hidden="1" x14ac:dyDescent="0.25">
      <c r="A4">
        <v>620082</v>
      </c>
      <c r="B4" t="s">
        <v>6</v>
      </c>
      <c r="C4" s="7">
        <v>1.9603699999999999</v>
      </c>
      <c r="D4">
        <v>40</v>
      </c>
      <c r="E4" s="7">
        <v>0</v>
      </c>
      <c r="F4" t="s">
        <v>22</v>
      </c>
    </row>
    <row r="5" spans="1:6" hidden="1" x14ac:dyDescent="0.25">
      <c r="A5">
        <v>620082</v>
      </c>
      <c r="B5" t="s">
        <v>7</v>
      </c>
      <c r="C5" s="7">
        <v>102.41800000000001</v>
      </c>
      <c r="D5">
        <v>20</v>
      </c>
      <c r="E5" s="7">
        <v>0</v>
      </c>
      <c r="F5" t="s">
        <v>22</v>
      </c>
    </row>
    <row r="6" spans="1:6" hidden="1" x14ac:dyDescent="0.25">
      <c r="A6">
        <v>620082</v>
      </c>
      <c r="B6" t="s">
        <v>7</v>
      </c>
      <c r="C6" s="7">
        <v>102.44</v>
      </c>
      <c r="D6">
        <v>2.2000000000000002</v>
      </c>
      <c r="E6" s="7">
        <v>0</v>
      </c>
      <c r="F6" t="s">
        <v>23</v>
      </c>
    </row>
    <row r="7" spans="1:6" hidden="1" x14ac:dyDescent="0.25">
      <c r="A7">
        <v>774022</v>
      </c>
      <c r="B7" t="s">
        <v>24</v>
      </c>
      <c r="C7" s="7">
        <v>1.7480199999999999</v>
      </c>
      <c r="D7">
        <v>40</v>
      </c>
      <c r="E7" s="7">
        <v>1.744</v>
      </c>
      <c r="F7" t="s">
        <v>22</v>
      </c>
    </row>
    <row r="8" spans="1:6" hidden="1" x14ac:dyDescent="0.25">
      <c r="A8">
        <v>774022</v>
      </c>
      <c r="B8" t="s">
        <v>24</v>
      </c>
      <c r="C8" s="7">
        <v>1.752</v>
      </c>
      <c r="D8">
        <v>39.799999999999997</v>
      </c>
      <c r="E8" s="7">
        <v>1.748</v>
      </c>
      <c r="F8" t="s">
        <v>22</v>
      </c>
    </row>
    <row r="9" spans="1:6" hidden="1" x14ac:dyDescent="0.25">
      <c r="A9">
        <v>774022</v>
      </c>
      <c r="B9" t="s">
        <v>24</v>
      </c>
      <c r="C9" s="7">
        <v>1.7560100000000001</v>
      </c>
      <c r="D9">
        <v>40.1</v>
      </c>
      <c r="E9" s="7">
        <v>1.752</v>
      </c>
      <c r="F9" t="s">
        <v>22</v>
      </c>
    </row>
    <row r="10" spans="1:6" hidden="1" x14ac:dyDescent="0.25">
      <c r="A10">
        <v>774022</v>
      </c>
      <c r="B10" t="s">
        <v>24</v>
      </c>
      <c r="C10" s="7">
        <v>1.7600199999999999</v>
      </c>
      <c r="D10">
        <v>40.1</v>
      </c>
      <c r="E10" s="7">
        <v>1.756</v>
      </c>
      <c r="F10" t="s">
        <v>22</v>
      </c>
    </row>
    <row r="11" spans="1:6" hidden="1" x14ac:dyDescent="0.25">
      <c r="A11">
        <v>774022</v>
      </c>
      <c r="B11" t="s">
        <v>24</v>
      </c>
      <c r="C11" s="7">
        <v>1.7640100000000001</v>
      </c>
      <c r="D11">
        <v>39.9</v>
      </c>
      <c r="E11" s="7">
        <v>1.76</v>
      </c>
      <c r="F11" t="s">
        <v>22</v>
      </c>
    </row>
    <row r="12" spans="1:6" hidden="1" x14ac:dyDescent="0.25">
      <c r="A12">
        <v>774022</v>
      </c>
      <c r="B12" t="s">
        <v>24</v>
      </c>
      <c r="C12" s="7">
        <v>1.7680199999999999</v>
      </c>
      <c r="D12">
        <v>40.1</v>
      </c>
      <c r="E12" s="7">
        <v>1.764</v>
      </c>
      <c r="F12" t="s">
        <v>22</v>
      </c>
    </row>
    <row r="13" spans="1:6" hidden="1" x14ac:dyDescent="0.25">
      <c r="A13">
        <v>774022</v>
      </c>
      <c r="B13" t="s">
        <v>24</v>
      </c>
      <c r="C13" s="7">
        <v>1.7720100000000001</v>
      </c>
      <c r="D13">
        <v>39.9</v>
      </c>
      <c r="E13" s="7">
        <v>1.768</v>
      </c>
      <c r="F13" t="s">
        <v>22</v>
      </c>
    </row>
    <row r="14" spans="1:6" hidden="1" x14ac:dyDescent="0.25">
      <c r="A14">
        <v>774022</v>
      </c>
      <c r="B14" t="s">
        <v>24</v>
      </c>
      <c r="C14" s="7">
        <v>1.776</v>
      </c>
      <c r="D14">
        <v>39.9</v>
      </c>
      <c r="E14" s="7">
        <v>1.772</v>
      </c>
      <c r="F14" t="s">
        <v>22</v>
      </c>
    </row>
    <row r="15" spans="1:6" hidden="1" x14ac:dyDescent="0.25">
      <c r="A15">
        <v>774022</v>
      </c>
      <c r="B15" t="s">
        <v>24</v>
      </c>
      <c r="C15" s="7">
        <v>1.7800400000000001</v>
      </c>
      <c r="D15">
        <v>40.4</v>
      </c>
      <c r="E15" s="7">
        <v>1.776</v>
      </c>
      <c r="F15" t="s">
        <v>22</v>
      </c>
    </row>
    <row r="16" spans="1:6" hidden="1" x14ac:dyDescent="0.25">
      <c r="A16">
        <v>774022</v>
      </c>
      <c r="B16" t="s">
        <v>24</v>
      </c>
      <c r="C16" s="7">
        <v>1.784</v>
      </c>
      <c r="D16">
        <v>39.6</v>
      </c>
      <c r="E16" s="7">
        <v>1.78</v>
      </c>
      <c r="F16" t="s">
        <v>22</v>
      </c>
    </row>
    <row r="17" spans="1:6" hidden="1" x14ac:dyDescent="0.25">
      <c r="A17">
        <v>774022</v>
      </c>
      <c r="B17" t="s">
        <v>24</v>
      </c>
      <c r="C17" s="7">
        <v>1.78803</v>
      </c>
      <c r="D17">
        <v>40.299999999999997</v>
      </c>
      <c r="E17" s="7">
        <v>1.784</v>
      </c>
      <c r="F17" t="s">
        <v>22</v>
      </c>
    </row>
    <row r="18" spans="1:6" hidden="1" x14ac:dyDescent="0.25">
      <c r="A18">
        <v>774022</v>
      </c>
      <c r="B18" t="s">
        <v>24</v>
      </c>
      <c r="C18" s="7">
        <v>1.792</v>
      </c>
      <c r="D18">
        <v>39.700000000000003</v>
      </c>
      <c r="E18" s="7">
        <v>1.788</v>
      </c>
      <c r="F18" t="s">
        <v>22</v>
      </c>
    </row>
    <row r="19" spans="1:6" hidden="1" x14ac:dyDescent="0.25">
      <c r="A19">
        <v>774022</v>
      </c>
      <c r="B19" t="s">
        <v>24</v>
      </c>
      <c r="C19" s="7">
        <v>1.7960100000000001</v>
      </c>
      <c r="D19">
        <v>40.1</v>
      </c>
      <c r="E19" s="7">
        <v>1.792</v>
      </c>
      <c r="F19" t="s">
        <v>22</v>
      </c>
    </row>
    <row r="20" spans="1:6" hidden="1" x14ac:dyDescent="0.25">
      <c r="A20">
        <v>774022</v>
      </c>
      <c r="B20" t="s">
        <v>24</v>
      </c>
      <c r="C20" s="7">
        <v>1.80006</v>
      </c>
      <c r="D20">
        <v>40.5</v>
      </c>
      <c r="E20" s="7">
        <v>1.796</v>
      </c>
      <c r="F20" t="s">
        <v>22</v>
      </c>
    </row>
    <row r="21" spans="1:6" hidden="1" x14ac:dyDescent="0.25">
      <c r="A21">
        <v>774022</v>
      </c>
      <c r="B21" t="s">
        <v>24</v>
      </c>
      <c r="C21" s="7">
        <v>1.804</v>
      </c>
      <c r="D21">
        <v>39.4</v>
      </c>
      <c r="E21" s="7">
        <v>1.8</v>
      </c>
      <c r="F21" t="s">
        <v>22</v>
      </c>
    </row>
    <row r="22" spans="1:6" hidden="1" x14ac:dyDescent="0.25">
      <c r="A22">
        <v>774022</v>
      </c>
      <c r="B22" t="s">
        <v>24</v>
      </c>
      <c r="C22" s="7">
        <v>1.80806</v>
      </c>
      <c r="D22">
        <v>40.6</v>
      </c>
      <c r="E22" s="7">
        <v>1.804</v>
      </c>
      <c r="F22" t="s">
        <v>22</v>
      </c>
    </row>
    <row r="23" spans="1:6" hidden="1" x14ac:dyDescent="0.25">
      <c r="A23">
        <v>774022</v>
      </c>
      <c r="B23" t="s">
        <v>24</v>
      </c>
      <c r="C23" s="7">
        <v>1.81202</v>
      </c>
      <c r="D23">
        <v>39.6</v>
      </c>
      <c r="E23" s="7">
        <v>1.8080000000000001</v>
      </c>
      <c r="F23" t="s">
        <v>22</v>
      </c>
    </row>
    <row r="24" spans="1:6" hidden="1" x14ac:dyDescent="0.25">
      <c r="A24">
        <v>774022</v>
      </c>
      <c r="B24" t="s">
        <v>24</v>
      </c>
      <c r="C24" s="7">
        <v>1.8160000000000001</v>
      </c>
      <c r="D24">
        <v>39.799999999999997</v>
      </c>
      <c r="E24" s="7">
        <v>1.8120000000000001</v>
      </c>
      <c r="F24" t="s">
        <v>22</v>
      </c>
    </row>
    <row r="25" spans="1:6" hidden="1" x14ac:dyDescent="0.25">
      <c r="A25">
        <v>774022</v>
      </c>
      <c r="B25" t="s">
        <v>24</v>
      </c>
      <c r="C25" s="7">
        <v>1.8200099999999999</v>
      </c>
      <c r="D25">
        <v>40.1</v>
      </c>
      <c r="E25" s="7">
        <v>1.8160000000000001</v>
      </c>
      <c r="F25" t="s">
        <v>22</v>
      </c>
    </row>
    <row r="26" spans="1:6" hidden="1" x14ac:dyDescent="0.25">
      <c r="A26">
        <v>774022</v>
      </c>
      <c r="B26" t="s">
        <v>24</v>
      </c>
      <c r="C26" s="7">
        <v>1.8240000000000001</v>
      </c>
      <c r="D26">
        <v>39.9</v>
      </c>
      <c r="E26" s="7">
        <v>1.82</v>
      </c>
      <c r="F26" t="s">
        <v>22</v>
      </c>
    </row>
    <row r="27" spans="1:6" hidden="1" x14ac:dyDescent="0.25">
      <c r="A27">
        <v>774022</v>
      </c>
      <c r="B27" t="s">
        <v>24</v>
      </c>
      <c r="C27" s="7">
        <v>1.8280099999999999</v>
      </c>
      <c r="D27">
        <v>40.1</v>
      </c>
      <c r="E27" s="7">
        <v>1.8240000000000001</v>
      </c>
      <c r="F27" t="s">
        <v>22</v>
      </c>
    </row>
    <row r="28" spans="1:6" hidden="1" x14ac:dyDescent="0.25">
      <c r="A28">
        <v>774022</v>
      </c>
      <c r="B28" t="s">
        <v>24</v>
      </c>
      <c r="C28" s="7">
        <v>1.8318000000000001</v>
      </c>
      <c r="D28">
        <v>37.9</v>
      </c>
      <c r="E28" s="7">
        <v>1.8280000000000001</v>
      </c>
      <c r="F28" t="s">
        <v>22</v>
      </c>
    </row>
    <row r="29" spans="1:6" hidden="1" x14ac:dyDescent="0.25">
      <c r="A29">
        <v>774022</v>
      </c>
      <c r="B29" t="s">
        <v>24</v>
      </c>
      <c r="C29" s="7">
        <v>1.8360000000000001</v>
      </c>
      <c r="D29">
        <v>42</v>
      </c>
      <c r="E29" s="7">
        <v>1.8320000000000001</v>
      </c>
      <c r="F29" t="s">
        <v>22</v>
      </c>
    </row>
    <row r="30" spans="1:6" hidden="1" x14ac:dyDescent="0.25">
      <c r="A30">
        <v>774022</v>
      </c>
      <c r="B30" t="s">
        <v>24</v>
      </c>
      <c r="C30" s="7">
        <v>1.84398</v>
      </c>
      <c r="D30">
        <v>79.8</v>
      </c>
      <c r="E30" s="7">
        <v>1.84</v>
      </c>
      <c r="F30" t="s">
        <v>22</v>
      </c>
    </row>
    <row r="31" spans="1:6" hidden="1" x14ac:dyDescent="0.25">
      <c r="A31">
        <v>774022</v>
      </c>
      <c r="B31" t="s">
        <v>25</v>
      </c>
      <c r="C31" s="7">
        <v>0.8135</v>
      </c>
      <c r="D31">
        <v>20</v>
      </c>
      <c r="E31" s="7">
        <v>0.8155</v>
      </c>
      <c r="F31" t="s">
        <v>23</v>
      </c>
    </row>
    <row r="32" spans="1:6" hidden="1" x14ac:dyDescent="0.25">
      <c r="A32">
        <v>774022</v>
      </c>
      <c r="B32" t="s">
        <v>25</v>
      </c>
      <c r="C32" s="7">
        <v>0.8155</v>
      </c>
      <c r="D32">
        <v>20</v>
      </c>
      <c r="E32" s="7">
        <v>0.8175</v>
      </c>
      <c r="F32" t="s">
        <v>23</v>
      </c>
    </row>
    <row r="33" spans="1:6" hidden="1" x14ac:dyDescent="0.25">
      <c r="A33">
        <v>774022</v>
      </c>
      <c r="B33" t="s">
        <v>25</v>
      </c>
      <c r="C33" s="7">
        <v>0.8175</v>
      </c>
      <c r="D33">
        <v>20</v>
      </c>
      <c r="E33" s="7">
        <v>0.81950000000000001</v>
      </c>
      <c r="F33" t="s">
        <v>23</v>
      </c>
    </row>
    <row r="34" spans="1:6" hidden="1" x14ac:dyDescent="0.25">
      <c r="A34">
        <v>774022</v>
      </c>
      <c r="B34" t="s">
        <v>25</v>
      </c>
      <c r="C34" s="7">
        <v>0.81925000000000003</v>
      </c>
      <c r="D34">
        <v>17.5</v>
      </c>
      <c r="E34" s="7">
        <v>0.82350000000000001</v>
      </c>
      <c r="F34" t="s">
        <v>23</v>
      </c>
    </row>
    <row r="35" spans="1:6" hidden="1" x14ac:dyDescent="0.25">
      <c r="A35">
        <v>774022</v>
      </c>
      <c r="B35" t="s">
        <v>25</v>
      </c>
      <c r="C35" s="7">
        <v>0.82152999999999998</v>
      </c>
      <c r="D35">
        <v>22.8</v>
      </c>
      <c r="E35" s="7">
        <v>0.82350000000000001</v>
      </c>
      <c r="F35" t="s">
        <v>23</v>
      </c>
    </row>
    <row r="36" spans="1:6" hidden="1" x14ac:dyDescent="0.25">
      <c r="A36">
        <v>774022</v>
      </c>
      <c r="B36" t="s">
        <v>25</v>
      </c>
      <c r="C36" s="7">
        <v>0.82350000000000001</v>
      </c>
      <c r="D36">
        <v>19.7</v>
      </c>
      <c r="E36" s="7">
        <v>0.82550000000000001</v>
      </c>
      <c r="F36" t="s">
        <v>23</v>
      </c>
    </row>
    <row r="37" spans="1:6" hidden="1" x14ac:dyDescent="0.25">
      <c r="A37">
        <v>774022</v>
      </c>
      <c r="B37" t="s">
        <v>25</v>
      </c>
      <c r="C37" s="7">
        <v>0.82548999999999995</v>
      </c>
      <c r="D37">
        <v>19.899999999999999</v>
      </c>
      <c r="E37" s="7">
        <v>0.82750000000000001</v>
      </c>
      <c r="F37" t="s">
        <v>23</v>
      </c>
    </row>
    <row r="38" spans="1:6" hidden="1" x14ac:dyDescent="0.25">
      <c r="A38">
        <v>774022</v>
      </c>
      <c r="B38" t="s">
        <v>25</v>
      </c>
      <c r="C38" s="7">
        <v>0.83350000000000002</v>
      </c>
      <c r="D38">
        <v>80.099999999999994</v>
      </c>
      <c r="E38" s="7">
        <v>0.83550000000000002</v>
      </c>
      <c r="F38" t="s">
        <v>23</v>
      </c>
    </row>
    <row r="39" spans="1:6" hidden="1" x14ac:dyDescent="0.25">
      <c r="A39">
        <v>774022</v>
      </c>
      <c r="B39" t="s">
        <v>25</v>
      </c>
      <c r="C39" s="7">
        <v>0.83550000000000002</v>
      </c>
      <c r="D39">
        <v>20</v>
      </c>
      <c r="E39" s="7">
        <v>0.83750000000000002</v>
      </c>
      <c r="F39" t="s">
        <v>23</v>
      </c>
    </row>
    <row r="40" spans="1:6" hidden="1" x14ac:dyDescent="0.25">
      <c r="A40">
        <v>774022</v>
      </c>
      <c r="B40" t="s">
        <v>25</v>
      </c>
      <c r="C40" s="7">
        <v>0.83748</v>
      </c>
      <c r="D40">
        <v>19.8</v>
      </c>
      <c r="E40" s="7">
        <v>0.83950000000000002</v>
      </c>
      <c r="F40" t="s">
        <v>23</v>
      </c>
    </row>
    <row r="41" spans="1:6" hidden="1" x14ac:dyDescent="0.25">
      <c r="A41">
        <v>774022</v>
      </c>
      <c r="B41" t="s">
        <v>25</v>
      </c>
      <c r="C41" s="7">
        <v>0.83947000000000005</v>
      </c>
      <c r="D41">
        <v>19.899999999999999</v>
      </c>
      <c r="E41" s="7">
        <v>0.84150000000000003</v>
      </c>
      <c r="F41" t="s">
        <v>23</v>
      </c>
    </row>
    <row r="42" spans="1:6" hidden="1" x14ac:dyDescent="0.25">
      <c r="A42">
        <v>774022</v>
      </c>
      <c r="B42" t="s">
        <v>25</v>
      </c>
      <c r="C42" s="7">
        <v>0.84150000000000003</v>
      </c>
      <c r="D42">
        <v>20.3</v>
      </c>
      <c r="E42" s="7">
        <v>0.84350000000000003</v>
      </c>
      <c r="F42" t="s">
        <v>23</v>
      </c>
    </row>
    <row r="43" spans="1:6" hidden="1" x14ac:dyDescent="0.25">
      <c r="A43">
        <v>774022</v>
      </c>
      <c r="B43" t="s">
        <v>25</v>
      </c>
      <c r="C43" s="7">
        <v>0.84345999999999999</v>
      </c>
      <c r="D43">
        <v>19.600000000000001</v>
      </c>
      <c r="E43" s="7">
        <v>0.84550000000000003</v>
      </c>
      <c r="F43" t="s">
        <v>23</v>
      </c>
    </row>
    <row r="44" spans="1:6" hidden="1" x14ac:dyDescent="0.25">
      <c r="A44">
        <v>774022</v>
      </c>
      <c r="B44" t="s">
        <v>25</v>
      </c>
      <c r="C44" s="7">
        <v>0.84548999999999996</v>
      </c>
      <c r="D44">
        <v>20.3</v>
      </c>
      <c r="E44" s="7">
        <v>0.84750000000000003</v>
      </c>
      <c r="F44" t="s">
        <v>23</v>
      </c>
    </row>
    <row r="45" spans="1:6" hidden="1" x14ac:dyDescent="0.25">
      <c r="A45">
        <v>774022</v>
      </c>
      <c r="B45" t="s">
        <v>25</v>
      </c>
      <c r="C45" s="7">
        <v>0.84750000000000003</v>
      </c>
      <c r="D45">
        <v>20.100000000000001</v>
      </c>
      <c r="E45" s="7">
        <v>0.84950000000000003</v>
      </c>
      <c r="F45" t="s">
        <v>23</v>
      </c>
    </row>
    <row r="46" spans="1:6" hidden="1" x14ac:dyDescent="0.25">
      <c r="A46">
        <v>774022</v>
      </c>
      <c r="B46" t="s">
        <v>25</v>
      </c>
      <c r="C46" s="7">
        <v>0.84948999999999997</v>
      </c>
      <c r="D46">
        <v>19.899999999999999</v>
      </c>
      <c r="E46" s="7">
        <v>0.85150000000000003</v>
      </c>
      <c r="F46" t="s">
        <v>23</v>
      </c>
    </row>
    <row r="47" spans="1:6" hidden="1" x14ac:dyDescent="0.25">
      <c r="A47">
        <v>774022</v>
      </c>
      <c r="B47" t="s">
        <v>25</v>
      </c>
      <c r="C47" s="7">
        <v>0.85150999999999999</v>
      </c>
      <c r="D47">
        <v>20.2</v>
      </c>
      <c r="E47" s="7">
        <v>0.85350000000000004</v>
      </c>
      <c r="F47" t="s">
        <v>23</v>
      </c>
    </row>
    <row r="48" spans="1:6" hidden="1" x14ac:dyDescent="0.25">
      <c r="A48">
        <v>774022</v>
      </c>
      <c r="B48" t="s">
        <v>25</v>
      </c>
      <c r="C48" s="7">
        <v>0.85365999999999997</v>
      </c>
      <c r="D48">
        <v>21.5</v>
      </c>
      <c r="E48" s="7">
        <v>0.85550000000000004</v>
      </c>
      <c r="F48" t="s">
        <v>23</v>
      </c>
    </row>
    <row r="49" spans="1:6" hidden="1" x14ac:dyDescent="0.25">
      <c r="A49">
        <v>774022</v>
      </c>
      <c r="B49" t="s">
        <v>25</v>
      </c>
      <c r="C49" s="7">
        <v>0.85950000000000004</v>
      </c>
      <c r="D49">
        <v>58.4</v>
      </c>
      <c r="E49" s="7">
        <v>0.86150000000000004</v>
      </c>
      <c r="F49" t="s">
        <v>23</v>
      </c>
    </row>
    <row r="50" spans="1:6" hidden="1" x14ac:dyDescent="0.25">
      <c r="A50">
        <v>774022</v>
      </c>
      <c r="B50" t="s">
        <v>25</v>
      </c>
      <c r="C50" s="7">
        <v>0.86146999999999996</v>
      </c>
      <c r="D50">
        <v>19.7</v>
      </c>
      <c r="E50" s="7">
        <v>0.86350000000000005</v>
      </c>
      <c r="F50" t="s">
        <v>23</v>
      </c>
    </row>
    <row r="51" spans="1:6" hidden="1" x14ac:dyDescent="0.25">
      <c r="A51">
        <v>774022</v>
      </c>
      <c r="B51" t="s">
        <v>25</v>
      </c>
      <c r="C51" s="7">
        <v>0.86334</v>
      </c>
      <c r="D51">
        <v>18.7</v>
      </c>
      <c r="E51" s="7">
        <v>0.86550000000000005</v>
      </c>
      <c r="F51" t="s">
        <v>23</v>
      </c>
    </row>
    <row r="52" spans="1:6" hidden="1" x14ac:dyDescent="0.25">
      <c r="A52">
        <v>774022</v>
      </c>
      <c r="B52" t="s">
        <v>25</v>
      </c>
      <c r="C52" s="7">
        <v>0.87150000000000005</v>
      </c>
      <c r="D52">
        <v>81.599999999999994</v>
      </c>
      <c r="E52" s="7">
        <v>0.87350000000000005</v>
      </c>
      <c r="F52" t="s">
        <v>23</v>
      </c>
    </row>
    <row r="53" spans="1:6" x14ac:dyDescent="0.25">
      <c r="A53">
        <v>774678</v>
      </c>
      <c r="B53" t="s">
        <v>5</v>
      </c>
      <c r="C53" s="7">
        <v>1.27999</v>
      </c>
      <c r="D53">
        <v>30</v>
      </c>
      <c r="E53" s="7">
        <v>1.2829999999999999</v>
      </c>
      <c r="F53" t="s">
        <v>23</v>
      </c>
    </row>
    <row r="54" spans="1:6" x14ac:dyDescent="0.25">
      <c r="A54">
        <v>774678</v>
      </c>
      <c r="B54" t="s">
        <v>5</v>
      </c>
      <c r="C54" s="7">
        <v>1.2829999999999999</v>
      </c>
      <c r="D54">
        <v>30.1</v>
      </c>
      <c r="E54" s="7">
        <v>1.286</v>
      </c>
      <c r="F54" t="s">
        <v>23</v>
      </c>
    </row>
    <row r="55" spans="1:6" x14ac:dyDescent="0.25">
      <c r="A55">
        <v>774678</v>
      </c>
      <c r="B55" t="s">
        <v>5</v>
      </c>
      <c r="C55" s="7">
        <v>1.28606</v>
      </c>
      <c r="D55">
        <v>30.6</v>
      </c>
      <c r="E55" s="7">
        <v>1.2889999999999999</v>
      </c>
      <c r="F55" t="s">
        <v>23</v>
      </c>
    </row>
    <row r="56" spans="1:6" x14ac:dyDescent="0.25">
      <c r="A56">
        <v>774678</v>
      </c>
      <c r="B56" t="s">
        <v>25</v>
      </c>
      <c r="C56" s="7">
        <v>0.80157</v>
      </c>
      <c r="D56">
        <v>20</v>
      </c>
      <c r="E56" s="7">
        <v>0.80349999999999999</v>
      </c>
      <c r="F56" t="s">
        <v>23</v>
      </c>
    </row>
    <row r="57" spans="1:6" x14ac:dyDescent="0.25">
      <c r="A57">
        <v>774678</v>
      </c>
      <c r="B57" t="s">
        <v>25</v>
      </c>
      <c r="C57" s="7">
        <v>0.80354000000000003</v>
      </c>
      <c r="D57">
        <v>19.7</v>
      </c>
      <c r="E57" s="7">
        <v>0.80549999999999999</v>
      </c>
      <c r="F57" t="s">
        <v>23</v>
      </c>
    </row>
    <row r="58" spans="1:6" x14ac:dyDescent="0.25">
      <c r="A58">
        <v>774678</v>
      </c>
      <c r="B58" t="s">
        <v>25</v>
      </c>
      <c r="C58" s="7">
        <v>0.83550000000000002</v>
      </c>
      <c r="D58">
        <v>319.60000000000002</v>
      </c>
      <c r="E58" s="7">
        <v>0.83750000000000002</v>
      </c>
      <c r="F58" t="s">
        <v>23</v>
      </c>
    </row>
    <row r="59" spans="1:6" x14ac:dyDescent="0.25">
      <c r="A59">
        <v>774678</v>
      </c>
      <c r="B59" t="s">
        <v>25</v>
      </c>
      <c r="C59" s="7">
        <v>0.83748999999999996</v>
      </c>
      <c r="D59">
        <v>19.899999999999999</v>
      </c>
      <c r="E59" s="7">
        <v>0.83950000000000002</v>
      </c>
      <c r="F59" t="s">
        <v>23</v>
      </c>
    </row>
    <row r="60" spans="1:6" x14ac:dyDescent="0.25">
      <c r="A60">
        <v>774678</v>
      </c>
      <c r="B60" t="s">
        <v>25</v>
      </c>
      <c r="C60" s="7">
        <v>0.83947000000000005</v>
      </c>
      <c r="D60">
        <v>19.8</v>
      </c>
      <c r="E60" s="7">
        <v>0.84150000000000003</v>
      </c>
      <c r="F60" t="s">
        <v>23</v>
      </c>
    </row>
    <row r="61" spans="1:6" x14ac:dyDescent="0.25">
      <c r="A61">
        <v>774678</v>
      </c>
      <c r="B61" t="s">
        <v>25</v>
      </c>
      <c r="C61" s="7">
        <v>0.84150000000000003</v>
      </c>
      <c r="D61">
        <v>20.3</v>
      </c>
      <c r="E61" s="7">
        <v>0.84350000000000003</v>
      </c>
      <c r="F61" t="s">
        <v>23</v>
      </c>
    </row>
    <row r="62" spans="1:6" x14ac:dyDescent="0.25">
      <c r="A62">
        <v>774678</v>
      </c>
      <c r="B62" t="s">
        <v>25</v>
      </c>
      <c r="C62" s="7">
        <v>0.84345999999999999</v>
      </c>
      <c r="D62">
        <v>19.600000000000001</v>
      </c>
      <c r="E62" s="7">
        <v>0.84550000000000003</v>
      </c>
      <c r="F62" t="s">
        <v>23</v>
      </c>
    </row>
    <row r="63" spans="1:6" x14ac:dyDescent="0.25">
      <c r="A63">
        <v>774678</v>
      </c>
      <c r="B63" t="s">
        <v>25</v>
      </c>
      <c r="C63" s="7">
        <v>0.84548999999999996</v>
      </c>
      <c r="D63">
        <v>20.3</v>
      </c>
      <c r="E63" s="7">
        <v>0.84750000000000003</v>
      </c>
      <c r="F63" t="s">
        <v>23</v>
      </c>
    </row>
    <row r="64" spans="1:6" x14ac:dyDescent="0.25">
      <c r="A64">
        <v>774678</v>
      </c>
      <c r="B64" t="s">
        <v>25</v>
      </c>
      <c r="C64" s="7">
        <v>0.84750000000000003</v>
      </c>
      <c r="D64">
        <v>20.100000000000001</v>
      </c>
      <c r="E64" s="7">
        <v>0.84950000000000003</v>
      </c>
      <c r="F64" t="s">
        <v>23</v>
      </c>
    </row>
    <row r="65" spans="1:6" x14ac:dyDescent="0.25">
      <c r="A65">
        <v>775191</v>
      </c>
      <c r="B65" t="s">
        <v>26</v>
      </c>
      <c r="C65" s="7">
        <v>92.796000000000006</v>
      </c>
      <c r="D65">
        <v>20</v>
      </c>
      <c r="E65" s="7">
        <v>92.6</v>
      </c>
      <c r="F65" t="s">
        <v>22</v>
      </c>
    </row>
    <row r="66" spans="1:6" x14ac:dyDescent="0.25">
      <c r="A66">
        <v>775191</v>
      </c>
      <c r="B66" t="s">
        <v>26</v>
      </c>
      <c r="C66" s="7">
        <v>93</v>
      </c>
      <c r="D66">
        <v>20.399999999999999</v>
      </c>
      <c r="E66" s="7">
        <v>92.8</v>
      </c>
      <c r="F66" t="s">
        <v>22</v>
      </c>
    </row>
    <row r="67" spans="1:6" x14ac:dyDescent="0.25">
      <c r="A67">
        <v>775191</v>
      </c>
      <c r="B67" t="s">
        <v>26</v>
      </c>
      <c r="C67" s="7">
        <v>96.8</v>
      </c>
      <c r="D67">
        <v>380</v>
      </c>
      <c r="E67" s="7">
        <v>96.6</v>
      </c>
      <c r="F67" t="s">
        <v>22</v>
      </c>
    </row>
    <row r="68" spans="1:6" x14ac:dyDescent="0.25">
      <c r="A68">
        <v>775191</v>
      </c>
      <c r="B68" t="s">
        <v>26</v>
      </c>
      <c r="C68" s="7">
        <v>97</v>
      </c>
      <c r="D68">
        <v>20</v>
      </c>
      <c r="E68" s="7">
        <v>96.8</v>
      </c>
      <c r="F68" t="s">
        <v>22</v>
      </c>
    </row>
    <row r="69" spans="1:6" x14ac:dyDescent="0.25">
      <c r="A69">
        <v>775191</v>
      </c>
      <c r="B69" t="s">
        <v>26</v>
      </c>
      <c r="C69" s="7">
        <v>97.200999999999993</v>
      </c>
      <c r="D69">
        <v>20.100000000000001</v>
      </c>
      <c r="E69" s="7">
        <v>97</v>
      </c>
      <c r="F69" t="s">
        <v>22</v>
      </c>
    </row>
    <row r="70" spans="1:6" x14ac:dyDescent="0.25">
      <c r="A70">
        <v>775191</v>
      </c>
      <c r="B70" t="s">
        <v>26</v>
      </c>
      <c r="C70" s="7">
        <v>97.403999999999996</v>
      </c>
      <c r="D70">
        <v>20.3</v>
      </c>
      <c r="E70" s="7">
        <v>97.2</v>
      </c>
      <c r="F70" t="s">
        <v>22</v>
      </c>
    </row>
    <row r="71" spans="1:6" x14ac:dyDescent="0.25">
      <c r="A71">
        <v>775191</v>
      </c>
      <c r="B71" t="s">
        <v>26</v>
      </c>
      <c r="C71" s="7">
        <v>98.004999999999995</v>
      </c>
      <c r="D71">
        <v>60.1</v>
      </c>
      <c r="E71" s="7">
        <v>97.8</v>
      </c>
      <c r="F71" t="s">
        <v>22</v>
      </c>
    </row>
    <row r="72" spans="1:6" x14ac:dyDescent="0.25">
      <c r="A72">
        <v>775191</v>
      </c>
      <c r="B72" t="s">
        <v>26</v>
      </c>
      <c r="C72" s="7">
        <v>98.2</v>
      </c>
      <c r="D72">
        <v>19.5</v>
      </c>
      <c r="E72" s="7">
        <v>98</v>
      </c>
      <c r="F72" t="s">
        <v>22</v>
      </c>
    </row>
    <row r="73" spans="1:6" x14ac:dyDescent="0.25">
      <c r="A73">
        <v>775191</v>
      </c>
      <c r="B73" t="s">
        <v>26</v>
      </c>
      <c r="C73" s="7">
        <v>98.403000000000006</v>
      </c>
      <c r="D73">
        <v>20.3</v>
      </c>
      <c r="E73" s="7">
        <v>98.2</v>
      </c>
      <c r="F73" t="s">
        <v>22</v>
      </c>
    </row>
    <row r="74" spans="1:6" x14ac:dyDescent="0.25">
      <c r="A74">
        <v>775191</v>
      </c>
      <c r="B74" t="s">
        <v>26</v>
      </c>
      <c r="C74" s="7">
        <v>98.600999999999999</v>
      </c>
      <c r="D74">
        <v>19.8</v>
      </c>
      <c r="E74" s="7">
        <v>98.4</v>
      </c>
      <c r="F74" t="s">
        <v>22</v>
      </c>
    </row>
    <row r="75" spans="1:6" x14ac:dyDescent="0.25">
      <c r="A75">
        <v>775191</v>
      </c>
      <c r="B75" t="s">
        <v>26</v>
      </c>
      <c r="C75" s="8">
        <v>98.8</v>
      </c>
      <c r="D75">
        <v>19.899999999999999</v>
      </c>
      <c r="E75" s="7">
        <v>98.6</v>
      </c>
      <c r="F75" t="s">
        <v>22</v>
      </c>
    </row>
    <row r="76" spans="1:6" x14ac:dyDescent="0.25">
      <c r="A76">
        <v>775191</v>
      </c>
      <c r="B76" t="s">
        <v>26</v>
      </c>
      <c r="C76" s="8">
        <v>99</v>
      </c>
      <c r="D76">
        <v>20</v>
      </c>
      <c r="E76" s="7">
        <v>98.8</v>
      </c>
      <c r="F76" t="s">
        <v>22</v>
      </c>
    </row>
    <row r="77" spans="1:6" x14ac:dyDescent="0.25">
      <c r="A77">
        <v>775191</v>
      </c>
      <c r="B77" t="s">
        <v>26</v>
      </c>
      <c r="C77" s="8">
        <v>99.2</v>
      </c>
      <c r="D77">
        <v>20</v>
      </c>
      <c r="E77" s="7">
        <v>99</v>
      </c>
      <c r="F77" t="s">
        <v>22</v>
      </c>
    </row>
    <row r="78" spans="1:6" x14ac:dyDescent="0.25">
      <c r="A78">
        <v>776849</v>
      </c>
      <c r="B78" t="s">
        <v>27</v>
      </c>
      <c r="C78" s="8">
        <v>0.87148999999999999</v>
      </c>
      <c r="D78">
        <v>20</v>
      </c>
      <c r="E78" s="7">
        <v>0.87350000000000005</v>
      </c>
      <c r="F78" t="s">
        <v>23</v>
      </c>
    </row>
    <row r="79" spans="1:6" x14ac:dyDescent="0.25">
      <c r="A79">
        <v>776849</v>
      </c>
      <c r="B79" t="s">
        <v>27</v>
      </c>
      <c r="C79" s="8">
        <v>0.87350000000000005</v>
      </c>
      <c r="D79">
        <v>20.100000000000001</v>
      </c>
      <c r="E79" s="7">
        <v>0.87549999999999994</v>
      </c>
      <c r="F79" t="s">
        <v>23</v>
      </c>
    </row>
    <row r="80" spans="1:6" x14ac:dyDescent="0.25">
      <c r="A80">
        <v>776849</v>
      </c>
      <c r="B80" t="s">
        <v>27</v>
      </c>
      <c r="C80" s="8">
        <v>0.87549999999999994</v>
      </c>
      <c r="D80">
        <v>20</v>
      </c>
      <c r="E80" s="7">
        <v>0.87749999999999995</v>
      </c>
      <c r="F80" t="s">
        <v>23</v>
      </c>
    </row>
    <row r="81" spans="1:6" x14ac:dyDescent="0.25">
      <c r="A81">
        <v>776849</v>
      </c>
      <c r="B81" t="s">
        <v>27</v>
      </c>
      <c r="C81" s="8">
        <v>0.87749999999999995</v>
      </c>
      <c r="D81">
        <v>20</v>
      </c>
      <c r="E81" s="7">
        <v>0.87949999999999995</v>
      </c>
      <c r="F81" t="s">
        <v>23</v>
      </c>
    </row>
    <row r="82" spans="1:6" x14ac:dyDescent="0.25">
      <c r="A82">
        <v>776849</v>
      </c>
      <c r="B82" t="s">
        <v>27</v>
      </c>
      <c r="C82" s="8">
        <v>0.87951000000000001</v>
      </c>
      <c r="D82">
        <v>20.100000000000001</v>
      </c>
      <c r="E82" s="7">
        <v>0.88149999999999995</v>
      </c>
      <c r="F82" t="s">
        <v>23</v>
      </c>
    </row>
    <row r="83" spans="1:6" x14ac:dyDescent="0.25">
      <c r="A83">
        <v>776849</v>
      </c>
      <c r="B83" t="s">
        <v>27</v>
      </c>
      <c r="C83" s="8">
        <v>0.88268000000000002</v>
      </c>
      <c r="D83">
        <v>31.7</v>
      </c>
      <c r="E83" s="7">
        <v>0.88949999999999996</v>
      </c>
      <c r="F83" t="s">
        <v>23</v>
      </c>
    </row>
    <row r="84" spans="1:6" x14ac:dyDescent="0.25">
      <c r="A84">
        <v>776849</v>
      </c>
      <c r="B84" t="s">
        <v>27</v>
      </c>
      <c r="C84" s="8">
        <v>0.88270000000000004</v>
      </c>
      <c r="D84">
        <v>0.2</v>
      </c>
      <c r="E84" s="7">
        <v>0.88749999999999996</v>
      </c>
      <c r="F84" t="s">
        <v>23</v>
      </c>
    </row>
    <row r="85" spans="1:6" x14ac:dyDescent="0.25">
      <c r="A85">
        <v>776849</v>
      </c>
      <c r="B85" t="s">
        <v>27</v>
      </c>
      <c r="C85" s="8">
        <v>0.88270999999999999</v>
      </c>
      <c r="D85">
        <v>0.1</v>
      </c>
      <c r="E85" s="7">
        <v>0.88549999999999995</v>
      </c>
      <c r="F85" t="s">
        <v>23</v>
      </c>
    </row>
    <row r="86" spans="1:6" x14ac:dyDescent="0.25">
      <c r="A86">
        <v>776849</v>
      </c>
      <c r="B86" t="s">
        <v>27</v>
      </c>
      <c r="C86" s="8">
        <v>0.88351999999999997</v>
      </c>
      <c r="D86">
        <v>8.1</v>
      </c>
      <c r="E86" s="7">
        <v>0.88549999999999995</v>
      </c>
      <c r="F86" t="s">
        <v>23</v>
      </c>
    </row>
    <row r="87" spans="1:6" x14ac:dyDescent="0.25">
      <c r="A87">
        <v>776849</v>
      </c>
      <c r="B87" t="s">
        <v>27</v>
      </c>
      <c r="C87" s="8">
        <v>0.88954</v>
      </c>
      <c r="D87">
        <v>60.2</v>
      </c>
      <c r="E87" s="7">
        <v>0.89149999999999996</v>
      </c>
      <c r="F87" t="s">
        <v>23</v>
      </c>
    </row>
    <row r="88" spans="1:6" x14ac:dyDescent="0.25">
      <c r="A88">
        <v>776849</v>
      </c>
      <c r="B88" t="s">
        <v>27</v>
      </c>
      <c r="C88" s="8">
        <v>0.89149</v>
      </c>
      <c r="D88">
        <v>19.5</v>
      </c>
      <c r="E88" s="7">
        <v>0.89349999999999996</v>
      </c>
      <c r="F88" t="s">
        <v>23</v>
      </c>
    </row>
    <row r="89" spans="1:6" x14ac:dyDescent="0.25">
      <c r="A89">
        <v>776849</v>
      </c>
      <c r="B89" t="s">
        <v>27</v>
      </c>
      <c r="C89" s="8">
        <v>0.89149</v>
      </c>
      <c r="D89">
        <v>0</v>
      </c>
      <c r="E89" s="7">
        <v>0.89349999999999996</v>
      </c>
      <c r="F89" t="s">
        <v>23</v>
      </c>
    </row>
    <row r="90" spans="1:6" x14ac:dyDescent="0.25">
      <c r="A90">
        <v>776849</v>
      </c>
      <c r="B90" t="s">
        <v>27</v>
      </c>
      <c r="C90" s="8">
        <v>0.89349999999999996</v>
      </c>
      <c r="D90">
        <v>20.100000000000001</v>
      </c>
      <c r="E90" s="7">
        <v>0.89549999999999996</v>
      </c>
      <c r="F90" t="s">
        <v>23</v>
      </c>
    </row>
    <row r="91" spans="1:6" x14ac:dyDescent="0.25">
      <c r="A91">
        <v>776849</v>
      </c>
      <c r="B91" t="s">
        <v>27</v>
      </c>
      <c r="C91" s="8">
        <v>0.89349999999999996</v>
      </c>
      <c r="D91">
        <v>0</v>
      </c>
      <c r="E91" s="7">
        <v>0.89549999999999996</v>
      </c>
      <c r="F91" t="s">
        <v>23</v>
      </c>
    </row>
    <row r="92" spans="1:6" x14ac:dyDescent="0.25">
      <c r="A92">
        <v>776849</v>
      </c>
      <c r="B92" t="s">
        <v>27</v>
      </c>
      <c r="C92" s="8">
        <v>0.89546999999999999</v>
      </c>
      <c r="D92">
        <v>19.7</v>
      </c>
      <c r="E92" s="7">
        <v>0.89749999999999996</v>
      </c>
      <c r="F92" t="s">
        <v>23</v>
      </c>
    </row>
    <row r="93" spans="1:6" x14ac:dyDescent="0.25">
      <c r="A93">
        <v>776849</v>
      </c>
      <c r="B93" t="s">
        <v>27</v>
      </c>
      <c r="C93" s="8">
        <v>0.89546999999999999</v>
      </c>
      <c r="D93">
        <v>0</v>
      </c>
      <c r="E93" s="7">
        <v>0.89749999999999996</v>
      </c>
      <c r="F93" t="s">
        <v>23</v>
      </c>
    </row>
    <row r="94" spans="1:6" x14ac:dyDescent="0.25">
      <c r="A94">
        <v>776849</v>
      </c>
      <c r="B94" t="s">
        <v>27</v>
      </c>
      <c r="C94" s="8">
        <v>0.89751999999999998</v>
      </c>
      <c r="D94">
        <v>20.5</v>
      </c>
      <c r="E94" s="7">
        <v>0.89949999999999997</v>
      </c>
      <c r="F94" t="s">
        <v>23</v>
      </c>
    </row>
    <row r="95" spans="1:6" x14ac:dyDescent="0.25">
      <c r="A95">
        <v>776849</v>
      </c>
      <c r="B95" t="s">
        <v>27</v>
      </c>
      <c r="C95" s="8">
        <v>0.89751999999999998</v>
      </c>
      <c r="D95">
        <v>0</v>
      </c>
      <c r="E95" s="7">
        <v>0.89949999999999997</v>
      </c>
      <c r="F95" t="s">
        <v>23</v>
      </c>
    </row>
    <row r="96" spans="1:6" x14ac:dyDescent="0.25">
      <c r="A96">
        <v>776849</v>
      </c>
      <c r="B96" t="s">
        <v>27</v>
      </c>
      <c r="C96" s="8">
        <v>0.89949999999999997</v>
      </c>
      <c r="D96">
        <v>19.8</v>
      </c>
      <c r="E96" s="7">
        <v>0.90149999999999997</v>
      </c>
      <c r="F96" t="s">
        <v>23</v>
      </c>
    </row>
    <row r="97" spans="1:6" x14ac:dyDescent="0.25">
      <c r="A97">
        <v>776849</v>
      </c>
      <c r="B97" t="s">
        <v>27</v>
      </c>
      <c r="C97" s="8">
        <v>0.89949999999999997</v>
      </c>
      <c r="D97">
        <v>0</v>
      </c>
      <c r="E97" s="7">
        <v>0.90149999999999997</v>
      </c>
      <c r="F97" t="s">
        <v>23</v>
      </c>
    </row>
    <row r="98" spans="1:6" x14ac:dyDescent="0.25">
      <c r="A98">
        <v>776849</v>
      </c>
      <c r="B98" t="s">
        <v>27</v>
      </c>
      <c r="C98" s="8">
        <v>0.90149000000000001</v>
      </c>
      <c r="D98">
        <v>19.899999999999999</v>
      </c>
      <c r="E98" s="7">
        <v>0.90349999999999997</v>
      </c>
      <c r="F98" t="s">
        <v>23</v>
      </c>
    </row>
    <row r="99" spans="1:6" x14ac:dyDescent="0.25">
      <c r="A99">
        <v>776849</v>
      </c>
      <c r="B99" t="s">
        <v>27</v>
      </c>
      <c r="C99" s="8">
        <v>0.90149000000000001</v>
      </c>
      <c r="D99">
        <v>0</v>
      </c>
      <c r="E99" s="7">
        <v>0.90349999999999997</v>
      </c>
      <c r="F99" t="s">
        <v>23</v>
      </c>
    </row>
    <row r="100" spans="1:6" x14ac:dyDescent="0.25">
      <c r="A100">
        <v>776849</v>
      </c>
      <c r="B100" t="s">
        <v>27</v>
      </c>
      <c r="C100" s="8">
        <v>0.90349999999999997</v>
      </c>
      <c r="D100">
        <v>20.100000000000001</v>
      </c>
      <c r="E100" s="7">
        <v>0.90549999999999997</v>
      </c>
      <c r="F100" t="s">
        <v>23</v>
      </c>
    </row>
    <row r="101" spans="1:6" x14ac:dyDescent="0.25">
      <c r="A101">
        <v>776849</v>
      </c>
      <c r="B101" t="s">
        <v>27</v>
      </c>
      <c r="C101" s="8">
        <v>0.90349999999999997</v>
      </c>
      <c r="D101">
        <v>0</v>
      </c>
      <c r="E101" s="7">
        <v>0.90549999999999997</v>
      </c>
      <c r="F101" t="s">
        <v>23</v>
      </c>
    </row>
    <row r="102" spans="1:6" x14ac:dyDescent="0.25">
      <c r="A102">
        <v>776849</v>
      </c>
      <c r="B102" t="s">
        <v>27</v>
      </c>
      <c r="C102" s="8">
        <v>0.90549000000000002</v>
      </c>
      <c r="D102">
        <v>19.899999999999999</v>
      </c>
      <c r="E102" s="7">
        <v>0.90749999999999997</v>
      </c>
      <c r="F102" t="s">
        <v>23</v>
      </c>
    </row>
    <row r="103" spans="1:6" x14ac:dyDescent="0.25">
      <c r="A103">
        <v>776849</v>
      </c>
      <c r="B103" t="s">
        <v>27</v>
      </c>
      <c r="C103" s="8">
        <v>0.90549000000000002</v>
      </c>
      <c r="D103">
        <v>0</v>
      </c>
      <c r="E103" s="7">
        <v>0.90749999999999997</v>
      </c>
      <c r="F103" t="s">
        <v>23</v>
      </c>
    </row>
    <row r="104" spans="1:6" x14ac:dyDescent="0.25">
      <c r="A104">
        <v>776849</v>
      </c>
      <c r="B104" t="s">
        <v>27</v>
      </c>
      <c r="C104" s="8">
        <v>0.90749999999999997</v>
      </c>
      <c r="D104">
        <v>20.100000000000001</v>
      </c>
      <c r="E104" s="7">
        <v>0.90949999999999998</v>
      </c>
      <c r="F104" t="s">
        <v>23</v>
      </c>
    </row>
    <row r="105" spans="1:6" x14ac:dyDescent="0.25">
      <c r="A105">
        <v>776849</v>
      </c>
      <c r="B105" t="s">
        <v>27</v>
      </c>
      <c r="C105" s="8">
        <v>0.90749999999999997</v>
      </c>
      <c r="D105">
        <v>0</v>
      </c>
      <c r="E105" s="7">
        <v>0.90949999999999998</v>
      </c>
      <c r="F105" t="s">
        <v>23</v>
      </c>
    </row>
    <row r="106" spans="1:6" x14ac:dyDescent="0.25">
      <c r="A106">
        <v>776849</v>
      </c>
      <c r="B106" t="s">
        <v>27</v>
      </c>
      <c r="C106" s="8">
        <v>0.90947</v>
      </c>
      <c r="D106">
        <v>19.7</v>
      </c>
      <c r="E106" s="7">
        <v>0.91149999999999998</v>
      </c>
      <c r="F106" t="s">
        <v>23</v>
      </c>
    </row>
    <row r="107" spans="1:6" x14ac:dyDescent="0.25">
      <c r="A107">
        <v>776849</v>
      </c>
      <c r="B107" t="s">
        <v>27</v>
      </c>
      <c r="C107" s="8">
        <v>0.90947</v>
      </c>
      <c r="D107">
        <v>0</v>
      </c>
      <c r="E107" s="7">
        <v>0.91149999999999998</v>
      </c>
      <c r="F107" t="s">
        <v>23</v>
      </c>
    </row>
    <row r="108" spans="1:6" x14ac:dyDescent="0.25">
      <c r="A108">
        <v>776849</v>
      </c>
      <c r="B108" t="s">
        <v>27</v>
      </c>
      <c r="C108" s="8">
        <v>0.91149999999999998</v>
      </c>
      <c r="D108">
        <v>20.3</v>
      </c>
      <c r="E108" s="7">
        <v>0.91349999999999998</v>
      </c>
      <c r="F108" t="s">
        <v>23</v>
      </c>
    </row>
    <row r="109" spans="1:6" x14ac:dyDescent="0.25">
      <c r="A109">
        <v>776849</v>
      </c>
      <c r="B109" t="s">
        <v>27</v>
      </c>
      <c r="C109" s="8">
        <v>0.91149999999999998</v>
      </c>
      <c r="D109">
        <v>0</v>
      </c>
      <c r="E109" s="7">
        <v>0.91349999999999998</v>
      </c>
      <c r="F109" t="s">
        <v>23</v>
      </c>
    </row>
    <row r="110" spans="1:6" x14ac:dyDescent="0.25">
      <c r="A110">
        <v>776849</v>
      </c>
      <c r="B110" t="s">
        <v>27</v>
      </c>
      <c r="C110" s="8">
        <v>0.91349000000000002</v>
      </c>
      <c r="D110">
        <v>19.899999999999999</v>
      </c>
      <c r="E110" s="7">
        <v>0.91549999999999998</v>
      </c>
      <c r="F110" t="s">
        <v>23</v>
      </c>
    </row>
    <row r="111" spans="1:6" x14ac:dyDescent="0.25">
      <c r="A111">
        <v>776849</v>
      </c>
      <c r="B111" t="s">
        <v>27</v>
      </c>
      <c r="C111" s="8">
        <v>0.91349000000000002</v>
      </c>
      <c r="D111">
        <v>0</v>
      </c>
      <c r="E111" s="7">
        <v>0.91549999999999998</v>
      </c>
      <c r="F111" t="s">
        <v>23</v>
      </c>
    </row>
    <row r="112" spans="1:6" x14ac:dyDescent="0.25">
      <c r="A112">
        <v>776849</v>
      </c>
      <c r="B112" t="s">
        <v>27</v>
      </c>
      <c r="C112" s="8">
        <v>0.91549999999999998</v>
      </c>
      <c r="D112">
        <v>20.100000000000001</v>
      </c>
      <c r="E112" s="7">
        <v>0.91749999999999998</v>
      </c>
      <c r="F112" t="s">
        <v>23</v>
      </c>
    </row>
    <row r="113" spans="1:6" x14ac:dyDescent="0.25">
      <c r="A113">
        <v>776849</v>
      </c>
      <c r="B113" t="s">
        <v>27</v>
      </c>
      <c r="C113" s="8">
        <v>0.91549999999999998</v>
      </c>
      <c r="D113">
        <v>0</v>
      </c>
      <c r="E113" s="7">
        <v>0.91749999999999998</v>
      </c>
      <c r="F113" t="s">
        <v>23</v>
      </c>
    </row>
    <row r="114" spans="1:6" x14ac:dyDescent="0.25">
      <c r="A114">
        <v>776849</v>
      </c>
      <c r="B114" t="s">
        <v>27</v>
      </c>
      <c r="C114" s="8">
        <v>0.91746000000000005</v>
      </c>
      <c r="D114">
        <v>19.600000000000001</v>
      </c>
      <c r="E114" s="7">
        <v>0.91949999999999998</v>
      </c>
      <c r="F114" t="s">
        <v>23</v>
      </c>
    </row>
    <row r="115" spans="1:6" x14ac:dyDescent="0.25">
      <c r="A115">
        <v>776849</v>
      </c>
      <c r="B115" t="s">
        <v>27</v>
      </c>
      <c r="C115" s="8">
        <v>0.91746000000000005</v>
      </c>
      <c r="D115">
        <v>0</v>
      </c>
      <c r="E115" s="7">
        <v>0.91949999999999998</v>
      </c>
      <c r="F115" t="s">
        <v>23</v>
      </c>
    </row>
    <row r="116" spans="1:6" x14ac:dyDescent="0.25">
      <c r="A116">
        <v>776849</v>
      </c>
      <c r="B116" t="s">
        <v>27</v>
      </c>
      <c r="C116" s="8">
        <v>0.91949000000000003</v>
      </c>
      <c r="D116">
        <v>20.3</v>
      </c>
      <c r="E116" s="7">
        <v>0.92149999999999999</v>
      </c>
      <c r="F116" t="s">
        <v>23</v>
      </c>
    </row>
    <row r="117" spans="1:6" x14ac:dyDescent="0.25">
      <c r="A117">
        <v>776849</v>
      </c>
      <c r="B117" t="s">
        <v>27</v>
      </c>
      <c r="C117" s="8">
        <v>0.91949000000000003</v>
      </c>
      <c r="D117">
        <v>0</v>
      </c>
      <c r="E117" s="7">
        <v>0.92149999999999999</v>
      </c>
      <c r="F117" t="s">
        <v>23</v>
      </c>
    </row>
    <row r="118" spans="1:6" x14ac:dyDescent="0.25">
      <c r="A118">
        <v>776849</v>
      </c>
      <c r="B118" t="s">
        <v>27</v>
      </c>
      <c r="C118" s="8">
        <v>0.92149999999999999</v>
      </c>
      <c r="D118">
        <v>20.100000000000001</v>
      </c>
      <c r="E118" s="7">
        <v>0.92349999999999999</v>
      </c>
      <c r="F118" t="s">
        <v>23</v>
      </c>
    </row>
    <row r="119" spans="1:6" x14ac:dyDescent="0.25">
      <c r="A119">
        <v>776849</v>
      </c>
      <c r="B119" t="s">
        <v>27</v>
      </c>
      <c r="C119" s="8">
        <v>0.92149999999999999</v>
      </c>
      <c r="D119">
        <v>0</v>
      </c>
      <c r="E119" s="7">
        <v>0.92349999999999999</v>
      </c>
      <c r="F119" t="s">
        <v>23</v>
      </c>
    </row>
    <row r="120" spans="1:6" x14ac:dyDescent="0.25">
      <c r="A120">
        <v>776849</v>
      </c>
      <c r="B120" t="s">
        <v>27</v>
      </c>
      <c r="C120" s="8">
        <v>0.92349999999999999</v>
      </c>
      <c r="D120">
        <v>20</v>
      </c>
      <c r="E120" s="7">
        <v>0.92549999999999999</v>
      </c>
      <c r="F120" t="s">
        <v>23</v>
      </c>
    </row>
    <row r="121" spans="1:6" x14ac:dyDescent="0.25">
      <c r="A121">
        <v>776849</v>
      </c>
      <c r="B121" t="s">
        <v>27</v>
      </c>
      <c r="C121" s="8">
        <v>0.92349999999999999</v>
      </c>
      <c r="D121">
        <v>0</v>
      </c>
      <c r="E121" s="7">
        <v>0.92549999999999999</v>
      </c>
      <c r="F121" t="s">
        <v>23</v>
      </c>
    </row>
    <row r="122" spans="1:6" x14ac:dyDescent="0.25">
      <c r="A122">
        <v>776849</v>
      </c>
      <c r="B122" t="s">
        <v>27</v>
      </c>
      <c r="C122" s="8">
        <v>0.92549000000000003</v>
      </c>
      <c r="D122">
        <v>19.899999999999999</v>
      </c>
      <c r="E122" s="7">
        <v>0.92749999999999999</v>
      </c>
      <c r="F122" t="s">
        <v>23</v>
      </c>
    </row>
    <row r="123" spans="1:6" x14ac:dyDescent="0.25">
      <c r="A123">
        <v>776849</v>
      </c>
      <c r="B123" t="s">
        <v>27</v>
      </c>
      <c r="C123" s="8">
        <v>0.92549000000000003</v>
      </c>
      <c r="D123">
        <v>0</v>
      </c>
      <c r="E123" s="7">
        <v>0.92749999999999999</v>
      </c>
      <c r="F123" t="s">
        <v>23</v>
      </c>
    </row>
    <row r="124" spans="1:6" x14ac:dyDescent="0.25">
      <c r="A124">
        <v>776849</v>
      </c>
      <c r="B124" t="s">
        <v>27</v>
      </c>
      <c r="C124" s="8">
        <v>0.92747999999999997</v>
      </c>
      <c r="D124">
        <v>19.899999999999999</v>
      </c>
      <c r="E124" s="7">
        <v>0.92949999999999999</v>
      </c>
      <c r="F124" t="s">
        <v>23</v>
      </c>
    </row>
    <row r="125" spans="1:6" x14ac:dyDescent="0.25">
      <c r="A125">
        <v>776849</v>
      </c>
      <c r="B125" t="s">
        <v>27</v>
      </c>
      <c r="C125" s="8">
        <v>0.92747999999999997</v>
      </c>
      <c r="D125">
        <v>0</v>
      </c>
      <c r="E125" s="7">
        <v>0.92949999999999999</v>
      </c>
      <c r="F125" t="s">
        <v>23</v>
      </c>
    </row>
    <row r="126" spans="1:6" x14ac:dyDescent="0.25">
      <c r="A126">
        <v>776849</v>
      </c>
      <c r="B126" t="s">
        <v>27</v>
      </c>
      <c r="C126" s="8">
        <v>0.92949000000000004</v>
      </c>
      <c r="D126">
        <v>20.100000000000001</v>
      </c>
      <c r="E126" s="7">
        <v>0.93149999999999999</v>
      </c>
      <c r="F126" t="s">
        <v>23</v>
      </c>
    </row>
    <row r="127" spans="1:6" x14ac:dyDescent="0.25">
      <c r="A127">
        <v>776849</v>
      </c>
      <c r="B127" t="s">
        <v>27</v>
      </c>
      <c r="C127" s="8">
        <v>0.92949000000000004</v>
      </c>
      <c r="D127">
        <v>0</v>
      </c>
      <c r="E127" s="7">
        <v>0.93149999999999999</v>
      </c>
      <c r="F127" t="s">
        <v>23</v>
      </c>
    </row>
    <row r="128" spans="1:6" x14ac:dyDescent="0.25">
      <c r="A128">
        <v>776849</v>
      </c>
      <c r="B128" t="s">
        <v>27</v>
      </c>
      <c r="C128" s="8">
        <v>0.93149000000000004</v>
      </c>
      <c r="D128">
        <v>20</v>
      </c>
      <c r="E128" s="7">
        <v>0.9335</v>
      </c>
      <c r="F128" t="s">
        <v>23</v>
      </c>
    </row>
    <row r="129" spans="1:6" x14ac:dyDescent="0.25">
      <c r="A129">
        <v>776849</v>
      </c>
      <c r="B129" t="s">
        <v>27</v>
      </c>
      <c r="C129" s="8">
        <v>0.93149000000000004</v>
      </c>
      <c r="D129">
        <v>0</v>
      </c>
      <c r="E129" s="7">
        <v>0.9335</v>
      </c>
      <c r="F129" t="s">
        <v>23</v>
      </c>
    </row>
    <row r="130" spans="1:6" x14ac:dyDescent="0.25">
      <c r="A130">
        <v>776849</v>
      </c>
      <c r="B130" t="s">
        <v>27</v>
      </c>
      <c r="C130" s="8">
        <v>0.93149999999999999</v>
      </c>
      <c r="D130">
        <v>0.1</v>
      </c>
      <c r="E130" s="7">
        <v>0</v>
      </c>
      <c r="F130" t="s">
        <v>22</v>
      </c>
    </row>
    <row r="131" spans="1:6" x14ac:dyDescent="0.25">
      <c r="A131">
        <v>776849</v>
      </c>
      <c r="B131" t="s">
        <v>27</v>
      </c>
      <c r="C131" s="8">
        <v>0.9335</v>
      </c>
      <c r="D131">
        <v>20</v>
      </c>
      <c r="E131" s="7">
        <v>0.9355</v>
      </c>
      <c r="F131" t="s">
        <v>23</v>
      </c>
    </row>
    <row r="132" spans="1:6" x14ac:dyDescent="0.25">
      <c r="A132">
        <v>776849</v>
      </c>
      <c r="B132" t="s">
        <v>27</v>
      </c>
      <c r="C132" s="8">
        <v>0.9335</v>
      </c>
      <c r="D132">
        <v>0</v>
      </c>
      <c r="E132" s="7">
        <v>0.9355</v>
      </c>
      <c r="F132" t="s">
        <v>23</v>
      </c>
    </row>
    <row r="133" spans="1:6" x14ac:dyDescent="0.25">
      <c r="A133">
        <v>776849</v>
      </c>
      <c r="B133" t="s">
        <v>27</v>
      </c>
      <c r="C133" s="8">
        <v>0.93547999999999998</v>
      </c>
      <c r="D133">
        <v>19.8</v>
      </c>
      <c r="E133" s="7">
        <v>0.9375</v>
      </c>
      <c r="F133" t="s">
        <v>23</v>
      </c>
    </row>
    <row r="134" spans="1:6" x14ac:dyDescent="0.25">
      <c r="A134">
        <v>776849</v>
      </c>
      <c r="B134" t="s">
        <v>27</v>
      </c>
      <c r="C134" s="8">
        <v>0.93547999999999998</v>
      </c>
      <c r="D134">
        <v>0</v>
      </c>
      <c r="E134" s="7">
        <v>0.9375</v>
      </c>
      <c r="F134" t="s">
        <v>23</v>
      </c>
    </row>
    <row r="135" spans="1:6" x14ac:dyDescent="0.25">
      <c r="A135">
        <v>776849</v>
      </c>
      <c r="B135" t="s">
        <v>27</v>
      </c>
      <c r="C135" s="8">
        <v>0.9375</v>
      </c>
      <c r="D135">
        <v>20.2</v>
      </c>
      <c r="E135" s="7">
        <v>0.9395</v>
      </c>
      <c r="F135" t="s">
        <v>23</v>
      </c>
    </row>
    <row r="136" spans="1:6" x14ac:dyDescent="0.25">
      <c r="A136">
        <v>776849</v>
      </c>
      <c r="B136" t="s">
        <v>27</v>
      </c>
      <c r="C136" s="8">
        <v>0.9375</v>
      </c>
      <c r="D136">
        <v>0</v>
      </c>
      <c r="E136" s="7">
        <v>0.9395</v>
      </c>
      <c r="F136" t="s">
        <v>23</v>
      </c>
    </row>
    <row r="137" spans="1:6" x14ac:dyDescent="0.25">
      <c r="A137">
        <v>776849</v>
      </c>
      <c r="B137" t="s">
        <v>27</v>
      </c>
      <c r="C137" s="8">
        <v>0.93945999999999996</v>
      </c>
      <c r="D137">
        <v>19.600000000000001</v>
      </c>
      <c r="E137" s="7">
        <v>0.9415</v>
      </c>
      <c r="F137" t="s">
        <v>23</v>
      </c>
    </row>
    <row r="138" spans="1:6" x14ac:dyDescent="0.25">
      <c r="A138">
        <v>776849</v>
      </c>
      <c r="B138" t="s">
        <v>27</v>
      </c>
      <c r="C138" s="8">
        <v>0.93945999999999996</v>
      </c>
      <c r="D138">
        <v>0</v>
      </c>
      <c r="E138" s="7">
        <v>0.9415</v>
      </c>
      <c r="F138" t="s">
        <v>23</v>
      </c>
    </row>
    <row r="139" spans="1:6" x14ac:dyDescent="0.25">
      <c r="A139">
        <v>776849</v>
      </c>
      <c r="B139" t="s">
        <v>27</v>
      </c>
      <c r="C139" s="8">
        <v>0.9415</v>
      </c>
      <c r="D139">
        <v>20.399999999999999</v>
      </c>
      <c r="E139" s="7">
        <v>0.94350000000000001</v>
      </c>
      <c r="F139" t="s">
        <v>23</v>
      </c>
    </row>
    <row r="140" spans="1:6" x14ac:dyDescent="0.25">
      <c r="A140">
        <v>776849</v>
      </c>
      <c r="B140" t="s">
        <v>27</v>
      </c>
      <c r="C140" s="8">
        <v>0.9415</v>
      </c>
      <c r="D140">
        <v>0</v>
      </c>
      <c r="E140" s="7">
        <v>0.94350000000000001</v>
      </c>
      <c r="F140" t="s">
        <v>23</v>
      </c>
    </row>
    <row r="141" spans="1:6" x14ac:dyDescent="0.25">
      <c r="A141">
        <v>776849</v>
      </c>
      <c r="B141" t="s">
        <v>27</v>
      </c>
      <c r="C141" s="8">
        <v>0.94347999999999999</v>
      </c>
      <c r="D141">
        <v>19.8</v>
      </c>
      <c r="E141" s="7">
        <v>0.94550000000000001</v>
      </c>
      <c r="F141" t="s">
        <v>23</v>
      </c>
    </row>
    <row r="142" spans="1:6" x14ac:dyDescent="0.25">
      <c r="A142">
        <v>776849</v>
      </c>
      <c r="B142" t="s">
        <v>27</v>
      </c>
      <c r="C142" s="8">
        <v>0.94347999999999999</v>
      </c>
      <c r="D142">
        <v>0</v>
      </c>
      <c r="E142" s="7">
        <v>0.94550000000000001</v>
      </c>
      <c r="F142" t="s">
        <v>23</v>
      </c>
    </row>
    <row r="143" spans="1:6" x14ac:dyDescent="0.25">
      <c r="A143">
        <v>776849</v>
      </c>
      <c r="B143" t="s">
        <v>27</v>
      </c>
      <c r="C143" s="8">
        <v>0.94550000000000001</v>
      </c>
      <c r="D143">
        <v>20.2</v>
      </c>
      <c r="E143" s="7">
        <v>0.94750000000000001</v>
      </c>
      <c r="F143" t="s">
        <v>23</v>
      </c>
    </row>
    <row r="144" spans="1:6" x14ac:dyDescent="0.25">
      <c r="A144">
        <v>776849</v>
      </c>
      <c r="B144" t="s">
        <v>27</v>
      </c>
      <c r="C144" s="8">
        <v>0.94550000000000001</v>
      </c>
      <c r="D144">
        <v>0</v>
      </c>
      <c r="E144" s="7">
        <v>0.94750000000000001</v>
      </c>
      <c r="F144" t="s">
        <v>23</v>
      </c>
    </row>
    <row r="145" spans="1:6" x14ac:dyDescent="0.25">
      <c r="A145">
        <v>776849</v>
      </c>
      <c r="B145" t="s">
        <v>27</v>
      </c>
      <c r="C145" s="8">
        <v>0.94750000000000001</v>
      </c>
      <c r="D145">
        <v>20</v>
      </c>
      <c r="E145" s="7">
        <v>0.94950000000000001</v>
      </c>
      <c r="F145" t="s">
        <v>23</v>
      </c>
    </row>
    <row r="146" spans="1:6" x14ac:dyDescent="0.25">
      <c r="A146">
        <v>776849</v>
      </c>
      <c r="B146" t="s">
        <v>27</v>
      </c>
      <c r="C146" s="8">
        <v>0.94750000000000001</v>
      </c>
      <c r="D146">
        <v>0</v>
      </c>
      <c r="E146" s="7">
        <v>0.94950000000000001</v>
      </c>
      <c r="F146" t="s">
        <v>23</v>
      </c>
    </row>
    <row r="147" spans="1:6" x14ac:dyDescent="0.25">
      <c r="A147">
        <v>776849</v>
      </c>
      <c r="B147" t="s">
        <v>27</v>
      </c>
      <c r="C147" s="8">
        <v>0.94952999999999999</v>
      </c>
      <c r="D147">
        <v>20.3</v>
      </c>
      <c r="E147" s="7">
        <v>0.95150000000000001</v>
      </c>
      <c r="F147" t="s">
        <v>23</v>
      </c>
    </row>
    <row r="148" spans="1:6" x14ac:dyDescent="0.25">
      <c r="A148">
        <v>776849</v>
      </c>
      <c r="B148" t="s">
        <v>27</v>
      </c>
      <c r="C148" s="8">
        <v>0.94952999999999999</v>
      </c>
      <c r="D148">
        <v>0</v>
      </c>
      <c r="E148" s="7">
        <v>0.95150000000000001</v>
      </c>
      <c r="F148" t="s">
        <v>23</v>
      </c>
    </row>
    <row r="149" spans="1:6" x14ac:dyDescent="0.25">
      <c r="A149">
        <v>776849</v>
      </c>
      <c r="B149" t="s">
        <v>28</v>
      </c>
      <c r="C149" s="8">
        <v>0.80200000000000005</v>
      </c>
      <c r="D149">
        <v>20</v>
      </c>
      <c r="E149" s="7">
        <v>0.80400000000000005</v>
      </c>
      <c r="F149" t="s">
        <v>23</v>
      </c>
    </row>
    <row r="150" spans="1:6" x14ac:dyDescent="0.25">
      <c r="A150">
        <v>776849</v>
      </c>
      <c r="B150" t="s">
        <v>28</v>
      </c>
      <c r="C150" s="8">
        <v>0.80398999999999998</v>
      </c>
      <c r="D150">
        <v>19.899999999999999</v>
      </c>
      <c r="E150" s="7">
        <v>0.80600000000000005</v>
      </c>
      <c r="F150" t="s">
        <v>23</v>
      </c>
    </row>
    <row r="151" spans="1:6" x14ac:dyDescent="0.25">
      <c r="A151">
        <v>776849</v>
      </c>
      <c r="B151" t="s">
        <v>28</v>
      </c>
      <c r="C151" s="8">
        <v>0.80600000000000005</v>
      </c>
      <c r="D151">
        <v>20.100000000000001</v>
      </c>
      <c r="E151" s="7">
        <v>0.80800000000000005</v>
      </c>
      <c r="F151" t="s">
        <v>23</v>
      </c>
    </row>
    <row r="152" spans="1:6" x14ac:dyDescent="0.25">
      <c r="A152">
        <v>776849</v>
      </c>
      <c r="B152" t="s">
        <v>28</v>
      </c>
      <c r="C152" s="8">
        <v>0.80800000000000005</v>
      </c>
      <c r="D152">
        <v>20</v>
      </c>
      <c r="E152" s="7">
        <v>0.81</v>
      </c>
      <c r="F152" t="s">
        <v>23</v>
      </c>
    </row>
    <row r="153" spans="1:6" x14ac:dyDescent="0.25">
      <c r="A153">
        <v>776849</v>
      </c>
      <c r="B153" t="s">
        <v>28</v>
      </c>
      <c r="C153" s="8">
        <v>0.81</v>
      </c>
      <c r="D153">
        <v>20</v>
      </c>
      <c r="E153" s="7">
        <v>0.81200000000000006</v>
      </c>
      <c r="F153" t="s">
        <v>23</v>
      </c>
    </row>
    <row r="154" spans="1:6" x14ac:dyDescent="0.25">
      <c r="A154">
        <v>776849</v>
      </c>
      <c r="B154" t="s">
        <v>28</v>
      </c>
      <c r="C154" s="8">
        <v>0.81200000000000006</v>
      </c>
      <c r="D154">
        <v>20</v>
      </c>
      <c r="E154" s="7">
        <v>0.81399999999999995</v>
      </c>
      <c r="F154" t="s">
        <v>23</v>
      </c>
    </row>
    <row r="155" spans="1:6" x14ac:dyDescent="0.25">
      <c r="A155">
        <v>776849</v>
      </c>
      <c r="B155" t="s">
        <v>28</v>
      </c>
      <c r="C155" s="8">
        <v>0.81399999999999995</v>
      </c>
      <c r="D155">
        <v>20</v>
      </c>
      <c r="E155" s="7">
        <v>0.81599999999999995</v>
      </c>
      <c r="F155" t="s">
        <v>23</v>
      </c>
    </row>
    <row r="156" spans="1:6" x14ac:dyDescent="0.25">
      <c r="A156">
        <v>776849</v>
      </c>
      <c r="B156" t="s">
        <v>28</v>
      </c>
      <c r="C156" s="8">
        <v>0.81599999999999995</v>
      </c>
      <c r="D156">
        <v>20</v>
      </c>
      <c r="E156" s="7">
        <v>0.81799999999999995</v>
      </c>
      <c r="F156" t="s">
        <v>23</v>
      </c>
    </row>
    <row r="157" spans="1:6" x14ac:dyDescent="0.25">
      <c r="A157">
        <v>776849</v>
      </c>
      <c r="B157" t="s">
        <v>28</v>
      </c>
      <c r="C157" s="8">
        <v>0.81799999999999995</v>
      </c>
      <c r="D157">
        <v>20</v>
      </c>
      <c r="E157" s="7">
        <v>0.82</v>
      </c>
      <c r="F157" t="s">
        <v>23</v>
      </c>
    </row>
    <row r="158" spans="1:6" x14ac:dyDescent="0.25">
      <c r="A158">
        <v>776849</v>
      </c>
      <c r="B158" t="s">
        <v>28</v>
      </c>
      <c r="C158" s="8">
        <v>0.81799999999999995</v>
      </c>
      <c r="D158">
        <v>0</v>
      </c>
      <c r="E158" s="7">
        <v>0.82</v>
      </c>
      <c r="F158" t="s">
        <v>23</v>
      </c>
    </row>
    <row r="159" spans="1:6" x14ac:dyDescent="0.25">
      <c r="A159">
        <v>776849</v>
      </c>
      <c r="B159" t="s">
        <v>28</v>
      </c>
      <c r="C159" s="8">
        <v>0.82</v>
      </c>
      <c r="D159">
        <v>20</v>
      </c>
      <c r="E159" s="7">
        <v>0.82199999999999995</v>
      </c>
      <c r="F159" t="s">
        <v>23</v>
      </c>
    </row>
    <row r="160" spans="1:6" x14ac:dyDescent="0.25">
      <c r="A160">
        <v>776849</v>
      </c>
      <c r="B160" t="s">
        <v>28</v>
      </c>
      <c r="C160" s="8">
        <v>0.82199999999999995</v>
      </c>
      <c r="D160">
        <v>20</v>
      </c>
      <c r="E160" s="7">
        <v>0.82399999999999995</v>
      </c>
      <c r="F160" t="s">
        <v>23</v>
      </c>
    </row>
    <row r="161" spans="1:6" x14ac:dyDescent="0.25">
      <c r="A161">
        <v>776849</v>
      </c>
      <c r="B161" t="s">
        <v>28</v>
      </c>
      <c r="C161" s="8">
        <v>0.82399999999999995</v>
      </c>
      <c r="D161">
        <v>20</v>
      </c>
      <c r="E161" s="7">
        <v>0.82599999999999996</v>
      </c>
      <c r="F161" t="s">
        <v>23</v>
      </c>
    </row>
    <row r="162" spans="1:6" x14ac:dyDescent="0.25">
      <c r="A162">
        <v>776849</v>
      </c>
      <c r="B162" t="s">
        <v>28</v>
      </c>
      <c r="C162" s="8">
        <v>0.82599999999999996</v>
      </c>
      <c r="D162">
        <v>20</v>
      </c>
      <c r="E162" s="7">
        <v>0.82799999999999996</v>
      </c>
      <c r="F162" t="s">
        <v>23</v>
      </c>
    </row>
    <row r="163" spans="1:6" x14ac:dyDescent="0.25">
      <c r="A163">
        <v>776849</v>
      </c>
      <c r="B163" t="s">
        <v>28</v>
      </c>
      <c r="C163" s="8">
        <v>0.82796999999999998</v>
      </c>
      <c r="D163">
        <v>19.7</v>
      </c>
      <c r="E163" s="7">
        <v>0.83</v>
      </c>
      <c r="F163" t="s">
        <v>23</v>
      </c>
    </row>
    <row r="164" spans="1:6" x14ac:dyDescent="0.25">
      <c r="A164">
        <v>776849</v>
      </c>
      <c r="B164" t="s">
        <v>28</v>
      </c>
      <c r="C164" s="8">
        <v>0.83</v>
      </c>
      <c r="D164">
        <v>20.3</v>
      </c>
      <c r="E164" s="7">
        <v>0.83199999999999996</v>
      </c>
      <c r="F164" t="s">
        <v>23</v>
      </c>
    </row>
    <row r="165" spans="1:6" x14ac:dyDescent="0.25">
      <c r="A165">
        <v>776849</v>
      </c>
      <c r="B165" t="s">
        <v>28</v>
      </c>
      <c r="C165" s="8">
        <v>0.83</v>
      </c>
      <c r="D165">
        <v>0</v>
      </c>
      <c r="E165" s="7">
        <v>0.83199999999999996</v>
      </c>
      <c r="F165" t="s">
        <v>23</v>
      </c>
    </row>
    <row r="166" spans="1:6" x14ac:dyDescent="0.25">
      <c r="A166">
        <v>776849</v>
      </c>
      <c r="B166" t="s">
        <v>28</v>
      </c>
      <c r="C166" s="8">
        <v>0.83199999999999996</v>
      </c>
      <c r="D166">
        <v>20</v>
      </c>
      <c r="E166" s="7">
        <v>0.83399999999999996</v>
      </c>
      <c r="F166" t="s">
        <v>23</v>
      </c>
    </row>
    <row r="167" spans="1:6" x14ac:dyDescent="0.25">
      <c r="A167">
        <v>776849</v>
      </c>
      <c r="B167" t="s">
        <v>28</v>
      </c>
      <c r="C167" s="8">
        <v>0.83399999999999996</v>
      </c>
      <c r="D167">
        <v>20</v>
      </c>
      <c r="E167" s="7">
        <v>0.83599999999999997</v>
      </c>
      <c r="F167" t="s">
        <v>23</v>
      </c>
    </row>
    <row r="168" spans="1:6" x14ac:dyDescent="0.25">
      <c r="A168">
        <v>776849</v>
      </c>
      <c r="B168" t="s">
        <v>28</v>
      </c>
      <c r="C168" s="8">
        <v>0.83599999999999997</v>
      </c>
      <c r="D168">
        <v>20</v>
      </c>
      <c r="E168" s="7">
        <v>0.83799999999999997</v>
      </c>
      <c r="F168" t="s">
        <v>23</v>
      </c>
    </row>
    <row r="169" spans="1:6" x14ac:dyDescent="0.25">
      <c r="A169">
        <v>776849</v>
      </c>
      <c r="B169" t="s">
        <v>28</v>
      </c>
      <c r="C169" s="8">
        <v>0.83804999999999996</v>
      </c>
      <c r="D169">
        <v>20.5</v>
      </c>
      <c r="E169" s="7">
        <v>0.84</v>
      </c>
      <c r="F169" t="s">
        <v>23</v>
      </c>
    </row>
    <row r="170" spans="1:6" x14ac:dyDescent="0.25">
      <c r="A170">
        <v>776849</v>
      </c>
      <c r="B170" t="s">
        <v>28</v>
      </c>
      <c r="C170" s="8">
        <v>0.83804999999999996</v>
      </c>
      <c r="D170">
        <v>0</v>
      </c>
      <c r="E170" s="7">
        <v>0.84</v>
      </c>
      <c r="F170" t="s">
        <v>23</v>
      </c>
    </row>
    <row r="171" spans="1:6" x14ac:dyDescent="0.25">
      <c r="A171">
        <v>776849</v>
      </c>
      <c r="B171" t="s">
        <v>28</v>
      </c>
      <c r="C171" s="8">
        <v>0.84</v>
      </c>
      <c r="D171">
        <v>19.5</v>
      </c>
      <c r="E171" s="7">
        <v>0.84199999999999997</v>
      </c>
      <c r="F171" t="s">
        <v>23</v>
      </c>
    </row>
    <row r="172" spans="1:6" x14ac:dyDescent="0.25">
      <c r="A172">
        <v>776849</v>
      </c>
      <c r="B172" t="s">
        <v>6</v>
      </c>
      <c r="C172" s="8">
        <v>1.91</v>
      </c>
      <c r="D172">
        <v>40</v>
      </c>
      <c r="E172" s="7">
        <v>1.9059999999999999</v>
      </c>
      <c r="F172" t="s">
        <v>22</v>
      </c>
    </row>
    <row r="173" spans="1:6" x14ac:dyDescent="0.25">
      <c r="A173">
        <v>776849</v>
      </c>
      <c r="B173" t="s">
        <v>6</v>
      </c>
      <c r="C173" s="8">
        <v>1.9139999999999999</v>
      </c>
      <c r="D173">
        <v>40</v>
      </c>
      <c r="E173" s="7">
        <v>1.91</v>
      </c>
      <c r="F173" t="s">
        <v>22</v>
      </c>
    </row>
    <row r="174" spans="1:6" x14ac:dyDescent="0.25">
      <c r="A174">
        <v>776849</v>
      </c>
      <c r="B174" t="s">
        <v>6</v>
      </c>
      <c r="C174" s="8">
        <v>1.9179999999999999</v>
      </c>
      <c r="D174">
        <v>40</v>
      </c>
      <c r="E174" s="7">
        <v>1.9139999999999999</v>
      </c>
      <c r="F174" t="s">
        <v>22</v>
      </c>
    </row>
    <row r="175" spans="1:6" x14ac:dyDescent="0.25">
      <c r="A175">
        <v>776849</v>
      </c>
      <c r="B175" t="s">
        <v>6</v>
      </c>
      <c r="C175" s="8">
        <v>1.9179999999999999</v>
      </c>
      <c r="D175">
        <v>0</v>
      </c>
      <c r="E175" s="7">
        <v>1.9139999999999999</v>
      </c>
      <c r="F175" t="s">
        <v>22</v>
      </c>
    </row>
    <row r="176" spans="1:6" x14ac:dyDescent="0.25">
      <c r="A176">
        <v>776849</v>
      </c>
      <c r="B176" t="s">
        <v>6</v>
      </c>
      <c r="C176" s="8">
        <v>1.9179999999999999</v>
      </c>
      <c r="D176">
        <v>0</v>
      </c>
      <c r="E176" s="7">
        <v>1.9139999999999999</v>
      </c>
      <c r="F176" t="s">
        <v>22</v>
      </c>
    </row>
    <row r="177" spans="1:6" x14ac:dyDescent="0.25">
      <c r="A177">
        <v>776849</v>
      </c>
      <c r="B177" t="s">
        <v>6</v>
      </c>
      <c r="C177" s="8">
        <v>1.9219999999999999</v>
      </c>
      <c r="D177">
        <v>40</v>
      </c>
      <c r="E177" s="7">
        <v>1.9179999999999999</v>
      </c>
      <c r="F177" t="s">
        <v>22</v>
      </c>
    </row>
    <row r="178" spans="1:6" x14ac:dyDescent="0.25">
      <c r="A178">
        <v>776849</v>
      </c>
      <c r="B178" t="s">
        <v>6</v>
      </c>
      <c r="C178" s="8">
        <v>1.9259999999999999</v>
      </c>
      <c r="D178">
        <v>40</v>
      </c>
      <c r="E178" s="7">
        <v>1.9219999999999999</v>
      </c>
      <c r="F178" t="s">
        <v>22</v>
      </c>
    </row>
    <row r="179" spans="1:6" x14ac:dyDescent="0.25">
      <c r="A179">
        <v>776849</v>
      </c>
      <c r="B179" t="s">
        <v>6</v>
      </c>
      <c r="C179" s="8">
        <v>1.93</v>
      </c>
      <c r="D179">
        <v>40</v>
      </c>
      <c r="E179" s="7">
        <v>1.9259999999999999</v>
      </c>
      <c r="F179" t="s">
        <v>22</v>
      </c>
    </row>
    <row r="180" spans="1:6" x14ac:dyDescent="0.25">
      <c r="A180">
        <v>776849</v>
      </c>
      <c r="B180" t="s">
        <v>6</v>
      </c>
      <c r="C180" s="8">
        <v>1.9339999999999999</v>
      </c>
      <c r="D180">
        <v>40</v>
      </c>
      <c r="E180" s="7">
        <v>1.93</v>
      </c>
      <c r="F180" t="s">
        <v>22</v>
      </c>
    </row>
    <row r="181" spans="1:6" x14ac:dyDescent="0.25">
      <c r="A181">
        <v>776849</v>
      </c>
      <c r="B181" t="s">
        <v>6</v>
      </c>
      <c r="C181" s="8">
        <v>1.9379999999999999</v>
      </c>
      <c r="D181">
        <v>40</v>
      </c>
      <c r="E181" s="7">
        <v>1.9339999999999999</v>
      </c>
      <c r="F181" t="s">
        <v>22</v>
      </c>
    </row>
    <row r="182" spans="1:6" x14ac:dyDescent="0.25">
      <c r="A182">
        <v>776849</v>
      </c>
      <c r="B182" t="s">
        <v>6</v>
      </c>
      <c r="C182" s="8">
        <v>1.9419999999999999</v>
      </c>
      <c r="D182">
        <v>40</v>
      </c>
      <c r="E182" s="7">
        <v>1.9379999999999999</v>
      </c>
      <c r="F182" t="s">
        <v>22</v>
      </c>
    </row>
    <row r="183" spans="1:6" x14ac:dyDescent="0.25">
      <c r="A183">
        <v>776849</v>
      </c>
      <c r="B183" t="s">
        <v>6</v>
      </c>
      <c r="C183" s="8">
        <v>1.946</v>
      </c>
      <c r="D183">
        <v>40</v>
      </c>
      <c r="E183" s="7">
        <v>1.9419999999999999</v>
      </c>
      <c r="F183" t="s">
        <v>22</v>
      </c>
    </row>
    <row r="184" spans="1:6" x14ac:dyDescent="0.25">
      <c r="A184">
        <v>776849</v>
      </c>
      <c r="B184" t="s">
        <v>6</v>
      </c>
      <c r="C184" s="8">
        <v>1.95001</v>
      </c>
      <c r="D184">
        <v>40.1</v>
      </c>
      <c r="E184" s="7">
        <v>1.946</v>
      </c>
      <c r="F184" t="s">
        <v>22</v>
      </c>
    </row>
    <row r="185" spans="1:6" x14ac:dyDescent="0.25">
      <c r="A185">
        <v>776849</v>
      </c>
      <c r="B185" t="s">
        <v>6</v>
      </c>
      <c r="C185" s="8">
        <v>1.95401</v>
      </c>
      <c r="D185">
        <v>40</v>
      </c>
      <c r="E185" s="7">
        <v>1.95</v>
      </c>
      <c r="F185" t="s">
        <v>22</v>
      </c>
    </row>
    <row r="186" spans="1:6" x14ac:dyDescent="0.25">
      <c r="A186">
        <v>776849</v>
      </c>
      <c r="B186" t="s">
        <v>6</v>
      </c>
      <c r="C186" s="8">
        <v>1.958</v>
      </c>
      <c r="D186">
        <v>39.9</v>
      </c>
      <c r="E186" s="7">
        <v>1.954</v>
      </c>
      <c r="F186" t="s">
        <v>22</v>
      </c>
    </row>
    <row r="187" spans="1:6" x14ac:dyDescent="0.25">
      <c r="A187">
        <v>776849</v>
      </c>
      <c r="B187" t="s">
        <v>6</v>
      </c>
      <c r="C187" s="8">
        <v>1.96221</v>
      </c>
      <c r="D187">
        <v>42.1</v>
      </c>
      <c r="E187" s="7">
        <v>1.958</v>
      </c>
      <c r="F187" t="s">
        <v>22</v>
      </c>
    </row>
    <row r="188" spans="1:6" x14ac:dyDescent="0.25">
      <c r="A188">
        <v>776849</v>
      </c>
      <c r="B188" t="s">
        <v>6</v>
      </c>
      <c r="C188" s="8">
        <v>1.96601</v>
      </c>
      <c r="D188">
        <v>38</v>
      </c>
      <c r="E188" s="7">
        <v>1.962</v>
      </c>
      <c r="F188" t="s">
        <v>22</v>
      </c>
    </row>
    <row r="189" spans="1:6" x14ac:dyDescent="0.25">
      <c r="A189">
        <v>776849</v>
      </c>
      <c r="B189" t="s">
        <v>6</v>
      </c>
      <c r="C189" s="8">
        <v>1.97001</v>
      </c>
      <c r="D189">
        <v>40</v>
      </c>
      <c r="E189" s="7">
        <v>1.966</v>
      </c>
      <c r="F189" t="s">
        <v>22</v>
      </c>
    </row>
    <row r="190" spans="1:6" x14ac:dyDescent="0.25">
      <c r="A190">
        <v>776849</v>
      </c>
      <c r="B190" t="s">
        <v>6</v>
      </c>
      <c r="C190" s="8">
        <v>1.97404</v>
      </c>
      <c r="D190">
        <v>40.299999999999997</v>
      </c>
      <c r="E190" s="7">
        <v>1.97</v>
      </c>
      <c r="F190" t="s">
        <v>22</v>
      </c>
    </row>
    <row r="191" spans="1:6" x14ac:dyDescent="0.25">
      <c r="A191">
        <v>776849</v>
      </c>
      <c r="B191" t="s">
        <v>7</v>
      </c>
      <c r="C191" s="8">
        <v>101</v>
      </c>
      <c r="D191">
        <v>20</v>
      </c>
      <c r="E191" s="7">
        <v>100.8</v>
      </c>
      <c r="F191" t="s">
        <v>22</v>
      </c>
    </row>
    <row r="192" spans="1:6" x14ac:dyDescent="0.25">
      <c r="A192">
        <v>776849</v>
      </c>
      <c r="B192" t="s">
        <v>7</v>
      </c>
      <c r="C192" s="8">
        <v>101.2</v>
      </c>
      <c r="D192">
        <v>20</v>
      </c>
      <c r="E192" s="7">
        <v>101</v>
      </c>
      <c r="F192" t="s">
        <v>22</v>
      </c>
    </row>
    <row r="193" spans="1:6" x14ac:dyDescent="0.25">
      <c r="A193">
        <v>776849</v>
      </c>
      <c r="B193" t="s">
        <v>7</v>
      </c>
      <c r="C193" s="8">
        <v>101.401</v>
      </c>
      <c r="D193">
        <v>20.100000000000001</v>
      </c>
      <c r="E193" s="7">
        <v>101.2</v>
      </c>
      <c r="F193" t="s">
        <v>22</v>
      </c>
    </row>
    <row r="194" spans="1:6" x14ac:dyDescent="0.25">
      <c r="A194">
        <v>776849</v>
      </c>
      <c r="B194" t="s">
        <v>7</v>
      </c>
      <c r="C194" s="8">
        <v>101.601</v>
      </c>
      <c r="D194">
        <v>20</v>
      </c>
      <c r="E194" s="7">
        <v>101.4</v>
      </c>
      <c r="F194" t="s">
        <v>22</v>
      </c>
    </row>
    <row r="195" spans="1:6" x14ac:dyDescent="0.25">
      <c r="A195">
        <v>776849</v>
      </c>
      <c r="B195" t="s">
        <v>7</v>
      </c>
      <c r="C195" s="8">
        <v>101.804</v>
      </c>
      <c r="D195">
        <v>20.3</v>
      </c>
      <c r="E195" s="7">
        <v>101.6</v>
      </c>
      <c r="F195" t="s">
        <v>22</v>
      </c>
    </row>
    <row r="196" spans="1:6" x14ac:dyDescent="0.25">
      <c r="A196">
        <v>776849</v>
      </c>
      <c r="B196" t="s">
        <v>7</v>
      </c>
      <c r="C196" s="8">
        <v>101.804</v>
      </c>
      <c r="D196">
        <v>0</v>
      </c>
      <c r="E196" s="7">
        <v>101.6</v>
      </c>
      <c r="F196" t="s">
        <v>22</v>
      </c>
    </row>
    <row r="197" spans="1:6" x14ac:dyDescent="0.25">
      <c r="A197">
        <v>776849</v>
      </c>
      <c r="B197" t="s">
        <v>7</v>
      </c>
      <c r="C197" s="8">
        <v>102</v>
      </c>
      <c r="D197">
        <v>19.600000000000001</v>
      </c>
      <c r="E197" s="7">
        <v>101.8</v>
      </c>
      <c r="F197" t="s">
        <v>22</v>
      </c>
    </row>
    <row r="198" spans="1:6" x14ac:dyDescent="0.25">
      <c r="A198">
        <v>776849</v>
      </c>
      <c r="B198" t="s">
        <v>7</v>
      </c>
      <c r="C198" s="8">
        <v>102</v>
      </c>
      <c r="D198">
        <v>0</v>
      </c>
      <c r="E198" s="7">
        <v>101.8</v>
      </c>
      <c r="F198" t="s">
        <v>22</v>
      </c>
    </row>
    <row r="199" spans="1:6" x14ac:dyDescent="0.25">
      <c r="A199">
        <v>776849</v>
      </c>
      <c r="B199" t="s">
        <v>7</v>
      </c>
      <c r="C199" s="8">
        <v>102.2</v>
      </c>
      <c r="D199">
        <v>20</v>
      </c>
      <c r="E199" s="7">
        <v>102</v>
      </c>
      <c r="F199" t="s">
        <v>22</v>
      </c>
    </row>
    <row r="200" spans="1:6" x14ac:dyDescent="0.25">
      <c r="A200">
        <v>776849</v>
      </c>
      <c r="B200" t="s">
        <v>7</v>
      </c>
      <c r="C200" s="8">
        <v>102.401</v>
      </c>
      <c r="D200">
        <v>20.100000000000001</v>
      </c>
      <c r="E200" s="7">
        <v>102.2</v>
      </c>
      <c r="F200" t="s">
        <v>22</v>
      </c>
    </row>
    <row r="201" spans="1:6" x14ac:dyDescent="0.25">
      <c r="A201">
        <v>776849</v>
      </c>
      <c r="B201" t="s">
        <v>7</v>
      </c>
      <c r="C201" s="8">
        <v>102.401</v>
      </c>
      <c r="D201">
        <v>0</v>
      </c>
      <c r="E201" s="7">
        <v>102.2</v>
      </c>
      <c r="F201" t="s">
        <v>22</v>
      </c>
    </row>
    <row r="202" spans="1:6" x14ac:dyDescent="0.25">
      <c r="A202">
        <v>776849</v>
      </c>
      <c r="B202" t="s">
        <v>7</v>
      </c>
      <c r="C202" s="8">
        <v>102.6</v>
      </c>
      <c r="D202">
        <v>19.899999999999999</v>
      </c>
      <c r="E202" s="7">
        <v>102.4</v>
      </c>
      <c r="F202" t="s">
        <v>22</v>
      </c>
    </row>
    <row r="203" spans="1:6" x14ac:dyDescent="0.25">
      <c r="A203">
        <v>776849</v>
      </c>
      <c r="B203" t="s">
        <v>7</v>
      </c>
      <c r="C203" s="8">
        <v>102.6</v>
      </c>
      <c r="D203">
        <v>0</v>
      </c>
      <c r="E203" s="7">
        <v>102.4</v>
      </c>
      <c r="F203" t="s">
        <v>22</v>
      </c>
    </row>
    <row r="204" spans="1:6" x14ac:dyDescent="0.25">
      <c r="A204">
        <v>776849</v>
      </c>
      <c r="B204" t="s">
        <v>7</v>
      </c>
      <c r="C204" s="8">
        <v>102.8</v>
      </c>
      <c r="D204">
        <v>20</v>
      </c>
      <c r="E204" s="7">
        <v>102.6</v>
      </c>
      <c r="F204" t="s">
        <v>22</v>
      </c>
    </row>
    <row r="205" spans="1:6" x14ac:dyDescent="0.25">
      <c r="A205">
        <v>776849</v>
      </c>
      <c r="B205" t="s">
        <v>7</v>
      </c>
      <c r="C205" s="8">
        <v>103</v>
      </c>
      <c r="D205">
        <v>20</v>
      </c>
      <c r="E205" s="7">
        <v>102.8</v>
      </c>
      <c r="F205" t="s">
        <v>22</v>
      </c>
    </row>
    <row r="206" spans="1:6" x14ac:dyDescent="0.25">
      <c r="A206">
        <v>776849</v>
      </c>
      <c r="B206" t="s">
        <v>7</v>
      </c>
      <c r="C206" s="8">
        <v>103.2</v>
      </c>
      <c r="D206">
        <v>20</v>
      </c>
      <c r="E206" s="7">
        <v>103</v>
      </c>
      <c r="F206" t="s">
        <v>22</v>
      </c>
    </row>
    <row r="207" spans="1:6" x14ac:dyDescent="0.25">
      <c r="A207">
        <v>776849</v>
      </c>
      <c r="B207" t="s">
        <v>7</v>
      </c>
      <c r="C207" s="8">
        <v>103.4</v>
      </c>
      <c r="D207">
        <v>20</v>
      </c>
      <c r="E207" s="7">
        <v>103.2</v>
      </c>
      <c r="F207" t="s">
        <v>22</v>
      </c>
    </row>
    <row r="208" spans="1:6" x14ac:dyDescent="0.25">
      <c r="A208">
        <v>776849</v>
      </c>
      <c r="B208" t="s">
        <v>7</v>
      </c>
      <c r="C208" s="8">
        <v>103.6</v>
      </c>
      <c r="D208">
        <v>20</v>
      </c>
      <c r="E208" s="7">
        <v>103.4</v>
      </c>
      <c r="F208" t="s">
        <v>22</v>
      </c>
    </row>
    <row r="209" spans="1:6" x14ac:dyDescent="0.25">
      <c r="A209">
        <v>776849</v>
      </c>
      <c r="B209" t="s">
        <v>7</v>
      </c>
      <c r="C209" s="8">
        <v>103.80200000000001</v>
      </c>
      <c r="D209">
        <v>20.2</v>
      </c>
      <c r="E209" s="7">
        <v>103.6</v>
      </c>
      <c r="F209" t="s">
        <v>22</v>
      </c>
    </row>
    <row r="210" spans="1:6" x14ac:dyDescent="0.25">
      <c r="A210">
        <v>776849</v>
      </c>
      <c r="B210" t="s">
        <v>7</v>
      </c>
      <c r="C210" s="8">
        <v>103.80200000000001</v>
      </c>
      <c r="D210">
        <v>0</v>
      </c>
      <c r="E210" s="7">
        <v>103.6</v>
      </c>
      <c r="F210" t="s">
        <v>22</v>
      </c>
    </row>
    <row r="211" spans="1:6" x14ac:dyDescent="0.25">
      <c r="A211">
        <v>776849</v>
      </c>
      <c r="B211" t="s">
        <v>7</v>
      </c>
      <c r="C211" s="8">
        <v>104.001</v>
      </c>
      <c r="D211">
        <v>19.899999999999999</v>
      </c>
      <c r="E211" s="7">
        <v>103.8</v>
      </c>
      <c r="F211" t="s">
        <v>22</v>
      </c>
    </row>
    <row r="212" spans="1:6" x14ac:dyDescent="0.25">
      <c r="A212">
        <v>776849</v>
      </c>
      <c r="B212" t="s">
        <v>7</v>
      </c>
      <c r="C212" s="8">
        <v>104.001</v>
      </c>
      <c r="D212">
        <v>0</v>
      </c>
      <c r="E212" s="7">
        <v>103.8</v>
      </c>
      <c r="F212" t="s">
        <v>22</v>
      </c>
    </row>
    <row r="213" spans="1:6" x14ac:dyDescent="0.25">
      <c r="A213">
        <v>776849</v>
      </c>
      <c r="B213" t="s">
        <v>7</v>
      </c>
      <c r="C213" s="8">
        <v>104.2</v>
      </c>
      <c r="D213">
        <v>19.899999999999999</v>
      </c>
      <c r="E213" s="7">
        <v>104</v>
      </c>
      <c r="F213" t="s">
        <v>22</v>
      </c>
    </row>
    <row r="214" spans="1:6" x14ac:dyDescent="0.25">
      <c r="A214">
        <v>776849</v>
      </c>
      <c r="B214" t="s">
        <v>7</v>
      </c>
      <c r="C214" s="8">
        <v>104.2</v>
      </c>
      <c r="D214">
        <v>0</v>
      </c>
      <c r="E214" s="7">
        <v>104</v>
      </c>
      <c r="F214" t="s">
        <v>22</v>
      </c>
    </row>
    <row r="215" spans="1:6" x14ac:dyDescent="0.25">
      <c r="A215">
        <v>776849</v>
      </c>
      <c r="B215" t="s">
        <v>7</v>
      </c>
      <c r="C215" s="8">
        <v>104.4</v>
      </c>
      <c r="D215">
        <v>20</v>
      </c>
      <c r="E215" s="7">
        <v>104.2</v>
      </c>
      <c r="F215" t="s">
        <v>22</v>
      </c>
    </row>
    <row r="216" spans="1:6" x14ac:dyDescent="0.25">
      <c r="A216">
        <v>776849</v>
      </c>
      <c r="B216" t="s">
        <v>7</v>
      </c>
      <c r="C216" s="8">
        <v>104.601</v>
      </c>
      <c r="D216">
        <v>20.100000000000001</v>
      </c>
      <c r="E216" s="7">
        <v>104.4</v>
      </c>
      <c r="F216" t="s">
        <v>22</v>
      </c>
    </row>
    <row r="217" spans="1:6" x14ac:dyDescent="0.25">
      <c r="A217">
        <v>776849</v>
      </c>
      <c r="B217" t="s">
        <v>7</v>
      </c>
      <c r="C217" s="8">
        <v>104.8</v>
      </c>
      <c r="D217">
        <v>19.899999999999999</v>
      </c>
      <c r="E217" s="7">
        <v>104.6</v>
      </c>
      <c r="F217" t="s">
        <v>22</v>
      </c>
    </row>
    <row r="218" spans="1:6" x14ac:dyDescent="0.25">
      <c r="A218">
        <v>776849</v>
      </c>
      <c r="B218" t="s">
        <v>7</v>
      </c>
      <c r="C218" s="8">
        <v>105</v>
      </c>
      <c r="D218">
        <v>20</v>
      </c>
      <c r="E218" s="7">
        <v>104.8</v>
      </c>
      <c r="F218" t="s">
        <v>22</v>
      </c>
    </row>
    <row r="219" spans="1:6" x14ac:dyDescent="0.25">
      <c r="A219">
        <v>776849</v>
      </c>
      <c r="B219" t="s">
        <v>7</v>
      </c>
      <c r="C219" s="8">
        <v>105</v>
      </c>
      <c r="D219">
        <v>0</v>
      </c>
      <c r="E219" s="7">
        <v>104.8</v>
      </c>
      <c r="F219" t="s">
        <v>22</v>
      </c>
    </row>
    <row r="220" spans="1:6" x14ac:dyDescent="0.25">
      <c r="A220">
        <v>776849</v>
      </c>
      <c r="B220" t="s">
        <v>7</v>
      </c>
      <c r="C220" s="8">
        <v>105.2</v>
      </c>
      <c r="D220">
        <v>20</v>
      </c>
      <c r="E220" s="7">
        <v>105</v>
      </c>
      <c r="F220" t="s">
        <v>22</v>
      </c>
    </row>
    <row r="221" spans="1:6" x14ac:dyDescent="0.25">
      <c r="A221">
        <v>776849</v>
      </c>
      <c r="B221" t="s">
        <v>7</v>
      </c>
      <c r="C221" s="8">
        <v>105.2</v>
      </c>
      <c r="D221">
        <v>0</v>
      </c>
      <c r="E221" s="7">
        <v>105</v>
      </c>
      <c r="F221" t="s">
        <v>22</v>
      </c>
    </row>
    <row r="222" spans="1:6" x14ac:dyDescent="0.25">
      <c r="A222">
        <v>776849</v>
      </c>
      <c r="B222" t="s">
        <v>7</v>
      </c>
      <c r="C222" s="8">
        <v>105.4</v>
      </c>
      <c r="D222">
        <v>20</v>
      </c>
      <c r="E222" s="7">
        <v>105.2</v>
      </c>
      <c r="F222" t="s">
        <v>22</v>
      </c>
    </row>
    <row r="223" spans="1:6" x14ac:dyDescent="0.25">
      <c r="A223">
        <v>776849</v>
      </c>
      <c r="B223" t="s">
        <v>7</v>
      </c>
      <c r="C223" s="8">
        <v>105.4</v>
      </c>
      <c r="D223">
        <v>0</v>
      </c>
      <c r="E223" s="7">
        <v>105.2</v>
      </c>
      <c r="F223" t="s">
        <v>22</v>
      </c>
    </row>
    <row r="224" spans="1:6" x14ac:dyDescent="0.25">
      <c r="A224">
        <v>776849</v>
      </c>
      <c r="B224" t="s">
        <v>7</v>
      </c>
      <c r="C224" s="8">
        <v>105.601</v>
      </c>
      <c r="D224">
        <v>20.100000000000001</v>
      </c>
      <c r="E224" s="7">
        <v>105.4</v>
      </c>
      <c r="F224" t="s">
        <v>22</v>
      </c>
    </row>
    <row r="225" spans="1:6" x14ac:dyDescent="0.25">
      <c r="A225">
        <v>776849</v>
      </c>
      <c r="B225" t="s">
        <v>7</v>
      </c>
      <c r="C225" s="8">
        <v>105.601</v>
      </c>
      <c r="D225">
        <v>0</v>
      </c>
      <c r="E225" s="7">
        <v>105.4</v>
      </c>
      <c r="F225" t="s">
        <v>22</v>
      </c>
    </row>
    <row r="226" spans="1:6" x14ac:dyDescent="0.25">
      <c r="A226">
        <v>776849</v>
      </c>
      <c r="B226" t="s">
        <v>7</v>
      </c>
      <c r="C226" s="8">
        <v>105.8</v>
      </c>
      <c r="D226">
        <v>19.899999999999999</v>
      </c>
      <c r="E226" s="7">
        <v>105.6</v>
      </c>
      <c r="F226" t="s">
        <v>22</v>
      </c>
    </row>
    <row r="227" spans="1:6" x14ac:dyDescent="0.25">
      <c r="A227">
        <v>776849</v>
      </c>
      <c r="B227" t="s">
        <v>7</v>
      </c>
      <c r="C227" s="8">
        <v>105.8</v>
      </c>
      <c r="D227">
        <v>0</v>
      </c>
      <c r="E227" s="7">
        <v>105.6</v>
      </c>
      <c r="F227" t="s">
        <v>22</v>
      </c>
    </row>
    <row r="228" spans="1:6" x14ac:dyDescent="0.25">
      <c r="A228">
        <v>776849</v>
      </c>
      <c r="B228" t="s">
        <v>7</v>
      </c>
      <c r="C228" s="8">
        <v>106.006</v>
      </c>
      <c r="D228">
        <v>20.6</v>
      </c>
      <c r="E228" s="7">
        <v>105.8</v>
      </c>
      <c r="F228" t="s">
        <v>22</v>
      </c>
    </row>
    <row r="229" spans="1:6" x14ac:dyDescent="0.25">
      <c r="A229">
        <v>776849</v>
      </c>
      <c r="B229" t="s">
        <v>7</v>
      </c>
      <c r="C229" s="8">
        <v>106.006</v>
      </c>
      <c r="D229">
        <v>0</v>
      </c>
      <c r="E229" s="7">
        <v>105.8</v>
      </c>
      <c r="F229" t="s">
        <v>22</v>
      </c>
    </row>
    <row r="230" spans="1:6" x14ac:dyDescent="0.25">
      <c r="A230">
        <v>776849</v>
      </c>
      <c r="B230" t="s">
        <v>7</v>
      </c>
      <c r="C230" s="8">
        <v>106.2</v>
      </c>
      <c r="D230">
        <v>19.399999999999999</v>
      </c>
      <c r="E230" s="7">
        <v>106</v>
      </c>
      <c r="F230" t="s">
        <v>22</v>
      </c>
    </row>
    <row r="231" spans="1:6" x14ac:dyDescent="0.25">
      <c r="A231">
        <v>776849</v>
      </c>
      <c r="B231" t="s">
        <v>7</v>
      </c>
      <c r="C231" s="8">
        <v>106.2</v>
      </c>
      <c r="D231">
        <v>0</v>
      </c>
      <c r="E231" s="7">
        <v>106</v>
      </c>
      <c r="F231" t="s">
        <v>22</v>
      </c>
    </row>
    <row r="232" spans="1:6" x14ac:dyDescent="0.25">
      <c r="A232">
        <v>776849</v>
      </c>
      <c r="B232" t="s">
        <v>7</v>
      </c>
      <c r="C232" s="8">
        <v>106.4</v>
      </c>
      <c r="D232">
        <v>20</v>
      </c>
      <c r="E232" s="7">
        <v>106.2</v>
      </c>
      <c r="F232" t="s">
        <v>22</v>
      </c>
    </row>
    <row r="233" spans="1:6" x14ac:dyDescent="0.25">
      <c r="A233">
        <v>776849</v>
      </c>
      <c r="B233" t="s">
        <v>7</v>
      </c>
      <c r="C233" s="8">
        <v>106.4</v>
      </c>
      <c r="D233">
        <v>0</v>
      </c>
      <c r="E233" s="7">
        <v>106.2</v>
      </c>
      <c r="F233" t="s">
        <v>22</v>
      </c>
    </row>
    <row r="234" spans="1:6" x14ac:dyDescent="0.25">
      <c r="A234">
        <v>776849</v>
      </c>
      <c r="B234" t="s">
        <v>7</v>
      </c>
      <c r="C234" s="8">
        <v>106.60599999999999</v>
      </c>
      <c r="D234">
        <v>20.6</v>
      </c>
      <c r="E234" s="7">
        <v>106.4</v>
      </c>
      <c r="F234" t="s">
        <v>22</v>
      </c>
    </row>
    <row r="235" spans="1:6" x14ac:dyDescent="0.25">
      <c r="A235">
        <v>776849</v>
      </c>
      <c r="B235" t="s">
        <v>7</v>
      </c>
      <c r="C235" s="8">
        <v>106.60599999999999</v>
      </c>
      <c r="D235">
        <v>0</v>
      </c>
      <c r="E235" s="7">
        <v>106.4</v>
      </c>
      <c r="F235" t="s">
        <v>22</v>
      </c>
    </row>
    <row r="236" spans="1:6" x14ac:dyDescent="0.25">
      <c r="A236">
        <v>776849</v>
      </c>
      <c r="B236" t="s">
        <v>7</v>
      </c>
      <c r="C236" s="8">
        <v>106.8</v>
      </c>
      <c r="D236">
        <v>19.399999999999999</v>
      </c>
      <c r="E236" s="7">
        <v>106.6</v>
      </c>
      <c r="F236" t="s">
        <v>22</v>
      </c>
    </row>
    <row r="237" spans="1:6" x14ac:dyDescent="0.25">
      <c r="A237">
        <v>776849</v>
      </c>
      <c r="B237" t="s">
        <v>7</v>
      </c>
      <c r="C237" s="8">
        <v>106.8</v>
      </c>
      <c r="D237">
        <v>0</v>
      </c>
      <c r="E237" s="7">
        <v>106.6</v>
      </c>
      <c r="F237" t="s">
        <v>22</v>
      </c>
    </row>
    <row r="238" spans="1:6" x14ac:dyDescent="0.25">
      <c r="A238">
        <v>776849</v>
      </c>
      <c r="B238" t="s">
        <v>7</v>
      </c>
      <c r="C238" s="8">
        <v>107</v>
      </c>
      <c r="D238">
        <v>20</v>
      </c>
      <c r="E238" s="7">
        <v>106.8</v>
      </c>
      <c r="F238" t="s">
        <v>22</v>
      </c>
    </row>
    <row r="239" spans="1:6" x14ac:dyDescent="0.25">
      <c r="A239">
        <v>776849</v>
      </c>
      <c r="B239" t="s">
        <v>7</v>
      </c>
      <c r="C239" s="8">
        <v>107</v>
      </c>
      <c r="D239">
        <v>0</v>
      </c>
      <c r="E239" s="7">
        <v>106.8</v>
      </c>
      <c r="F239" t="s">
        <v>22</v>
      </c>
    </row>
    <row r="240" spans="1:6" x14ac:dyDescent="0.25">
      <c r="A240">
        <v>776849</v>
      </c>
      <c r="B240" t="s">
        <v>7</v>
      </c>
      <c r="C240" s="8">
        <v>107.2</v>
      </c>
      <c r="D240">
        <v>20</v>
      </c>
      <c r="E240" s="7">
        <v>107</v>
      </c>
      <c r="F240" t="s">
        <v>22</v>
      </c>
    </row>
    <row r="241" spans="1:6" x14ac:dyDescent="0.25">
      <c r="A241">
        <v>776849</v>
      </c>
      <c r="B241" t="s">
        <v>7</v>
      </c>
      <c r="C241" s="8">
        <v>107.2</v>
      </c>
      <c r="D241">
        <v>0</v>
      </c>
      <c r="E241" s="7">
        <v>107</v>
      </c>
      <c r="F241" t="s">
        <v>22</v>
      </c>
    </row>
    <row r="242" spans="1:6" x14ac:dyDescent="0.25">
      <c r="A242">
        <v>776849</v>
      </c>
      <c r="B242" t="s">
        <v>7</v>
      </c>
      <c r="C242" s="8">
        <v>107.6</v>
      </c>
      <c r="D242">
        <v>40</v>
      </c>
      <c r="E242" s="7">
        <v>107.4</v>
      </c>
      <c r="F242" t="s">
        <v>22</v>
      </c>
    </row>
    <row r="243" spans="1:6" x14ac:dyDescent="0.25">
      <c r="A243">
        <v>776849</v>
      </c>
      <c r="B243" t="s">
        <v>7</v>
      </c>
      <c r="C243" s="8">
        <v>107.6</v>
      </c>
      <c r="D243">
        <v>0</v>
      </c>
      <c r="E243" s="7">
        <v>107.4</v>
      </c>
      <c r="F243" t="s">
        <v>22</v>
      </c>
    </row>
    <row r="244" spans="1:6" x14ac:dyDescent="0.25">
      <c r="A244">
        <v>776849</v>
      </c>
      <c r="B244" t="s">
        <v>7</v>
      </c>
      <c r="C244" s="8">
        <v>107.8</v>
      </c>
      <c r="D244">
        <v>20</v>
      </c>
      <c r="E244" s="7">
        <v>107.6</v>
      </c>
      <c r="F244" t="s">
        <v>22</v>
      </c>
    </row>
    <row r="245" spans="1:6" x14ac:dyDescent="0.25">
      <c r="A245">
        <v>776849</v>
      </c>
      <c r="B245" t="s">
        <v>7</v>
      </c>
      <c r="C245" s="8">
        <v>107.8</v>
      </c>
      <c r="D245">
        <v>0</v>
      </c>
      <c r="E245" s="7">
        <v>107.6</v>
      </c>
      <c r="F245" t="s">
        <v>22</v>
      </c>
    </row>
    <row r="246" spans="1:6" x14ac:dyDescent="0.25">
      <c r="A246">
        <v>776849</v>
      </c>
      <c r="B246" t="s">
        <v>7</v>
      </c>
      <c r="C246" s="8">
        <v>108.026</v>
      </c>
      <c r="D246">
        <v>22.6</v>
      </c>
      <c r="E246" s="7">
        <v>107.8</v>
      </c>
      <c r="F246" t="s">
        <v>22</v>
      </c>
    </row>
    <row r="247" spans="1:6" x14ac:dyDescent="0.25">
      <c r="A247">
        <v>776849</v>
      </c>
      <c r="B247" t="s">
        <v>7</v>
      </c>
      <c r="C247" s="8">
        <v>108.026</v>
      </c>
      <c r="D247">
        <v>0</v>
      </c>
      <c r="E247" s="7">
        <v>107.8</v>
      </c>
      <c r="F247" t="s">
        <v>22</v>
      </c>
    </row>
    <row r="248" spans="1:6" x14ac:dyDescent="0.25">
      <c r="A248">
        <v>776849</v>
      </c>
      <c r="B248" t="s">
        <v>7</v>
      </c>
      <c r="C248" s="8">
        <v>108.2</v>
      </c>
      <c r="D248">
        <v>17.399999999999999</v>
      </c>
      <c r="E248" s="7">
        <v>108</v>
      </c>
      <c r="F248" t="s">
        <v>22</v>
      </c>
    </row>
    <row r="249" spans="1:6" x14ac:dyDescent="0.25">
      <c r="A249">
        <v>776849</v>
      </c>
      <c r="B249" t="s">
        <v>7</v>
      </c>
      <c r="C249" s="8">
        <v>108.2</v>
      </c>
      <c r="D249">
        <v>0</v>
      </c>
      <c r="E249" s="7">
        <v>108</v>
      </c>
      <c r="F249" t="s">
        <v>22</v>
      </c>
    </row>
    <row r="250" spans="1:6" x14ac:dyDescent="0.25">
      <c r="A250">
        <v>776849</v>
      </c>
      <c r="B250" t="s">
        <v>7</v>
      </c>
      <c r="C250" s="8">
        <v>108.4</v>
      </c>
      <c r="D250">
        <v>20</v>
      </c>
      <c r="E250" s="7">
        <v>108.2</v>
      </c>
      <c r="F250" t="s">
        <v>22</v>
      </c>
    </row>
    <row r="251" spans="1:6" x14ac:dyDescent="0.25">
      <c r="A251">
        <v>776849</v>
      </c>
      <c r="B251" t="s">
        <v>7</v>
      </c>
      <c r="C251" s="8">
        <v>108.4</v>
      </c>
      <c r="D251">
        <v>0</v>
      </c>
      <c r="E251" s="7">
        <v>108.2</v>
      </c>
      <c r="F251" t="s">
        <v>22</v>
      </c>
    </row>
    <row r="252" spans="1:6" x14ac:dyDescent="0.25">
      <c r="A252">
        <v>776980</v>
      </c>
      <c r="B252" t="s">
        <v>27</v>
      </c>
      <c r="C252" s="8">
        <v>0.88941999999999999</v>
      </c>
      <c r="D252">
        <v>20</v>
      </c>
      <c r="E252" s="7">
        <v>0.89149999999999996</v>
      </c>
      <c r="F252" t="s">
        <v>23</v>
      </c>
    </row>
    <row r="253" spans="1:6" x14ac:dyDescent="0.25">
      <c r="A253">
        <v>776980</v>
      </c>
      <c r="B253" t="s">
        <v>27</v>
      </c>
      <c r="C253" s="8">
        <v>0.89149</v>
      </c>
      <c r="D253">
        <v>20.7</v>
      </c>
      <c r="E253" s="7">
        <v>0.89349999999999996</v>
      </c>
      <c r="F253" t="s">
        <v>23</v>
      </c>
    </row>
    <row r="254" spans="1:6" x14ac:dyDescent="0.25">
      <c r="A254">
        <v>776980</v>
      </c>
      <c r="B254" t="s">
        <v>27</v>
      </c>
      <c r="C254" s="8">
        <v>0.89349999999999996</v>
      </c>
      <c r="D254">
        <v>20.100000000000001</v>
      </c>
      <c r="E254" s="7">
        <v>0.89549999999999996</v>
      </c>
      <c r="F254" t="s">
        <v>23</v>
      </c>
    </row>
    <row r="255" spans="1:6" x14ac:dyDescent="0.25">
      <c r="A255">
        <v>776980</v>
      </c>
      <c r="B255" t="s">
        <v>27</v>
      </c>
      <c r="C255" s="8">
        <v>0.89548000000000005</v>
      </c>
      <c r="D255">
        <v>19.8</v>
      </c>
      <c r="E255" s="7">
        <v>0.89749999999999996</v>
      </c>
      <c r="F255" t="s">
        <v>23</v>
      </c>
    </row>
    <row r="256" spans="1:6" x14ac:dyDescent="0.25">
      <c r="A256">
        <v>776980</v>
      </c>
      <c r="B256" t="s">
        <v>27</v>
      </c>
      <c r="C256" s="8">
        <v>0.89748000000000006</v>
      </c>
      <c r="D256">
        <v>20</v>
      </c>
      <c r="E256" s="7">
        <v>0.89949999999999997</v>
      </c>
      <c r="F256" t="s">
        <v>23</v>
      </c>
    </row>
    <row r="257" spans="1:6" x14ac:dyDescent="0.25">
      <c r="A257">
        <v>776980</v>
      </c>
      <c r="B257" t="s">
        <v>27</v>
      </c>
      <c r="C257" s="8">
        <v>0.89949999999999997</v>
      </c>
      <c r="D257">
        <v>20.2</v>
      </c>
      <c r="E257" s="7">
        <v>0.90149999999999997</v>
      </c>
      <c r="F257" t="s">
        <v>23</v>
      </c>
    </row>
    <row r="258" spans="1:6" x14ac:dyDescent="0.25">
      <c r="A258">
        <v>776980</v>
      </c>
      <c r="B258" t="s">
        <v>27</v>
      </c>
      <c r="C258" s="8">
        <v>0.90149000000000001</v>
      </c>
      <c r="D258">
        <v>19.899999999999999</v>
      </c>
      <c r="E258" s="7">
        <v>0.90349999999999997</v>
      </c>
      <c r="F258" t="s">
        <v>23</v>
      </c>
    </row>
    <row r="259" spans="1:6" x14ac:dyDescent="0.25">
      <c r="A259">
        <v>776980</v>
      </c>
      <c r="B259" t="s">
        <v>27</v>
      </c>
      <c r="C259" s="8">
        <v>0.90349999999999997</v>
      </c>
      <c r="D259">
        <v>20.100000000000001</v>
      </c>
      <c r="E259" s="7">
        <v>0.90549999999999997</v>
      </c>
      <c r="F259" t="s">
        <v>23</v>
      </c>
    </row>
    <row r="260" spans="1:6" x14ac:dyDescent="0.25">
      <c r="A260">
        <v>776980</v>
      </c>
      <c r="B260" t="s">
        <v>27</v>
      </c>
      <c r="C260" s="8">
        <v>0.90549999999999997</v>
      </c>
      <c r="D260">
        <v>20</v>
      </c>
      <c r="E260" s="7">
        <v>0.90749999999999997</v>
      </c>
      <c r="F260" t="s">
        <v>23</v>
      </c>
    </row>
    <row r="261" spans="1:6" x14ac:dyDescent="0.25">
      <c r="A261">
        <v>776980</v>
      </c>
      <c r="B261" t="s">
        <v>27</v>
      </c>
      <c r="C261" s="8">
        <v>0.90749999999999997</v>
      </c>
      <c r="D261">
        <v>20</v>
      </c>
      <c r="E261" s="7">
        <v>0.90949999999999998</v>
      </c>
      <c r="F261" t="s">
        <v>23</v>
      </c>
    </row>
    <row r="262" spans="1:6" x14ac:dyDescent="0.25">
      <c r="A262">
        <v>776980</v>
      </c>
      <c r="B262" t="s">
        <v>27</v>
      </c>
      <c r="C262" s="8">
        <v>0.90947</v>
      </c>
      <c r="D262">
        <v>19.7</v>
      </c>
      <c r="E262" s="7">
        <v>0.91149999999999998</v>
      </c>
      <c r="F262" t="s">
        <v>23</v>
      </c>
    </row>
    <row r="263" spans="1:6" x14ac:dyDescent="0.25">
      <c r="A263">
        <v>776980</v>
      </c>
      <c r="B263" t="s">
        <v>27</v>
      </c>
      <c r="C263" s="8">
        <v>0.91149999999999998</v>
      </c>
      <c r="D263">
        <v>20.3</v>
      </c>
      <c r="E263" s="7">
        <v>0.91349999999999998</v>
      </c>
      <c r="F263" t="s">
        <v>23</v>
      </c>
    </row>
    <row r="264" spans="1:6" x14ac:dyDescent="0.25">
      <c r="A264">
        <v>776980</v>
      </c>
      <c r="B264" t="s">
        <v>27</v>
      </c>
      <c r="C264" s="8">
        <v>0.91349000000000002</v>
      </c>
      <c r="D264">
        <v>19.899999999999999</v>
      </c>
      <c r="E264" s="7">
        <v>0.91549999999999998</v>
      </c>
      <c r="F264" t="s">
        <v>23</v>
      </c>
    </row>
    <row r="265" spans="1:6" x14ac:dyDescent="0.25">
      <c r="A265">
        <v>776980</v>
      </c>
      <c r="B265" t="s">
        <v>27</v>
      </c>
      <c r="C265" s="8">
        <v>0.91549999999999998</v>
      </c>
      <c r="D265">
        <v>20.100000000000001</v>
      </c>
      <c r="E265" s="7">
        <v>0.91749999999999998</v>
      </c>
      <c r="F265" t="s">
        <v>23</v>
      </c>
    </row>
    <row r="266" spans="1:6" x14ac:dyDescent="0.25">
      <c r="A266">
        <v>776980</v>
      </c>
      <c r="B266" t="s">
        <v>27</v>
      </c>
      <c r="C266" s="8">
        <v>0.91746000000000005</v>
      </c>
      <c r="D266">
        <v>19.600000000000001</v>
      </c>
      <c r="E266" s="7">
        <v>0.91949999999999998</v>
      </c>
      <c r="F266" t="s">
        <v>23</v>
      </c>
    </row>
    <row r="267" spans="1:6" x14ac:dyDescent="0.25">
      <c r="A267">
        <v>776980</v>
      </c>
      <c r="B267" t="s">
        <v>27</v>
      </c>
      <c r="C267" s="8">
        <v>0.91949000000000003</v>
      </c>
      <c r="D267">
        <v>20.3</v>
      </c>
      <c r="E267" s="7">
        <v>0.92149999999999999</v>
      </c>
      <c r="F267" t="s">
        <v>23</v>
      </c>
    </row>
    <row r="268" spans="1:6" x14ac:dyDescent="0.25">
      <c r="A268">
        <v>776980</v>
      </c>
      <c r="B268" t="s">
        <v>27</v>
      </c>
      <c r="C268" s="8">
        <v>0.92149999999999999</v>
      </c>
      <c r="D268">
        <v>20.100000000000001</v>
      </c>
      <c r="E268" s="7">
        <v>0.92349999999999999</v>
      </c>
      <c r="F268" t="s">
        <v>23</v>
      </c>
    </row>
    <row r="269" spans="1:6" x14ac:dyDescent="0.25">
      <c r="A269">
        <v>776980</v>
      </c>
      <c r="B269" t="s">
        <v>27</v>
      </c>
      <c r="C269" s="8">
        <v>0.92349999999999999</v>
      </c>
      <c r="D269">
        <v>20</v>
      </c>
      <c r="E269" s="7">
        <v>0.92549999999999999</v>
      </c>
      <c r="F269" t="s">
        <v>23</v>
      </c>
    </row>
    <row r="270" spans="1:6" x14ac:dyDescent="0.25">
      <c r="A270">
        <v>776980</v>
      </c>
      <c r="B270" t="s">
        <v>27</v>
      </c>
      <c r="C270" s="8">
        <v>0.92549000000000003</v>
      </c>
      <c r="D270">
        <v>19.899999999999999</v>
      </c>
      <c r="E270" s="7">
        <v>0.92749999999999999</v>
      </c>
      <c r="F270" t="s">
        <v>23</v>
      </c>
    </row>
    <row r="271" spans="1:6" x14ac:dyDescent="0.25">
      <c r="A271">
        <v>776982</v>
      </c>
      <c r="B271" t="s">
        <v>5</v>
      </c>
      <c r="C271" s="8">
        <v>1.2829999999999999</v>
      </c>
      <c r="D271">
        <v>30</v>
      </c>
      <c r="E271" s="7">
        <v>1.286</v>
      </c>
      <c r="F271" t="s">
        <v>23</v>
      </c>
    </row>
    <row r="272" spans="1:6" x14ac:dyDescent="0.25">
      <c r="A272">
        <v>776982</v>
      </c>
      <c r="B272" t="s">
        <v>5</v>
      </c>
      <c r="C272" s="8">
        <v>1.2829999999999999</v>
      </c>
      <c r="D272">
        <v>0</v>
      </c>
      <c r="E272" s="7">
        <v>1.286</v>
      </c>
      <c r="F272" t="s">
        <v>23</v>
      </c>
    </row>
    <row r="273" spans="1:6" x14ac:dyDescent="0.25">
      <c r="A273">
        <v>776982</v>
      </c>
      <c r="B273" t="s">
        <v>5</v>
      </c>
      <c r="C273" s="8">
        <v>1.28606</v>
      </c>
      <c r="D273">
        <v>30.6</v>
      </c>
      <c r="E273" s="7">
        <v>1.2889999999999999</v>
      </c>
      <c r="F273" t="s">
        <v>23</v>
      </c>
    </row>
    <row r="274" spans="1:6" x14ac:dyDescent="0.25">
      <c r="A274">
        <v>776982</v>
      </c>
      <c r="B274" t="s">
        <v>5</v>
      </c>
      <c r="C274" s="8">
        <v>1.28606</v>
      </c>
      <c r="D274">
        <v>0</v>
      </c>
      <c r="E274" s="7">
        <v>1.2889999999999999</v>
      </c>
      <c r="F274" t="s">
        <v>23</v>
      </c>
    </row>
    <row r="275" spans="1:6" x14ac:dyDescent="0.25">
      <c r="A275">
        <v>776982</v>
      </c>
      <c r="B275" t="s">
        <v>5</v>
      </c>
      <c r="C275" s="8">
        <v>1.2979799999999999</v>
      </c>
      <c r="D275">
        <v>119.2</v>
      </c>
      <c r="E275" s="7">
        <v>1.3009999999999999</v>
      </c>
      <c r="F275" t="s">
        <v>23</v>
      </c>
    </row>
    <row r="276" spans="1:6" x14ac:dyDescent="0.25">
      <c r="A276">
        <v>776982</v>
      </c>
      <c r="B276" t="s">
        <v>5</v>
      </c>
      <c r="C276" s="8">
        <v>1.2979799999999999</v>
      </c>
      <c r="D276">
        <v>0</v>
      </c>
      <c r="E276" s="7">
        <v>1.3009999999999999</v>
      </c>
      <c r="F276" t="s">
        <v>23</v>
      </c>
    </row>
    <row r="277" spans="1:6" x14ac:dyDescent="0.25">
      <c r="A277">
        <v>776982</v>
      </c>
      <c r="B277" t="s">
        <v>5</v>
      </c>
      <c r="C277" s="8">
        <v>1.3009999999999999</v>
      </c>
      <c r="D277">
        <v>30.2</v>
      </c>
      <c r="E277" s="7">
        <v>1.304</v>
      </c>
      <c r="F277" t="s">
        <v>23</v>
      </c>
    </row>
    <row r="278" spans="1:6" x14ac:dyDescent="0.25">
      <c r="A278">
        <v>776982</v>
      </c>
      <c r="B278" t="s">
        <v>5</v>
      </c>
      <c r="C278" s="8">
        <v>1.3009999999999999</v>
      </c>
      <c r="D278">
        <v>0</v>
      </c>
      <c r="E278" s="7">
        <v>1.304</v>
      </c>
      <c r="F278" t="s">
        <v>23</v>
      </c>
    </row>
    <row r="279" spans="1:6" x14ac:dyDescent="0.25">
      <c r="A279">
        <v>776982</v>
      </c>
      <c r="B279" t="s">
        <v>5</v>
      </c>
      <c r="C279" s="8">
        <v>1.3039700000000001</v>
      </c>
      <c r="D279">
        <v>29.7</v>
      </c>
      <c r="E279" s="7">
        <v>1.3069999999999999</v>
      </c>
      <c r="F279" t="s">
        <v>23</v>
      </c>
    </row>
    <row r="280" spans="1:6" x14ac:dyDescent="0.25">
      <c r="A280">
        <v>776982</v>
      </c>
      <c r="B280" t="s">
        <v>5</v>
      </c>
      <c r="C280" s="8">
        <v>1.3039700000000001</v>
      </c>
      <c r="D280">
        <v>0</v>
      </c>
      <c r="E280" s="7">
        <v>1.3069999999999999</v>
      </c>
      <c r="F280" t="s">
        <v>23</v>
      </c>
    </row>
    <row r="281" spans="1:6" x14ac:dyDescent="0.25">
      <c r="A281">
        <v>776982</v>
      </c>
      <c r="B281" t="s">
        <v>5</v>
      </c>
      <c r="C281" s="8">
        <v>1.3069999999999999</v>
      </c>
      <c r="D281">
        <v>30.3</v>
      </c>
      <c r="E281" s="7">
        <v>1.31</v>
      </c>
      <c r="F281" t="s">
        <v>23</v>
      </c>
    </row>
    <row r="282" spans="1:6" x14ac:dyDescent="0.25">
      <c r="A282">
        <v>776982</v>
      </c>
      <c r="B282" t="s">
        <v>5</v>
      </c>
      <c r="C282" s="8">
        <v>1.3069999999999999</v>
      </c>
      <c r="D282">
        <v>0</v>
      </c>
      <c r="E282" s="7">
        <v>1.31</v>
      </c>
      <c r="F282" t="s">
        <v>23</v>
      </c>
    </row>
    <row r="283" spans="1:6" x14ac:dyDescent="0.25">
      <c r="A283">
        <v>776982</v>
      </c>
      <c r="B283" t="s">
        <v>5</v>
      </c>
      <c r="C283" s="8">
        <v>1.3095699999999999</v>
      </c>
      <c r="D283">
        <v>25.7</v>
      </c>
      <c r="E283" s="7">
        <v>1.3129999999999999</v>
      </c>
      <c r="F283" t="s">
        <v>23</v>
      </c>
    </row>
    <row r="284" spans="1:6" x14ac:dyDescent="0.25">
      <c r="A284">
        <v>776982</v>
      </c>
      <c r="B284" t="s">
        <v>5</v>
      </c>
      <c r="C284" s="8">
        <v>1.3095699999999999</v>
      </c>
      <c r="D284">
        <v>0</v>
      </c>
      <c r="E284" s="7">
        <v>1.3129999999999999</v>
      </c>
      <c r="F284" t="s">
        <v>23</v>
      </c>
    </row>
    <row r="285" spans="1:6" x14ac:dyDescent="0.25">
      <c r="A285">
        <v>776982</v>
      </c>
      <c r="B285" t="s">
        <v>5</v>
      </c>
      <c r="C285" s="8">
        <v>1.3129999999999999</v>
      </c>
      <c r="D285">
        <v>34.299999999999997</v>
      </c>
      <c r="E285" s="7">
        <v>1.3160000000000001</v>
      </c>
      <c r="F285" t="s">
        <v>23</v>
      </c>
    </row>
    <row r="286" spans="1:6" x14ac:dyDescent="0.25">
      <c r="A286">
        <v>776982</v>
      </c>
      <c r="B286" t="s">
        <v>5</v>
      </c>
      <c r="C286" s="8">
        <v>1.3160000000000001</v>
      </c>
      <c r="D286">
        <v>30</v>
      </c>
      <c r="E286" s="7">
        <v>1.319</v>
      </c>
      <c r="F286" t="s">
        <v>23</v>
      </c>
    </row>
    <row r="287" spans="1:6" x14ac:dyDescent="0.25">
      <c r="A287">
        <v>776982</v>
      </c>
      <c r="B287" t="s">
        <v>5</v>
      </c>
      <c r="C287" s="8">
        <v>1.3160000000000001</v>
      </c>
      <c r="D287">
        <v>0</v>
      </c>
      <c r="E287" s="7">
        <v>1.319</v>
      </c>
      <c r="F287" t="s">
        <v>23</v>
      </c>
    </row>
    <row r="288" spans="1:6" x14ac:dyDescent="0.25">
      <c r="A288">
        <v>776982</v>
      </c>
      <c r="B288" t="s">
        <v>5</v>
      </c>
      <c r="C288" s="8">
        <v>1.319</v>
      </c>
      <c r="D288">
        <v>30</v>
      </c>
      <c r="E288" s="7">
        <v>1.3220000000000001</v>
      </c>
      <c r="F288" t="s">
        <v>23</v>
      </c>
    </row>
    <row r="289" spans="1:6" x14ac:dyDescent="0.25">
      <c r="A289">
        <v>776982</v>
      </c>
      <c r="B289" t="s">
        <v>5</v>
      </c>
      <c r="C289" s="8">
        <v>1.319</v>
      </c>
      <c r="D289">
        <v>0</v>
      </c>
      <c r="E289" s="7">
        <v>1.3220000000000001</v>
      </c>
      <c r="F289" t="s">
        <v>23</v>
      </c>
    </row>
    <row r="290" spans="1:6" x14ac:dyDescent="0.25">
      <c r="A290">
        <v>776982</v>
      </c>
      <c r="B290" t="s">
        <v>5</v>
      </c>
      <c r="C290" s="8">
        <v>1.3198799999999999</v>
      </c>
      <c r="D290">
        <v>8.8000000000000007</v>
      </c>
      <c r="E290" s="7">
        <v>1.325</v>
      </c>
      <c r="F290" t="s">
        <v>23</v>
      </c>
    </row>
    <row r="291" spans="1:6" x14ac:dyDescent="0.25">
      <c r="A291">
        <v>776982</v>
      </c>
      <c r="B291" t="s">
        <v>5</v>
      </c>
      <c r="C291" s="8">
        <v>1.32202</v>
      </c>
      <c r="D291">
        <v>21.4</v>
      </c>
      <c r="E291" s="7">
        <v>1.325</v>
      </c>
      <c r="F291" t="s">
        <v>23</v>
      </c>
    </row>
    <row r="292" spans="1:6" x14ac:dyDescent="0.25">
      <c r="A292">
        <v>776982</v>
      </c>
      <c r="B292" t="s">
        <v>5</v>
      </c>
      <c r="C292" s="8">
        <v>1.32202</v>
      </c>
      <c r="D292">
        <v>0</v>
      </c>
      <c r="E292" s="7">
        <v>1.325</v>
      </c>
      <c r="F292" t="s">
        <v>23</v>
      </c>
    </row>
    <row r="293" spans="1:6" x14ac:dyDescent="0.25">
      <c r="A293">
        <v>776982</v>
      </c>
      <c r="B293" t="s">
        <v>5</v>
      </c>
      <c r="C293" s="8">
        <v>1.325</v>
      </c>
      <c r="D293">
        <v>29.8</v>
      </c>
      <c r="E293" s="7">
        <v>1.3280000000000001</v>
      </c>
      <c r="F293" t="s">
        <v>23</v>
      </c>
    </row>
    <row r="294" spans="1:6" x14ac:dyDescent="0.25">
      <c r="A294">
        <v>776982</v>
      </c>
      <c r="B294" t="s">
        <v>5</v>
      </c>
      <c r="C294" s="8">
        <v>1.3280000000000001</v>
      </c>
      <c r="D294">
        <v>30</v>
      </c>
      <c r="E294" s="7">
        <v>1.331</v>
      </c>
      <c r="F294" t="s">
        <v>23</v>
      </c>
    </row>
    <row r="295" spans="1:6" x14ac:dyDescent="0.25">
      <c r="A295">
        <v>776982</v>
      </c>
      <c r="B295" t="s">
        <v>5</v>
      </c>
      <c r="C295" s="8">
        <v>1.331</v>
      </c>
      <c r="D295">
        <v>30</v>
      </c>
      <c r="E295" s="7">
        <v>1.3340000000000001</v>
      </c>
      <c r="F295" t="s">
        <v>23</v>
      </c>
    </row>
    <row r="296" spans="1:6" x14ac:dyDescent="0.25">
      <c r="A296">
        <v>776982</v>
      </c>
      <c r="B296" t="s">
        <v>5</v>
      </c>
      <c r="C296" s="8">
        <v>1.3339799999999999</v>
      </c>
      <c r="D296">
        <v>29.8</v>
      </c>
      <c r="E296" s="7">
        <v>1.337</v>
      </c>
      <c r="F296" t="s">
        <v>23</v>
      </c>
    </row>
    <row r="297" spans="1:6" x14ac:dyDescent="0.25">
      <c r="A297">
        <v>776982</v>
      </c>
      <c r="B297" t="s">
        <v>5</v>
      </c>
      <c r="C297" s="8">
        <v>1.337</v>
      </c>
      <c r="D297">
        <v>30.2</v>
      </c>
      <c r="E297" s="7">
        <v>1.34</v>
      </c>
      <c r="F297" t="s">
        <v>23</v>
      </c>
    </row>
    <row r="298" spans="1:6" x14ac:dyDescent="0.25">
      <c r="A298">
        <v>776982</v>
      </c>
      <c r="B298" t="s">
        <v>6</v>
      </c>
      <c r="C298" s="8">
        <v>1.93</v>
      </c>
      <c r="D298">
        <v>40</v>
      </c>
      <c r="E298" s="7">
        <v>1.9259999999999999</v>
      </c>
      <c r="F298" t="s">
        <v>22</v>
      </c>
    </row>
    <row r="299" spans="1:6" x14ac:dyDescent="0.25">
      <c r="A299">
        <v>776982</v>
      </c>
      <c r="B299" t="s">
        <v>6</v>
      </c>
      <c r="C299" s="8">
        <v>1.93</v>
      </c>
      <c r="D299">
        <v>0</v>
      </c>
      <c r="E299" s="7">
        <v>1.9259999999999999</v>
      </c>
      <c r="F299" t="s">
        <v>22</v>
      </c>
    </row>
    <row r="300" spans="1:6" x14ac:dyDescent="0.25">
      <c r="A300">
        <v>776982</v>
      </c>
      <c r="B300" t="s">
        <v>6</v>
      </c>
      <c r="C300" s="8">
        <v>1.9339999999999999</v>
      </c>
      <c r="D300">
        <v>40</v>
      </c>
      <c r="E300" s="7">
        <v>1.93</v>
      </c>
      <c r="F300" t="s">
        <v>22</v>
      </c>
    </row>
    <row r="301" spans="1:6" x14ac:dyDescent="0.25">
      <c r="A301">
        <v>776982</v>
      </c>
      <c r="B301" t="s">
        <v>6</v>
      </c>
      <c r="C301" s="8">
        <v>1.9339999999999999</v>
      </c>
      <c r="D301">
        <v>0</v>
      </c>
      <c r="E301" s="7">
        <v>1.93</v>
      </c>
      <c r="F301" t="s">
        <v>22</v>
      </c>
    </row>
    <row r="302" spans="1:6" x14ac:dyDescent="0.25">
      <c r="A302">
        <v>776982</v>
      </c>
      <c r="B302" t="s">
        <v>6</v>
      </c>
      <c r="C302" s="8">
        <v>1.9379999999999999</v>
      </c>
      <c r="D302">
        <v>40</v>
      </c>
      <c r="E302" s="7">
        <v>1.9339999999999999</v>
      </c>
      <c r="F302" t="s">
        <v>22</v>
      </c>
    </row>
    <row r="303" spans="1:6" x14ac:dyDescent="0.25">
      <c r="A303">
        <v>776982</v>
      </c>
      <c r="B303" t="s">
        <v>6</v>
      </c>
      <c r="C303" s="8">
        <v>1.9379999999999999</v>
      </c>
      <c r="D303">
        <v>0</v>
      </c>
      <c r="E303" s="7">
        <v>1.9339999999999999</v>
      </c>
      <c r="F303" t="s">
        <v>22</v>
      </c>
    </row>
    <row r="304" spans="1:6" x14ac:dyDescent="0.25">
      <c r="A304">
        <v>776982</v>
      </c>
      <c r="B304" t="s">
        <v>29</v>
      </c>
      <c r="C304" s="8">
        <v>0.87092000000000003</v>
      </c>
      <c r="D304">
        <v>20</v>
      </c>
      <c r="E304" s="7">
        <v>0.86899999999999999</v>
      </c>
      <c r="F304" t="s">
        <v>22</v>
      </c>
    </row>
    <row r="305" spans="1:6" x14ac:dyDescent="0.25">
      <c r="A305">
        <v>776982</v>
      </c>
      <c r="B305" t="s">
        <v>29</v>
      </c>
      <c r="C305" s="8">
        <v>0.87092000000000003</v>
      </c>
      <c r="D305">
        <v>0</v>
      </c>
      <c r="E305" s="7">
        <v>0.86899999999999999</v>
      </c>
      <c r="F305" t="s">
        <v>22</v>
      </c>
    </row>
    <row r="306" spans="1:6" x14ac:dyDescent="0.25">
      <c r="A306">
        <v>776982</v>
      </c>
      <c r="B306" t="s">
        <v>29</v>
      </c>
      <c r="C306" s="8">
        <v>0.873</v>
      </c>
      <c r="D306">
        <v>20.8</v>
      </c>
      <c r="E306" s="7">
        <v>0.871</v>
      </c>
      <c r="F306" t="s">
        <v>22</v>
      </c>
    </row>
    <row r="307" spans="1:6" x14ac:dyDescent="0.25">
      <c r="A307">
        <v>776982</v>
      </c>
      <c r="B307" t="s">
        <v>29</v>
      </c>
      <c r="C307" s="8">
        <v>0.873</v>
      </c>
      <c r="D307">
        <v>0</v>
      </c>
      <c r="E307" s="7">
        <v>0.871</v>
      </c>
      <c r="F307" t="s">
        <v>22</v>
      </c>
    </row>
    <row r="308" spans="1:6" x14ac:dyDescent="0.25">
      <c r="A308">
        <v>776982</v>
      </c>
      <c r="B308" t="s">
        <v>29</v>
      </c>
      <c r="C308" s="8">
        <v>0.875</v>
      </c>
      <c r="D308">
        <v>20</v>
      </c>
      <c r="E308" s="7">
        <v>0.873</v>
      </c>
      <c r="F308" t="s">
        <v>22</v>
      </c>
    </row>
    <row r="309" spans="1:6" x14ac:dyDescent="0.25">
      <c r="A309">
        <v>776982</v>
      </c>
      <c r="B309" t="s">
        <v>29</v>
      </c>
      <c r="C309" s="8">
        <v>0.875</v>
      </c>
      <c r="D309">
        <v>0</v>
      </c>
      <c r="E309" s="7">
        <v>0.873</v>
      </c>
      <c r="F309" t="s">
        <v>22</v>
      </c>
    </row>
    <row r="310" spans="1:6" x14ac:dyDescent="0.25">
      <c r="A310">
        <v>776982</v>
      </c>
      <c r="B310" t="s">
        <v>29</v>
      </c>
      <c r="C310" s="8">
        <v>0.877</v>
      </c>
      <c r="D310">
        <v>20</v>
      </c>
      <c r="E310" s="7">
        <v>0.875</v>
      </c>
      <c r="F310" t="s">
        <v>22</v>
      </c>
    </row>
    <row r="311" spans="1:6" x14ac:dyDescent="0.25">
      <c r="A311">
        <v>776982</v>
      </c>
      <c r="B311" t="s">
        <v>29</v>
      </c>
      <c r="C311" s="8">
        <v>0.877</v>
      </c>
      <c r="D311">
        <v>0</v>
      </c>
      <c r="E311" s="7">
        <v>0.875</v>
      </c>
      <c r="F311" t="s">
        <v>22</v>
      </c>
    </row>
    <row r="312" spans="1:6" x14ac:dyDescent="0.25">
      <c r="A312">
        <v>776982</v>
      </c>
      <c r="B312" t="s">
        <v>29</v>
      </c>
      <c r="C312" s="8">
        <v>0.879</v>
      </c>
      <c r="D312">
        <v>20</v>
      </c>
      <c r="E312" s="7">
        <v>0.877</v>
      </c>
      <c r="F312" t="s">
        <v>22</v>
      </c>
    </row>
    <row r="313" spans="1:6" x14ac:dyDescent="0.25">
      <c r="A313">
        <v>776982</v>
      </c>
      <c r="B313" t="s">
        <v>29</v>
      </c>
      <c r="C313" s="8">
        <v>0.879</v>
      </c>
      <c r="D313">
        <v>0</v>
      </c>
      <c r="E313" s="7">
        <v>0.877</v>
      </c>
      <c r="F313" t="s">
        <v>22</v>
      </c>
    </row>
    <row r="314" spans="1:6" x14ac:dyDescent="0.25">
      <c r="A314">
        <v>776982</v>
      </c>
      <c r="B314" t="s">
        <v>29</v>
      </c>
      <c r="C314" s="8">
        <v>0.88100000000000001</v>
      </c>
      <c r="D314">
        <v>20</v>
      </c>
      <c r="E314" s="7">
        <v>0.879</v>
      </c>
      <c r="F314" t="s">
        <v>22</v>
      </c>
    </row>
    <row r="315" spans="1:6" x14ac:dyDescent="0.25">
      <c r="A315">
        <v>776982</v>
      </c>
      <c r="B315" t="s">
        <v>29</v>
      </c>
      <c r="C315" s="8">
        <v>0.88100000000000001</v>
      </c>
      <c r="D315">
        <v>0</v>
      </c>
      <c r="E315" s="7">
        <v>0.879</v>
      </c>
      <c r="F315" t="s">
        <v>22</v>
      </c>
    </row>
    <row r="316" spans="1:6" x14ac:dyDescent="0.25">
      <c r="A316">
        <v>776982</v>
      </c>
      <c r="B316" t="s">
        <v>29</v>
      </c>
      <c r="C316" s="8">
        <v>0.88300000000000001</v>
      </c>
      <c r="D316">
        <v>20</v>
      </c>
      <c r="E316" s="7">
        <v>0.88100000000000001</v>
      </c>
      <c r="F316" t="s">
        <v>22</v>
      </c>
    </row>
    <row r="317" spans="1:6" x14ac:dyDescent="0.25">
      <c r="A317">
        <v>776982</v>
      </c>
      <c r="B317" t="s">
        <v>29</v>
      </c>
      <c r="C317" s="8">
        <v>0.88300000000000001</v>
      </c>
      <c r="D317">
        <v>0</v>
      </c>
      <c r="E317" s="7">
        <v>0.88100000000000001</v>
      </c>
      <c r="F317" t="s">
        <v>22</v>
      </c>
    </row>
    <row r="318" spans="1:6" x14ac:dyDescent="0.25">
      <c r="A318">
        <v>776982</v>
      </c>
      <c r="B318" t="s">
        <v>29</v>
      </c>
      <c r="C318" s="8">
        <v>0.88500000000000001</v>
      </c>
      <c r="D318">
        <v>20</v>
      </c>
      <c r="E318" s="7">
        <v>0.88300000000000001</v>
      </c>
      <c r="F318" t="s">
        <v>22</v>
      </c>
    </row>
    <row r="319" spans="1:6" x14ac:dyDescent="0.25">
      <c r="A319">
        <v>776982</v>
      </c>
      <c r="B319" t="s">
        <v>29</v>
      </c>
      <c r="C319" s="8">
        <v>0.88500000000000001</v>
      </c>
      <c r="D319">
        <v>0</v>
      </c>
      <c r="E319" s="7">
        <v>0.88300000000000001</v>
      </c>
      <c r="F319" t="s">
        <v>22</v>
      </c>
    </row>
    <row r="320" spans="1:6" x14ac:dyDescent="0.25">
      <c r="A320">
        <v>776982</v>
      </c>
      <c r="B320" t="s">
        <v>29</v>
      </c>
      <c r="C320" s="8">
        <v>0.88700000000000001</v>
      </c>
      <c r="D320">
        <v>20</v>
      </c>
      <c r="E320" s="7">
        <v>0.88500000000000001</v>
      </c>
      <c r="F320" t="s">
        <v>22</v>
      </c>
    </row>
    <row r="321" spans="1:6" x14ac:dyDescent="0.25">
      <c r="A321">
        <v>776982</v>
      </c>
      <c r="B321" t="s">
        <v>29</v>
      </c>
      <c r="C321" s="8">
        <v>0.88700000000000001</v>
      </c>
      <c r="D321">
        <v>0</v>
      </c>
      <c r="E321" s="7">
        <v>0.88500000000000001</v>
      </c>
      <c r="F321" t="s">
        <v>22</v>
      </c>
    </row>
    <row r="322" spans="1:6" x14ac:dyDescent="0.25">
      <c r="A322">
        <v>776982</v>
      </c>
      <c r="B322" t="s">
        <v>29</v>
      </c>
      <c r="C322" s="8">
        <v>0.88927999999999996</v>
      </c>
      <c r="D322">
        <v>22.8</v>
      </c>
      <c r="E322" s="7">
        <v>0.88700000000000001</v>
      </c>
      <c r="F322" t="s">
        <v>22</v>
      </c>
    </row>
    <row r="323" spans="1:6" x14ac:dyDescent="0.25">
      <c r="A323">
        <v>776982</v>
      </c>
      <c r="B323" t="s">
        <v>29</v>
      </c>
      <c r="C323" s="8">
        <v>0.88927999999999996</v>
      </c>
      <c r="D323">
        <v>0</v>
      </c>
      <c r="E323" s="7">
        <v>0.88700000000000001</v>
      </c>
      <c r="F323" t="s">
        <v>22</v>
      </c>
    </row>
    <row r="324" spans="1:6" x14ac:dyDescent="0.25">
      <c r="A324">
        <v>776982</v>
      </c>
      <c r="B324" t="s">
        <v>29</v>
      </c>
      <c r="C324" s="8">
        <v>0.89095000000000002</v>
      </c>
      <c r="D324">
        <v>16.7</v>
      </c>
      <c r="E324" s="7">
        <v>0.88900000000000001</v>
      </c>
      <c r="F324" t="s">
        <v>22</v>
      </c>
    </row>
    <row r="325" spans="1:6" x14ac:dyDescent="0.25">
      <c r="A325">
        <v>776982</v>
      </c>
      <c r="B325" t="s">
        <v>29</v>
      </c>
      <c r="C325" s="8">
        <v>0.89095000000000002</v>
      </c>
      <c r="D325">
        <v>0</v>
      </c>
      <c r="E325" s="7">
        <v>0.88900000000000001</v>
      </c>
      <c r="F325" t="s">
        <v>22</v>
      </c>
    </row>
    <row r="326" spans="1:6" x14ac:dyDescent="0.25">
      <c r="A326">
        <v>776982</v>
      </c>
      <c r="B326" t="s">
        <v>29</v>
      </c>
      <c r="C326" s="8">
        <v>0.89193</v>
      </c>
      <c r="D326">
        <v>9.8000000000000007</v>
      </c>
      <c r="E326" s="7">
        <v>0.88900000000000001</v>
      </c>
      <c r="F326" t="s">
        <v>22</v>
      </c>
    </row>
    <row r="327" spans="1:6" x14ac:dyDescent="0.25">
      <c r="A327">
        <v>776982</v>
      </c>
      <c r="B327" t="s">
        <v>29</v>
      </c>
      <c r="C327" s="8">
        <v>0.89193</v>
      </c>
      <c r="D327">
        <v>0</v>
      </c>
      <c r="E327" s="7">
        <v>0.88900000000000001</v>
      </c>
      <c r="F327" t="s">
        <v>22</v>
      </c>
    </row>
    <row r="328" spans="1:6" x14ac:dyDescent="0.25">
      <c r="A328">
        <v>776982</v>
      </c>
      <c r="B328" t="s">
        <v>29</v>
      </c>
      <c r="C328" s="8">
        <v>0.89500000000000002</v>
      </c>
      <c r="D328">
        <v>30.7</v>
      </c>
      <c r="E328" s="7">
        <v>0.89300000000000002</v>
      </c>
      <c r="F328" t="s">
        <v>22</v>
      </c>
    </row>
    <row r="329" spans="1:6" x14ac:dyDescent="0.25">
      <c r="A329">
        <v>776982</v>
      </c>
      <c r="B329" t="s">
        <v>29</v>
      </c>
      <c r="C329" s="8">
        <v>0.89500000000000002</v>
      </c>
      <c r="D329">
        <v>0</v>
      </c>
      <c r="E329" s="7">
        <v>0.89300000000000002</v>
      </c>
      <c r="F329" t="s">
        <v>22</v>
      </c>
    </row>
    <row r="330" spans="1:6" x14ac:dyDescent="0.25">
      <c r="A330">
        <v>776982</v>
      </c>
      <c r="B330" t="s">
        <v>29</v>
      </c>
      <c r="C330" s="8">
        <v>0.89700999999999997</v>
      </c>
      <c r="D330">
        <v>20.100000000000001</v>
      </c>
      <c r="E330" s="7">
        <v>0.89500000000000002</v>
      </c>
      <c r="F330" t="s">
        <v>22</v>
      </c>
    </row>
    <row r="331" spans="1:6" x14ac:dyDescent="0.25">
      <c r="A331">
        <v>776982</v>
      </c>
      <c r="B331" t="s">
        <v>29</v>
      </c>
      <c r="C331" s="8">
        <v>0.89700999999999997</v>
      </c>
      <c r="D331">
        <v>0</v>
      </c>
      <c r="E331" s="7">
        <v>0.89500000000000002</v>
      </c>
      <c r="F331" t="s">
        <v>22</v>
      </c>
    </row>
    <row r="332" spans="1:6" x14ac:dyDescent="0.25">
      <c r="A332">
        <v>776982</v>
      </c>
      <c r="B332" t="s">
        <v>29</v>
      </c>
      <c r="C332" s="8">
        <v>0.89900000000000002</v>
      </c>
      <c r="D332">
        <v>19.899999999999999</v>
      </c>
      <c r="E332" s="7">
        <v>0.89700000000000002</v>
      </c>
      <c r="F332" t="s">
        <v>22</v>
      </c>
    </row>
    <row r="333" spans="1:6" x14ac:dyDescent="0.25">
      <c r="A333">
        <v>776982</v>
      </c>
      <c r="B333" t="s">
        <v>29</v>
      </c>
      <c r="C333" s="8">
        <v>0.89900000000000002</v>
      </c>
      <c r="D333">
        <v>0</v>
      </c>
      <c r="E333" s="7">
        <v>0.89700000000000002</v>
      </c>
      <c r="F333" t="s">
        <v>22</v>
      </c>
    </row>
    <row r="334" spans="1:6" x14ac:dyDescent="0.25">
      <c r="A334">
        <v>776982</v>
      </c>
      <c r="B334" t="s">
        <v>29</v>
      </c>
      <c r="C334" s="8">
        <v>0.90103999999999995</v>
      </c>
      <c r="D334">
        <v>20.399999999999999</v>
      </c>
      <c r="E334" s="7">
        <v>0.89900000000000002</v>
      </c>
      <c r="F334" t="s">
        <v>22</v>
      </c>
    </row>
    <row r="335" spans="1:6" x14ac:dyDescent="0.25">
      <c r="A335">
        <v>776982</v>
      </c>
      <c r="B335" t="s">
        <v>29</v>
      </c>
      <c r="C335" s="8">
        <v>0.90103999999999995</v>
      </c>
      <c r="D335">
        <v>0</v>
      </c>
      <c r="E335" s="7">
        <v>0.89900000000000002</v>
      </c>
      <c r="F335" t="s">
        <v>22</v>
      </c>
    </row>
    <row r="336" spans="1:6" x14ac:dyDescent="0.25">
      <c r="A336">
        <v>776982</v>
      </c>
      <c r="B336" t="s">
        <v>29</v>
      </c>
      <c r="C336" s="8">
        <v>0.90300000000000002</v>
      </c>
      <c r="D336">
        <v>19.600000000000001</v>
      </c>
      <c r="E336" s="7">
        <v>0.90100000000000002</v>
      </c>
      <c r="F336" t="s">
        <v>22</v>
      </c>
    </row>
    <row r="337" spans="1:6" x14ac:dyDescent="0.25">
      <c r="A337">
        <v>776982</v>
      </c>
      <c r="B337" t="s">
        <v>29</v>
      </c>
      <c r="C337" s="8">
        <v>0.90300000000000002</v>
      </c>
      <c r="D337">
        <v>0</v>
      </c>
      <c r="E337" s="7">
        <v>0.90100000000000002</v>
      </c>
      <c r="F337" t="s">
        <v>22</v>
      </c>
    </row>
    <row r="338" spans="1:6" x14ac:dyDescent="0.25">
      <c r="A338">
        <v>776982</v>
      </c>
      <c r="B338" t="s">
        <v>29</v>
      </c>
      <c r="C338" s="8">
        <v>0.90500000000000003</v>
      </c>
      <c r="D338">
        <v>20</v>
      </c>
      <c r="E338" s="7">
        <v>0.90300000000000002</v>
      </c>
      <c r="F338" t="s">
        <v>22</v>
      </c>
    </row>
    <row r="339" spans="1:6" x14ac:dyDescent="0.25">
      <c r="A339">
        <v>776982</v>
      </c>
      <c r="B339" t="s">
        <v>29</v>
      </c>
      <c r="C339" s="8">
        <v>0.90500000000000003</v>
      </c>
      <c r="D339">
        <v>0</v>
      </c>
      <c r="E339" s="7">
        <v>0.90300000000000002</v>
      </c>
      <c r="F339" t="s">
        <v>22</v>
      </c>
    </row>
    <row r="340" spans="1:6" x14ac:dyDescent="0.25">
      <c r="A340">
        <v>776982</v>
      </c>
      <c r="B340" t="s">
        <v>29</v>
      </c>
      <c r="C340" s="8">
        <v>0.90700999999999998</v>
      </c>
      <c r="D340">
        <v>20.100000000000001</v>
      </c>
      <c r="E340" s="7">
        <v>0.90500000000000003</v>
      </c>
      <c r="F340" t="s">
        <v>22</v>
      </c>
    </row>
    <row r="341" spans="1:6" x14ac:dyDescent="0.25">
      <c r="A341">
        <v>776982</v>
      </c>
      <c r="B341" t="s">
        <v>29</v>
      </c>
      <c r="C341" s="8">
        <v>0.90700999999999998</v>
      </c>
      <c r="D341">
        <v>0</v>
      </c>
      <c r="E341" s="7">
        <v>0.90500000000000003</v>
      </c>
      <c r="F341" t="s">
        <v>22</v>
      </c>
    </row>
    <row r="342" spans="1:6" x14ac:dyDescent="0.25">
      <c r="A342">
        <v>776982</v>
      </c>
      <c r="B342" t="s">
        <v>29</v>
      </c>
      <c r="C342" s="8">
        <v>0.90900999999999998</v>
      </c>
      <c r="D342">
        <v>20</v>
      </c>
      <c r="E342" s="7">
        <v>0.90700000000000003</v>
      </c>
      <c r="F342" t="s">
        <v>22</v>
      </c>
    </row>
    <row r="343" spans="1:6" x14ac:dyDescent="0.25">
      <c r="A343">
        <v>776982</v>
      </c>
      <c r="B343" t="s">
        <v>29</v>
      </c>
      <c r="C343" s="8">
        <v>0.90900999999999998</v>
      </c>
      <c r="D343">
        <v>0</v>
      </c>
      <c r="E343" s="7">
        <v>0.90700000000000003</v>
      </c>
      <c r="F343" t="s">
        <v>22</v>
      </c>
    </row>
    <row r="344" spans="1:6" x14ac:dyDescent="0.25">
      <c r="A344">
        <v>776982</v>
      </c>
      <c r="B344" t="s">
        <v>29</v>
      </c>
      <c r="C344" s="8">
        <v>0.91100000000000003</v>
      </c>
      <c r="D344">
        <v>19.899999999999999</v>
      </c>
      <c r="E344" s="7">
        <v>0.90900000000000003</v>
      </c>
      <c r="F344" t="s">
        <v>22</v>
      </c>
    </row>
    <row r="345" spans="1:6" x14ac:dyDescent="0.25">
      <c r="A345">
        <v>776982</v>
      </c>
      <c r="B345" t="s">
        <v>29</v>
      </c>
      <c r="C345" s="8">
        <v>0.91100000000000003</v>
      </c>
      <c r="D345">
        <v>0</v>
      </c>
      <c r="E345" s="7">
        <v>0.90900000000000003</v>
      </c>
      <c r="F345" t="s">
        <v>22</v>
      </c>
    </row>
    <row r="346" spans="1:6" x14ac:dyDescent="0.25">
      <c r="A346">
        <v>776982</v>
      </c>
      <c r="B346" t="s">
        <v>29</v>
      </c>
      <c r="C346" s="8">
        <v>0.91302000000000005</v>
      </c>
      <c r="D346">
        <v>20.2</v>
      </c>
      <c r="E346" s="7">
        <v>0.91100000000000003</v>
      </c>
      <c r="F346" t="s">
        <v>22</v>
      </c>
    </row>
    <row r="347" spans="1:6" x14ac:dyDescent="0.25">
      <c r="A347">
        <v>776982</v>
      </c>
      <c r="B347" t="s">
        <v>29</v>
      </c>
      <c r="C347" s="8">
        <v>0.91302000000000005</v>
      </c>
      <c r="D347">
        <v>0</v>
      </c>
      <c r="E347" s="7">
        <v>0.91100000000000003</v>
      </c>
      <c r="F347" t="s">
        <v>22</v>
      </c>
    </row>
    <row r="348" spans="1:6" x14ac:dyDescent="0.25">
      <c r="A348">
        <v>776982</v>
      </c>
      <c r="B348" t="s">
        <v>29</v>
      </c>
      <c r="C348" s="8">
        <v>0.91500000000000004</v>
      </c>
      <c r="D348">
        <v>19.8</v>
      </c>
      <c r="E348" s="7">
        <v>0.91300000000000003</v>
      </c>
      <c r="F348" t="s">
        <v>22</v>
      </c>
    </row>
    <row r="349" spans="1:6" x14ac:dyDescent="0.25">
      <c r="A349">
        <v>776982</v>
      </c>
      <c r="B349" t="s">
        <v>29</v>
      </c>
      <c r="C349" s="8">
        <v>0.91500000000000004</v>
      </c>
      <c r="D349">
        <v>0</v>
      </c>
      <c r="E349" s="7">
        <v>0.91300000000000003</v>
      </c>
      <c r="F349" t="s">
        <v>22</v>
      </c>
    </row>
    <row r="350" spans="1:6" x14ac:dyDescent="0.25">
      <c r="A350">
        <v>776982</v>
      </c>
      <c r="B350" t="s">
        <v>29</v>
      </c>
      <c r="C350" s="8">
        <v>0.91700000000000004</v>
      </c>
      <c r="D350">
        <v>20</v>
      </c>
      <c r="E350" s="7">
        <v>0.91500000000000004</v>
      </c>
      <c r="F350" t="s">
        <v>22</v>
      </c>
    </row>
    <row r="351" spans="1:6" x14ac:dyDescent="0.25">
      <c r="A351">
        <v>776982</v>
      </c>
      <c r="B351" t="s">
        <v>29</v>
      </c>
      <c r="C351" s="8">
        <v>0.91700000000000004</v>
      </c>
      <c r="D351">
        <v>0</v>
      </c>
      <c r="E351" s="7">
        <v>0.91500000000000004</v>
      </c>
      <c r="F351" t="s">
        <v>22</v>
      </c>
    </row>
    <row r="352" spans="1:6" x14ac:dyDescent="0.25">
      <c r="A352">
        <v>776982</v>
      </c>
      <c r="B352" t="s">
        <v>29</v>
      </c>
      <c r="C352" s="8">
        <v>0.91901999999999995</v>
      </c>
      <c r="D352">
        <v>20.2</v>
      </c>
      <c r="E352" s="7">
        <v>0.91700000000000004</v>
      </c>
      <c r="F352" t="s">
        <v>22</v>
      </c>
    </row>
    <row r="353" spans="1:6" x14ac:dyDescent="0.25">
      <c r="A353">
        <v>776982</v>
      </c>
      <c r="B353" t="s">
        <v>29</v>
      </c>
      <c r="C353" s="8">
        <v>0.91901999999999995</v>
      </c>
      <c r="D353">
        <v>0</v>
      </c>
      <c r="E353" s="7">
        <v>0.91700000000000004</v>
      </c>
      <c r="F353" t="s">
        <v>22</v>
      </c>
    </row>
    <row r="354" spans="1:6" x14ac:dyDescent="0.25">
      <c r="A354">
        <v>776982</v>
      </c>
      <c r="B354" t="s">
        <v>29</v>
      </c>
      <c r="C354" s="8">
        <v>0.92118999999999995</v>
      </c>
      <c r="D354">
        <v>21.7</v>
      </c>
      <c r="E354" s="7">
        <v>0.91900000000000004</v>
      </c>
      <c r="F354" t="s">
        <v>22</v>
      </c>
    </row>
    <row r="355" spans="1:6" x14ac:dyDescent="0.25">
      <c r="A355">
        <v>776982</v>
      </c>
      <c r="B355" t="s">
        <v>29</v>
      </c>
      <c r="C355" s="8">
        <v>0.92118999999999995</v>
      </c>
      <c r="D355">
        <v>0</v>
      </c>
      <c r="E355" s="7">
        <v>0.91900000000000004</v>
      </c>
      <c r="F355" t="s">
        <v>22</v>
      </c>
    </row>
    <row r="356" spans="1:6" x14ac:dyDescent="0.25">
      <c r="A356">
        <v>776982</v>
      </c>
      <c r="B356" t="s">
        <v>29</v>
      </c>
      <c r="C356" s="8">
        <v>0.92318999999999996</v>
      </c>
      <c r="D356">
        <v>20</v>
      </c>
      <c r="E356" s="7">
        <v>0.92100000000000004</v>
      </c>
      <c r="F356" t="s">
        <v>22</v>
      </c>
    </row>
    <row r="357" spans="1:6" x14ac:dyDescent="0.25">
      <c r="A357">
        <v>776982</v>
      </c>
      <c r="B357" t="s">
        <v>29</v>
      </c>
      <c r="C357" s="8">
        <v>0.92318999999999996</v>
      </c>
      <c r="D357">
        <v>0</v>
      </c>
      <c r="E357" s="7">
        <v>0.92100000000000004</v>
      </c>
      <c r="F357" t="s">
        <v>22</v>
      </c>
    </row>
    <row r="358" spans="1:6" x14ac:dyDescent="0.25">
      <c r="A358">
        <v>776982</v>
      </c>
      <c r="B358" t="s">
        <v>29</v>
      </c>
      <c r="C358" s="8">
        <v>0.92505000000000004</v>
      </c>
      <c r="D358">
        <v>18.600000000000001</v>
      </c>
      <c r="E358" s="7">
        <v>0.92300000000000004</v>
      </c>
      <c r="F358" t="s">
        <v>22</v>
      </c>
    </row>
    <row r="359" spans="1:6" x14ac:dyDescent="0.25">
      <c r="A359">
        <v>776982</v>
      </c>
      <c r="B359" t="s">
        <v>29</v>
      </c>
      <c r="C359" s="8">
        <v>0.92505000000000004</v>
      </c>
      <c r="D359">
        <v>0</v>
      </c>
      <c r="E359" s="7">
        <v>0.92300000000000004</v>
      </c>
      <c r="F359" t="s">
        <v>22</v>
      </c>
    </row>
    <row r="360" spans="1:6" x14ac:dyDescent="0.25">
      <c r="A360">
        <v>776982</v>
      </c>
      <c r="B360" t="s">
        <v>29</v>
      </c>
      <c r="C360" s="8">
        <v>0.92701</v>
      </c>
      <c r="D360">
        <v>19.600000000000001</v>
      </c>
      <c r="E360" s="7">
        <v>0.92500000000000004</v>
      </c>
      <c r="F360" t="s">
        <v>22</v>
      </c>
    </row>
    <row r="361" spans="1:6" x14ac:dyDescent="0.25">
      <c r="A361">
        <v>776982</v>
      </c>
      <c r="B361" t="s">
        <v>29</v>
      </c>
      <c r="C361" s="8">
        <v>0.92701</v>
      </c>
      <c r="D361">
        <v>0</v>
      </c>
      <c r="E361" s="7">
        <v>0.92500000000000004</v>
      </c>
      <c r="F361" t="s">
        <v>22</v>
      </c>
    </row>
    <row r="362" spans="1:6" x14ac:dyDescent="0.25">
      <c r="A362">
        <v>776982</v>
      </c>
      <c r="B362" t="s">
        <v>29</v>
      </c>
      <c r="C362" s="8">
        <v>0.92900000000000005</v>
      </c>
      <c r="D362">
        <v>19.899999999999999</v>
      </c>
      <c r="E362" s="7">
        <v>0.92700000000000005</v>
      </c>
      <c r="F362" t="s">
        <v>22</v>
      </c>
    </row>
    <row r="363" spans="1:6" x14ac:dyDescent="0.25">
      <c r="A363">
        <v>776982</v>
      </c>
      <c r="B363" t="s">
        <v>29</v>
      </c>
      <c r="C363" s="8">
        <v>0.92900000000000005</v>
      </c>
      <c r="D363">
        <v>0</v>
      </c>
      <c r="E363" s="7">
        <v>0.92700000000000005</v>
      </c>
      <c r="F363" t="s">
        <v>22</v>
      </c>
    </row>
    <row r="364" spans="1:6" x14ac:dyDescent="0.25">
      <c r="A364">
        <v>776982</v>
      </c>
      <c r="B364" t="s">
        <v>29</v>
      </c>
      <c r="C364" s="8">
        <v>0.93096999999999996</v>
      </c>
      <c r="D364">
        <v>19.7</v>
      </c>
      <c r="E364" s="7">
        <v>0.92900000000000005</v>
      </c>
      <c r="F364" t="s">
        <v>22</v>
      </c>
    </row>
    <row r="365" spans="1:6" x14ac:dyDescent="0.25">
      <c r="A365">
        <v>776982</v>
      </c>
      <c r="B365" t="s">
        <v>29</v>
      </c>
      <c r="C365" s="8">
        <v>0.93096999999999996</v>
      </c>
      <c r="D365">
        <v>0</v>
      </c>
      <c r="E365" s="7">
        <v>0.92900000000000005</v>
      </c>
      <c r="F365" t="s">
        <v>22</v>
      </c>
    </row>
    <row r="366" spans="1:6" x14ac:dyDescent="0.25">
      <c r="A366">
        <v>776982</v>
      </c>
      <c r="B366" t="s">
        <v>29</v>
      </c>
      <c r="C366" s="8">
        <v>0.93830999999999998</v>
      </c>
      <c r="D366">
        <v>73.400000000000006</v>
      </c>
      <c r="E366" s="7">
        <v>0.93700000000000006</v>
      </c>
      <c r="F366" t="s">
        <v>22</v>
      </c>
    </row>
    <row r="367" spans="1:6" x14ac:dyDescent="0.25">
      <c r="A367">
        <v>776982</v>
      </c>
      <c r="B367" t="s">
        <v>29</v>
      </c>
      <c r="C367" s="8">
        <v>0.93830999999999998</v>
      </c>
      <c r="D367">
        <v>0</v>
      </c>
      <c r="E367" s="7">
        <v>0.93700000000000006</v>
      </c>
      <c r="F367" t="s">
        <v>22</v>
      </c>
    </row>
    <row r="368" spans="1:6" x14ac:dyDescent="0.25">
      <c r="A368">
        <v>776982</v>
      </c>
      <c r="B368" t="s">
        <v>29</v>
      </c>
      <c r="C368" s="8">
        <v>0.93899999999999995</v>
      </c>
      <c r="D368">
        <v>6.9</v>
      </c>
      <c r="E368" s="7">
        <v>0.93700000000000006</v>
      </c>
      <c r="F368" t="s">
        <v>22</v>
      </c>
    </row>
    <row r="369" spans="1:6" x14ac:dyDescent="0.25">
      <c r="A369">
        <v>776982</v>
      </c>
      <c r="B369" t="s">
        <v>29</v>
      </c>
      <c r="C369" s="8">
        <v>0.93899999999999995</v>
      </c>
      <c r="D369">
        <v>0</v>
      </c>
      <c r="E369" s="7">
        <v>0.93700000000000006</v>
      </c>
      <c r="F369" t="s">
        <v>22</v>
      </c>
    </row>
    <row r="370" spans="1:6" x14ac:dyDescent="0.25">
      <c r="A370">
        <v>776982</v>
      </c>
      <c r="B370" t="s">
        <v>29</v>
      </c>
      <c r="C370" s="8">
        <v>0.93905000000000005</v>
      </c>
      <c r="D370">
        <v>0.5</v>
      </c>
      <c r="E370" s="7">
        <v>0.93500000000000005</v>
      </c>
      <c r="F370" t="s">
        <v>22</v>
      </c>
    </row>
    <row r="371" spans="1:6" x14ac:dyDescent="0.25">
      <c r="A371">
        <v>776982</v>
      </c>
      <c r="B371" t="s">
        <v>29</v>
      </c>
      <c r="C371" s="8">
        <v>0.93905000000000005</v>
      </c>
      <c r="D371">
        <v>0</v>
      </c>
      <c r="E371" s="7">
        <v>0.93500000000000005</v>
      </c>
      <c r="F371" t="s">
        <v>22</v>
      </c>
    </row>
    <row r="372" spans="1:6" x14ac:dyDescent="0.25">
      <c r="A372">
        <v>776982</v>
      </c>
      <c r="B372" t="s">
        <v>29</v>
      </c>
      <c r="C372" s="8">
        <v>0.94113999999999998</v>
      </c>
      <c r="D372">
        <v>20.9</v>
      </c>
      <c r="E372" s="7">
        <v>0.93899999999999995</v>
      </c>
      <c r="F372" t="s">
        <v>22</v>
      </c>
    </row>
    <row r="373" spans="1:6" x14ac:dyDescent="0.25">
      <c r="A373">
        <v>776982</v>
      </c>
      <c r="B373" t="s">
        <v>29</v>
      </c>
      <c r="C373" s="8">
        <v>0.94113999999999998</v>
      </c>
      <c r="D373">
        <v>0</v>
      </c>
      <c r="E373" s="7">
        <v>0.93899999999999995</v>
      </c>
      <c r="F373" t="s">
        <v>22</v>
      </c>
    </row>
    <row r="374" spans="1:6" x14ac:dyDescent="0.25">
      <c r="A374">
        <v>777094</v>
      </c>
      <c r="B374" t="s">
        <v>21</v>
      </c>
      <c r="C374" s="8">
        <v>1.4700299999999999</v>
      </c>
      <c r="D374">
        <v>20</v>
      </c>
      <c r="E374" s="7">
        <v>0</v>
      </c>
      <c r="F374" t="s">
        <v>22</v>
      </c>
    </row>
    <row r="375" spans="1:6" x14ac:dyDescent="0.25">
      <c r="A375">
        <v>777094</v>
      </c>
      <c r="B375" t="s">
        <v>21</v>
      </c>
      <c r="C375" s="8">
        <v>1.472</v>
      </c>
      <c r="D375">
        <v>19.7</v>
      </c>
      <c r="E375" s="7">
        <v>0</v>
      </c>
      <c r="F375" t="s">
        <v>22</v>
      </c>
    </row>
    <row r="376" spans="1:6" x14ac:dyDescent="0.25">
      <c r="A376">
        <v>777094</v>
      </c>
      <c r="B376" t="s">
        <v>21</v>
      </c>
      <c r="C376" s="8">
        <v>1.47427</v>
      </c>
      <c r="D376">
        <v>22.7</v>
      </c>
      <c r="E376" s="7">
        <v>1.472</v>
      </c>
      <c r="F376" t="s">
        <v>22</v>
      </c>
    </row>
    <row r="377" spans="1:6" x14ac:dyDescent="0.25">
      <c r="A377">
        <v>777094</v>
      </c>
      <c r="B377" t="s">
        <v>21</v>
      </c>
      <c r="C377" s="8">
        <v>1.47601</v>
      </c>
      <c r="D377">
        <v>17.399999999999999</v>
      </c>
      <c r="E377" s="7">
        <v>1.474</v>
      </c>
      <c r="F377" t="s">
        <v>22</v>
      </c>
    </row>
    <row r="378" spans="1:6" x14ac:dyDescent="0.25">
      <c r="A378">
        <v>777094</v>
      </c>
      <c r="B378" t="s">
        <v>21</v>
      </c>
      <c r="C378" s="8">
        <v>1.484</v>
      </c>
      <c r="D378">
        <v>79.900000000000006</v>
      </c>
      <c r="E378" s="7">
        <v>1.482</v>
      </c>
      <c r="F378" t="s">
        <v>22</v>
      </c>
    </row>
    <row r="379" spans="1:6" x14ac:dyDescent="0.25">
      <c r="A379">
        <v>777094</v>
      </c>
      <c r="B379" t="s">
        <v>21</v>
      </c>
      <c r="C379" s="8">
        <v>1.486</v>
      </c>
      <c r="D379">
        <v>20</v>
      </c>
      <c r="E379" s="7">
        <v>1.484</v>
      </c>
      <c r="F379" t="s">
        <v>22</v>
      </c>
    </row>
    <row r="380" spans="1:6" x14ac:dyDescent="0.25">
      <c r="A380">
        <v>777094</v>
      </c>
      <c r="B380" t="s">
        <v>21</v>
      </c>
      <c r="C380" s="8">
        <v>1.488</v>
      </c>
      <c r="D380">
        <v>20</v>
      </c>
      <c r="E380" s="7">
        <v>1.486</v>
      </c>
      <c r="F380" t="s">
        <v>22</v>
      </c>
    </row>
    <row r="381" spans="1:6" x14ac:dyDescent="0.25">
      <c r="A381">
        <v>777094</v>
      </c>
      <c r="B381" t="s">
        <v>21</v>
      </c>
      <c r="C381" s="8">
        <v>1.49</v>
      </c>
      <c r="D381">
        <v>20</v>
      </c>
      <c r="E381" s="7">
        <v>1.488</v>
      </c>
      <c r="F381" t="s">
        <v>22</v>
      </c>
    </row>
    <row r="382" spans="1:6" x14ac:dyDescent="0.25">
      <c r="A382">
        <v>777094</v>
      </c>
      <c r="B382" t="s">
        <v>21</v>
      </c>
      <c r="C382" s="8">
        <v>1.49203</v>
      </c>
      <c r="D382">
        <v>20.3</v>
      </c>
      <c r="E382" s="7">
        <v>1.49</v>
      </c>
      <c r="F382" t="s">
        <v>22</v>
      </c>
    </row>
    <row r="383" spans="1:6" x14ac:dyDescent="0.25">
      <c r="A383">
        <v>777094</v>
      </c>
      <c r="B383" t="s">
        <v>21</v>
      </c>
      <c r="C383" s="8">
        <v>1.494</v>
      </c>
      <c r="D383">
        <v>19.7</v>
      </c>
      <c r="E383" s="7">
        <v>1.492</v>
      </c>
      <c r="F383" t="s">
        <v>22</v>
      </c>
    </row>
    <row r="384" spans="1:6" x14ac:dyDescent="0.25">
      <c r="A384">
        <v>777094</v>
      </c>
      <c r="B384" t="s">
        <v>21</v>
      </c>
      <c r="C384" s="8">
        <v>1.4960100000000001</v>
      </c>
      <c r="D384">
        <v>20.100000000000001</v>
      </c>
      <c r="E384" s="7">
        <v>1.494</v>
      </c>
      <c r="F384" t="s">
        <v>22</v>
      </c>
    </row>
    <row r="385" spans="1:6" x14ac:dyDescent="0.25">
      <c r="A385">
        <v>777094</v>
      </c>
      <c r="B385" t="s">
        <v>21</v>
      </c>
      <c r="C385" s="8">
        <v>1.4980199999999999</v>
      </c>
      <c r="D385">
        <v>20.100000000000001</v>
      </c>
      <c r="E385" s="7">
        <v>1.496</v>
      </c>
      <c r="F385" t="s">
        <v>22</v>
      </c>
    </row>
    <row r="386" spans="1:6" x14ac:dyDescent="0.25">
      <c r="A386">
        <v>777094</v>
      </c>
      <c r="B386" t="s">
        <v>21</v>
      </c>
      <c r="C386" s="8">
        <v>1.5000100000000001</v>
      </c>
      <c r="D386">
        <v>19.899999999999999</v>
      </c>
      <c r="E386" s="7">
        <v>1.498</v>
      </c>
      <c r="F386" t="s">
        <v>22</v>
      </c>
    </row>
    <row r="387" spans="1:6" x14ac:dyDescent="0.25">
      <c r="A387">
        <v>777094</v>
      </c>
      <c r="B387" t="s">
        <v>21</v>
      </c>
      <c r="C387" s="8">
        <v>1.502</v>
      </c>
      <c r="D387">
        <v>19.899999999999999</v>
      </c>
      <c r="E387" s="7">
        <v>1.5</v>
      </c>
      <c r="F387" t="s">
        <v>22</v>
      </c>
    </row>
    <row r="388" spans="1:6" x14ac:dyDescent="0.25">
      <c r="A388">
        <v>777094</v>
      </c>
      <c r="B388" t="s">
        <v>21</v>
      </c>
      <c r="C388" s="8">
        <v>1.504</v>
      </c>
      <c r="D388">
        <v>20</v>
      </c>
      <c r="E388" s="7">
        <v>1.502</v>
      </c>
      <c r="F388" t="s">
        <v>22</v>
      </c>
    </row>
    <row r="389" spans="1:6" x14ac:dyDescent="0.25">
      <c r="A389">
        <v>777094</v>
      </c>
      <c r="B389" t="s">
        <v>21</v>
      </c>
      <c r="C389" s="8">
        <v>1.518</v>
      </c>
      <c r="D389">
        <v>140</v>
      </c>
      <c r="E389" s="7">
        <v>1.52</v>
      </c>
      <c r="F389" t="s">
        <v>23</v>
      </c>
    </row>
    <row r="390" spans="1:6" x14ac:dyDescent="0.25">
      <c r="A390">
        <v>777094</v>
      </c>
      <c r="B390" t="s">
        <v>21</v>
      </c>
      <c r="C390" s="8">
        <v>1.52</v>
      </c>
      <c r="D390">
        <v>20</v>
      </c>
      <c r="E390" s="7">
        <v>1.522</v>
      </c>
      <c r="F390" t="s">
        <v>23</v>
      </c>
    </row>
    <row r="391" spans="1:6" x14ac:dyDescent="0.25">
      <c r="A391">
        <v>777094</v>
      </c>
      <c r="B391" t="s">
        <v>21</v>
      </c>
      <c r="C391" s="8">
        <v>1.522</v>
      </c>
      <c r="D391">
        <v>20</v>
      </c>
      <c r="E391" s="7">
        <v>1.524</v>
      </c>
      <c r="F391" t="s">
        <v>23</v>
      </c>
    </row>
    <row r="392" spans="1:6" x14ac:dyDescent="0.25">
      <c r="A392">
        <v>777094</v>
      </c>
      <c r="B392" t="s">
        <v>21</v>
      </c>
      <c r="C392" s="8">
        <v>1.522</v>
      </c>
      <c r="D392">
        <v>0</v>
      </c>
      <c r="E392" s="7">
        <v>1.524</v>
      </c>
      <c r="F392" t="s">
        <v>23</v>
      </c>
    </row>
    <row r="393" spans="1:6" x14ac:dyDescent="0.25">
      <c r="A393">
        <v>777094</v>
      </c>
      <c r="B393" t="s">
        <v>21</v>
      </c>
      <c r="C393" s="8">
        <v>1.524</v>
      </c>
      <c r="D393">
        <v>20</v>
      </c>
      <c r="E393" s="7">
        <v>1.526</v>
      </c>
      <c r="F393" t="s">
        <v>23</v>
      </c>
    </row>
    <row r="394" spans="1:6" x14ac:dyDescent="0.25">
      <c r="A394">
        <v>777094</v>
      </c>
      <c r="B394" t="s">
        <v>21</v>
      </c>
      <c r="C394" s="8">
        <v>1.526</v>
      </c>
      <c r="D394">
        <v>20</v>
      </c>
      <c r="E394" s="7">
        <v>1.528</v>
      </c>
      <c r="F394" t="s">
        <v>23</v>
      </c>
    </row>
    <row r="395" spans="1:6" x14ac:dyDescent="0.25">
      <c r="A395">
        <v>777094</v>
      </c>
      <c r="B395" t="s">
        <v>21</v>
      </c>
      <c r="C395" s="8">
        <v>1.528</v>
      </c>
      <c r="D395">
        <v>20</v>
      </c>
      <c r="E395" s="7">
        <v>1.53</v>
      </c>
      <c r="F395" t="s">
        <v>23</v>
      </c>
    </row>
    <row r="396" spans="1:6" x14ac:dyDescent="0.25">
      <c r="A396">
        <v>777094</v>
      </c>
      <c r="B396" t="s">
        <v>21</v>
      </c>
      <c r="C396" s="8">
        <v>1.53</v>
      </c>
      <c r="D396">
        <v>20</v>
      </c>
      <c r="E396" s="7">
        <v>1.532</v>
      </c>
      <c r="F396" t="s">
        <v>23</v>
      </c>
    </row>
    <row r="397" spans="1:6" x14ac:dyDescent="0.25">
      <c r="A397">
        <v>777094</v>
      </c>
      <c r="B397" t="s">
        <v>21</v>
      </c>
      <c r="C397" s="8">
        <v>1.532</v>
      </c>
      <c r="D397">
        <v>20</v>
      </c>
      <c r="E397" s="7">
        <v>1.534</v>
      </c>
      <c r="F397" t="s">
        <v>23</v>
      </c>
    </row>
    <row r="398" spans="1:6" x14ac:dyDescent="0.25">
      <c r="A398">
        <v>777094</v>
      </c>
      <c r="B398" t="s">
        <v>21</v>
      </c>
      <c r="C398" s="8">
        <v>1.534</v>
      </c>
      <c r="D398">
        <v>20</v>
      </c>
      <c r="E398" s="7">
        <v>1.536</v>
      </c>
      <c r="F398" t="s">
        <v>23</v>
      </c>
    </row>
    <row r="399" spans="1:6" x14ac:dyDescent="0.25">
      <c r="A399">
        <v>777094</v>
      </c>
      <c r="B399" t="s">
        <v>21</v>
      </c>
      <c r="C399" s="8">
        <v>1.534</v>
      </c>
      <c r="D399">
        <v>0</v>
      </c>
      <c r="E399" s="7">
        <v>1.536</v>
      </c>
      <c r="F399" t="s">
        <v>23</v>
      </c>
    </row>
    <row r="400" spans="1:6" x14ac:dyDescent="0.25">
      <c r="A400">
        <v>777094</v>
      </c>
      <c r="B400" t="s">
        <v>21</v>
      </c>
      <c r="C400" s="8">
        <v>1.536</v>
      </c>
      <c r="D400">
        <v>20</v>
      </c>
      <c r="E400" s="7">
        <v>1.538</v>
      </c>
      <c r="F400" t="s">
        <v>23</v>
      </c>
    </row>
    <row r="401" spans="1:6" x14ac:dyDescent="0.25">
      <c r="A401">
        <v>777094</v>
      </c>
      <c r="B401" t="s">
        <v>21</v>
      </c>
      <c r="C401" s="8">
        <v>1.536</v>
      </c>
      <c r="D401">
        <v>0</v>
      </c>
      <c r="E401" s="7">
        <v>1.538</v>
      </c>
      <c r="F401" t="s">
        <v>23</v>
      </c>
    </row>
    <row r="402" spans="1:6" x14ac:dyDescent="0.25">
      <c r="A402">
        <v>777094</v>
      </c>
      <c r="B402" t="s">
        <v>21</v>
      </c>
      <c r="C402" s="8">
        <v>1.538</v>
      </c>
      <c r="D402">
        <v>20</v>
      </c>
      <c r="E402" s="7">
        <v>1.54</v>
      </c>
      <c r="F402" t="s">
        <v>23</v>
      </c>
    </row>
    <row r="403" spans="1:6" x14ac:dyDescent="0.25">
      <c r="A403">
        <v>777094</v>
      </c>
      <c r="B403" t="s">
        <v>21</v>
      </c>
      <c r="C403" s="8">
        <v>1.538</v>
      </c>
      <c r="D403">
        <v>0</v>
      </c>
      <c r="E403" s="7">
        <v>1.54</v>
      </c>
      <c r="F403" t="s">
        <v>23</v>
      </c>
    </row>
    <row r="404" spans="1:6" x14ac:dyDescent="0.25">
      <c r="A404">
        <v>777094</v>
      </c>
      <c r="B404" t="s">
        <v>21</v>
      </c>
      <c r="C404" s="8">
        <v>1.54</v>
      </c>
      <c r="D404">
        <v>20</v>
      </c>
      <c r="E404" s="7">
        <v>1.542</v>
      </c>
      <c r="F404" t="s">
        <v>23</v>
      </c>
    </row>
    <row r="405" spans="1:6" x14ac:dyDescent="0.25">
      <c r="A405">
        <v>777094</v>
      </c>
      <c r="B405" t="s">
        <v>21</v>
      </c>
      <c r="C405" s="8">
        <v>1.54</v>
      </c>
      <c r="D405">
        <v>0</v>
      </c>
      <c r="E405" s="7">
        <v>1.542</v>
      </c>
      <c r="F405" t="s">
        <v>23</v>
      </c>
    </row>
    <row r="406" spans="1:6" x14ac:dyDescent="0.25">
      <c r="A406">
        <v>777094</v>
      </c>
      <c r="B406" t="s">
        <v>21</v>
      </c>
      <c r="C406" s="8">
        <v>1.542</v>
      </c>
      <c r="D406">
        <v>20</v>
      </c>
      <c r="E406" s="7">
        <v>1.544</v>
      </c>
      <c r="F406" t="s">
        <v>23</v>
      </c>
    </row>
    <row r="407" spans="1:6" x14ac:dyDescent="0.25">
      <c r="A407">
        <v>777094</v>
      </c>
      <c r="B407" t="s">
        <v>21</v>
      </c>
      <c r="C407" s="8">
        <v>1.542</v>
      </c>
      <c r="D407">
        <v>0</v>
      </c>
      <c r="E407" s="7">
        <v>1.544</v>
      </c>
      <c r="F407" t="s">
        <v>23</v>
      </c>
    </row>
    <row r="408" spans="1:6" x14ac:dyDescent="0.25">
      <c r="A408">
        <v>777094</v>
      </c>
      <c r="B408" t="s">
        <v>21</v>
      </c>
      <c r="C408" s="8">
        <v>1.544</v>
      </c>
      <c r="D408">
        <v>20</v>
      </c>
      <c r="E408" s="7">
        <v>1.546</v>
      </c>
      <c r="F408" t="s">
        <v>23</v>
      </c>
    </row>
    <row r="409" spans="1:6" x14ac:dyDescent="0.25">
      <c r="A409">
        <v>777094</v>
      </c>
      <c r="B409" t="s">
        <v>21</v>
      </c>
      <c r="C409" s="8">
        <v>1.544</v>
      </c>
      <c r="D409">
        <v>0</v>
      </c>
      <c r="E409" s="7">
        <v>1.546</v>
      </c>
      <c r="F409" t="s">
        <v>23</v>
      </c>
    </row>
    <row r="410" spans="1:6" x14ac:dyDescent="0.25">
      <c r="A410">
        <v>777094</v>
      </c>
      <c r="B410" t="s">
        <v>21</v>
      </c>
      <c r="C410" s="8">
        <v>1.546</v>
      </c>
      <c r="D410">
        <v>20</v>
      </c>
      <c r="E410" s="7">
        <v>1.548</v>
      </c>
      <c r="F410" t="s">
        <v>23</v>
      </c>
    </row>
    <row r="411" spans="1:6" x14ac:dyDescent="0.25">
      <c r="A411">
        <v>777094</v>
      </c>
      <c r="B411" t="s">
        <v>21</v>
      </c>
      <c r="C411" s="8">
        <v>1.546</v>
      </c>
      <c r="D411">
        <v>0</v>
      </c>
      <c r="E411" s="7">
        <v>1.548</v>
      </c>
      <c r="F411" t="s">
        <v>23</v>
      </c>
    </row>
    <row r="412" spans="1:6" x14ac:dyDescent="0.25">
      <c r="A412">
        <v>777094</v>
      </c>
      <c r="B412" t="s">
        <v>21</v>
      </c>
      <c r="C412" s="8">
        <v>1.548</v>
      </c>
      <c r="D412">
        <v>20</v>
      </c>
      <c r="E412" s="7">
        <v>1.55</v>
      </c>
      <c r="F412" t="s">
        <v>23</v>
      </c>
    </row>
    <row r="413" spans="1:6" x14ac:dyDescent="0.25">
      <c r="A413">
        <v>777094</v>
      </c>
      <c r="B413" t="s">
        <v>21</v>
      </c>
      <c r="C413" s="8">
        <v>1.548</v>
      </c>
      <c r="D413">
        <v>0</v>
      </c>
      <c r="E413" s="7">
        <v>1.55</v>
      </c>
      <c r="F413" t="s">
        <v>23</v>
      </c>
    </row>
    <row r="414" spans="1:6" x14ac:dyDescent="0.25">
      <c r="A414">
        <v>777094</v>
      </c>
      <c r="B414" t="s">
        <v>21</v>
      </c>
      <c r="C414" s="8">
        <v>1.55</v>
      </c>
      <c r="D414">
        <v>20</v>
      </c>
      <c r="E414" s="7">
        <v>1.552</v>
      </c>
      <c r="F414" t="s">
        <v>23</v>
      </c>
    </row>
    <row r="415" spans="1:6" x14ac:dyDescent="0.25">
      <c r="A415">
        <v>777094</v>
      </c>
      <c r="B415" t="s">
        <v>21</v>
      </c>
      <c r="C415" s="8">
        <v>1.55</v>
      </c>
      <c r="D415">
        <v>0</v>
      </c>
      <c r="E415" s="7">
        <v>1.552</v>
      </c>
      <c r="F415" t="s">
        <v>23</v>
      </c>
    </row>
    <row r="416" spans="1:6" x14ac:dyDescent="0.25">
      <c r="A416">
        <v>777094</v>
      </c>
      <c r="B416" t="s">
        <v>21</v>
      </c>
      <c r="C416" s="8">
        <v>1.552</v>
      </c>
      <c r="D416">
        <v>20</v>
      </c>
      <c r="E416" s="7">
        <v>1.554</v>
      </c>
      <c r="F416" t="s">
        <v>23</v>
      </c>
    </row>
    <row r="417" spans="1:6" x14ac:dyDescent="0.25">
      <c r="A417">
        <v>777094</v>
      </c>
      <c r="B417" t="s">
        <v>21</v>
      </c>
      <c r="C417" s="8">
        <v>1.552</v>
      </c>
      <c r="D417">
        <v>0</v>
      </c>
      <c r="E417" s="7">
        <v>1.554</v>
      </c>
      <c r="F417" t="s">
        <v>23</v>
      </c>
    </row>
    <row r="418" spans="1:6" x14ac:dyDescent="0.25">
      <c r="A418">
        <v>777094</v>
      </c>
      <c r="B418" t="s">
        <v>21</v>
      </c>
      <c r="C418" s="8">
        <v>1.554</v>
      </c>
      <c r="D418">
        <v>20</v>
      </c>
      <c r="E418" s="7">
        <v>1.556</v>
      </c>
      <c r="F418" t="s">
        <v>23</v>
      </c>
    </row>
    <row r="419" spans="1:6" x14ac:dyDescent="0.25">
      <c r="A419">
        <v>777094</v>
      </c>
      <c r="B419" t="s">
        <v>21</v>
      </c>
      <c r="C419" s="8">
        <v>1.554</v>
      </c>
      <c r="D419">
        <v>0</v>
      </c>
      <c r="E419" s="7">
        <v>1.556</v>
      </c>
      <c r="F419" t="s">
        <v>23</v>
      </c>
    </row>
    <row r="420" spans="1:6" x14ac:dyDescent="0.25">
      <c r="A420">
        <v>777094</v>
      </c>
      <c r="B420" t="s">
        <v>6</v>
      </c>
      <c r="C420" s="8">
        <v>1.91</v>
      </c>
      <c r="D420">
        <v>40</v>
      </c>
      <c r="E420" s="7">
        <v>1.9059999999999999</v>
      </c>
      <c r="F420" t="s">
        <v>22</v>
      </c>
    </row>
    <row r="421" spans="1:6" x14ac:dyDescent="0.25">
      <c r="A421">
        <v>777094</v>
      </c>
      <c r="B421" t="s">
        <v>6</v>
      </c>
      <c r="C421" s="8">
        <v>1.9139999999999999</v>
      </c>
      <c r="D421">
        <v>40</v>
      </c>
      <c r="E421" s="7">
        <v>1.91</v>
      </c>
      <c r="F421" t="s">
        <v>22</v>
      </c>
    </row>
    <row r="422" spans="1:6" x14ac:dyDescent="0.25">
      <c r="A422">
        <v>777094</v>
      </c>
      <c r="B422" t="s">
        <v>6</v>
      </c>
      <c r="C422" s="8">
        <v>1.9179999999999999</v>
      </c>
      <c r="D422">
        <v>40</v>
      </c>
      <c r="E422" s="7">
        <v>1.9139999999999999</v>
      </c>
      <c r="F422" t="s">
        <v>22</v>
      </c>
    </row>
    <row r="423" spans="1:6" x14ac:dyDescent="0.25">
      <c r="A423">
        <v>777094</v>
      </c>
      <c r="B423" t="s">
        <v>6</v>
      </c>
      <c r="C423" s="8">
        <v>1.9219999999999999</v>
      </c>
      <c r="D423">
        <v>40</v>
      </c>
      <c r="E423" s="7">
        <v>1.9179999999999999</v>
      </c>
      <c r="F423" t="s">
        <v>22</v>
      </c>
    </row>
    <row r="424" spans="1:6" x14ac:dyDescent="0.25">
      <c r="A424">
        <v>777094</v>
      </c>
      <c r="B424" t="s">
        <v>6</v>
      </c>
      <c r="C424" s="8">
        <v>1.9259999999999999</v>
      </c>
      <c r="D424">
        <v>40</v>
      </c>
      <c r="E424" s="7">
        <v>1.9219999999999999</v>
      </c>
      <c r="F424" t="s">
        <v>22</v>
      </c>
    </row>
    <row r="425" spans="1:6" x14ac:dyDescent="0.25">
      <c r="A425">
        <v>777094</v>
      </c>
      <c r="B425" t="s">
        <v>6</v>
      </c>
      <c r="C425" s="8">
        <v>1.93</v>
      </c>
      <c r="D425">
        <v>40</v>
      </c>
      <c r="E425" s="7">
        <v>1.9259999999999999</v>
      </c>
      <c r="F425" t="s">
        <v>22</v>
      </c>
    </row>
    <row r="426" spans="1:6" x14ac:dyDescent="0.25">
      <c r="A426">
        <v>777094</v>
      </c>
      <c r="B426" t="s">
        <v>6</v>
      </c>
      <c r="C426" s="8">
        <v>1.9339999999999999</v>
      </c>
      <c r="D426">
        <v>40</v>
      </c>
      <c r="E426" s="7">
        <v>1.93</v>
      </c>
      <c r="F426" t="s">
        <v>22</v>
      </c>
    </row>
    <row r="427" spans="1:6" x14ac:dyDescent="0.25">
      <c r="A427">
        <v>777094</v>
      </c>
      <c r="B427" t="s">
        <v>6</v>
      </c>
      <c r="C427" s="8">
        <v>1.9379200000000001</v>
      </c>
      <c r="D427">
        <v>39.200000000000003</v>
      </c>
      <c r="E427" s="7">
        <v>1.9339999999999999</v>
      </c>
      <c r="F427" t="s">
        <v>22</v>
      </c>
    </row>
    <row r="428" spans="1:6" x14ac:dyDescent="0.25">
      <c r="A428">
        <v>777094</v>
      </c>
      <c r="B428" t="s">
        <v>6</v>
      </c>
      <c r="C428" s="8">
        <v>1.9379999999999999</v>
      </c>
      <c r="D428">
        <v>0.8</v>
      </c>
      <c r="E428" s="7">
        <v>1.9339999999999999</v>
      </c>
      <c r="F428" t="s">
        <v>22</v>
      </c>
    </row>
    <row r="429" spans="1:6" x14ac:dyDescent="0.25">
      <c r="A429">
        <v>777094</v>
      </c>
      <c r="B429" t="s">
        <v>6</v>
      </c>
      <c r="C429" s="8">
        <v>2.0017499999999999</v>
      </c>
      <c r="D429">
        <v>637.5</v>
      </c>
      <c r="E429" s="7">
        <v>1.998</v>
      </c>
      <c r="F429" t="s">
        <v>22</v>
      </c>
    </row>
    <row r="430" spans="1:6" x14ac:dyDescent="0.25">
      <c r="A430">
        <v>777094</v>
      </c>
      <c r="B430" t="s">
        <v>6</v>
      </c>
      <c r="C430" s="8">
        <v>2.0060199999999999</v>
      </c>
      <c r="D430">
        <v>42.7</v>
      </c>
      <c r="E430" s="7">
        <v>2.0019999999999998</v>
      </c>
      <c r="F430" t="s">
        <v>22</v>
      </c>
    </row>
    <row r="431" spans="1:6" x14ac:dyDescent="0.25">
      <c r="A431">
        <v>777094</v>
      </c>
      <c r="B431" t="s">
        <v>6</v>
      </c>
      <c r="C431" s="8">
        <v>2.0101900000000001</v>
      </c>
      <c r="D431">
        <v>41.7</v>
      </c>
      <c r="E431" s="7">
        <v>2.0059999999999998</v>
      </c>
      <c r="F431" t="s">
        <v>22</v>
      </c>
    </row>
    <row r="432" spans="1:6" x14ac:dyDescent="0.25">
      <c r="A432">
        <v>777094</v>
      </c>
      <c r="B432" t="s">
        <v>6</v>
      </c>
      <c r="C432" s="8">
        <v>2.0140199999999999</v>
      </c>
      <c r="D432">
        <v>38.299999999999997</v>
      </c>
      <c r="E432" s="7">
        <v>2.0099999999999998</v>
      </c>
      <c r="F432" t="s">
        <v>22</v>
      </c>
    </row>
    <row r="433" spans="1:6" x14ac:dyDescent="0.25">
      <c r="A433">
        <v>777094</v>
      </c>
      <c r="B433" t="s">
        <v>6</v>
      </c>
      <c r="C433" s="8">
        <v>2.0179999999999998</v>
      </c>
      <c r="D433">
        <v>39.799999999999997</v>
      </c>
      <c r="E433" s="7">
        <v>2.0139999999999998</v>
      </c>
      <c r="F433" t="s">
        <v>22</v>
      </c>
    </row>
    <row r="434" spans="1:6" x14ac:dyDescent="0.25">
      <c r="A434">
        <v>777094</v>
      </c>
      <c r="B434" t="s">
        <v>6</v>
      </c>
      <c r="C434" s="8">
        <v>2.02976</v>
      </c>
      <c r="D434">
        <v>117.6</v>
      </c>
      <c r="E434" s="7">
        <v>2.0339999999999998</v>
      </c>
      <c r="F434" t="s">
        <v>23</v>
      </c>
    </row>
    <row r="435" spans="1:6" x14ac:dyDescent="0.25">
      <c r="A435">
        <v>777094</v>
      </c>
      <c r="B435" t="s">
        <v>6</v>
      </c>
      <c r="C435" s="8">
        <v>2.0339999999999998</v>
      </c>
      <c r="D435">
        <v>42.4</v>
      </c>
      <c r="E435" s="7">
        <v>2.0379999999999998</v>
      </c>
      <c r="F435" t="s">
        <v>23</v>
      </c>
    </row>
    <row r="436" spans="1:6" x14ac:dyDescent="0.25">
      <c r="A436">
        <v>777094</v>
      </c>
      <c r="B436" t="s">
        <v>6</v>
      </c>
      <c r="C436" s="8">
        <v>2.03775</v>
      </c>
      <c r="D436">
        <v>37.5</v>
      </c>
      <c r="E436" s="7">
        <v>2.0419999999999998</v>
      </c>
      <c r="F436" t="s">
        <v>23</v>
      </c>
    </row>
    <row r="437" spans="1:6" x14ac:dyDescent="0.25">
      <c r="A437">
        <v>777094</v>
      </c>
      <c r="B437" t="s">
        <v>6</v>
      </c>
      <c r="C437" s="8">
        <v>2.0419700000000001</v>
      </c>
      <c r="D437">
        <v>42.2</v>
      </c>
      <c r="E437" s="7">
        <v>2.0459999999999998</v>
      </c>
      <c r="F437" t="s">
        <v>23</v>
      </c>
    </row>
    <row r="438" spans="1:6" x14ac:dyDescent="0.25">
      <c r="A438">
        <v>777094</v>
      </c>
      <c r="B438" t="s">
        <v>6</v>
      </c>
      <c r="C438" s="8">
        <v>2.0459100000000001</v>
      </c>
      <c r="D438">
        <v>39.4</v>
      </c>
      <c r="E438" s="7">
        <v>2.0499999999999998</v>
      </c>
      <c r="F438" t="s">
        <v>23</v>
      </c>
    </row>
    <row r="439" spans="1:6" x14ac:dyDescent="0.25">
      <c r="A439">
        <v>777094</v>
      </c>
      <c r="B439" t="s">
        <v>6</v>
      </c>
      <c r="C439" s="8">
        <v>2.0500500000000001</v>
      </c>
      <c r="D439">
        <v>41.4</v>
      </c>
      <c r="E439" s="7">
        <v>2.0539999999999998</v>
      </c>
      <c r="F439" t="s">
        <v>23</v>
      </c>
    </row>
    <row r="440" spans="1:6" x14ac:dyDescent="0.25">
      <c r="A440">
        <v>777094</v>
      </c>
      <c r="B440" t="s">
        <v>6</v>
      </c>
      <c r="C440" s="8">
        <v>2.05402</v>
      </c>
      <c r="D440">
        <v>39.700000000000003</v>
      </c>
      <c r="E440" s="7">
        <v>2.0579999999999998</v>
      </c>
      <c r="F440" t="s">
        <v>23</v>
      </c>
    </row>
    <row r="441" spans="1:6" x14ac:dyDescent="0.25">
      <c r="A441">
        <v>777094</v>
      </c>
      <c r="B441" t="s">
        <v>7</v>
      </c>
      <c r="C441" s="8">
        <v>101</v>
      </c>
      <c r="D441">
        <v>20</v>
      </c>
      <c r="E441" s="7">
        <v>100.8</v>
      </c>
      <c r="F441" t="s">
        <v>22</v>
      </c>
    </row>
    <row r="442" spans="1:6" x14ac:dyDescent="0.25">
      <c r="A442">
        <v>777094</v>
      </c>
      <c r="B442" t="s">
        <v>7</v>
      </c>
      <c r="C442" s="8">
        <v>103.2</v>
      </c>
      <c r="D442">
        <v>220</v>
      </c>
      <c r="E442" s="7">
        <v>103</v>
      </c>
      <c r="F442" t="s">
        <v>22</v>
      </c>
    </row>
    <row r="443" spans="1:6" x14ac:dyDescent="0.25">
      <c r="A443">
        <v>777094</v>
      </c>
      <c r="B443" t="s">
        <v>7</v>
      </c>
      <c r="C443" s="8">
        <v>103.4</v>
      </c>
      <c r="D443">
        <v>20</v>
      </c>
      <c r="E443" s="7">
        <v>103.2</v>
      </c>
      <c r="F443" t="s">
        <v>22</v>
      </c>
    </row>
    <row r="444" spans="1:6" x14ac:dyDescent="0.25">
      <c r="A444">
        <v>777094</v>
      </c>
      <c r="B444" t="s">
        <v>7</v>
      </c>
      <c r="C444" s="8">
        <v>103.6</v>
      </c>
      <c r="D444">
        <v>20</v>
      </c>
      <c r="E444" s="7">
        <v>103.4</v>
      </c>
      <c r="F444" t="s">
        <v>22</v>
      </c>
    </row>
    <row r="445" spans="1:6" x14ac:dyDescent="0.25">
      <c r="A445">
        <v>917261</v>
      </c>
      <c r="B445" t="s">
        <v>4</v>
      </c>
      <c r="C445" s="8">
        <v>91.4</v>
      </c>
      <c r="D445">
        <v>20</v>
      </c>
      <c r="E445" s="7">
        <v>91.2</v>
      </c>
      <c r="F445" t="s">
        <v>22</v>
      </c>
    </row>
    <row r="446" spans="1:6" x14ac:dyDescent="0.25">
      <c r="A446">
        <v>917261</v>
      </c>
      <c r="B446" t="s">
        <v>4</v>
      </c>
      <c r="C446" s="8">
        <v>91.6</v>
      </c>
      <c r="D446">
        <v>20</v>
      </c>
      <c r="E446" s="7">
        <v>91.4</v>
      </c>
      <c r="F446" t="s">
        <v>22</v>
      </c>
    </row>
    <row r="447" spans="1:6" x14ac:dyDescent="0.25">
      <c r="A447">
        <v>917261</v>
      </c>
      <c r="B447" t="s">
        <v>4</v>
      </c>
      <c r="C447" s="8">
        <v>91.8</v>
      </c>
      <c r="D447">
        <v>20</v>
      </c>
      <c r="E447" s="7">
        <v>91.6</v>
      </c>
      <c r="F447" t="s">
        <v>22</v>
      </c>
    </row>
    <row r="448" spans="1:6" x14ac:dyDescent="0.25">
      <c r="A448">
        <v>917261</v>
      </c>
      <c r="B448" t="s">
        <v>4</v>
      </c>
      <c r="C448" s="8">
        <v>92</v>
      </c>
      <c r="D448">
        <v>20</v>
      </c>
      <c r="E448" s="7">
        <v>91.8</v>
      </c>
      <c r="F448" t="s">
        <v>22</v>
      </c>
    </row>
    <row r="449" spans="1:6" x14ac:dyDescent="0.25">
      <c r="A449">
        <v>917261</v>
      </c>
      <c r="B449" t="s">
        <v>4</v>
      </c>
      <c r="C449" s="8">
        <v>92.2</v>
      </c>
      <c r="D449">
        <v>20</v>
      </c>
      <c r="E449" s="7">
        <v>92</v>
      </c>
      <c r="F449" t="s">
        <v>22</v>
      </c>
    </row>
    <row r="450" spans="1:6" x14ac:dyDescent="0.25">
      <c r="A450">
        <v>917261</v>
      </c>
      <c r="B450" t="s">
        <v>4</v>
      </c>
      <c r="C450" s="8">
        <v>92.4</v>
      </c>
      <c r="D450">
        <v>20</v>
      </c>
      <c r="E450" s="7">
        <v>92.2</v>
      </c>
      <c r="F450" t="s">
        <v>22</v>
      </c>
    </row>
    <row r="451" spans="1:6" x14ac:dyDescent="0.25">
      <c r="A451">
        <v>917261</v>
      </c>
      <c r="B451" t="s">
        <v>4</v>
      </c>
      <c r="C451" s="8">
        <v>92.602999999999994</v>
      </c>
      <c r="D451">
        <v>20.3</v>
      </c>
      <c r="E451" s="7">
        <v>92.4</v>
      </c>
      <c r="F451" t="s">
        <v>22</v>
      </c>
    </row>
    <row r="452" spans="1:6" x14ac:dyDescent="0.25">
      <c r="A452">
        <v>917261</v>
      </c>
      <c r="B452" t="s">
        <v>4</v>
      </c>
      <c r="C452" s="8">
        <v>92.805000000000007</v>
      </c>
      <c r="D452">
        <v>20.2</v>
      </c>
      <c r="E452" s="7">
        <v>92.6</v>
      </c>
      <c r="F452" t="s">
        <v>22</v>
      </c>
    </row>
    <row r="453" spans="1:6" x14ac:dyDescent="0.25">
      <c r="A453">
        <v>917261</v>
      </c>
      <c r="B453" t="s">
        <v>4</v>
      </c>
      <c r="C453" s="8">
        <v>93</v>
      </c>
      <c r="D453">
        <v>19.5</v>
      </c>
      <c r="E453" s="7">
        <v>92.8</v>
      </c>
      <c r="F453" t="s">
        <v>22</v>
      </c>
    </row>
    <row r="454" spans="1:6" x14ac:dyDescent="0.25">
      <c r="A454">
        <v>917261</v>
      </c>
      <c r="B454" t="s">
        <v>4</v>
      </c>
      <c r="C454" s="8">
        <v>93.203999999999994</v>
      </c>
      <c r="D454">
        <v>20.399999999999999</v>
      </c>
      <c r="E454" s="7">
        <v>93</v>
      </c>
      <c r="F454" t="s">
        <v>22</v>
      </c>
    </row>
    <row r="455" spans="1:6" x14ac:dyDescent="0.25">
      <c r="A455">
        <v>917261</v>
      </c>
      <c r="B455" t="s">
        <v>4</v>
      </c>
      <c r="C455" s="8">
        <v>93.4</v>
      </c>
      <c r="D455">
        <v>19.600000000000001</v>
      </c>
      <c r="E455" s="7">
        <v>93.2</v>
      </c>
      <c r="F455" t="s">
        <v>22</v>
      </c>
    </row>
    <row r="456" spans="1:6" x14ac:dyDescent="0.25">
      <c r="A456">
        <v>917261</v>
      </c>
      <c r="B456" t="s">
        <v>4</v>
      </c>
      <c r="C456" s="8">
        <v>93.6</v>
      </c>
      <c r="D456">
        <v>20</v>
      </c>
      <c r="E456" s="7">
        <v>93.4</v>
      </c>
      <c r="F456" t="s">
        <v>22</v>
      </c>
    </row>
    <row r="457" spans="1:6" x14ac:dyDescent="0.25">
      <c r="A457">
        <v>917261</v>
      </c>
      <c r="B457" t="s">
        <v>4</v>
      </c>
      <c r="C457" s="8">
        <v>93.8</v>
      </c>
      <c r="D457">
        <v>20</v>
      </c>
      <c r="E457" s="7">
        <v>93.6</v>
      </c>
      <c r="F457" t="s">
        <v>22</v>
      </c>
    </row>
    <row r="458" spans="1:6" x14ac:dyDescent="0.25">
      <c r="A458">
        <v>917261</v>
      </c>
      <c r="B458" t="s">
        <v>4</v>
      </c>
      <c r="C458" s="8">
        <v>94</v>
      </c>
      <c r="D458">
        <v>20</v>
      </c>
      <c r="E458" s="7">
        <v>93.8</v>
      </c>
      <c r="F458" t="s">
        <v>22</v>
      </c>
    </row>
    <row r="459" spans="1:6" x14ac:dyDescent="0.25">
      <c r="A459">
        <v>917261</v>
      </c>
      <c r="B459" t="s">
        <v>4</v>
      </c>
      <c r="C459" s="8">
        <v>94.8</v>
      </c>
      <c r="D459">
        <v>80</v>
      </c>
      <c r="E459" s="7">
        <v>94.6</v>
      </c>
      <c r="F459" t="s">
        <v>22</v>
      </c>
    </row>
    <row r="460" spans="1:6" x14ac:dyDescent="0.25">
      <c r="A460">
        <v>917261</v>
      </c>
      <c r="B460" t="s">
        <v>4</v>
      </c>
      <c r="C460" s="8">
        <v>95.2</v>
      </c>
      <c r="D460">
        <v>40</v>
      </c>
      <c r="E460" s="7">
        <v>95</v>
      </c>
      <c r="F460" t="s">
        <v>22</v>
      </c>
    </row>
    <row r="461" spans="1:6" x14ac:dyDescent="0.25">
      <c r="A461">
        <v>917261</v>
      </c>
      <c r="B461" t="s">
        <v>4</v>
      </c>
      <c r="C461" s="8">
        <v>95.397000000000006</v>
      </c>
      <c r="D461">
        <v>19.7</v>
      </c>
      <c r="E461" s="7">
        <v>95.2</v>
      </c>
      <c r="F461" t="s">
        <v>22</v>
      </c>
    </row>
    <row r="462" spans="1:6" x14ac:dyDescent="0.25">
      <c r="A462">
        <v>917261</v>
      </c>
      <c r="B462" t="s">
        <v>4</v>
      </c>
      <c r="C462" s="8">
        <v>97.799000000000007</v>
      </c>
      <c r="D462">
        <v>240.2</v>
      </c>
      <c r="E462" s="7">
        <v>97.6</v>
      </c>
      <c r="F462" t="s">
        <v>22</v>
      </c>
    </row>
    <row r="463" spans="1:6" x14ac:dyDescent="0.25">
      <c r="A463">
        <v>917261</v>
      </c>
      <c r="B463" t="s">
        <v>4</v>
      </c>
      <c r="C463" s="8">
        <v>97.986000000000004</v>
      </c>
      <c r="D463">
        <v>18.7</v>
      </c>
      <c r="E463" s="7">
        <v>97.8</v>
      </c>
      <c r="F463" t="s">
        <v>22</v>
      </c>
    </row>
    <row r="464" spans="1:6" x14ac:dyDescent="0.25">
      <c r="A464">
        <v>917261</v>
      </c>
      <c r="B464" t="s">
        <v>4</v>
      </c>
      <c r="C464" s="8">
        <v>98.2</v>
      </c>
      <c r="D464">
        <v>21.4</v>
      </c>
      <c r="E464" s="7">
        <v>98.4</v>
      </c>
      <c r="F464" t="s">
        <v>23</v>
      </c>
    </row>
    <row r="465" spans="1:6" x14ac:dyDescent="0.25">
      <c r="A465">
        <v>917261</v>
      </c>
      <c r="B465" t="s">
        <v>4</v>
      </c>
      <c r="C465" s="8">
        <v>98.203999999999994</v>
      </c>
      <c r="D465">
        <v>0.4</v>
      </c>
      <c r="E465" s="7">
        <v>98</v>
      </c>
      <c r="F465" t="s">
        <v>22</v>
      </c>
    </row>
    <row r="466" spans="1:6" x14ac:dyDescent="0.25">
      <c r="A466">
        <v>917261</v>
      </c>
      <c r="B466" t="s">
        <v>4</v>
      </c>
      <c r="C466" s="8">
        <v>98.399000000000001</v>
      </c>
      <c r="D466">
        <v>19.5</v>
      </c>
      <c r="E466" s="7">
        <v>98.6</v>
      </c>
      <c r="F466" t="s">
        <v>23</v>
      </c>
    </row>
    <row r="467" spans="1:6" x14ac:dyDescent="0.25">
      <c r="A467">
        <v>917261</v>
      </c>
      <c r="B467" t="s">
        <v>4</v>
      </c>
      <c r="C467" s="8">
        <v>98.6</v>
      </c>
      <c r="D467">
        <v>20.100000000000001</v>
      </c>
      <c r="E467" s="7">
        <v>98.8</v>
      </c>
      <c r="F467" t="s">
        <v>23</v>
      </c>
    </row>
    <row r="468" spans="1:6" x14ac:dyDescent="0.25">
      <c r="A468">
        <v>917261</v>
      </c>
      <c r="B468" t="s">
        <v>4</v>
      </c>
      <c r="C468" s="8">
        <v>98.8</v>
      </c>
      <c r="D468">
        <v>20</v>
      </c>
      <c r="E468" s="7">
        <v>99</v>
      </c>
      <c r="F468" t="s">
        <v>23</v>
      </c>
    </row>
    <row r="469" spans="1:6" x14ac:dyDescent="0.25">
      <c r="A469">
        <v>917261</v>
      </c>
      <c r="B469" t="s">
        <v>4</v>
      </c>
      <c r="C469" s="8">
        <v>99.4</v>
      </c>
      <c r="D469">
        <v>60</v>
      </c>
      <c r="E469" s="7">
        <v>99.6</v>
      </c>
      <c r="F469" t="s">
        <v>23</v>
      </c>
    </row>
    <row r="470" spans="1:6" x14ac:dyDescent="0.25">
      <c r="A470">
        <v>917261</v>
      </c>
      <c r="B470" t="s">
        <v>4</v>
      </c>
      <c r="C470" s="8">
        <v>101.2</v>
      </c>
      <c r="D470">
        <v>180</v>
      </c>
      <c r="E470" s="7">
        <v>101.4</v>
      </c>
      <c r="F470" t="s">
        <v>23</v>
      </c>
    </row>
    <row r="471" spans="1:6" x14ac:dyDescent="0.25">
      <c r="A471">
        <v>918062</v>
      </c>
      <c r="B471" t="s">
        <v>5</v>
      </c>
      <c r="C471" s="8">
        <v>1.27399</v>
      </c>
      <c r="D471">
        <v>30</v>
      </c>
      <c r="E471" s="7">
        <v>1.2769999999999999</v>
      </c>
      <c r="F471" t="s">
        <v>23</v>
      </c>
    </row>
    <row r="472" spans="1:6" x14ac:dyDescent="0.25">
      <c r="A472">
        <v>918062</v>
      </c>
      <c r="B472" t="s">
        <v>5</v>
      </c>
      <c r="C472" s="8">
        <v>1.27399</v>
      </c>
      <c r="D472">
        <v>0</v>
      </c>
      <c r="E472" s="7">
        <v>1.2769999999999999</v>
      </c>
      <c r="F472" t="s">
        <v>23</v>
      </c>
    </row>
    <row r="473" spans="1:6" x14ac:dyDescent="0.25">
      <c r="A473">
        <v>918583</v>
      </c>
      <c r="B473" t="s">
        <v>6</v>
      </c>
      <c r="C473" s="8">
        <v>1.93797</v>
      </c>
      <c r="D473">
        <v>40</v>
      </c>
      <c r="E473" s="7">
        <v>1.9339999999999999</v>
      </c>
      <c r="F473" t="s">
        <v>22</v>
      </c>
    </row>
    <row r="474" spans="1:6" x14ac:dyDescent="0.25">
      <c r="A474">
        <v>918583</v>
      </c>
      <c r="B474" t="s">
        <v>6</v>
      </c>
      <c r="C474" s="8">
        <v>1.9419999999999999</v>
      </c>
      <c r="D474">
        <v>40.299999999999997</v>
      </c>
      <c r="E474" s="7">
        <v>1.9379999999999999</v>
      </c>
      <c r="F474" t="s">
        <v>22</v>
      </c>
    </row>
    <row r="475" spans="1:6" x14ac:dyDescent="0.25">
      <c r="A475">
        <v>918583</v>
      </c>
      <c r="B475" t="s">
        <v>6</v>
      </c>
      <c r="C475" s="8">
        <v>1.946</v>
      </c>
      <c r="D475">
        <v>40</v>
      </c>
      <c r="E475" s="7">
        <v>1.9419999999999999</v>
      </c>
      <c r="F475" t="s">
        <v>22</v>
      </c>
    </row>
    <row r="476" spans="1:6" x14ac:dyDescent="0.25">
      <c r="A476">
        <v>918583</v>
      </c>
      <c r="B476" t="s">
        <v>6</v>
      </c>
      <c r="C476" s="8">
        <v>1.95</v>
      </c>
      <c r="D476">
        <v>40</v>
      </c>
      <c r="E476" s="7">
        <v>1.946</v>
      </c>
      <c r="F476" t="s">
        <v>22</v>
      </c>
    </row>
    <row r="477" spans="1:6" x14ac:dyDescent="0.25">
      <c r="A477">
        <v>918583</v>
      </c>
      <c r="B477" t="s">
        <v>6</v>
      </c>
      <c r="C477" s="8">
        <v>1.954</v>
      </c>
      <c r="D477">
        <v>40</v>
      </c>
      <c r="E477" s="7">
        <v>1.95</v>
      </c>
      <c r="F477" t="s">
        <v>22</v>
      </c>
    </row>
    <row r="478" spans="1:6" x14ac:dyDescent="0.25">
      <c r="A478">
        <v>918583</v>
      </c>
      <c r="B478" t="s">
        <v>6</v>
      </c>
      <c r="C478" s="8">
        <v>1.9580200000000001</v>
      </c>
      <c r="D478">
        <v>40.200000000000003</v>
      </c>
      <c r="E478" s="7">
        <v>1.954</v>
      </c>
      <c r="F478" t="s">
        <v>22</v>
      </c>
    </row>
    <row r="479" spans="1:6" x14ac:dyDescent="0.25">
      <c r="A479">
        <v>918583</v>
      </c>
      <c r="B479" t="s">
        <v>6</v>
      </c>
      <c r="C479" s="8">
        <v>1.9618899999999999</v>
      </c>
      <c r="D479">
        <v>38.700000000000003</v>
      </c>
      <c r="E479" s="7">
        <v>1.958</v>
      </c>
      <c r="F479" t="s">
        <v>22</v>
      </c>
    </row>
    <row r="480" spans="1:6" x14ac:dyDescent="0.25">
      <c r="A480">
        <v>918583</v>
      </c>
      <c r="B480" t="s">
        <v>6</v>
      </c>
      <c r="C480" s="8">
        <v>1.96235</v>
      </c>
      <c r="D480">
        <v>4.5999999999999996</v>
      </c>
      <c r="E480" s="7">
        <v>1.958</v>
      </c>
      <c r="F480" t="s">
        <v>22</v>
      </c>
    </row>
    <row r="481" spans="1:6" x14ac:dyDescent="0.25">
      <c r="A481">
        <v>918583</v>
      </c>
      <c r="B481" t="s">
        <v>6</v>
      </c>
      <c r="C481" s="8">
        <v>1.96601</v>
      </c>
      <c r="D481">
        <v>36.6</v>
      </c>
      <c r="E481" s="7">
        <v>1.962</v>
      </c>
      <c r="F481" t="s">
        <v>22</v>
      </c>
    </row>
    <row r="482" spans="1:6" x14ac:dyDescent="0.25">
      <c r="A482">
        <v>918583</v>
      </c>
      <c r="B482" t="s">
        <v>6</v>
      </c>
      <c r="C482" s="8">
        <v>1.97</v>
      </c>
      <c r="D482">
        <v>39.9</v>
      </c>
      <c r="E482" s="7">
        <v>1.966</v>
      </c>
      <c r="F482" t="s">
        <v>22</v>
      </c>
    </row>
    <row r="483" spans="1:6" x14ac:dyDescent="0.25">
      <c r="A483">
        <v>918583</v>
      </c>
      <c r="B483" t="s">
        <v>6</v>
      </c>
      <c r="C483" s="8">
        <v>1.97404</v>
      </c>
      <c r="D483">
        <v>40.4</v>
      </c>
      <c r="E483" s="7">
        <v>1.97</v>
      </c>
      <c r="F483" t="s">
        <v>22</v>
      </c>
    </row>
    <row r="484" spans="1:6" x14ac:dyDescent="0.25">
      <c r="A484">
        <v>918583</v>
      </c>
      <c r="B484" t="s">
        <v>6</v>
      </c>
      <c r="C484" s="8">
        <v>1.978</v>
      </c>
      <c r="D484">
        <v>39.6</v>
      </c>
      <c r="E484" s="7">
        <v>1.974</v>
      </c>
      <c r="F484" t="s">
        <v>22</v>
      </c>
    </row>
    <row r="485" spans="1:6" x14ac:dyDescent="0.25">
      <c r="A485">
        <v>918583</v>
      </c>
      <c r="B485" t="s">
        <v>6</v>
      </c>
      <c r="C485" s="8">
        <v>1.98203</v>
      </c>
      <c r="D485">
        <v>40.299999999999997</v>
      </c>
      <c r="E485" s="7">
        <v>1.978</v>
      </c>
      <c r="F485" t="s">
        <v>22</v>
      </c>
    </row>
    <row r="486" spans="1:6" x14ac:dyDescent="0.25">
      <c r="A486">
        <v>918583</v>
      </c>
      <c r="B486" t="s">
        <v>6</v>
      </c>
      <c r="C486" s="8">
        <v>1.98597</v>
      </c>
      <c r="D486">
        <v>39.4</v>
      </c>
      <c r="E486" s="7">
        <v>1.982</v>
      </c>
      <c r="F486" t="s">
        <v>22</v>
      </c>
    </row>
    <row r="487" spans="1:6" x14ac:dyDescent="0.25">
      <c r="A487">
        <v>918583</v>
      </c>
      <c r="B487" t="s">
        <v>6</v>
      </c>
      <c r="C487" s="8">
        <v>1.9900500000000001</v>
      </c>
      <c r="D487">
        <v>40.799999999999997</v>
      </c>
      <c r="E487" s="7">
        <v>1.986</v>
      </c>
      <c r="F487" t="s">
        <v>22</v>
      </c>
    </row>
    <row r="488" spans="1:6" x14ac:dyDescent="0.25">
      <c r="A488">
        <v>918583</v>
      </c>
      <c r="B488" t="s">
        <v>6</v>
      </c>
      <c r="C488" s="8">
        <v>2.0459800000000001</v>
      </c>
      <c r="D488">
        <v>559.29999999999995</v>
      </c>
      <c r="E488" s="7">
        <v>0</v>
      </c>
      <c r="F488" t="s">
        <v>23</v>
      </c>
    </row>
    <row r="489" spans="1:6" x14ac:dyDescent="0.25">
      <c r="A489">
        <v>918583</v>
      </c>
      <c r="B489" t="s">
        <v>6</v>
      </c>
      <c r="C489" s="8">
        <v>2.0499900000000002</v>
      </c>
      <c r="D489">
        <v>40.1</v>
      </c>
      <c r="E489" s="7">
        <v>2.0539999999999998</v>
      </c>
      <c r="F489" t="s">
        <v>23</v>
      </c>
    </row>
    <row r="490" spans="1:6" x14ac:dyDescent="0.25">
      <c r="A490">
        <v>918583</v>
      </c>
      <c r="B490" t="s">
        <v>6</v>
      </c>
      <c r="C490" s="8">
        <v>2.0539999999999998</v>
      </c>
      <c r="D490">
        <v>40.1</v>
      </c>
      <c r="E490" s="7">
        <v>2.0579999999999998</v>
      </c>
      <c r="F490" t="s">
        <v>23</v>
      </c>
    </row>
    <row r="491" spans="1:6" x14ac:dyDescent="0.25">
      <c r="A491">
        <v>918583</v>
      </c>
      <c r="B491" t="s">
        <v>6</v>
      </c>
      <c r="C491" s="8">
        <v>2.0579299999999998</v>
      </c>
      <c r="D491">
        <v>39.299999999999997</v>
      </c>
      <c r="E491" s="7">
        <v>2.0619999999999998</v>
      </c>
      <c r="F491" t="s">
        <v>23</v>
      </c>
    </row>
    <row r="492" spans="1:6" x14ac:dyDescent="0.25">
      <c r="A492">
        <v>918583</v>
      </c>
      <c r="B492" t="s">
        <v>6</v>
      </c>
      <c r="C492" s="8">
        <v>2.0619999999999998</v>
      </c>
      <c r="D492">
        <v>40.700000000000003</v>
      </c>
      <c r="E492" s="7">
        <v>2.0659999999999998</v>
      </c>
      <c r="F492" t="s">
        <v>23</v>
      </c>
    </row>
    <row r="493" spans="1:6" x14ac:dyDescent="0.25">
      <c r="A493">
        <v>918583</v>
      </c>
      <c r="B493" t="s">
        <v>6</v>
      </c>
      <c r="C493" s="8">
        <v>2.0659800000000001</v>
      </c>
      <c r="D493">
        <v>39.799999999999997</v>
      </c>
      <c r="E493" s="7">
        <v>2.0699999999999998</v>
      </c>
      <c r="F493" t="s">
        <v>23</v>
      </c>
    </row>
    <row r="494" spans="1:6" x14ac:dyDescent="0.25">
      <c r="A494">
        <v>918583</v>
      </c>
      <c r="B494" t="s">
        <v>6</v>
      </c>
      <c r="C494" s="8">
        <v>2.0699700000000001</v>
      </c>
      <c r="D494">
        <v>39.9</v>
      </c>
      <c r="E494" s="7">
        <v>2.0739999999999998</v>
      </c>
      <c r="F494" t="s">
        <v>23</v>
      </c>
    </row>
    <row r="495" spans="1:6" x14ac:dyDescent="0.25">
      <c r="A495">
        <v>918583</v>
      </c>
      <c r="B495" t="s">
        <v>6</v>
      </c>
      <c r="C495" s="8">
        <v>2.0739899999999998</v>
      </c>
      <c r="D495">
        <v>40.200000000000003</v>
      </c>
      <c r="E495" s="7">
        <v>2.0779999999999998</v>
      </c>
      <c r="F495" t="s">
        <v>23</v>
      </c>
    </row>
    <row r="496" spans="1:6" x14ac:dyDescent="0.25">
      <c r="A496">
        <v>918583</v>
      </c>
      <c r="B496" t="s">
        <v>6</v>
      </c>
      <c r="C496" s="8">
        <v>2.0779899999999998</v>
      </c>
      <c r="D496">
        <v>40</v>
      </c>
      <c r="E496" s="7">
        <v>2.0819999999999999</v>
      </c>
      <c r="F496" t="s">
        <v>23</v>
      </c>
    </row>
    <row r="497" spans="1:6" x14ac:dyDescent="0.25">
      <c r="A497">
        <v>918583</v>
      </c>
      <c r="B497" t="s">
        <v>6</v>
      </c>
      <c r="C497" s="8">
        <v>2.0819899999999998</v>
      </c>
      <c r="D497">
        <v>40</v>
      </c>
      <c r="E497" s="7">
        <v>2.0859999999999999</v>
      </c>
      <c r="F497" t="s">
        <v>23</v>
      </c>
    </row>
    <row r="498" spans="1:6" x14ac:dyDescent="0.25">
      <c r="A498">
        <v>918583</v>
      </c>
      <c r="B498" t="s">
        <v>6</v>
      </c>
      <c r="C498" s="8">
        <v>2.0859999999999999</v>
      </c>
      <c r="D498">
        <v>40.1</v>
      </c>
      <c r="E498" s="7">
        <v>2.09</v>
      </c>
      <c r="F498" t="s">
        <v>23</v>
      </c>
    </row>
    <row r="499" spans="1:6" x14ac:dyDescent="0.25">
      <c r="A499">
        <v>918583</v>
      </c>
      <c r="B499" t="s">
        <v>6</v>
      </c>
      <c r="C499" s="8">
        <v>2.0899299999999998</v>
      </c>
      <c r="D499">
        <v>39.299999999999997</v>
      </c>
      <c r="E499" s="7">
        <v>2.0939999999999999</v>
      </c>
      <c r="F499" t="s">
        <v>23</v>
      </c>
    </row>
    <row r="500" spans="1:6" x14ac:dyDescent="0.25">
      <c r="A500">
        <v>918583</v>
      </c>
      <c r="B500" t="s">
        <v>6</v>
      </c>
      <c r="C500" s="8">
        <v>2.0939999999999999</v>
      </c>
      <c r="D500">
        <v>40.700000000000003</v>
      </c>
      <c r="E500" s="7">
        <v>2.0979999999999999</v>
      </c>
      <c r="F500" t="s">
        <v>23</v>
      </c>
    </row>
    <row r="501" spans="1:6" x14ac:dyDescent="0.25">
      <c r="A501">
        <v>918583</v>
      </c>
      <c r="B501" t="s">
        <v>6</v>
      </c>
      <c r="C501" s="8">
        <v>2.0979899999999998</v>
      </c>
      <c r="D501">
        <v>39.9</v>
      </c>
      <c r="E501" s="7">
        <v>2.1019999999999999</v>
      </c>
      <c r="F501" t="s">
        <v>23</v>
      </c>
    </row>
    <row r="502" spans="1:6" x14ac:dyDescent="0.25">
      <c r="A502">
        <v>918583</v>
      </c>
      <c r="B502" t="s">
        <v>6</v>
      </c>
      <c r="C502" s="8">
        <v>2.1019299999999999</v>
      </c>
      <c r="D502">
        <v>39.4</v>
      </c>
      <c r="E502" s="7">
        <v>2.1059999999999999</v>
      </c>
      <c r="F502" t="s">
        <v>23</v>
      </c>
    </row>
    <row r="503" spans="1:6" x14ac:dyDescent="0.25">
      <c r="A503">
        <v>918583</v>
      </c>
      <c r="B503" t="s">
        <v>6</v>
      </c>
      <c r="C503" s="8">
        <v>2.1024799999999999</v>
      </c>
      <c r="D503">
        <v>5.5</v>
      </c>
      <c r="E503" s="7">
        <v>2.1059999999999999</v>
      </c>
      <c r="F503" t="s">
        <v>23</v>
      </c>
    </row>
    <row r="504" spans="1:6" x14ac:dyDescent="0.25">
      <c r="A504">
        <v>918583</v>
      </c>
      <c r="B504" t="s">
        <v>6</v>
      </c>
      <c r="C504" s="8">
        <v>2.1067399999999998</v>
      </c>
      <c r="D504">
        <v>42.6</v>
      </c>
      <c r="E504" s="7">
        <v>2.11</v>
      </c>
      <c r="F504" t="s">
        <v>23</v>
      </c>
    </row>
    <row r="505" spans="1:6" hidden="1" x14ac:dyDescent="0.25">
      <c r="A505">
        <v>1501637</v>
      </c>
      <c r="B505" t="s">
        <v>5</v>
      </c>
      <c r="C505" s="8">
        <v>1.27399</v>
      </c>
      <c r="D505">
        <v>30</v>
      </c>
      <c r="E505" s="7">
        <v>1.2769999999999999</v>
      </c>
      <c r="F505" t="s">
        <v>23</v>
      </c>
    </row>
    <row r="506" spans="1:6" hidden="1" x14ac:dyDescent="0.25">
      <c r="A506">
        <v>1501637</v>
      </c>
      <c r="B506" t="s">
        <v>5</v>
      </c>
      <c r="C506" s="8">
        <v>1.2769999999999999</v>
      </c>
      <c r="D506">
        <v>30.1</v>
      </c>
      <c r="E506" s="7">
        <v>1.28</v>
      </c>
      <c r="F506" t="s">
        <v>23</v>
      </c>
    </row>
    <row r="507" spans="1:6" hidden="1" x14ac:dyDescent="0.25">
      <c r="A507">
        <v>1501637</v>
      </c>
      <c r="B507" t="s">
        <v>5</v>
      </c>
      <c r="C507" s="8">
        <v>1.28</v>
      </c>
      <c r="D507">
        <v>30</v>
      </c>
      <c r="E507" s="7">
        <v>1.2829999999999999</v>
      </c>
      <c r="F507" t="s">
        <v>23</v>
      </c>
    </row>
    <row r="508" spans="1:6" hidden="1" x14ac:dyDescent="0.25">
      <c r="A508">
        <v>1501637</v>
      </c>
      <c r="B508" t="s">
        <v>5</v>
      </c>
      <c r="C508" s="8">
        <v>1.2829999999999999</v>
      </c>
      <c r="D508">
        <v>30</v>
      </c>
      <c r="E508" s="7">
        <v>1.286</v>
      </c>
      <c r="F508" t="s">
        <v>23</v>
      </c>
    </row>
    <row r="509" spans="1:6" hidden="1" x14ac:dyDescent="0.25">
      <c r="A509">
        <v>1501637</v>
      </c>
      <c r="B509" t="s">
        <v>5</v>
      </c>
      <c r="C509" s="8">
        <v>1.2861400000000001</v>
      </c>
      <c r="D509">
        <v>31.4</v>
      </c>
      <c r="E509" s="7">
        <v>1.2889999999999999</v>
      </c>
      <c r="F509" t="s">
        <v>23</v>
      </c>
    </row>
    <row r="510" spans="1:6" hidden="1" x14ac:dyDescent="0.25">
      <c r="A510">
        <v>1501637</v>
      </c>
      <c r="B510" t="s">
        <v>5</v>
      </c>
      <c r="C510" s="8">
        <v>1.29199</v>
      </c>
      <c r="D510">
        <v>58.5</v>
      </c>
      <c r="E510" s="7">
        <v>1.2949999999999999</v>
      </c>
      <c r="F510" t="s">
        <v>23</v>
      </c>
    </row>
    <row r="511" spans="1:6" hidden="1" x14ac:dyDescent="0.25">
      <c r="A511">
        <v>1501637</v>
      </c>
      <c r="B511" t="s">
        <v>5</v>
      </c>
      <c r="C511" s="8">
        <v>1.2949999999999999</v>
      </c>
      <c r="D511">
        <v>30.1</v>
      </c>
      <c r="E511" s="7">
        <v>1.298</v>
      </c>
      <c r="F511" t="s">
        <v>23</v>
      </c>
    </row>
    <row r="512" spans="1:6" hidden="1" x14ac:dyDescent="0.25">
      <c r="A512">
        <v>1501637</v>
      </c>
      <c r="B512" t="s">
        <v>5</v>
      </c>
      <c r="C512" s="8">
        <v>1.29799</v>
      </c>
      <c r="D512">
        <v>29.9</v>
      </c>
      <c r="E512" s="7">
        <v>1.3009999999999999</v>
      </c>
      <c r="F512" t="s">
        <v>23</v>
      </c>
    </row>
    <row r="513" spans="1:6" hidden="1" x14ac:dyDescent="0.25">
      <c r="A513">
        <v>1501637</v>
      </c>
      <c r="B513" t="s">
        <v>5</v>
      </c>
      <c r="C513" s="8">
        <v>1.3009599999999999</v>
      </c>
      <c r="D513">
        <v>29.7</v>
      </c>
      <c r="E513" s="7">
        <v>1.304</v>
      </c>
      <c r="F513" t="s">
        <v>23</v>
      </c>
    </row>
    <row r="514" spans="1:6" hidden="1" x14ac:dyDescent="0.25">
      <c r="A514">
        <v>1501637</v>
      </c>
      <c r="B514" t="s">
        <v>5</v>
      </c>
      <c r="C514" s="8">
        <v>1.30396</v>
      </c>
      <c r="D514">
        <v>30</v>
      </c>
      <c r="E514" s="7">
        <v>1.3069999999999999</v>
      </c>
      <c r="F514" t="s">
        <v>23</v>
      </c>
    </row>
    <row r="515" spans="1:6" hidden="1" x14ac:dyDescent="0.25">
      <c r="A515">
        <v>1501637</v>
      </c>
      <c r="B515" t="s">
        <v>5</v>
      </c>
      <c r="C515" s="8">
        <v>1.3069999999999999</v>
      </c>
      <c r="D515">
        <v>30.4</v>
      </c>
      <c r="E515" s="7">
        <v>1.31</v>
      </c>
      <c r="F515" t="s">
        <v>23</v>
      </c>
    </row>
    <row r="516" spans="1:6" hidden="1" x14ac:dyDescent="0.25">
      <c r="A516">
        <v>1501637</v>
      </c>
      <c r="B516" t="s">
        <v>5</v>
      </c>
      <c r="C516" s="8">
        <v>1.3099700000000001</v>
      </c>
      <c r="D516">
        <v>29.7</v>
      </c>
      <c r="E516" s="7">
        <v>1.3129999999999999</v>
      </c>
      <c r="F516" t="s">
        <v>23</v>
      </c>
    </row>
    <row r="517" spans="1:6" hidden="1" x14ac:dyDescent="0.25">
      <c r="A517">
        <v>1501637</v>
      </c>
      <c r="B517" t="s">
        <v>5</v>
      </c>
      <c r="C517" s="8">
        <v>1.3129900000000001</v>
      </c>
      <c r="D517">
        <v>30.2</v>
      </c>
      <c r="E517" s="7">
        <v>1.3160000000000001</v>
      </c>
      <c r="F517" t="s">
        <v>23</v>
      </c>
    </row>
    <row r="518" spans="1:6" hidden="1" x14ac:dyDescent="0.25">
      <c r="A518">
        <v>1501637</v>
      </c>
      <c r="B518" t="s">
        <v>5</v>
      </c>
      <c r="C518" s="8">
        <v>1.3160000000000001</v>
      </c>
      <c r="D518">
        <v>30.1</v>
      </c>
      <c r="E518" s="7">
        <v>1.319</v>
      </c>
      <c r="F518" t="s">
        <v>23</v>
      </c>
    </row>
    <row r="519" spans="1:6" hidden="1" x14ac:dyDescent="0.25">
      <c r="A519">
        <v>1501637</v>
      </c>
      <c r="B519" t="s">
        <v>5</v>
      </c>
      <c r="C519" s="8">
        <v>1.319</v>
      </c>
      <c r="D519">
        <v>30</v>
      </c>
      <c r="E519" s="7">
        <v>1.3220000000000001</v>
      </c>
      <c r="F519" t="s">
        <v>23</v>
      </c>
    </row>
    <row r="520" spans="1:6" hidden="1" x14ac:dyDescent="0.25">
      <c r="A520">
        <v>1501637</v>
      </c>
      <c r="B520" t="s">
        <v>5</v>
      </c>
      <c r="C520" s="8">
        <v>1.3197000000000001</v>
      </c>
      <c r="D520">
        <v>7</v>
      </c>
      <c r="E520" s="7">
        <v>1.325</v>
      </c>
      <c r="F520" t="s">
        <v>23</v>
      </c>
    </row>
    <row r="521" spans="1:6" hidden="1" x14ac:dyDescent="0.25">
      <c r="A521">
        <v>1501637</v>
      </c>
      <c r="B521" t="s">
        <v>5</v>
      </c>
      <c r="C521" s="8">
        <v>1.3220000000000001</v>
      </c>
      <c r="D521">
        <v>23</v>
      </c>
      <c r="E521" s="7">
        <v>1.325</v>
      </c>
      <c r="F521" t="s">
        <v>23</v>
      </c>
    </row>
    <row r="522" spans="1:6" hidden="1" x14ac:dyDescent="0.25">
      <c r="A522">
        <v>1501637</v>
      </c>
      <c r="B522" t="s">
        <v>5</v>
      </c>
      <c r="C522" s="8">
        <v>1.325</v>
      </c>
      <c r="D522">
        <v>30</v>
      </c>
      <c r="E522" s="7">
        <v>1.3280000000000001</v>
      </c>
      <c r="F522" t="s">
        <v>23</v>
      </c>
    </row>
    <row r="523" spans="1:6" hidden="1" x14ac:dyDescent="0.25">
      <c r="A523">
        <v>1505425</v>
      </c>
      <c r="B523" t="s">
        <v>4</v>
      </c>
      <c r="C523" s="8">
        <v>91.8</v>
      </c>
      <c r="D523">
        <v>20</v>
      </c>
      <c r="E523" s="7">
        <v>91.6</v>
      </c>
      <c r="F523" t="s">
        <v>22</v>
      </c>
    </row>
    <row r="524" spans="1:6" hidden="1" x14ac:dyDescent="0.25">
      <c r="A524">
        <v>1505425</v>
      </c>
      <c r="B524" t="s">
        <v>4</v>
      </c>
      <c r="C524" s="8">
        <v>92</v>
      </c>
      <c r="D524">
        <v>20</v>
      </c>
      <c r="E524" s="7">
        <v>91.8</v>
      </c>
      <c r="F524" t="s">
        <v>22</v>
      </c>
    </row>
    <row r="525" spans="1:6" hidden="1" x14ac:dyDescent="0.25">
      <c r="A525">
        <v>1505425</v>
      </c>
      <c r="B525" t="s">
        <v>4</v>
      </c>
      <c r="C525" s="8">
        <v>92.2</v>
      </c>
      <c r="D525">
        <v>20</v>
      </c>
      <c r="E525" s="7">
        <v>92</v>
      </c>
      <c r="F525" t="s">
        <v>22</v>
      </c>
    </row>
    <row r="526" spans="1:6" hidden="1" x14ac:dyDescent="0.25">
      <c r="A526">
        <v>1505425</v>
      </c>
      <c r="B526" t="s">
        <v>4</v>
      </c>
      <c r="C526" s="8">
        <v>92.4</v>
      </c>
      <c r="D526">
        <v>20</v>
      </c>
      <c r="E526" s="7">
        <v>92.2</v>
      </c>
      <c r="F526" t="s">
        <v>22</v>
      </c>
    </row>
    <row r="527" spans="1:6" hidden="1" x14ac:dyDescent="0.25">
      <c r="A527">
        <v>1505425</v>
      </c>
      <c r="B527" t="s">
        <v>4</v>
      </c>
      <c r="C527" s="8">
        <v>92.603999999999999</v>
      </c>
      <c r="D527">
        <v>20.399999999999999</v>
      </c>
      <c r="E527" s="7">
        <v>92.4</v>
      </c>
      <c r="F527" t="s">
        <v>22</v>
      </c>
    </row>
    <row r="528" spans="1:6" hidden="1" x14ac:dyDescent="0.25">
      <c r="A528">
        <v>1505425</v>
      </c>
      <c r="B528" t="s">
        <v>4</v>
      </c>
      <c r="C528" s="8">
        <v>92.804000000000002</v>
      </c>
      <c r="D528">
        <v>20</v>
      </c>
      <c r="E528" s="7">
        <v>92.6</v>
      </c>
      <c r="F528" t="s">
        <v>22</v>
      </c>
    </row>
    <row r="529" spans="1:6" hidden="1" x14ac:dyDescent="0.25">
      <c r="A529">
        <v>1505425</v>
      </c>
      <c r="B529" t="s">
        <v>4</v>
      </c>
      <c r="C529" s="8">
        <v>93</v>
      </c>
      <c r="D529">
        <v>19.600000000000001</v>
      </c>
      <c r="E529" s="7">
        <v>92.8</v>
      </c>
      <c r="F529" t="s">
        <v>22</v>
      </c>
    </row>
    <row r="530" spans="1:6" hidden="1" x14ac:dyDescent="0.25">
      <c r="A530">
        <v>1505425</v>
      </c>
      <c r="B530" t="s">
        <v>4</v>
      </c>
      <c r="C530" s="8">
        <v>93.2</v>
      </c>
      <c r="D530">
        <v>20</v>
      </c>
      <c r="E530" s="7">
        <v>93</v>
      </c>
      <c r="F530" t="s">
        <v>22</v>
      </c>
    </row>
    <row r="531" spans="1:6" hidden="1" x14ac:dyDescent="0.25">
      <c r="A531">
        <v>1505425</v>
      </c>
      <c r="B531" t="s">
        <v>4</v>
      </c>
      <c r="C531" s="8">
        <v>93.6</v>
      </c>
      <c r="D531">
        <v>40</v>
      </c>
      <c r="E531" s="7">
        <v>93.4</v>
      </c>
      <c r="F531" t="s">
        <v>22</v>
      </c>
    </row>
    <row r="532" spans="1:6" hidden="1" x14ac:dyDescent="0.25">
      <c r="A532">
        <v>1505425</v>
      </c>
      <c r="B532" t="s">
        <v>4</v>
      </c>
      <c r="C532" s="8">
        <v>93.8</v>
      </c>
      <c r="D532">
        <v>20</v>
      </c>
      <c r="E532" s="7">
        <v>93.6</v>
      </c>
      <c r="F532" t="s">
        <v>22</v>
      </c>
    </row>
    <row r="533" spans="1:6" hidden="1" x14ac:dyDescent="0.25">
      <c r="A533">
        <v>1505425</v>
      </c>
      <c r="B533" t="s">
        <v>4</v>
      </c>
      <c r="C533" s="8">
        <v>94</v>
      </c>
      <c r="D533">
        <v>20</v>
      </c>
      <c r="E533" s="7">
        <v>93.8</v>
      </c>
      <c r="F533" t="s">
        <v>22</v>
      </c>
    </row>
    <row r="534" spans="1:6" hidden="1" x14ac:dyDescent="0.25">
      <c r="A534">
        <v>1505425</v>
      </c>
      <c r="B534" t="s">
        <v>4</v>
      </c>
      <c r="C534" s="8">
        <v>94.2</v>
      </c>
      <c r="D534">
        <v>20</v>
      </c>
      <c r="E534" s="7">
        <v>94</v>
      </c>
      <c r="F534" t="s">
        <v>22</v>
      </c>
    </row>
    <row r="535" spans="1:6" hidden="1" x14ac:dyDescent="0.25">
      <c r="A535">
        <v>1505425</v>
      </c>
      <c r="B535" t="s">
        <v>4</v>
      </c>
      <c r="C535" s="8">
        <v>94.4</v>
      </c>
      <c r="D535">
        <v>20</v>
      </c>
      <c r="E535" s="7">
        <v>94.2</v>
      </c>
      <c r="F535" t="s">
        <v>22</v>
      </c>
    </row>
    <row r="536" spans="1:6" hidden="1" x14ac:dyDescent="0.25">
      <c r="A536">
        <v>1505425</v>
      </c>
      <c r="B536" t="s">
        <v>4</v>
      </c>
      <c r="C536" s="8">
        <v>94.6</v>
      </c>
      <c r="D536">
        <v>20</v>
      </c>
      <c r="E536" s="7">
        <v>94.4</v>
      </c>
      <c r="F536" t="s">
        <v>22</v>
      </c>
    </row>
    <row r="537" spans="1:6" hidden="1" x14ac:dyDescent="0.25">
      <c r="A537">
        <v>1505425</v>
      </c>
      <c r="B537" t="s">
        <v>4</v>
      </c>
      <c r="C537" s="8">
        <v>94.8</v>
      </c>
      <c r="D537">
        <v>20</v>
      </c>
      <c r="E537" s="7">
        <v>94.6</v>
      </c>
      <c r="F537" t="s">
        <v>22</v>
      </c>
    </row>
    <row r="538" spans="1:6" hidden="1" x14ac:dyDescent="0.25">
      <c r="A538">
        <v>1505425</v>
      </c>
      <c r="B538" t="s">
        <v>4</v>
      </c>
      <c r="C538" s="8">
        <v>95</v>
      </c>
      <c r="D538">
        <v>20</v>
      </c>
      <c r="E538" s="7">
        <v>94.8</v>
      </c>
      <c r="F538" t="s">
        <v>22</v>
      </c>
    </row>
    <row r="539" spans="1:6" hidden="1" x14ac:dyDescent="0.25">
      <c r="A539">
        <v>1505425</v>
      </c>
      <c r="B539" t="s">
        <v>4</v>
      </c>
      <c r="C539" s="8">
        <v>95.2</v>
      </c>
      <c r="D539">
        <v>20</v>
      </c>
      <c r="E539" s="7">
        <v>95</v>
      </c>
      <c r="F539" t="s">
        <v>22</v>
      </c>
    </row>
    <row r="540" spans="1:6" hidden="1" x14ac:dyDescent="0.25">
      <c r="A540">
        <v>1505425</v>
      </c>
      <c r="B540" t="s">
        <v>4</v>
      </c>
      <c r="C540" s="8">
        <v>95.4</v>
      </c>
      <c r="D540">
        <v>20</v>
      </c>
      <c r="E540" s="7">
        <v>95.2</v>
      </c>
      <c r="F540" t="s">
        <v>22</v>
      </c>
    </row>
    <row r="541" spans="1:6" hidden="1" x14ac:dyDescent="0.25">
      <c r="A541">
        <v>1505425</v>
      </c>
      <c r="B541" t="s">
        <v>4</v>
      </c>
      <c r="C541" s="8">
        <v>95.600999999999999</v>
      </c>
      <c r="D541">
        <v>20.100000000000001</v>
      </c>
      <c r="E541" s="7">
        <v>95.4</v>
      </c>
      <c r="F541" t="s">
        <v>22</v>
      </c>
    </row>
    <row r="542" spans="1:6" hidden="1" x14ac:dyDescent="0.25">
      <c r="A542">
        <v>1505425</v>
      </c>
      <c r="B542" t="s">
        <v>4</v>
      </c>
      <c r="C542" s="8">
        <v>96.400999999999996</v>
      </c>
      <c r="D542">
        <v>80</v>
      </c>
      <c r="E542" s="7">
        <v>96.2</v>
      </c>
      <c r="F542" t="s">
        <v>22</v>
      </c>
    </row>
    <row r="543" spans="1:6" x14ac:dyDescent="0.25">
      <c r="A543">
        <v>2131916</v>
      </c>
      <c r="B543" t="s">
        <v>6</v>
      </c>
      <c r="C543" s="8">
        <v>1.9938499999999999</v>
      </c>
      <c r="D543">
        <v>40</v>
      </c>
      <c r="E543" s="7">
        <v>1.99</v>
      </c>
      <c r="F543" t="s">
        <v>22</v>
      </c>
    </row>
    <row r="544" spans="1:6" x14ac:dyDescent="0.25">
      <c r="A544">
        <v>2131916</v>
      </c>
      <c r="B544" t="s">
        <v>6</v>
      </c>
      <c r="C544" s="8">
        <v>2.0060899999999999</v>
      </c>
      <c r="D544">
        <v>122.4</v>
      </c>
      <c r="E544" s="7">
        <v>2.0019999999999998</v>
      </c>
      <c r="F544" t="s">
        <v>22</v>
      </c>
    </row>
    <row r="545" spans="1:6" x14ac:dyDescent="0.25">
      <c r="A545">
        <v>2131916</v>
      </c>
      <c r="B545" t="s">
        <v>6</v>
      </c>
      <c r="C545" s="8">
        <v>2.0098600000000002</v>
      </c>
      <c r="D545">
        <v>37.700000000000003</v>
      </c>
      <c r="E545" s="7">
        <v>2.0059999999999998</v>
      </c>
      <c r="F545" t="s">
        <v>22</v>
      </c>
    </row>
    <row r="546" spans="1:6" x14ac:dyDescent="0.25">
      <c r="A546">
        <v>2131916</v>
      </c>
      <c r="B546" t="s">
        <v>6</v>
      </c>
      <c r="C546" s="8">
        <v>2.01796</v>
      </c>
      <c r="D546">
        <v>81</v>
      </c>
      <c r="E546" s="7">
        <v>2.0219999999999998</v>
      </c>
      <c r="F546" t="s">
        <v>23</v>
      </c>
    </row>
    <row r="547" spans="1:6" x14ac:dyDescent="0.25">
      <c r="A547">
        <v>2131916</v>
      </c>
      <c r="B547" t="s">
        <v>6</v>
      </c>
      <c r="C547" s="8">
        <v>2.02197</v>
      </c>
      <c r="D547">
        <v>40.1</v>
      </c>
      <c r="E547" s="7">
        <v>2.0259999999999998</v>
      </c>
      <c r="F547" t="s">
        <v>23</v>
      </c>
    </row>
    <row r="548" spans="1:6" x14ac:dyDescent="0.25">
      <c r="A548">
        <v>2131916</v>
      </c>
      <c r="B548" t="s">
        <v>6</v>
      </c>
      <c r="C548" s="8">
        <v>2.0259999999999998</v>
      </c>
      <c r="D548">
        <v>40.299999999999997</v>
      </c>
      <c r="E548" s="7">
        <v>2.0299999999999998</v>
      </c>
      <c r="F548" t="s">
        <v>23</v>
      </c>
    </row>
    <row r="549" spans="1:6" x14ac:dyDescent="0.25">
      <c r="A549">
        <v>2131916</v>
      </c>
      <c r="B549" t="s">
        <v>6</v>
      </c>
      <c r="C549" s="8">
        <v>2.0419100000000001</v>
      </c>
      <c r="D549">
        <v>159.1</v>
      </c>
      <c r="E549" s="7">
        <v>2.0459999999999998</v>
      </c>
      <c r="F549" t="s">
        <v>23</v>
      </c>
    </row>
    <row r="550" spans="1:6" x14ac:dyDescent="0.25">
      <c r="A550">
        <v>2131916</v>
      </c>
      <c r="B550" t="s">
        <v>6</v>
      </c>
      <c r="C550" s="8">
        <v>2.0459900000000002</v>
      </c>
      <c r="D550">
        <v>40.799999999999997</v>
      </c>
      <c r="E550" s="7">
        <v>2.0499999999999998</v>
      </c>
      <c r="F550" t="s">
        <v>23</v>
      </c>
    </row>
    <row r="551" spans="1:6" x14ac:dyDescent="0.25">
      <c r="A551">
        <v>2131916</v>
      </c>
      <c r="B551" t="s">
        <v>6</v>
      </c>
      <c r="C551" s="8">
        <v>2.0499900000000002</v>
      </c>
      <c r="D551">
        <v>40</v>
      </c>
      <c r="E551" s="7">
        <v>2.0539999999999998</v>
      </c>
      <c r="F551" t="s">
        <v>23</v>
      </c>
    </row>
    <row r="552" spans="1:6" x14ac:dyDescent="0.25">
      <c r="A552">
        <v>2148515</v>
      </c>
      <c r="B552" t="s">
        <v>28</v>
      </c>
      <c r="C552" s="8">
        <v>0.80598999999999998</v>
      </c>
      <c r="D552">
        <v>20</v>
      </c>
      <c r="E552" s="7">
        <v>0.80800000000000005</v>
      </c>
      <c r="F552" t="s">
        <v>23</v>
      </c>
    </row>
    <row r="553" spans="1:6" x14ac:dyDescent="0.25">
      <c r="A553">
        <v>2148515</v>
      </c>
      <c r="B553" t="s">
        <v>28</v>
      </c>
      <c r="C553" s="8">
        <v>0.81039000000000005</v>
      </c>
      <c r="D553">
        <v>44</v>
      </c>
      <c r="E553" s="7">
        <v>0</v>
      </c>
      <c r="F553" t="s">
        <v>23</v>
      </c>
    </row>
    <row r="554" spans="1:6" x14ac:dyDescent="0.25">
      <c r="A554">
        <v>2148515</v>
      </c>
      <c r="B554" t="s">
        <v>28</v>
      </c>
      <c r="C554" s="8">
        <v>0.81200000000000006</v>
      </c>
      <c r="D554">
        <v>16.100000000000001</v>
      </c>
      <c r="E554" s="7">
        <v>0.81399999999999995</v>
      </c>
      <c r="F554" t="s">
        <v>23</v>
      </c>
    </row>
    <row r="555" spans="1:6" x14ac:dyDescent="0.25">
      <c r="A555">
        <v>2148515</v>
      </c>
      <c r="B555" t="s">
        <v>28</v>
      </c>
      <c r="C555" s="8">
        <v>0.81398999999999999</v>
      </c>
      <c r="D555">
        <v>19.899999999999999</v>
      </c>
      <c r="E555" s="7">
        <v>0.81599999999999995</v>
      </c>
      <c r="F555" t="s">
        <v>23</v>
      </c>
    </row>
    <row r="556" spans="1:6" x14ac:dyDescent="0.25">
      <c r="A556">
        <v>2148515</v>
      </c>
      <c r="B556" t="s">
        <v>28</v>
      </c>
      <c r="C556" s="8">
        <v>0.81598999999999999</v>
      </c>
      <c r="D556">
        <v>20</v>
      </c>
      <c r="E556" s="7">
        <v>0.81799999999999995</v>
      </c>
      <c r="F556" t="s">
        <v>23</v>
      </c>
    </row>
    <row r="557" spans="1:6" x14ac:dyDescent="0.25">
      <c r="A557">
        <v>2148515</v>
      </c>
      <c r="B557" t="s">
        <v>28</v>
      </c>
      <c r="C557" s="8">
        <v>0.81799999999999995</v>
      </c>
      <c r="D557">
        <v>20.100000000000001</v>
      </c>
      <c r="E557" s="7">
        <v>0.82</v>
      </c>
      <c r="F557" t="s">
        <v>23</v>
      </c>
    </row>
    <row r="558" spans="1:6" x14ac:dyDescent="0.25">
      <c r="A558">
        <v>2148515</v>
      </c>
      <c r="B558" t="s">
        <v>28</v>
      </c>
      <c r="C558" s="8">
        <v>0.82</v>
      </c>
      <c r="D558">
        <v>20</v>
      </c>
      <c r="E558" s="7">
        <v>0.82199999999999995</v>
      </c>
      <c r="F558" t="s">
        <v>23</v>
      </c>
    </row>
    <row r="559" spans="1:6" x14ac:dyDescent="0.25">
      <c r="A559">
        <v>2148515</v>
      </c>
      <c r="B559" t="s">
        <v>28</v>
      </c>
      <c r="C559" s="8">
        <v>0.82199</v>
      </c>
      <c r="D559">
        <v>19.899999999999999</v>
      </c>
      <c r="E559" s="7">
        <v>0.82399999999999995</v>
      </c>
      <c r="F559" t="s">
        <v>23</v>
      </c>
    </row>
    <row r="560" spans="1:6" x14ac:dyDescent="0.25">
      <c r="A560">
        <v>2148515</v>
      </c>
      <c r="B560" t="s">
        <v>28</v>
      </c>
      <c r="C560" s="8">
        <v>0.82374999999999998</v>
      </c>
      <c r="D560">
        <v>17.600000000000001</v>
      </c>
      <c r="E560" s="7">
        <v>0.82599999999999996</v>
      </c>
      <c r="F560" t="s">
        <v>23</v>
      </c>
    </row>
    <row r="561" spans="1:6" x14ac:dyDescent="0.25">
      <c r="A561">
        <v>2148515</v>
      </c>
      <c r="B561" t="s">
        <v>28</v>
      </c>
      <c r="C561" s="8">
        <v>0.82598000000000005</v>
      </c>
      <c r="D561">
        <v>22.3</v>
      </c>
      <c r="E561" s="7">
        <v>0.82799999999999996</v>
      </c>
      <c r="F561" t="s">
        <v>23</v>
      </c>
    </row>
    <row r="562" spans="1:6" x14ac:dyDescent="0.25">
      <c r="A562">
        <v>2148515</v>
      </c>
      <c r="B562" t="s">
        <v>28</v>
      </c>
      <c r="C562" s="8">
        <v>0.82798000000000005</v>
      </c>
      <c r="D562">
        <v>20</v>
      </c>
      <c r="E562" s="7">
        <v>0.83</v>
      </c>
      <c r="F562" t="s">
        <v>23</v>
      </c>
    </row>
    <row r="563" spans="1:6" x14ac:dyDescent="0.25">
      <c r="A563">
        <v>2148515</v>
      </c>
      <c r="B563" t="s">
        <v>28</v>
      </c>
      <c r="C563" s="8">
        <v>0.82925000000000004</v>
      </c>
      <c r="D563">
        <v>12.7</v>
      </c>
      <c r="E563" s="7">
        <v>0.83199999999999996</v>
      </c>
      <c r="F563" t="s">
        <v>23</v>
      </c>
    </row>
    <row r="564" spans="1:6" x14ac:dyDescent="0.25">
      <c r="A564">
        <v>2148515</v>
      </c>
      <c r="B564" t="s">
        <v>28</v>
      </c>
      <c r="C564" s="8">
        <v>0.83001000000000003</v>
      </c>
      <c r="D564">
        <v>7.6</v>
      </c>
      <c r="E564" s="7">
        <v>0.83199999999999996</v>
      </c>
      <c r="F564" t="s">
        <v>23</v>
      </c>
    </row>
    <row r="565" spans="1:6" x14ac:dyDescent="0.25">
      <c r="A565">
        <v>2148515</v>
      </c>
      <c r="B565" t="s">
        <v>28</v>
      </c>
      <c r="C565" s="8">
        <v>0.83198000000000005</v>
      </c>
      <c r="D565">
        <v>19.7</v>
      </c>
      <c r="E565" s="7">
        <v>0.83399999999999996</v>
      </c>
      <c r="F565" t="s">
        <v>23</v>
      </c>
    </row>
    <row r="566" spans="1:6" x14ac:dyDescent="0.25">
      <c r="A566">
        <v>2148515</v>
      </c>
      <c r="B566" t="s">
        <v>28</v>
      </c>
      <c r="C566" s="8">
        <v>0.83399999999999996</v>
      </c>
      <c r="D566">
        <v>20.2</v>
      </c>
      <c r="E566" s="7">
        <v>0.83599999999999997</v>
      </c>
      <c r="F566" t="s">
        <v>23</v>
      </c>
    </row>
    <row r="567" spans="1:6" x14ac:dyDescent="0.25">
      <c r="A567">
        <v>2148515</v>
      </c>
      <c r="B567" t="s">
        <v>28</v>
      </c>
      <c r="C567" s="8">
        <v>0.83597999999999995</v>
      </c>
      <c r="D567">
        <v>19.8</v>
      </c>
      <c r="E567" s="7">
        <v>0.83799999999999997</v>
      </c>
      <c r="F567" t="s">
        <v>23</v>
      </c>
    </row>
    <row r="568" spans="1:6" x14ac:dyDescent="0.25">
      <c r="A568">
        <v>2148515</v>
      </c>
      <c r="B568" t="s">
        <v>28</v>
      </c>
      <c r="C568" s="8">
        <v>0.83799999999999997</v>
      </c>
      <c r="D568">
        <v>20.2</v>
      </c>
      <c r="E568" s="7">
        <v>0.84</v>
      </c>
      <c r="F568" t="s">
        <v>23</v>
      </c>
    </row>
    <row r="569" spans="1:6" x14ac:dyDescent="0.25">
      <c r="A569">
        <v>2148515</v>
      </c>
      <c r="B569" t="s">
        <v>28</v>
      </c>
      <c r="C569" s="8">
        <v>0.84</v>
      </c>
      <c r="D569">
        <v>20</v>
      </c>
      <c r="E569" s="7">
        <v>0.84199999999999997</v>
      </c>
      <c r="F569" t="s">
        <v>23</v>
      </c>
    </row>
    <row r="570" spans="1:6" x14ac:dyDescent="0.25">
      <c r="A570">
        <v>2148515</v>
      </c>
      <c r="B570" t="s">
        <v>28</v>
      </c>
      <c r="C570" s="8">
        <v>0.84199999999999997</v>
      </c>
      <c r="D570">
        <v>20</v>
      </c>
      <c r="E570" s="7">
        <v>0.84399999999999997</v>
      </c>
      <c r="F570" t="s">
        <v>23</v>
      </c>
    </row>
    <row r="571" spans="1:6" x14ac:dyDescent="0.25">
      <c r="A571">
        <v>2148515</v>
      </c>
      <c r="B571" t="s">
        <v>28</v>
      </c>
      <c r="C571" s="8">
        <v>0.84399999999999997</v>
      </c>
      <c r="D571">
        <v>20</v>
      </c>
      <c r="E571" s="7">
        <v>0.84599999999999997</v>
      </c>
      <c r="F571" t="s">
        <v>23</v>
      </c>
    </row>
    <row r="572" spans="1:6" x14ac:dyDescent="0.25">
      <c r="A572">
        <v>2148515</v>
      </c>
      <c r="B572" t="s">
        <v>28</v>
      </c>
      <c r="C572" s="8">
        <v>0.84599999999999997</v>
      </c>
      <c r="D572">
        <v>20</v>
      </c>
      <c r="E572" s="7">
        <v>0.84799999999999998</v>
      </c>
      <c r="F572" t="s">
        <v>23</v>
      </c>
    </row>
    <row r="573" spans="1:6" x14ac:dyDescent="0.25">
      <c r="A573">
        <v>2148515</v>
      </c>
      <c r="B573" t="s">
        <v>28</v>
      </c>
      <c r="C573" s="8">
        <v>0.84799999999999998</v>
      </c>
      <c r="D573">
        <v>20</v>
      </c>
      <c r="E573" s="7">
        <v>0.85</v>
      </c>
      <c r="F573" t="s">
        <v>23</v>
      </c>
    </row>
    <row r="574" spans="1:6" x14ac:dyDescent="0.25">
      <c r="A574">
        <v>2148515</v>
      </c>
      <c r="B574" t="s">
        <v>28</v>
      </c>
      <c r="C574" s="8">
        <v>0.85</v>
      </c>
      <c r="D574">
        <v>20</v>
      </c>
      <c r="E574" s="7">
        <v>0.85199999999999998</v>
      </c>
      <c r="F574" t="s">
        <v>23</v>
      </c>
    </row>
    <row r="575" spans="1:6" x14ac:dyDescent="0.25">
      <c r="A575">
        <v>2148515</v>
      </c>
      <c r="B575" t="s">
        <v>28</v>
      </c>
      <c r="C575" s="8">
        <v>0.85199999999999998</v>
      </c>
      <c r="D575">
        <v>20</v>
      </c>
      <c r="E575" s="7">
        <v>0.85399999999999998</v>
      </c>
      <c r="F575" t="s">
        <v>23</v>
      </c>
    </row>
    <row r="576" spans="1:6" x14ac:dyDescent="0.25">
      <c r="A576">
        <v>2148515</v>
      </c>
      <c r="B576" t="s">
        <v>28</v>
      </c>
      <c r="C576" s="8">
        <v>0.85399999999999998</v>
      </c>
      <c r="D576">
        <v>20</v>
      </c>
      <c r="E576" s="7">
        <v>0.85599999999999998</v>
      </c>
      <c r="F576" t="s">
        <v>23</v>
      </c>
    </row>
    <row r="577" spans="1:6" x14ac:dyDescent="0.25">
      <c r="A577">
        <v>2148515</v>
      </c>
      <c r="B577" t="s">
        <v>28</v>
      </c>
      <c r="C577" s="8">
        <v>0.85599999999999998</v>
      </c>
      <c r="D577">
        <v>20</v>
      </c>
      <c r="E577" s="7">
        <v>0.85799999999999998</v>
      </c>
      <c r="F577" t="s">
        <v>23</v>
      </c>
    </row>
    <row r="578" spans="1:6" x14ac:dyDescent="0.25">
      <c r="A578">
        <v>2148515</v>
      </c>
      <c r="B578" t="s">
        <v>28</v>
      </c>
      <c r="C578" s="8">
        <v>0.85799999999999998</v>
      </c>
      <c r="D578">
        <v>20</v>
      </c>
      <c r="E578" s="7">
        <v>0.86</v>
      </c>
      <c r="F578" t="s">
        <v>23</v>
      </c>
    </row>
    <row r="579" spans="1:6" x14ac:dyDescent="0.25">
      <c r="A579">
        <v>2171896</v>
      </c>
      <c r="B579" t="s">
        <v>21</v>
      </c>
      <c r="C579" s="8">
        <v>1.37999</v>
      </c>
      <c r="D579">
        <v>20</v>
      </c>
      <c r="E579" s="7">
        <v>1.3779999999999999</v>
      </c>
      <c r="F579" t="s">
        <v>22</v>
      </c>
    </row>
    <row r="580" spans="1:6" x14ac:dyDescent="0.25">
      <c r="A580">
        <v>2171896</v>
      </c>
      <c r="B580" t="s">
        <v>21</v>
      </c>
      <c r="C580" s="8">
        <v>1.3819300000000001</v>
      </c>
      <c r="D580">
        <v>19.399999999999999</v>
      </c>
      <c r="E580" s="7">
        <v>1.38</v>
      </c>
      <c r="F580" t="s">
        <v>22</v>
      </c>
    </row>
    <row r="581" spans="1:6" x14ac:dyDescent="0.25">
      <c r="A581">
        <v>2171896</v>
      </c>
      <c r="B581" t="s">
        <v>21</v>
      </c>
      <c r="C581" s="8">
        <v>1.3839999999999999</v>
      </c>
      <c r="D581">
        <v>20.7</v>
      </c>
      <c r="E581" s="7">
        <v>1.3819999999999999</v>
      </c>
      <c r="F581" t="s">
        <v>22</v>
      </c>
    </row>
    <row r="582" spans="1:6" x14ac:dyDescent="0.25">
      <c r="A582">
        <v>2171896</v>
      </c>
      <c r="B582" t="s">
        <v>21</v>
      </c>
      <c r="C582" s="8">
        <v>1.3859999999999999</v>
      </c>
      <c r="D582">
        <v>20</v>
      </c>
      <c r="E582" s="7">
        <v>1.3839999999999999</v>
      </c>
      <c r="F582" t="s">
        <v>22</v>
      </c>
    </row>
    <row r="583" spans="1:6" x14ac:dyDescent="0.25">
      <c r="A583">
        <v>2171896</v>
      </c>
      <c r="B583" t="s">
        <v>21</v>
      </c>
      <c r="C583" s="8">
        <v>1.3879999999999999</v>
      </c>
      <c r="D583">
        <v>20</v>
      </c>
      <c r="E583" s="7">
        <v>1.3859999999999999</v>
      </c>
      <c r="F583" t="s">
        <v>22</v>
      </c>
    </row>
    <row r="584" spans="1:6" x14ac:dyDescent="0.25">
      <c r="A584">
        <v>2171896</v>
      </c>
      <c r="B584" t="s">
        <v>21</v>
      </c>
      <c r="C584" s="8">
        <v>1.3900399999999999</v>
      </c>
      <c r="D584">
        <v>20.399999999999999</v>
      </c>
      <c r="E584" s="7">
        <v>1.3879999999999999</v>
      </c>
      <c r="F584" t="s">
        <v>22</v>
      </c>
    </row>
    <row r="585" spans="1:6" x14ac:dyDescent="0.25">
      <c r="A585">
        <v>2171896</v>
      </c>
      <c r="B585" t="s">
        <v>21</v>
      </c>
      <c r="C585" s="8">
        <v>1.39201</v>
      </c>
      <c r="D585">
        <v>19.7</v>
      </c>
      <c r="E585" s="7">
        <v>1.39</v>
      </c>
      <c r="F585" t="s">
        <v>22</v>
      </c>
    </row>
    <row r="586" spans="1:6" x14ac:dyDescent="0.25">
      <c r="A586">
        <v>2171896</v>
      </c>
      <c r="B586" t="s">
        <v>21</v>
      </c>
      <c r="C586" s="8">
        <v>1.3940300000000001</v>
      </c>
      <c r="D586">
        <v>20.2</v>
      </c>
      <c r="E586" s="7">
        <v>1.3919999999999999</v>
      </c>
      <c r="F586" t="s">
        <v>22</v>
      </c>
    </row>
    <row r="587" spans="1:6" x14ac:dyDescent="0.25">
      <c r="A587">
        <v>2171896</v>
      </c>
      <c r="B587" t="s">
        <v>21</v>
      </c>
      <c r="C587" s="8">
        <v>1.3959999999999999</v>
      </c>
      <c r="D587">
        <v>19.7</v>
      </c>
      <c r="E587" s="7">
        <v>1.3939999999999999</v>
      </c>
      <c r="F587" t="s">
        <v>22</v>
      </c>
    </row>
    <row r="588" spans="1:6" x14ac:dyDescent="0.25">
      <c r="A588">
        <v>2171896</v>
      </c>
      <c r="B588" t="s">
        <v>21</v>
      </c>
      <c r="C588" s="8">
        <v>1.3979999999999999</v>
      </c>
      <c r="D588">
        <v>20</v>
      </c>
      <c r="E588" s="7">
        <v>1.3959999999999999</v>
      </c>
      <c r="F588" t="s">
        <v>22</v>
      </c>
    </row>
    <row r="589" spans="1:6" x14ac:dyDescent="0.25">
      <c r="A589">
        <v>2171896</v>
      </c>
      <c r="B589" t="s">
        <v>21</v>
      </c>
      <c r="C589" s="8">
        <v>1.40086</v>
      </c>
      <c r="D589">
        <v>28.6</v>
      </c>
      <c r="E589" s="7">
        <v>1.3979999999999999</v>
      </c>
      <c r="F589" t="s">
        <v>22</v>
      </c>
    </row>
    <row r="590" spans="1:6" x14ac:dyDescent="0.25">
      <c r="A590">
        <v>2171896</v>
      </c>
      <c r="B590" t="s">
        <v>21</v>
      </c>
      <c r="C590" s="8">
        <v>1.4019999999999999</v>
      </c>
      <c r="D590">
        <v>11.4</v>
      </c>
      <c r="E590" s="7">
        <v>1.4</v>
      </c>
      <c r="F590" t="s">
        <v>22</v>
      </c>
    </row>
    <row r="591" spans="1:6" x14ac:dyDescent="0.25">
      <c r="A591">
        <v>2171896</v>
      </c>
      <c r="B591" t="s">
        <v>21</v>
      </c>
      <c r="C591" s="8">
        <v>1.4200299999999999</v>
      </c>
      <c r="D591">
        <v>180.3</v>
      </c>
      <c r="E591" s="7">
        <v>1.4179999999999999</v>
      </c>
      <c r="F591" t="s">
        <v>22</v>
      </c>
    </row>
    <row r="592" spans="1:6" x14ac:dyDescent="0.25">
      <c r="A592">
        <v>2171896</v>
      </c>
      <c r="B592" t="s">
        <v>21</v>
      </c>
      <c r="C592" s="8">
        <v>1.4219999999999999</v>
      </c>
      <c r="D592">
        <v>19.7</v>
      </c>
      <c r="E592" s="7">
        <v>1.42</v>
      </c>
      <c r="F592" t="s">
        <v>22</v>
      </c>
    </row>
    <row r="593" spans="1:6" x14ac:dyDescent="0.25">
      <c r="A593">
        <v>2171896</v>
      </c>
      <c r="B593" t="s">
        <v>21</v>
      </c>
      <c r="C593" s="8">
        <v>1.42401</v>
      </c>
      <c r="D593">
        <v>20.100000000000001</v>
      </c>
      <c r="E593" s="7">
        <v>1.4219999999999999</v>
      </c>
      <c r="F593" t="s">
        <v>22</v>
      </c>
    </row>
    <row r="594" spans="1:6" x14ac:dyDescent="0.25">
      <c r="A594">
        <v>2171896</v>
      </c>
      <c r="B594" t="s">
        <v>21</v>
      </c>
      <c r="C594" s="8">
        <v>1.482</v>
      </c>
      <c r="D594">
        <v>579.9</v>
      </c>
      <c r="E594" s="7">
        <v>1.484</v>
      </c>
      <c r="F594" t="s">
        <v>23</v>
      </c>
    </row>
    <row r="595" spans="1:6" x14ac:dyDescent="0.25">
      <c r="A595">
        <v>2171896</v>
      </c>
      <c r="B595" t="s">
        <v>21</v>
      </c>
      <c r="C595" s="8">
        <v>1.484</v>
      </c>
      <c r="D595">
        <v>20</v>
      </c>
      <c r="E595" s="7">
        <v>1.486</v>
      </c>
      <c r="F595" t="s">
        <v>23</v>
      </c>
    </row>
    <row r="596" spans="1:6" x14ac:dyDescent="0.25">
      <c r="A596">
        <v>2171896</v>
      </c>
      <c r="B596" t="s">
        <v>21</v>
      </c>
      <c r="C596" s="8">
        <v>1.486</v>
      </c>
      <c r="D596">
        <v>20</v>
      </c>
      <c r="E596" s="7">
        <v>1.488</v>
      </c>
      <c r="F596" t="s">
        <v>23</v>
      </c>
    </row>
    <row r="597" spans="1:6" x14ac:dyDescent="0.25">
      <c r="A597">
        <v>2171896</v>
      </c>
      <c r="B597" t="s">
        <v>21</v>
      </c>
      <c r="C597" s="8">
        <v>1.4879500000000001</v>
      </c>
      <c r="D597">
        <v>19.5</v>
      </c>
      <c r="E597" s="7">
        <v>1.49</v>
      </c>
      <c r="F597" t="s">
        <v>23</v>
      </c>
    </row>
    <row r="598" spans="1:6" x14ac:dyDescent="0.25">
      <c r="A598">
        <v>2171896</v>
      </c>
      <c r="B598" t="s">
        <v>21</v>
      </c>
      <c r="C598" s="8">
        <v>1.48963</v>
      </c>
      <c r="D598">
        <v>16.8</v>
      </c>
      <c r="E598" s="7">
        <v>1.492</v>
      </c>
      <c r="F598" t="s">
        <v>23</v>
      </c>
    </row>
    <row r="599" spans="1:6" x14ac:dyDescent="0.25">
      <c r="A599">
        <v>2171896</v>
      </c>
      <c r="B599" t="s">
        <v>21</v>
      </c>
      <c r="C599" s="8">
        <v>1.4896400000000001</v>
      </c>
      <c r="D599">
        <v>0.1</v>
      </c>
      <c r="E599" s="7">
        <v>1.492</v>
      </c>
      <c r="F599" t="s">
        <v>23</v>
      </c>
    </row>
    <row r="600" spans="1:6" x14ac:dyDescent="0.25">
      <c r="A600">
        <v>2171896</v>
      </c>
      <c r="B600" t="s">
        <v>21</v>
      </c>
      <c r="C600" s="8">
        <v>1.4900199999999999</v>
      </c>
      <c r="D600">
        <v>3.8</v>
      </c>
      <c r="E600" s="7">
        <v>1.492</v>
      </c>
      <c r="F600" t="s">
        <v>23</v>
      </c>
    </row>
    <row r="601" spans="1:6" x14ac:dyDescent="0.25">
      <c r="A601">
        <v>2171896</v>
      </c>
      <c r="B601" t="s">
        <v>21</v>
      </c>
      <c r="C601" s="8">
        <v>1.49194</v>
      </c>
      <c r="D601">
        <v>19.2</v>
      </c>
      <c r="E601" s="7">
        <v>1.494</v>
      </c>
      <c r="F601" t="s">
        <v>23</v>
      </c>
    </row>
    <row r="602" spans="1:6" x14ac:dyDescent="0.25">
      <c r="A602">
        <v>2171896</v>
      </c>
      <c r="B602" t="s">
        <v>21</v>
      </c>
      <c r="C602" s="8">
        <v>1.4939800000000001</v>
      </c>
      <c r="D602">
        <v>20.399999999999999</v>
      </c>
      <c r="E602" s="7">
        <v>1.496</v>
      </c>
      <c r="F602" t="s">
        <v>23</v>
      </c>
    </row>
    <row r="603" spans="1:6" x14ac:dyDescent="0.25">
      <c r="A603">
        <v>2171896</v>
      </c>
      <c r="B603" t="s">
        <v>21</v>
      </c>
      <c r="C603" s="8">
        <v>1.49594</v>
      </c>
      <c r="D603">
        <v>19.600000000000001</v>
      </c>
      <c r="E603" s="7">
        <v>1.498</v>
      </c>
      <c r="F603" t="s">
        <v>23</v>
      </c>
    </row>
    <row r="604" spans="1:6" x14ac:dyDescent="0.25">
      <c r="A604">
        <v>2171896</v>
      </c>
      <c r="B604" t="s">
        <v>21</v>
      </c>
      <c r="C604" s="8">
        <v>1.4979800000000001</v>
      </c>
      <c r="D604">
        <v>20.399999999999999</v>
      </c>
      <c r="E604" s="7">
        <v>1.5</v>
      </c>
      <c r="F604" t="s">
        <v>23</v>
      </c>
    </row>
    <row r="605" spans="1:6" x14ac:dyDescent="0.25">
      <c r="A605">
        <v>2171896</v>
      </c>
      <c r="B605" t="s">
        <v>21</v>
      </c>
      <c r="C605" s="8">
        <v>1.4999800000000001</v>
      </c>
      <c r="D605">
        <v>20</v>
      </c>
      <c r="E605" s="7">
        <v>1.502</v>
      </c>
      <c r="F605" t="s">
        <v>23</v>
      </c>
    </row>
    <row r="606" spans="1:6" x14ac:dyDescent="0.25">
      <c r="A606">
        <v>2171896</v>
      </c>
      <c r="B606" t="s">
        <v>21</v>
      </c>
      <c r="C606" s="8">
        <v>1.502</v>
      </c>
      <c r="D606">
        <v>20.2</v>
      </c>
      <c r="E606" s="7">
        <v>1.504</v>
      </c>
      <c r="F606" t="s">
        <v>23</v>
      </c>
    </row>
    <row r="607" spans="1:6" x14ac:dyDescent="0.25">
      <c r="A607">
        <v>2171896</v>
      </c>
      <c r="B607" t="s">
        <v>21</v>
      </c>
      <c r="C607" s="8">
        <v>1.504</v>
      </c>
      <c r="D607">
        <v>20</v>
      </c>
      <c r="E607" s="7">
        <v>1.506</v>
      </c>
      <c r="F607" t="s">
        <v>23</v>
      </c>
    </row>
    <row r="608" spans="1:6" x14ac:dyDescent="0.25">
      <c r="A608">
        <v>2171896</v>
      </c>
      <c r="B608" t="s">
        <v>21</v>
      </c>
      <c r="C608" s="8">
        <v>1.50596</v>
      </c>
      <c r="D608">
        <v>19.600000000000001</v>
      </c>
      <c r="E608" s="7">
        <v>1.508</v>
      </c>
      <c r="F608" t="s">
        <v>23</v>
      </c>
    </row>
    <row r="609" spans="1:6" x14ac:dyDescent="0.25">
      <c r="A609">
        <v>2171896</v>
      </c>
      <c r="B609" t="s">
        <v>21</v>
      </c>
      <c r="C609" s="8">
        <v>1.50797</v>
      </c>
      <c r="D609">
        <v>20.100000000000001</v>
      </c>
      <c r="E609" s="7">
        <v>1.51</v>
      </c>
      <c r="F609" t="s">
        <v>23</v>
      </c>
    </row>
    <row r="610" spans="1:6" x14ac:dyDescent="0.25">
      <c r="A610">
        <v>2171896</v>
      </c>
      <c r="B610" t="s">
        <v>21</v>
      </c>
      <c r="C610" s="8">
        <v>1.50997</v>
      </c>
      <c r="D610">
        <v>20</v>
      </c>
      <c r="E610" s="7">
        <v>1.512</v>
      </c>
      <c r="F610" t="s">
        <v>23</v>
      </c>
    </row>
    <row r="611" spans="1:6" x14ac:dyDescent="0.25">
      <c r="A611">
        <v>2171896</v>
      </c>
      <c r="B611" t="s">
        <v>21</v>
      </c>
      <c r="C611" s="8">
        <v>1.51196</v>
      </c>
      <c r="D611">
        <v>19.899999999999999</v>
      </c>
      <c r="E611" s="7">
        <v>1.514</v>
      </c>
      <c r="F611" t="s">
        <v>23</v>
      </c>
    </row>
    <row r="612" spans="1:6" x14ac:dyDescent="0.25">
      <c r="A612">
        <v>2171896</v>
      </c>
      <c r="B612" t="s">
        <v>21</v>
      </c>
      <c r="C612" s="8">
        <v>1.514</v>
      </c>
      <c r="D612">
        <v>20.399999999999999</v>
      </c>
      <c r="E612" s="7">
        <v>1.516</v>
      </c>
      <c r="F612" t="s">
        <v>23</v>
      </c>
    </row>
    <row r="613" spans="1:6" x14ac:dyDescent="0.25">
      <c r="A613">
        <v>2171896</v>
      </c>
      <c r="B613" t="s">
        <v>21</v>
      </c>
      <c r="C613" s="8">
        <v>1.516</v>
      </c>
      <c r="D613">
        <v>20</v>
      </c>
      <c r="E613" s="7">
        <v>1.518</v>
      </c>
      <c r="F613" t="s">
        <v>23</v>
      </c>
    </row>
    <row r="614" spans="1:6" x14ac:dyDescent="0.25">
      <c r="A614">
        <v>2171896</v>
      </c>
      <c r="B614" t="s">
        <v>21</v>
      </c>
      <c r="C614" s="8">
        <v>1.5178700000000001</v>
      </c>
      <c r="D614">
        <v>18.7</v>
      </c>
      <c r="E614" s="7">
        <v>1.52</v>
      </c>
      <c r="F614" t="s">
        <v>23</v>
      </c>
    </row>
    <row r="615" spans="1:6" x14ac:dyDescent="0.25">
      <c r="A615">
        <v>2171896</v>
      </c>
      <c r="B615" t="s">
        <v>21</v>
      </c>
      <c r="C615" s="8">
        <v>1.51996</v>
      </c>
      <c r="D615">
        <v>20.9</v>
      </c>
      <c r="E615" s="7">
        <v>1.522</v>
      </c>
      <c r="F615" t="s">
        <v>23</v>
      </c>
    </row>
    <row r="616" spans="1:6" x14ac:dyDescent="0.25">
      <c r="A616">
        <v>2171896</v>
      </c>
      <c r="B616" t="s">
        <v>21</v>
      </c>
      <c r="C616" s="8">
        <v>1.5219199999999999</v>
      </c>
      <c r="D616">
        <v>19.600000000000001</v>
      </c>
      <c r="E616" s="7">
        <v>1.524</v>
      </c>
      <c r="F616" t="s">
        <v>23</v>
      </c>
    </row>
    <row r="617" spans="1:6" x14ac:dyDescent="0.25">
      <c r="A617">
        <v>2171896</v>
      </c>
      <c r="B617" t="s">
        <v>21</v>
      </c>
      <c r="C617" s="8">
        <v>1.524</v>
      </c>
      <c r="D617">
        <v>20.8</v>
      </c>
      <c r="E617" s="7">
        <v>1.526</v>
      </c>
      <c r="F617" t="s">
        <v>23</v>
      </c>
    </row>
    <row r="618" spans="1:6" x14ac:dyDescent="0.25">
      <c r="A618">
        <v>2171896</v>
      </c>
      <c r="B618" t="s">
        <v>21</v>
      </c>
      <c r="C618" s="8">
        <v>1.52589</v>
      </c>
      <c r="D618">
        <v>18.899999999999999</v>
      </c>
      <c r="E618" s="7">
        <v>1.528</v>
      </c>
      <c r="F618" t="s">
        <v>23</v>
      </c>
    </row>
    <row r="619" spans="1:6" x14ac:dyDescent="0.25">
      <c r="A619">
        <v>2171896</v>
      </c>
      <c r="B619" t="s">
        <v>21</v>
      </c>
      <c r="C619" s="8">
        <v>1.5279499999999999</v>
      </c>
      <c r="D619">
        <v>20.6</v>
      </c>
      <c r="E619" s="7">
        <v>1.53</v>
      </c>
      <c r="F619" t="s">
        <v>23</v>
      </c>
    </row>
    <row r="620" spans="1:6" x14ac:dyDescent="0.25">
      <c r="A620">
        <v>2171896</v>
      </c>
      <c r="B620" t="s">
        <v>21</v>
      </c>
      <c r="C620" s="8">
        <v>1.5299799999999999</v>
      </c>
      <c r="D620">
        <v>20.3</v>
      </c>
      <c r="E620" s="7">
        <v>1.532</v>
      </c>
      <c r="F620" t="s">
        <v>23</v>
      </c>
    </row>
    <row r="621" spans="1:6" x14ac:dyDescent="0.25">
      <c r="A621">
        <v>2171896</v>
      </c>
      <c r="B621" t="s">
        <v>21</v>
      </c>
      <c r="C621" s="8">
        <v>1.5319400000000001</v>
      </c>
      <c r="D621">
        <v>19.600000000000001</v>
      </c>
      <c r="E621" s="7">
        <v>1.534</v>
      </c>
      <c r="F621" t="s">
        <v>23</v>
      </c>
    </row>
    <row r="622" spans="1:6" x14ac:dyDescent="0.25">
      <c r="A622">
        <v>2171896</v>
      </c>
      <c r="B622" t="s">
        <v>21</v>
      </c>
      <c r="C622" s="8">
        <v>1.5339799999999999</v>
      </c>
      <c r="D622">
        <v>20.399999999999999</v>
      </c>
      <c r="E622" s="7">
        <v>1.536</v>
      </c>
      <c r="F622" t="s">
        <v>23</v>
      </c>
    </row>
    <row r="623" spans="1:6" x14ac:dyDescent="0.25">
      <c r="A623">
        <v>2171896</v>
      </c>
      <c r="B623" t="s">
        <v>21</v>
      </c>
      <c r="C623" s="8">
        <v>1.53599</v>
      </c>
      <c r="D623">
        <v>20.100000000000001</v>
      </c>
      <c r="E623" s="7">
        <v>1.538</v>
      </c>
      <c r="F623" t="s">
        <v>23</v>
      </c>
    </row>
    <row r="624" spans="1:6" x14ac:dyDescent="0.25">
      <c r="A624">
        <v>2171896</v>
      </c>
      <c r="B624" t="s">
        <v>21</v>
      </c>
      <c r="C624" s="8">
        <v>1.538</v>
      </c>
      <c r="D624">
        <v>20.100000000000001</v>
      </c>
      <c r="E624" s="7">
        <v>1.54</v>
      </c>
      <c r="F624" t="s">
        <v>23</v>
      </c>
    </row>
    <row r="625" spans="1:6" x14ac:dyDescent="0.25">
      <c r="A625">
        <v>2171896</v>
      </c>
      <c r="B625" t="s">
        <v>21</v>
      </c>
      <c r="C625" s="8">
        <v>1.5399799999999999</v>
      </c>
      <c r="D625">
        <v>19.8</v>
      </c>
      <c r="E625" s="7">
        <v>1.542</v>
      </c>
      <c r="F625" t="s">
        <v>23</v>
      </c>
    </row>
    <row r="626" spans="1:6" x14ac:dyDescent="0.25">
      <c r="A626">
        <v>2171896</v>
      </c>
      <c r="B626" t="s">
        <v>21</v>
      </c>
      <c r="C626" s="8">
        <v>1.5419700000000001</v>
      </c>
      <c r="D626">
        <v>19.899999999999999</v>
      </c>
      <c r="E626" s="7">
        <v>1.544</v>
      </c>
      <c r="F626" t="s">
        <v>23</v>
      </c>
    </row>
    <row r="627" spans="1:6" x14ac:dyDescent="0.25">
      <c r="A627">
        <v>2171896</v>
      </c>
      <c r="B627" t="s">
        <v>21</v>
      </c>
      <c r="C627" s="8">
        <v>1.5439700000000001</v>
      </c>
      <c r="D627">
        <v>20</v>
      </c>
      <c r="E627" s="7">
        <v>1.546</v>
      </c>
      <c r="F627" t="s">
        <v>23</v>
      </c>
    </row>
    <row r="628" spans="1:6" x14ac:dyDescent="0.25">
      <c r="A628">
        <v>2171896</v>
      </c>
      <c r="B628" t="s">
        <v>21</v>
      </c>
      <c r="C628" s="8">
        <v>1.5457099999999999</v>
      </c>
      <c r="D628">
        <v>17.399999999999999</v>
      </c>
      <c r="E628" s="7">
        <v>1.548</v>
      </c>
      <c r="F628" t="s">
        <v>23</v>
      </c>
    </row>
    <row r="629" spans="1:6" x14ac:dyDescent="0.25">
      <c r="A629">
        <v>2171896</v>
      </c>
      <c r="B629" t="s">
        <v>21</v>
      </c>
      <c r="C629" s="8">
        <v>1.548</v>
      </c>
      <c r="D629">
        <v>22.9</v>
      </c>
      <c r="E629" s="7">
        <v>1.55</v>
      </c>
      <c r="F629" t="s">
        <v>23</v>
      </c>
    </row>
    <row r="630" spans="1:6" x14ac:dyDescent="0.25">
      <c r="A630">
        <v>2171896</v>
      </c>
      <c r="B630" t="s">
        <v>21</v>
      </c>
      <c r="C630" s="8">
        <v>1.55</v>
      </c>
      <c r="D630">
        <v>20</v>
      </c>
      <c r="E630" s="7">
        <v>1.552</v>
      </c>
      <c r="F630" t="s">
        <v>23</v>
      </c>
    </row>
    <row r="631" spans="1:6" x14ac:dyDescent="0.25">
      <c r="A631">
        <v>2171896</v>
      </c>
      <c r="B631" t="s">
        <v>21</v>
      </c>
      <c r="C631" s="8">
        <v>1.5520499999999999</v>
      </c>
      <c r="D631">
        <v>20.5</v>
      </c>
      <c r="E631" s="7">
        <v>1.554</v>
      </c>
      <c r="F631" t="s">
        <v>23</v>
      </c>
    </row>
    <row r="632" spans="1:6" x14ac:dyDescent="0.25">
      <c r="A632">
        <v>2171896</v>
      </c>
      <c r="B632" t="s">
        <v>21</v>
      </c>
      <c r="C632" s="8">
        <v>1.5540099999999999</v>
      </c>
      <c r="D632">
        <v>19.600000000000001</v>
      </c>
      <c r="E632" s="7">
        <v>1.556</v>
      </c>
      <c r="F632" t="s">
        <v>23</v>
      </c>
    </row>
    <row r="633" spans="1:6" x14ac:dyDescent="0.25">
      <c r="A633">
        <v>87012568</v>
      </c>
      <c r="B633" t="s">
        <v>4</v>
      </c>
      <c r="C633" s="8">
        <v>90.2</v>
      </c>
      <c r="D633">
        <v>20</v>
      </c>
      <c r="E633" s="7">
        <v>90</v>
      </c>
      <c r="F633" t="s">
        <v>22</v>
      </c>
    </row>
    <row r="634" spans="1:6" x14ac:dyDescent="0.25">
      <c r="A634">
        <v>87012568</v>
      </c>
      <c r="B634" t="s">
        <v>4</v>
      </c>
      <c r="C634" s="8">
        <v>90.4</v>
      </c>
      <c r="D634">
        <v>20</v>
      </c>
      <c r="E634" s="7">
        <v>90.2</v>
      </c>
      <c r="F634" t="s">
        <v>22</v>
      </c>
    </row>
    <row r="635" spans="1:6" x14ac:dyDescent="0.25">
      <c r="A635">
        <v>87012568</v>
      </c>
      <c r="B635" t="s">
        <v>4</v>
      </c>
      <c r="C635" s="8">
        <v>90.602000000000004</v>
      </c>
      <c r="D635">
        <v>20.2</v>
      </c>
      <c r="E635" s="7">
        <v>90.4</v>
      </c>
      <c r="F635" t="s">
        <v>22</v>
      </c>
    </row>
    <row r="636" spans="1:6" x14ac:dyDescent="0.25">
      <c r="A636">
        <v>87012568</v>
      </c>
      <c r="B636" t="s">
        <v>4</v>
      </c>
      <c r="C636" s="8">
        <v>90.8</v>
      </c>
      <c r="D636">
        <v>19.8</v>
      </c>
      <c r="E636" s="7">
        <v>90.6</v>
      </c>
      <c r="F636" t="s">
        <v>22</v>
      </c>
    </row>
    <row r="637" spans="1:6" x14ac:dyDescent="0.25">
      <c r="A637">
        <v>87012568</v>
      </c>
      <c r="B637" t="s">
        <v>4</v>
      </c>
      <c r="C637" s="8">
        <v>91</v>
      </c>
      <c r="D637">
        <v>20</v>
      </c>
      <c r="E637" s="7">
        <v>90.8</v>
      </c>
      <c r="F637" t="s">
        <v>22</v>
      </c>
    </row>
    <row r="638" spans="1:6" x14ac:dyDescent="0.25">
      <c r="A638">
        <v>87012568</v>
      </c>
      <c r="B638" t="s">
        <v>4</v>
      </c>
      <c r="C638" s="8">
        <v>91.2</v>
      </c>
      <c r="D638">
        <v>20</v>
      </c>
      <c r="E638" s="7">
        <v>91</v>
      </c>
      <c r="F638" t="s">
        <v>22</v>
      </c>
    </row>
    <row r="639" spans="1:6" x14ac:dyDescent="0.25">
      <c r="A639">
        <v>87012568</v>
      </c>
      <c r="B639" t="s">
        <v>4</v>
      </c>
      <c r="C639" s="8">
        <v>91.4</v>
      </c>
      <c r="D639">
        <v>20</v>
      </c>
      <c r="E639" s="7">
        <v>91.2</v>
      </c>
      <c r="F639" t="s">
        <v>22</v>
      </c>
    </row>
    <row r="640" spans="1:6" x14ac:dyDescent="0.25">
      <c r="A640">
        <v>87012568</v>
      </c>
      <c r="B640" t="s">
        <v>4</v>
      </c>
      <c r="C640" s="8">
        <v>91.6</v>
      </c>
      <c r="D640">
        <v>20</v>
      </c>
      <c r="E640" s="7">
        <v>91.4</v>
      </c>
      <c r="F640" t="s">
        <v>22</v>
      </c>
    </row>
    <row r="641" spans="1:6" x14ac:dyDescent="0.25">
      <c r="A641">
        <v>87012568</v>
      </c>
      <c r="B641" t="s">
        <v>4</v>
      </c>
      <c r="C641" s="8">
        <v>91.801000000000002</v>
      </c>
      <c r="D641">
        <v>20.100000000000001</v>
      </c>
      <c r="E641" s="7">
        <v>91.6</v>
      </c>
      <c r="F641" t="s">
        <v>22</v>
      </c>
    </row>
    <row r="642" spans="1:6" x14ac:dyDescent="0.25">
      <c r="A642">
        <v>87012568</v>
      </c>
      <c r="B642" t="s">
        <v>4</v>
      </c>
      <c r="C642" s="8">
        <v>92.001000000000005</v>
      </c>
      <c r="D642">
        <v>20</v>
      </c>
      <c r="E642" s="7">
        <v>91.8</v>
      </c>
      <c r="F642" t="s">
        <v>22</v>
      </c>
    </row>
    <row r="643" spans="1:6" x14ac:dyDescent="0.25">
      <c r="A643">
        <v>87012568</v>
      </c>
      <c r="B643" t="s">
        <v>4</v>
      </c>
      <c r="C643" s="8">
        <v>92.2</v>
      </c>
      <c r="D643">
        <v>19.899999999999999</v>
      </c>
      <c r="E643" s="7">
        <v>92</v>
      </c>
      <c r="F643" t="s">
        <v>22</v>
      </c>
    </row>
    <row r="644" spans="1:6" x14ac:dyDescent="0.25">
      <c r="A644">
        <v>87012568</v>
      </c>
      <c r="B644" t="s">
        <v>4</v>
      </c>
      <c r="C644" s="8">
        <v>92.4</v>
      </c>
      <c r="D644">
        <v>20</v>
      </c>
      <c r="E644" s="7">
        <v>92.2</v>
      </c>
      <c r="F644" t="s">
        <v>22</v>
      </c>
    </row>
    <row r="645" spans="1:6" x14ac:dyDescent="0.25">
      <c r="A645">
        <v>87012568</v>
      </c>
      <c r="B645" t="s">
        <v>4</v>
      </c>
      <c r="C645" s="8">
        <v>92.6</v>
      </c>
      <c r="D645">
        <v>20</v>
      </c>
      <c r="E645" s="7">
        <v>92.4</v>
      </c>
      <c r="F645" t="s">
        <v>22</v>
      </c>
    </row>
    <row r="646" spans="1:6" x14ac:dyDescent="0.25">
      <c r="A646">
        <v>87012568</v>
      </c>
      <c r="B646" t="s">
        <v>4</v>
      </c>
      <c r="C646" s="8">
        <v>92.8</v>
      </c>
      <c r="D646">
        <v>20</v>
      </c>
      <c r="E646" s="7">
        <v>92.6</v>
      </c>
      <c r="F646" t="s">
        <v>22</v>
      </c>
    </row>
    <row r="647" spans="1:6" x14ac:dyDescent="0.25">
      <c r="A647">
        <v>87012568</v>
      </c>
      <c r="B647" t="s">
        <v>4</v>
      </c>
      <c r="C647" s="8">
        <v>93</v>
      </c>
      <c r="D647">
        <v>20</v>
      </c>
      <c r="E647" s="7">
        <v>92.8</v>
      </c>
      <c r="F647" t="s">
        <v>22</v>
      </c>
    </row>
    <row r="648" spans="1:6" x14ac:dyDescent="0.25">
      <c r="A648">
        <v>87012568</v>
      </c>
      <c r="B648" t="s">
        <v>4</v>
      </c>
      <c r="C648" s="8">
        <v>93.200999999999993</v>
      </c>
      <c r="D648">
        <v>20.100000000000001</v>
      </c>
      <c r="E648" s="7">
        <v>93</v>
      </c>
      <c r="F648" t="s">
        <v>22</v>
      </c>
    </row>
    <row r="649" spans="1:6" x14ac:dyDescent="0.25">
      <c r="A649">
        <v>87012568</v>
      </c>
      <c r="B649" t="s">
        <v>4</v>
      </c>
      <c r="C649" s="8">
        <v>93.405000000000001</v>
      </c>
      <c r="D649">
        <v>20.399999999999999</v>
      </c>
      <c r="E649" s="7">
        <v>93.2</v>
      </c>
      <c r="F649" t="s">
        <v>22</v>
      </c>
    </row>
    <row r="650" spans="1:6" x14ac:dyDescent="0.25">
      <c r="A650">
        <v>87012568</v>
      </c>
      <c r="B650" t="s">
        <v>4</v>
      </c>
      <c r="C650" s="8">
        <v>93.6</v>
      </c>
      <c r="D650">
        <v>19.5</v>
      </c>
      <c r="E650" s="7">
        <v>93.4</v>
      </c>
      <c r="F650" t="s">
        <v>22</v>
      </c>
    </row>
    <row r="651" spans="1:6" x14ac:dyDescent="0.25">
      <c r="A651">
        <v>87012568</v>
      </c>
      <c r="B651" t="s">
        <v>4</v>
      </c>
      <c r="C651" s="8">
        <v>93.799000000000007</v>
      </c>
      <c r="D651">
        <v>19.899999999999999</v>
      </c>
      <c r="E651" s="7">
        <v>93.6</v>
      </c>
      <c r="F651" t="s">
        <v>22</v>
      </c>
    </row>
    <row r="652" spans="1:6" x14ac:dyDescent="0.25">
      <c r="A652">
        <v>87012568</v>
      </c>
      <c r="B652" t="s">
        <v>4</v>
      </c>
      <c r="C652" s="8">
        <v>93.864000000000004</v>
      </c>
      <c r="D652">
        <v>6.5</v>
      </c>
      <c r="E652" s="7">
        <v>93.6</v>
      </c>
      <c r="F652" t="s">
        <v>22</v>
      </c>
    </row>
    <row r="653" spans="1:6" x14ac:dyDescent="0.25">
      <c r="A653">
        <v>87012568</v>
      </c>
      <c r="B653" t="s">
        <v>4</v>
      </c>
      <c r="C653" s="8">
        <v>94.004000000000005</v>
      </c>
      <c r="D653">
        <v>14</v>
      </c>
      <c r="E653" s="7">
        <v>93.8</v>
      </c>
      <c r="F653" t="s">
        <v>22</v>
      </c>
    </row>
    <row r="654" spans="1:6" x14ac:dyDescent="0.25">
      <c r="A654">
        <v>87012568</v>
      </c>
      <c r="B654" t="s">
        <v>4</v>
      </c>
      <c r="C654" s="8">
        <v>94.203000000000003</v>
      </c>
      <c r="D654">
        <v>19.899999999999999</v>
      </c>
      <c r="E654" s="7">
        <v>94</v>
      </c>
      <c r="F654" t="s">
        <v>22</v>
      </c>
    </row>
    <row r="655" spans="1:6" x14ac:dyDescent="0.25">
      <c r="A655">
        <v>87012568</v>
      </c>
      <c r="B655" t="s">
        <v>4</v>
      </c>
      <c r="C655" s="8">
        <v>94.403000000000006</v>
      </c>
      <c r="D655">
        <v>20</v>
      </c>
      <c r="E655" s="7">
        <v>94.2</v>
      </c>
      <c r="F655" t="s">
        <v>22</v>
      </c>
    </row>
    <row r="656" spans="1:6" x14ac:dyDescent="0.25">
      <c r="A656">
        <v>87012568</v>
      </c>
      <c r="B656" t="s">
        <v>4</v>
      </c>
      <c r="C656" s="8">
        <v>94.6</v>
      </c>
      <c r="D656">
        <v>19.7</v>
      </c>
      <c r="E656" s="7">
        <v>94.4</v>
      </c>
      <c r="F656" t="s">
        <v>22</v>
      </c>
    </row>
    <row r="657" spans="1:6" x14ac:dyDescent="0.25">
      <c r="A657">
        <v>87012568</v>
      </c>
      <c r="B657" t="s">
        <v>4</v>
      </c>
      <c r="C657" s="8">
        <v>94.805000000000007</v>
      </c>
      <c r="D657">
        <v>20.5</v>
      </c>
      <c r="E657" s="7">
        <v>94.6</v>
      </c>
      <c r="F657" t="s">
        <v>22</v>
      </c>
    </row>
    <row r="658" spans="1:6" x14ac:dyDescent="0.25">
      <c r="A658">
        <v>87012568</v>
      </c>
      <c r="B658" t="s">
        <v>4</v>
      </c>
      <c r="C658" s="8">
        <v>95</v>
      </c>
      <c r="D658">
        <v>19.5</v>
      </c>
      <c r="E658" s="7">
        <v>94.8</v>
      </c>
      <c r="F658" t="s">
        <v>22</v>
      </c>
    </row>
    <row r="659" spans="1:6" x14ac:dyDescent="0.25">
      <c r="A659">
        <v>87012568</v>
      </c>
      <c r="B659" t="s">
        <v>4</v>
      </c>
      <c r="C659" s="8">
        <v>95.2</v>
      </c>
      <c r="D659">
        <v>20</v>
      </c>
      <c r="E659" s="7">
        <v>95</v>
      </c>
      <c r="F659" t="s">
        <v>22</v>
      </c>
    </row>
    <row r="660" spans="1:6" x14ac:dyDescent="0.25">
      <c r="A660">
        <v>87012568</v>
      </c>
      <c r="B660" t="s">
        <v>4</v>
      </c>
      <c r="C660" s="8">
        <v>95.593000000000004</v>
      </c>
      <c r="D660">
        <v>39.299999999999997</v>
      </c>
      <c r="E660" s="7">
        <v>95.8</v>
      </c>
      <c r="F660" t="s">
        <v>23</v>
      </c>
    </row>
    <row r="661" spans="1:6" x14ac:dyDescent="0.25">
      <c r="A661">
        <v>87012568</v>
      </c>
      <c r="B661" t="s">
        <v>4</v>
      </c>
      <c r="C661" s="8">
        <v>95.8</v>
      </c>
      <c r="D661">
        <v>20.7</v>
      </c>
      <c r="E661" s="7">
        <v>96</v>
      </c>
      <c r="F661" t="s">
        <v>23</v>
      </c>
    </row>
    <row r="662" spans="1:6" x14ac:dyDescent="0.25">
      <c r="A662">
        <v>87012568</v>
      </c>
      <c r="B662" t="s">
        <v>4</v>
      </c>
      <c r="C662" s="8">
        <v>95.991</v>
      </c>
      <c r="D662">
        <v>19.100000000000001</v>
      </c>
      <c r="E662" s="7">
        <v>96.2</v>
      </c>
      <c r="F662" t="s">
        <v>23</v>
      </c>
    </row>
    <row r="663" spans="1:6" x14ac:dyDescent="0.25">
      <c r="A663">
        <v>87012568</v>
      </c>
      <c r="B663" t="s">
        <v>4</v>
      </c>
      <c r="C663" s="8">
        <v>96.198999999999998</v>
      </c>
      <c r="D663">
        <v>20.8</v>
      </c>
      <c r="E663" s="7">
        <v>96.4</v>
      </c>
      <c r="F663" t="s">
        <v>23</v>
      </c>
    </row>
    <row r="664" spans="1:6" x14ac:dyDescent="0.25">
      <c r="A664">
        <v>87012568</v>
      </c>
      <c r="B664" t="s">
        <v>4</v>
      </c>
      <c r="C664" s="8">
        <v>96.394000000000005</v>
      </c>
      <c r="D664">
        <v>19.5</v>
      </c>
      <c r="E664" s="7">
        <v>96.6</v>
      </c>
      <c r="F664" t="s">
        <v>23</v>
      </c>
    </row>
    <row r="665" spans="1:6" x14ac:dyDescent="0.25">
      <c r="A665">
        <v>87012568</v>
      </c>
      <c r="B665" t="s">
        <v>4</v>
      </c>
      <c r="C665" s="8">
        <v>96.6</v>
      </c>
      <c r="D665">
        <v>20.6</v>
      </c>
      <c r="E665" s="7">
        <v>96.8</v>
      </c>
      <c r="F665" t="s">
        <v>23</v>
      </c>
    </row>
    <row r="666" spans="1:6" x14ac:dyDescent="0.25">
      <c r="A666">
        <v>87012568</v>
      </c>
      <c r="B666" t="s">
        <v>4</v>
      </c>
      <c r="C666" s="8">
        <v>96.793000000000006</v>
      </c>
      <c r="D666">
        <v>19.3</v>
      </c>
      <c r="E666" s="7">
        <v>97</v>
      </c>
      <c r="F666" t="s">
        <v>23</v>
      </c>
    </row>
    <row r="667" spans="1:6" x14ac:dyDescent="0.25">
      <c r="A667">
        <v>87012568</v>
      </c>
      <c r="B667" t="s">
        <v>4</v>
      </c>
      <c r="C667" s="8">
        <v>96.998000000000005</v>
      </c>
      <c r="D667">
        <v>20.5</v>
      </c>
      <c r="E667" s="7">
        <v>97.2</v>
      </c>
      <c r="F667" t="s">
        <v>23</v>
      </c>
    </row>
    <row r="668" spans="1:6" x14ac:dyDescent="0.25">
      <c r="A668">
        <v>87012568</v>
      </c>
      <c r="B668" t="s">
        <v>4</v>
      </c>
      <c r="C668" s="8">
        <v>97.197999999999993</v>
      </c>
      <c r="D668">
        <v>20</v>
      </c>
      <c r="E668" s="7">
        <v>97.4</v>
      </c>
      <c r="F668" t="s">
        <v>23</v>
      </c>
    </row>
    <row r="669" spans="1:6" x14ac:dyDescent="0.25">
      <c r="A669">
        <v>87012568</v>
      </c>
      <c r="B669" t="s">
        <v>4</v>
      </c>
      <c r="C669" s="8">
        <v>97.4</v>
      </c>
      <c r="D669">
        <v>20.2</v>
      </c>
      <c r="E669" s="7">
        <v>97.6</v>
      </c>
      <c r="F669" t="s">
        <v>23</v>
      </c>
    </row>
    <row r="670" spans="1:6" x14ac:dyDescent="0.25">
      <c r="A670">
        <v>87012568</v>
      </c>
      <c r="B670" t="s">
        <v>4</v>
      </c>
      <c r="C670" s="8">
        <v>97.6</v>
      </c>
      <c r="D670">
        <v>20</v>
      </c>
      <c r="E670" s="7">
        <v>97.8</v>
      </c>
      <c r="F670" t="s">
        <v>23</v>
      </c>
    </row>
    <row r="671" spans="1:6" x14ac:dyDescent="0.25">
      <c r="A671">
        <v>87012568</v>
      </c>
      <c r="B671" t="s">
        <v>4</v>
      </c>
      <c r="C671" s="8">
        <v>97.799000000000007</v>
      </c>
      <c r="D671">
        <v>19.899999999999999</v>
      </c>
      <c r="E671" s="7">
        <v>98</v>
      </c>
      <c r="F671" t="s">
        <v>23</v>
      </c>
    </row>
    <row r="672" spans="1:6" x14ac:dyDescent="0.25">
      <c r="A672">
        <v>87012568</v>
      </c>
      <c r="B672" t="s">
        <v>4</v>
      </c>
      <c r="C672" s="8">
        <v>97.995000000000005</v>
      </c>
      <c r="D672">
        <v>19.600000000000001</v>
      </c>
      <c r="E672" s="7">
        <v>98.2</v>
      </c>
      <c r="F672" t="s">
        <v>23</v>
      </c>
    </row>
    <row r="673" spans="1:6" x14ac:dyDescent="0.25">
      <c r="A673">
        <v>87012568</v>
      </c>
      <c r="B673" t="s">
        <v>4</v>
      </c>
      <c r="C673" s="8">
        <v>98.2</v>
      </c>
      <c r="D673">
        <v>20.5</v>
      </c>
      <c r="E673" s="7">
        <v>98.4</v>
      </c>
      <c r="F673" t="s">
        <v>23</v>
      </c>
    </row>
    <row r="674" spans="1:6" x14ac:dyDescent="0.25">
      <c r="A674">
        <v>87012568</v>
      </c>
      <c r="B674" t="s">
        <v>4</v>
      </c>
      <c r="C674" s="8">
        <v>98.4</v>
      </c>
      <c r="D674">
        <v>20</v>
      </c>
      <c r="E674" s="7">
        <v>98.6</v>
      </c>
      <c r="F674" t="s">
        <v>23</v>
      </c>
    </row>
    <row r="675" spans="1:6" x14ac:dyDescent="0.25">
      <c r="A675">
        <v>87012568</v>
      </c>
      <c r="B675" t="s">
        <v>4</v>
      </c>
      <c r="C675" s="8">
        <v>98.597999999999999</v>
      </c>
      <c r="D675">
        <v>19.8</v>
      </c>
      <c r="E675" s="7">
        <v>98.8</v>
      </c>
      <c r="F675" t="s">
        <v>23</v>
      </c>
    </row>
    <row r="676" spans="1:6" x14ac:dyDescent="0.25">
      <c r="A676">
        <v>87012568</v>
      </c>
      <c r="B676" t="s">
        <v>28</v>
      </c>
      <c r="C676" s="8">
        <v>0.78</v>
      </c>
      <c r="D676">
        <v>20</v>
      </c>
      <c r="E676" s="7">
        <v>0.77800000000000002</v>
      </c>
      <c r="F676" t="s">
        <v>22</v>
      </c>
    </row>
    <row r="677" spans="1:6" x14ac:dyDescent="0.25">
      <c r="A677">
        <v>87012568</v>
      </c>
      <c r="B677" t="s">
        <v>28</v>
      </c>
      <c r="C677" s="8">
        <v>0.78200000000000003</v>
      </c>
      <c r="D677">
        <v>20</v>
      </c>
      <c r="E677" s="7">
        <v>0.78400000000000003</v>
      </c>
      <c r="F677" t="s">
        <v>23</v>
      </c>
    </row>
    <row r="678" spans="1:6" x14ac:dyDescent="0.25">
      <c r="A678">
        <v>87012568</v>
      </c>
      <c r="B678" t="s">
        <v>28</v>
      </c>
      <c r="C678" s="8">
        <v>0.78200999999999998</v>
      </c>
      <c r="D678">
        <v>0.1</v>
      </c>
      <c r="E678" s="7">
        <v>0.78</v>
      </c>
      <c r="F678" t="s">
        <v>22</v>
      </c>
    </row>
    <row r="679" spans="1:6" x14ac:dyDescent="0.25">
      <c r="A679">
        <v>87012568</v>
      </c>
      <c r="B679" t="s">
        <v>28</v>
      </c>
      <c r="C679" s="8">
        <v>0.78400000000000003</v>
      </c>
      <c r="D679">
        <v>19.899999999999999</v>
      </c>
      <c r="E679" s="7">
        <v>0.78600000000000003</v>
      </c>
      <c r="F679" t="s">
        <v>23</v>
      </c>
    </row>
    <row r="680" spans="1:6" x14ac:dyDescent="0.25">
      <c r="A680">
        <v>87012568</v>
      </c>
      <c r="B680" t="s">
        <v>28</v>
      </c>
      <c r="C680" s="8">
        <v>0.78600000000000003</v>
      </c>
      <c r="D680">
        <v>20</v>
      </c>
      <c r="E680" s="7">
        <v>0.78800000000000003</v>
      </c>
      <c r="F680" t="s">
        <v>23</v>
      </c>
    </row>
    <row r="681" spans="1:6" x14ac:dyDescent="0.25">
      <c r="A681">
        <v>87012568</v>
      </c>
      <c r="B681" t="s">
        <v>28</v>
      </c>
      <c r="C681" s="8">
        <v>0.78800000000000003</v>
      </c>
      <c r="D681">
        <v>20</v>
      </c>
      <c r="E681" s="7">
        <v>0.79</v>
      </c>
      <c r="F681" t="s">
        <v>23</v>
      </c>
    </row>
    <row r="682" spans="1:6" x14ac:dyDescent="0.25">
      <c r="A682">
        <v>87012568</v>
      </c>
      <c r="B682" t="s">
        <v>28</v>
      </c>
      <c r="C682" s="8">
        <v>0.79</v>
      </c>
      <c r="D682">
        <v>20</v>
      </c>
      <c r="E682" s="7">
        <v>0.79200000000000004</v>
      </c>
      <c r="F682" t="s">
        <v>23</v>
      </c>
    </row>
    <row r="683" spans="1:6" x14ac:dyDescent="0.25">
      <c r="A683">
        <v>87012568</v>
      </c>
      <c r="B683" t="s">
        <v>28</v>
      </c>
      <c r="C683" s="8">
        <v>0.79200000000000004</v>
      </c>
      <c r="D683">
        <v>20</v>
      </c>
      <c r="E683" s="7">
        <v>0.79400000000000004</v>
      </c>
      <c r="F683" t="s">
        <v>23</v>
      </c>
    </row>
    <row r="684" spans="1:6" x14ac:dyDescent="0.25">
      <c r="A684">
        <v>87012568</v>
      </c>
      <c r="B684" t="s">
        <v>28</v>
      </c>
      <c r="C684" s="8">
        <v>0.79400000000000004</v>
      </c>
      <c r="D684">
        <v>20</v>
      </c>
      <c r="E684" s="7">
        <v>0.79600000000000004</v>
      </c>
      <c r="F684" t="s">
        <v>23</v>
      </c>
    </row>
    <row r="685" spans="1:6" x14ac:dyDescent="0.25">
      <c r="A685">
        <v>87012568</v>
      </c>
      <c r="B685" t="s">
        <v>28</v>
      </c>
      <c r="C685" s="8">
        <v>0.79600000000000004</v>
      </c>
      <c r="D685">
        <v>20</v>
      </c>
      <c r="E685" s="7">
        <v>0.79800000000000004</v>
      </c>
      <c r="F685" t="s">
        <v>23</v>
      </c>
    </row>
    <row r="686" spans="1:6" x14ac:dyDescent="0.25">
      <c r="A686">
        <v>87012568</v>
      </c>
      <c r="B686" t="s">
        <v>28</v>
      </c>
      <c r="C686" s="8">
        <v>0.79800000000000004</v>
      </c>
      <c r="D686">
        <v>20</v>
      </c>
      <c r="E686" s="7">
        <v>0.8</v>
      </c>
      <c r="F686" t="s">
        <v>23</v>
      </c>
    </row>
    <row r="687" spans="1:6" x14ac:dyDescent="0.25">
      <c r="A687">
        <v>87012568</v>
      </c>
      <c r="B687" t="s">
        <v>28</v>
      </c>
      <c r="C687" s="8">
        <v>0.8</v>
      </c>
      <c r="D687">
        <v>20</v>
      </c>
      <c r="E687" s="7">
        <v>0.80200000000000005</v>
      </c>
      <c r="F687" t="s">
        <v>23</v>
      </c>
    </row>
    <row r="688" spans="1:6" x14ac:dyDescent="0.25">
      <c r="A688">
        <v>87012568</v>
      </c>
      <c r="B688" t="s">
        <v>28</v>
      </c>
      <c r="C688" s="8">
        <v>0.80200000000000005</v>
      </c>
      <c r="D688">
        <v>20</v>
      </c>
      <c r="E688" s="7">
        <v>0.80400000000000005</v>
      </c>
      <c r="F688" t="s">
        <v>23</v>
      </c>
    </row>
    <row r="689" spans="1:6" x14ac:dyDescent="0.25">
      <c r="A689">
        <v>87012568</v>
      </c>
      <c r="B689" t="s">
        <v>28</v>
      </c>
      <c r="C689" s="8">
        <v>0.80400000000000005</v>
      </c>
      <c r="D689">
        <v>20</v>
      </c>
      <c r="E689" s="7">
        <v>0.80600000000000005</v>
      </c>
      <c r="F689" t="s">
        <v>23</v>
      </c>
    </row>
    <row r="690" spans="1:6" x14ac:dyDescent="0.25">
      <c r="A690">
        <v>87012568</v>
      </c>
      <c r="B690" t="s">
        <v>28</v>
      </c>
      <c r="C690" s="8">
        <v>0.80600000000000005</v>
      </c>
      <c r="D690">
        <v>20</v>
      </c>
      <c r="E690" s="7">
        <v>0.80800000000000005</v>
      </c>
      <c r="F690" t="s">
        <v>23</v>
      </c>
    </row>
    <row r="691" spans="1:6" x14ac:dyDescent="0.25">
      <c r="A691">
        <v>87012568</v>
      </c>
      <c r="B691" t="s">
        <v>28</v>
      </c>
      <c r="C691" s="8">
        <v>0.80800000000000005</v>
      </c>
      <c r="D691">
        <v>20</v>
      </c>
      <c r="E691" s="7">
        <v>0.81</v>
      </c>
      <c r="F691" t="s">
        <v>23</v>
      </c>
    </row>
    <row r="692" spans="1:6" x14ac:dyDescent="0.25">
      <c r="A692">
        <v>87012568</v>
      </c>
      <c r="B692" t="s">
        <v>28</v>
      </c>
      <c r="C692" s="8">
        <v>0.81</v>
      </c>
      <c r="D692">
        <v>20</v>
      </c>
      <c r="E692" s="7">
        <v>0.81200000000000006</v>
      </c>
      <c r="F692" t="s">
        <v>23</v>
      </c>
    </row>
    <row r="693" spans="1:6" x14ac:dyDescent="0.25">
      <c r="A693">
        <v>87012568</v>
      </c>
      <c r="B693" t="s">
        <v>28</v>
      </c>
      <c r="C693" s="8">
        <v>0.81200000000000006</v>
      </c>
      <c r="D693">
        <v>20</v>
      </c>
      <c r="E693" s="7">
        <v>0.81399999999999995</v>
      </c>
      <c r="F693" t="s">
        <v>23</v>
      </c>
    </row>
    <row r="694" spans="1:6" x14ac:dyDescent="0.25">
      <c r="A694">
        <v>87012568</v>
      </c>
      <c r="B694" t="s">
        <v>28</v>
      </c>
      <c r="C694" s="8">
        <v>0.81399999999999995</v>
      </c>
      <c r="D694">
        <v>20</v>
      </c>
      <c r="E694" s="7">
        <v>0.81599999999999995</v>
      </c>
      <c r="F694" t="s">
        <v>23</v>
      </c>
    </row>
    <row r="695" spans="1:6" x14ac:dyDescent="0.25">
      <c r="A695">
        <v>87012568</v>
      </c>
      <c r="B695" t="s">
        <v>28</v>
      </c>
      <c r="C695" s="8">
        <v>0.81599999999999995</v>
      </c>
      <c r="D695">
        <v>20</v>
      </c>
      <c r="E695" s="7">
        <v>0.81799999999999995</v>
      </c>
      <c r="F695" t="s">
        <v>23</v>
      </c>
    </row>
    <row r="696" spans="1:6" x14ac:dyDescent="0.25">
      <c r="A696">
        <v>87012568</v>
      </c>
      <c r="B696" t="s">
        <v>28</v>
      </c>
      <c r="C696" s="8">
        <v>0.81798999999999999</v>
      </c>
      <c r="D696">
        <v>19.899999999999999</v>
      </c>
      <c r="E696" s="7">
        <v>0.82</v>
      </c>
      <c r="F696" t="s">
        <v>23</v>
      </c>
    </row>
    <row r="697" spans="1:6" x14ac:dyDescent="0.25">
      <c r="A697">
        <v>87012568</v>
      </c>
      <c r="B697" t="s">
        <v>28</v>
      </c>
      <c r="C697" s="8">
        <v>0.82</v>
      </c>
      <c r="D697">
        <v>20.100000000000001</v>
      </c>
      <c r="E697" s="7">
        <v>0.82199999999999995</v>
      </c>
      <c r="F697" t="s">
        <v>23</v>
      </c>
    </row>
    <row r="698" spans="1:6" x14ac:dyDescent="0.25">
      <c r="A698">
        <v>87012568</v>
      </c>
      <c r="B698" t="s">
        <v>28</v>
      </c>
      <c r="C698" s="8">
        <v>0.82199999999999995</v>
      </c>
      <c r="D698">
        <v>20</v>
      </c>
      <c r="E698" s="7">
        <v>0.82399999999999995</v>
      </c>
      <c r="F698" t="s">
        <v>23</v>
      </c>
    </row>
    <row r="699" spans="1:6" x14ac:dyDescent="0.25">
      <c r="A699">
        <v>87012568</v>
      </c>
      <c r="B699" t="s">
        <v>28</v>
      </c>
      <c r="C699" s="8">
        <v>0.82386999999999999</v>
      </c>
      <c r="D699">
        <v>18.7</v>
      </c>
      <c r="E699" s="7">
        <v>0.82599999999999996</v>
      </c>
      <c r="F699" t="s">
        <v>23</v>
      </c>
    </row>
    <row r="700" spans="1:6" x14ac:dyDescent="0.25">
      <c r="A700">
        <v>87012568</v>
      </c>
      <c r="B700" t="s">
        <v>28</v>
      </c>
      <c r="C700" s="8">
        <v>0.82599</v>
      </c>
      <c r="D700">
        <v>21.2</v>
      </c>
      <c r="E700" s="7">
        <v>0.82799999999999996</v>
      </c>
      <c r="F700" t="s">
        <v>23</v>
      </c>
    </row>
    <row r="701" spans="1:6" x14ac:dyDescent="0.25">
      <c r="A701">
        <v>87012568</v>
      </c>
      <c r="B701" t="s">
        <v>28</v>
      </c>
      <c r="C701" s="8">
        <v>0.82799999999999996</v>
      </c>
      <c r="D701">
        <v>20.100000000000001</v>
      </c>
      <c r="E701" s="7">
        <v>0.83</v>
      </c>
      <c r="F701" t="s">
        <v>23</v>
      </c>
    </row>
    <row r="702" spans="1:6" x14ac:dyDescent="0.25">
      <c r="A702">
        <v>87012568</v>
      </c>
      <c r="B702" t="s">
        <v>28</v>
      </c>
      <c r="C702" s="8">
        <v>0.82906000000000002</v>
      </c>
      <c r="D702">
        <v>10.6</v>
      </c>
      <c r="E702" s="7">
        <v>0.83199999999999996</v>
      </c>
      <c r="F702" t="s">
        <v>23</v>
      </c>
    </row>
    <row r="703" spans="1:6" x14ac:dyDescent="0.25">
      <c r="A703">
        <v>87012568</v>
      </c>
      <c r="B703" t="s">
        <v>28</v>
      </c>
      <c r="C703" s="8">
        <v>0.83</v>
      </c>
      <c r="D703">
        <v>9.4</v>
      </c>
      <c r="E703" s="7">
        <v>0.83199999999999996</v>
      </c>
      <c r="F703" t="s">
        <v>23</v>
      </c>
    </row>
    <row r="704" spans="1:6" x14ac:dyDescent="0.25">
      <c r="A704">
        <v>87012568</v>
      </c>
      <c r="B704" t="s">
        <v>28</v>
      </c>
      <c r="C704" s="8">
        <v>0.83199000000000001</v>
      </c>
      <c r="D704">
        <v>19.899999999999999</v>
      </c>
      <c r="E704" s="7">
        <v>0.83399999999999996</v>
      </c>
      <c r="F704" t="s">
        <v>23</v>
      </c>
    </row>
    <row r="705" spans="1:6" x14ac:dyDescent="0.25">
      <c r="A705">
        <v>87012568</v>
      </c>
      <c r="B705" t="s">
        <v>25</v>
      </c>
      <c r="C705" s="8">
        <v>0.78349999999999997</v>
      </c>
      <c r="D705">
        <v>20</v>
      </c>
      <c r="E705" s="7">
        <v>0.78549999999999998</v>
      </c>
      <c r="F705" t="s">
        <v>23</v>
      </c>
    </row>
    <row r="706" spans="1:6" x14ac:dyDescent="0.25">
      <c r="A706">
        <v>87012568</v>
      </c>
      <c r="B706" t="s">
        <v>25</v>
      </c>
      <c r="C706" s="8">
        <v>0.78547999999999996</v>
      </c>
      <c r="D706">
        <v>19.8</v>
      </c>
      <c r="E706" s="7">
        <v>0.78749999999999998</v>
      </c>
      <c r="F706" t="s">
        <v>23</v>
      </c>
    </row>
    <row r="707" spans="1:6" x14ac:dyDescent="0.25">
      <c r="A707">
        <v>87012568</v>
      </c>
      <c r="B707" t="s">
        <v>25</v>
      </c>
      <c r="C707" s="8">
        <v>0.78747999999999996</v>
      </c>
      <c r="D707">
        <v>20</v>
      </c>
      <c r="E707" s="7">
        <v>0.78949999999999998</v>
      </c>
      <c r="F707" t="s">
        <v>23</v>
      </c>
    </row>
    <row r="708" spans="1:6" x14ac:dyDescent="0.25">
      <c r="A708">
        <v>87012568</v>
      </c>
      <c r="B708" t="s">
        <v>25</v>
      </c>
      <c r="C708" s="8">
        <v>0.78947999999999996</v>
      </c>
      <c r="D708">
        <v>20</v>
      </c>
      <c r="E708" s="7">
        <v>0.79149999999999998</v>
      </c>
      <c r="F708" t="s">
        <v>23</v>
      </c>
    </row>
    <row r="709" spans="1:6" x14ac:dyDescent="0.25">
      <c r="A709">
        <v>87012568</v>
      </c>
      <c r="B709" t="s">
        <v>25</v>
      </c>
      <c r="C709" s="8">
        <v>0.79149000000000003</v>
      </c>
      <c r="D709">
        <v>20.100000000000001</v>
      </c>
      <c r="E709" s="7">
        <v>0.79349999999999998</v>
      </c>
      <c r="F709" t="s">
        <v>23</v>
      </c>
    </row>
    <row r="710" spans="1:6" x14ac:dyDescent="0.25">
      <c r="A710">
        <v>87012568</v>
      </c>
      <c r="B710" t="s">
        <v>25</v>
      </c>
      <c r="C710" s="8">
        <v>0.79344000000000003</v>
      </c>
      <c r="D710">
        <v>19.5</v>
      </c>
      <c r="E710" s="7">
        <v>0.79549999999999998</v>
      </c>
      <c r="F710" t="s">
        <v>23</v>
      </c>
    </row>
    <row r="711" spans="1:6" x14ac:dyDescent="0.25">
      <c r="A711">
        <v>87012568</v>
      </c>
      <c r="B711" t="s">
        <v>25</v>
      </c>
      <c r="C711" s="8">
        <v>0.79549000000000003</v>
      </c>
      <c r="D711">
        <v>20.5</v>
      </c>
      <c r="E711" s="7">
        <v>0.79749999999999999</v>
      </c>
      <c r="F711" t="s">
        <v>23</v>
      </c>
    </row>
    <row r="712" spans="1:6" x14ac:dyDescent="0.25">
      <c r="A712">
        <v>87012568</v>
      </c>
      <c r="B712" t="s">
        <v>25</v>
      </c>
      <c r="C712" s="8">
        <v>0.79747000000000001</v>
      </c>
      <c r="D712">
        <v>19.8</v>
      </c>
      <c r="E712" s="7">
        <v>0.79949999999999999</v>
      </c>
      <c r="F712" t="s">
        <v>23</v>
      </c>
    </row>
    <row r="713" spans="1:6" x14ac:dyDescent="0.25">
      <c r="A713">
        <v>87012568</v>
      </c>
      <c r="B713" t="s">
        <v>25</v>
      </c>
      <c r="C713" s="8">
        <v>0.79949999999999999</v>
      </c>
      <c r="D713">
        <v>20.3</v>
      </c>
      <c r="E713" s="7">
        <v>0.80149999999999999</v>
      </c>
      <c r="F713" t="s">
        <v>23</v>
      </c>
    </row>
    <row r="714" spans="1:6" x14ac:dyDescent="0.25">
      <c r="A714">
        <v>87012568</v>
      </c>
      <c r="B714" t="s">
        <v>25</v>
      </c>
      <c r="C714" s="8">
        <v>0.80147999999999997</v>
      </c>
      <c r="D714">
        <v>19.8</v>
      </c>
      <c r="E714" s="7">
        <v>0.80349999999999999</v>
      </c>
      <c r="F714" t="s">
        <v>23</v>
      </c>
    </row>
    <row r="715" spans="1:6" x14ac:dyDescent="0.25">
      <c r="A715">
        <v>87012568</v>
      </c>
      <c r="B715" t="s">
        <v>25</v>
      </c>
      <c r="C715" s="8">
        <v>0.80347999999999997</v>
      </c>
      <c r="D715">
        <v>20</v>
      </c>
      <c r="E715" s="7">
        <v>0.80549999999999999</v>
      </c>
      <c r="F715" t="s">
        <v>23</v>
      </c>
    </row>
    <row r="716" spans="1:6" x14ac:dyDescent="0.25">
      <c r="A716">
        <v>87012568</v>
      </c>
      <c r="B716" t="s">
        <v>25</v>
      </c>
      <c r="C716" s="8">
        <v>0.80549000000000004</v>
      </c>
      <c r="D716">
        <v>20.100000000000001</v>
      </c>
      <c r="E716" s="7">
        <v>0.8075</v>
      </c>
      <c r="F716" t="s">
        <v>23</v>
      </c>
    </row>
    <row r="717" spans="1:6" x14ac:dyDescent="0.25">
      <c r="A717">
        <v>87012568</v>
      </c>
      <c r="B717" t="s">
        <v>25</v>
      </c>
      <c r="C717" s="8">
        <v>0.8075</v>
      </c>
      <c r="D717">
        <v>20.100000000000001</v>
      </c>
      <c r="E717" s="7">
        <v>0.8095</v>
      </c>
      <c r="F717" t="s">
        <v>23</v>
      </c>
    </row>
    <row r="718" spans="1:6" x14ac:dyDescent="0.25">
      <c r="A718">
        <v>87012568</v>
      </c>
      <c r="B718" t="s">
        <v>25</v>
      </c>
      <c r="C718" s="8">
        <v>0.80949000000000004</v>
      </c>
      <c r="D718">
        <v>19.899999999999999</v>
      </c>
      <c r="E718" s="7">
        <v>0.8115</v>
      </c>
      <c r="F718" t="s">
        <v>23</v>
      </c>
    </row>
    <row r="719" spans="1:6" x14ac:dyDescent="0.25">
      <c r="A719">
        <v>87012568</v>
      </c>
      <c r="B719" t="s">
        <v>25</v>
      </c>
      <c r="C719" s="8">
        <v>0.81147999999999998</v>
      </c>
      <c r="D719">
        <v>19.899999999999999</v>
      </c>
      <c r="E719" s="7">
        <v>0.8135</v>
      </c>
      <c r="F719" t="s">
        <v>23</v>
      </c>
    </row>
    <row r="720" spans="1:6" x14ac:dyDescent="0.25">
      <c r="A720">
        <v>87012568</v>
      </c>
      <c r="B720" t="s">
        <v>25</v>
      </c>
      <c r="C720" s="8">
        <v>0.81350999999999996</v>
      </c>
      <c r="D720">
        <v>20.3</v>
      </c>
      <c r="E720" s="7">
        <v>0.8155</v>
      </c>
      <c r="F720" t="s">
        <v>23</v>
      </c>
    </row>
    <row r="721" spans="1:6" x14ac:dyDescent="0.25">
      <c r="A721">
        <v>87012568</v>
      </c>
      <c r="B721" t="s">
        <v>25</v>
      </c>
      <c r="C721" s="8">
        <v>0.81549000000000005</v>
      </c>
      <c r="D721">
        <v>19.8</v>
      </c>
      <c r="E721" s="7">
        <v>0.8175</v>
      </c>
      <c r="F721" t="s">
        <v>23</v>
      </c>
    </row>
    <row r="722" spans="1:6" x14ac:dyDescent="0.25">
      <c r="A722">
        <v>87012568</v>
      </c>
      <c r="B722" t="s">
        <v>25</v>
      </c>
      <c r="C722" s="8">
        <v>0.8175</v>
      </c>
      <c r="D722">
        <v>20.100000000000001</v>
      </c>
      <c r="E722" s="7">
        <v>0.81950000000000001</v>
      </c>
      <c r="F722" t="s">
        <v>23</v>
      </c>
    </row>
    <row r="723" spans="1:6" x14ac:dyDescent="0.25">
      <c r="A723">
        <v>87012568</v>
      </c>
      <c r="B723" t="s">
        <v>25</v>
      </c>
      <c r="C723" s="8">
        <v>0.81949000000000005</v>
      </c>
      <c r="D723">
        <v>19.899999999999999</v>
      </c>
      <c r="E723" s="7">
        <v>0.82150000000000001</v>
      </c>
      <c r="F723" t="s">
        <v>23</v>
      </c>
    </row>
    <row r="724" spans="1:6" x14ac:dyDescent="0.25">
      <c r="A724">
        <v>87012568</v>
      </c>
      <c r="B724" t="s">
        <v>25</v>
      </c>
      <c r="C724" s="8">
        <v>0.82133</v>
      </c>
      <c r="D724">
        <v>18.399999999999999</v>
      </c>
      <c r="E724" s="7">
        <v>0.82350000000000001</v>
      </c>
      <c r="F724" t="s">
        <v>23</v>
      </c>
    </row>
    <row r="725" spans="1:6" x14ac:dyDescent="0.25">
      <c r="A725">
        <v>87012568</v>
      </c>
      <c r="B725" t="s">
        <v>25</v>
      </c>
      <c r="C725" s="8">
        <v>0.82349000000000006</v>
      </c>
      <c r="D725">
        <v>21.6</v>
      </c>
      <c r="E725" s="7">
        <v>0.82550000000000001</v>
      </c>
      <c r="F725" t="s">
        <v>23</v>
      </c>
    </row>
    <row r="726" spans="1:6" x14ac:dyDescent="0.25">
      <c r="A726">
        <v>87012568</v>
      </c>
      <c r="B726" t="s">
        <v>25</v>
      </c>
      <c r="C726" s="8">
        <v>0.82547000000000004</v>
      </c>
      <c r="D726">
        <v>19.8</v>
      </c>
      <c r="E726" s="7">
        <v>0.82750000000000001</v>
      </c>
      <c r="F726" t="s">
        <v>23</v>
      </c>
    </row>
    <row r="727" spans="1:6" x14ac:dyDescent="0.25">
      <c r="A727">
        <v>87012568</v>
      </c>
      <c r="B727" t="s">
        <v>25</v>
      </c>
      <c r="C727" s="8">
        <v>0.82748999999999995</v>
      </c>
      <c r="D727">
        <v>20.2</v>
      </c>
      <c r="E727" s="7">
        <v>0.82950000000000002</v>
      </c>
      <c r="F727" t="s">
        <v>23</v>
      </c>
    </row>
    <row r="728" spans="1:6" x14ac:dyDescent="0.25">
      <c r="A728">
        <v>87012568</v>
      </c>
      <c r="B728" t="s">
        <v>25</v>
      </c>
      <c r="C728" s="8">
        <v>0.82948999999999995</v>
      </c>
      <c r="D728">
        <v>20</v>
      </c>
      <c r="E728" s="7">
        <v>0.83150000000000002</v>
      </c>
      <c r="F728" t="s">
        <v>23</v>
      </c>
    </row>
    <row r="729" spans="1:6" x14ac:dyDescent="0.25">
      <c r="A729">
        <v>87012568</v>
      </c>
      <c r="B729" t="s">
        <v>25</v>
      </c>
      <c r="C729" s="8">
        <v>0.83133000000000001</v>
      </c>
      <c r="D729">
        <v>18.399999999999999</v>
      </c>
      <c r="E729" s="7">
        <v>0.83350000000000002</v>
      </c>
      <c r="F729" t="s">
        <v>23</v>
      </c>
    </row>
    <row r="730" spans="1:6" x14ac:dyDescent="0.25">
      <c r="A730">
        <v>87012568</v>
      </c>
      <c r="B730" t="s">
        <v>25</v>
      </c>
      <c r="C730" s="8">
        <v>0.83350000000000002</v>
      </c>
      <c r="D730">
        <v>21.7</v>
      </c>
      <c r="E730" s="7">
        <v>0.83550000000000002</v>
      </c>
      <c r="F730" t="s">
        <v>23</v>
      </c>
    </row>
    <row r="731" spans="1:6" x14ac:dyDescent="0.25">
      <c r="A731">
        <v>87012568</v>
      </c>
      <c r="B731" t="s">
        <v>25</v>
      </c>
      <c r="C731" s="8">
        <v>0.83550000000000002</v>
      </c>
      <c r="D731">
        <v>20</v>
      </c>
      <c r="E731" s="7">
        <v>0.83750000000000002</v>
      </c>
      <c r="F731" t="s">
        <v>23</v>
      </c>
    </row>
    <row r="732" spans="1:6" x14ac:dyDescent="0.25">
      <c r="A732">
        <v>87012568</v>
      </c>
      <c r="B732" t="s">
        <v>25</v>
      </c>
      <c r="C732" s="8">
        <v>0.83748999999999996</v>
      </c>
      <c r="D732">
        <v>19.899999999999999</v>
      </c>
      <c r="E732" s="7">
        <v>0.83950000000000002</v>
      </c>
      <c r="F732" t="s">
        <v>23</v>
      </c>
    </row>
    <row r="733" spans="1:6" x14ac:dyDescent="0.25">
      <c r="A733">
        <v>87012568</v>
      </c>
      <c r="B733" t="s">
        <v>25</v>
      </c>
      <c r="C733" s="8">
        <v>0.83948999999999996</v>
      </c>
      <c r="D733">
        <v>20</v>
      </c>
      <c r="E733" s="7">
        <v>0.84150000000000003</v>
      </c>
      <c r="F733" t="s">
        <v>23</v>
      </c>
    </row>
    <row r="734" spans="1:6" x14ac:dyDescent="0.25">
      <c r="A734">
        <v>87012568</v>
      </c>
      <c r="B734" t="s">
        <v>25</v>
      </c>
      <c r="C734" s="8">
        <v>0.84150000000000003</v>
      </c>
      <c r="D734">
        <v>20.100000000000001</v>
      </c>
      <c r="E734" s="7">
        <v>0.84350000000000003</v>
      </c>
      <c r="F734" t="s">
        <v>23</v>
      </c>
    </row>
    <row r="735" spans="1:6" x14ac:dyDescent="0.25">
      <c r="A735">
        <v>87012568</v>
      </c>
      <c r="B735" t="s">
        <v>25</v>
      </c>
      <c r="C735" s="8">
        <v>0.84348000000000001</v>
      </c>
      <c r="D735">
        <v>19.8</v>
      </c>
      <c r="E735" s="7">
        <v>0.84550000000000003</v>
      </c>
      <c r="F735" t="s">
        <v>23</v>
      </c>
    </row>
    <row r="736" spans="1:6" x14ac:dyDescent="0.25">
      <c r="A736">
        <v>87012568</v>
      </c>
      <c r="B736" t="s">
        <v>25</v>
      </c>
      <c r="C736" s="8">
        <v>0.84550000000000003</v>
      </c>
      <c r="D736">
        <v>20.2</v>
      </c>
      <c r="E736" s="7">
        <v>0.84750000000000003</v>
      </c>
      <c r="F736" t="s">
        <v>23</v>
      </c>
    </row>
    <row r="737" spans="1:6" x14ac:dyDescent="0.25">
      <c r="A737">
        <v>87012568</v>
      </c>
      <c r="B737" t="s">
        <v>25</v>
      </c>
      <c r="C737" s="8">
        <v>0.84750000000000003</v>
      </c>
      <c r="D737">
        <v>20</v>
      </c>
      <c r="E737" s="7">
        <v>0.84950000000000003</v>
      </c>
      <c r="F737" t="s">
        <v>23</v>
      </c>
    </row>
    <row r="738" spans="1:6" x14ac:dyDescent="0.25">
      <c r="A738">
        <v>87012568</v>
      </c>
      <c r="B738" t="s">
        <v>25</v>
      </c>
      <c r="C738" s="8">
        <v>0.84950000000000003</v>
      </c>
      <c r="D738">
        <v>20</v>
      </c>
      <c r="E738" s="7">
        <v>0.85150000000000003</v>
      </c>
      <c r="F738" t="s">
        <v>23</v>
      </c>
    </row>
    <row r="739" spans="1:6" x14ac:dyDescent="0.25">
      <c r="A739">
        <v>87012568</v>
      </c>
      <c r="B739" t="s">
        <v>25</v>
      </c>
      <c r="C739" s="8">
        <v>0.85148000000000001</v>
      </c>
      <c r="D739">
        <v>19.8</v>
      </c>
      <c r="E739" s="7">
        <v>0.85350000000000004</v>
      </c>
      <c r="F739" t="s">
        <v>23</v>
      </c>
    </row>
    <row r="740" spans="1:6" x14ac:dyDescent="0.25">
      <c r="A740">
        <v>87012568</v>
      </c>
      <c r="B740" t="s">
        <v>25</v>
      </c>
      <c r="C740" s="8">
        <v>0.85341999999999996</v>
      </c>
      <c r="D740">
        <v>19.399999999999999</v>
      </c>
      <c r="E740" s="7">
        <v>0.85550000000000004</v>
      </c>
      <c r="F740" t="s">
        <v>23</v>
      </c>
    </row>
    <row r="741" spans="1:6" x14ac:dyDescent="0.25">
      <c r="A741">
        <v>87012568</v>
      </c>
      <c r="B741" t="s">
        <v>25</v>
      </c>
      <c r="C741" s="8">
        <v>0.85548000000000002</v>
      </c>
      <c r="D741">
        <v>20.6</v>
      </c>
      <c r="E741" s="7">
        <v>0.85750000000000004</v>
      </c>
      <c r="F741" t="s">
        <v>23</v>
      </c>
    </row>
    <row r="742" spans="1:6" x14ac:dyDescent="0.25">
      <c r="A742">
        <v>87012568</v>
      </c>
      <c r="B742" t="s">
        <v>29</v>
      </c>
      <c r="C742" s="8">
        <v>0.873</v>
      </c>
      <c r="D742">
        <v>20</v>
      </c>
      <c r="E742" s="7">
        <v>0.871</v>
      </c>
      <c r="F742" t="s">
        <v>22</v>
      </c>
    </row>
    <row r="743" spans="1:6" x14ac:dyDescent="0.25">
      <c r="A743">
        <v>87012568</v>
      </c>
      <c r="B743" t="s">
        <v>29</v>
      </c>
      <c r="C743" s="8">
        <v>0.87502999999999997</v>
      </c>
      <c r="D743">
        <v>20.3</v>
      </c>
      <c r="E743" s="7">
        <v>0.873</v>
      </c>
      <c r="F743" t="s">
        <v>22</v>
      </c>
    </row>
    <row r="744" spans="1:6" x14ac:dyDescent="0.25">
      <c r="A744">
        <v>87012568</v>
      </c>
      <c r="B744" t="s">
        <v>29</v>
      </c>
      <c r="C744" s="8">
        <v>0.877</v>
      </c>
      <c r="D744">
        <v>19.7</v>
      </c>
      <c r="E744" s="7">
        <v>0.875</v>
      </c>
      <c r="F744" t="s">
        <v>22</v>
      </c>
    </row>
    <row r="745" spans="1:6" x14ac:dyDescent="0.25">
      <c r="A745">
        <v>87012568</v>
      </c>
      <c r="B745" t="s">
        <v>29</v>
      </c>
      <c r="C745" s="8">
        <v>0.87902999999999998</v>
      </c>
      <c r="D745">
        <v>20.3</v>
      </c>
      <c r="E745" s="7">
        <v>0.877</v>
      </c>
      <c r="F745" t="s">
        <v>22</v>
      </c>
    </row>
    <row r="746" spans="1:6" x14ac:dyDescent="0.25">
      <c r="A746">
        <v>87012568</v>
      </c>
      <c r="B746" t="s">
        <v>29</v>
      </c>
      <c r="C746" s="8">
        <v>0.88100000000000001</v>
      </c>
      <c r="D746">
        <v>19.7</v>
      </c>
      <c r="E746" s="7">
        <v>0.879</v>
      </c>
      <c r="F746" t="s">
        <v>22</v>
      </c>
    </row>
    <row r="747" spans="1:6" x14ac:dyDescent="0.25">
      <c r="A747">
        <v>87012568</v>
      </c>
      <c r="B747" t="s">
        <v>29</v>
      </c>
      <c r="C747" s="8">
        <v>0.88302000000000003</v>
      </c>
      <c r="D747">
        <v>20.2</v>
      </c>
      <c r="E747" s="7">
        <v>0.88100000000000001</v>
      </c>
      <c r="F747" t="s">
        <v>22</v>
      </c>
    </row>
    <row r="748" spans="1:6" x14ac:dyDescent="0.25">
      <c r="A748">
        <v>87012568</v>
      </c>
      <c r="B748" t="s">
        <v>29</v>
      </c>
      <c r="C748" s="8">
        <v>0.88500000000000001</v>
      </c>
      <c r="D748">
        <v>19.8</v>
      </c>
      <c r="E748" s="7">
        <v>0.88300000000000001</v>
      </c>
      <c r="F748" t="s">
        <v>22</v>
      </c>
    </row>
    <row r="749" spans="1:6" x14ac:dyDescent="0.25">
      <c r="A749">
        <v>87012568</v>
      </c>
      <c r="B749" t="s">
        <v>29</v>
      </c>
      <c r="C749" s="8">
        <v>0.88700000000000001</v>
      </c>
      <c r="D749">
        <v>20</v>
      </c>
      <c r="E749" s="7">
        <v>0.88500000000000001</v>
      </c>
      <c r="F749" t="s">
        <v>22</v>
      </c>
    </row>
    <row r="750" spans="1:6" x14ac:dyDescent="0.25">
      <c r="A750">
        <v>87012568</v>
      </c>
      <c r="B750" t="s">
        <v>29</v>
      </c>
      <c r="C750" s="8">
        <v>0.88900000000000001</v>
      </c>
      <c r="D750">
        <v>20</v>
      </c>
      <c r="E750" s="7">
        <v>0.88700000000000001</v>
      </c>
      <c r="F750" t="s">
        <v>22</v>
      </c>
    </row>
    <row r="751" spans="1:6" x14ac:dyDescent="0.25">
      <c r="A751">
        <v>87012568</v>
      </c>
      <c r="B751" t="s">
        <v>29</v>
      </c>
      <c r="C751" s="8">
        <v>0.89100000000000001</v>
      </c>
      <c r="D751">
        <v>20</v>
      </c>
      <c r="E751" s="7">
        <v>0.88900000000000001</v>
      </c>
      <c r="F751" t="s">
        <v>22</v>
      </c>
    </row>
    <row r="752" spans="1:6" x14ac:dyDescent="0.25">
      <c r="A752">
        <v>87012568</v>
      </c>
      <c r="B752" t="s">
        <v>29</v>
      </c>
      <c r="C752" s="8">
        <v>0.89185000000000003</v>
      </c>
      <c r="D752">
        <v>8.5</v>
      </c>
      <c r="E752" s="7">
        <v>0.88900000000000001</v>
      </c>
      <c r="F752" t="s">
        <v>22</v>
      </c>
    </row>
    <row r="753" spans="1:6" x14ac:dyDescent="0.25">
      <c r="A753">
        <v>87012568</v>
      </c>
      <c r="B753" t="s">
        <v>29</v>
      </c>
      <c r="C753" s="8">
        <v>0.89300000000000002</v>
      </c>
      <c r="D753">
        <v>11.5</v>
      </c>
      <c r="E753" s="7">
        <v>0.89100000000000001</v>
      </c>
      <c r="F753" t="s">
        <v>22</v>
      </c>
    </row>
    <row r="754" spans="1:6" x14ac:dyDescent="0.25">
      <c r="A754">
        <v>87012568</v>
      </c>
      <c r="B754" t="s">
        <v>29</v>
      </c>
      <c r="C754" s="8">
        <v>0.89500000000000002</v>
      </c>
      <c r="D754">
        <v>20</v>
      </c>
      <c r="E754" s="7">
        <v>0.89300000000000002</v>
      </c>
      <c r="F754" t="s">
        <v>22</v>
      </c>
    </row>
    <row r="755" spans="1:6" x14ac:dyDescent="0.25">
      <c r="A755">
        <v>87012568</v>
      </c>
      <c r="B755" t="s">
        <v>29</v>
      </c>
      <c r="C755" s="8">
        <v>0.89700000000000002</v>
      </c>
      <c r="D755">
        <v>20</v>
      </c>
      <c r="E755" s="7">
        <v>0.89500000000000002</v>
      </c>
      <c r="F755" t="s">
        <v>22</v>
      </c>
    </row>
    <row r="756" spans="1:6" x14ac:dyDescent="0.25">
      <c r="A756">
        <v>87012568</v>
      </c>
      <c r="B756" t="s">
        <v>29</v>
      </c>
      <c r="C756" s="8">
        <v>0.89902000000000004</v>
      </c>
      <c r="D756">
        <v>20.2</v>
      </c>
      <c r="E756" s="7">
        <v>0.89700000000000002</v>
      </c>
      <c r="F756" t="s">
        <v>22</v>
      </c>
    </row>
    <row r="757" spans="1:6" x14ac:dyDescent="0.25">
      <c r="A757">
        <v>87012568</v>
      </c>
      <c r="B757" t="s">
        <v>29</v>
      </c>
      <c r="C757" s="8">
        <v>0.90100000000000002</v>
      </c>
      <c r="D757">
        <v>19.8</v>
      </c>
      <c r="E757" s="7">
        <v>0.89900000000000002</v>
      </c>
      <c r="F757" t="s">
        <v>22</v>
      </c>
    </row>
    <row r="758" spans="1:6" x14ac:dyDescent="0.25">
      <c r="A758">
        <v>87012568</v>
      </c>
      <c r="B758" t="s">
        <v>29</v>
      </c>
      <c r="C758" s="8">
        <v>0.90300999999999998</v>
      </c>
      <c r="D758">
        <v>20.100000000000001</v>
      </c>
      <c r="E758" s="7">
        <v>0.90100000000000002</v>
      </c>
      <c r="F758" t="s">
        <v>22</v>
      </c>
    </row>
    <row r="759" spans="1:6" x14ac:dyDescent="0.25">
      <c r="A759">
        <v>87012568</v>
      </c>
      <c r="B759" t="s">
        <v>29</v>
      </c>
      <c r="C759" s="8">
        <v>0.90500000000000003</v>
      </c>
      <c r="D759">
        <v>19.899999999999999</v>
      </c>
      <c r="E759" s="7">
        <v>0.90300000000000002</v>
      </c>
      <c r="F759" t="s">
        <v>22</v>
      </c>
    </row>
    <row r="760" spans="1:6" x14ac:dyDescent="0.25">
      <c r="A760">
        <v>87012568</v>
      </c>
      <c r="B760" t="s">
        <v>29</v>
      </c>
      <c r="C760" s="8">
        <v>0.90700000000000003</v>
      </c>
      <c r="D760">
        <v>20</v>
      </c>
      <c r="E760" s="7">
        <v>0.90500000000000003</v>
      </c>
      <c r="F760" t="s">
        <v>22</v>
      </c>
    </row>
    <row r="761" spans="1:6" x14ac:dyDescent="0.25">
      <c r="A761">
        <v>87012568</v>
      </c>
      <c r="B761" t="s">
        <v>29</v>
      </c>
      <c r="C761" s="8">
        <v>0.90900000000000003</v>
      </c>
      <c r="D761">
        <v>20</v>
      </c>
      <c r="E761" s="7">
        <v>0.90700000000000003</v>
      </c>
      <c r="F761" t="s">
        <v>22</v>
      </c>
    </row>
    <row r="762" spans="1:6" x14ac:dyDescent="0.25">
      <c r="A762">
        <v>87012568</v>
      </c>
      <c r="B762" t="s">
        <v>29</v>
      </c>
      <c r="C762" s="8">
        <v>0.91100000000000003</v>
      </c>
      <c r="D762">
        <v>20</v>
      </c>
      <c r="E762" s="7">
        <v>0.90900000000000003</v>
      </c>
      <c r="F762" t="s">
        <v>22</v>
      </c>
    </row>
    <row r="763" spans="1:6" x14ac:dyDescent="0.25">
      <c r="A763">
        <v>87012568</v>
      </c>
      <c r="B763" t="s">
        <v>29</v>
      </c>
      <c r="C763" s="8">
        <v>0.91300000000000003</v>
      </c>
      <c r="D763">
        <v>20</v>
      </c>
      <c r="E763" s="7">
        <v>0.91100000000000003</v>
      </c>
      <c r="F763" t="s">
        <v>22</v>
      </c>
    </row>
    <row r="764" spans="1:6" x14ac:dyDescent="0.25">
      <c r="A764">
        <v>87012568</v>
      </c>
      <c r="B764" t="s">
        <v>29</v>
      </c>
      <c r="C764" s="8">
        <v>0.91500000000000004</v>
      </c>
      <c r="D764">
        <v>20</v>
      </c>
      <c r="E764" s="7">
        <v>0.91300000000000003</v>
      </c>
      <c r="F764" t="s">
        <v>22</v>
      </c>
    </row>
    <row r="765" spans="1:6" x14ac:dyDescent="0.25">
      <c r="A765">
        <v>87012568</v>
      </c>
      <c r="B765" t="s">
        <v>29</v>
      </c>
      <c r="C765" s="8">
        <v>0.91700000000000004</v>
      </c>
      <c r="D765">
        <v>20</v>
      </c>
      <c r="E765" s="7">
        <v>0.91500000000000004</v>
      </c>
      <c r="F765" t="s">
        <v>22</v>
      </c>
    </row>
    <row r="766" spans="1:6" x14ac:dyDescent="0.25">
      <c r="A766">
        <v>87012568</v>
      </c>
      <c r="B766" t="s">
        <v>29</v>
      </c>
      <c r="C766" s="8">
        <v>0.91903000000000001</v>
      </c>
      <c r="D766">
        <v>20.3</v>
      </c>
      <c r="E766" s="7">
        <v>0.91700000000000004</v>
      </c>
      <c r="F766" t="s">
        <v>22</v>
      </c>
    </row>
    <row r="767" spans="1:6" x14ac:dyDescent="0.25">
      <c r="A767">
        <v>87012568</v>
      </c>
      <c r="B767" t="s">
        <v>29</v>
      </c>
      <c r="C767" s="8">
        <v>0.92117000000000004</v>
      </c>
      <c r="D767">
        <v>21.4</v>
      </c>
      <c r="E767" s="7">
        <v>0.91900000000000004</v>
      </c>
      <c r="F767" t="s">
        <v>22</v>
      </c>
    </row>
    <row r="768" spans="1:6" x14ac:dyDescent="0.25">
      <c r="A768">
        <v>87012568</v>
      </c>
      <c r="B768" t="s">
        <v>29</v>
      </c>
      <c r="C768" s="8">
        <v>0.92301</v>
      </c>
      <c r="D768">
        <v>18.399999999999999</v>
      </c>
      <c r="E768" s="7">
        <v>0.92100000000000004</v>
      </c>
      <c r="F768" t="s">
        <v>22</v>
      </c>
    </row>
    <row r="769" spans="1:6" x14ac:dyDescent="0.25">
      <c r="A769">
        <v>87012568</v>
      </c>
      <c r="B769" t="s">
        <v>29</v>
      </c>
      <c r="C769" s="8">
        <v>0.92503000000000002</v>
      </c>
      <c r="D769">
        <v>20.2</v>
      </c>
      <c r="E769" s="7">
        <v>0.92300000000000004</v>
      </c>
      <c r="F769" t="s">
        <v>22</v>
      </c>
    </row>
    <row r="770" spans="1:6" x14ac:dyDescent="0.25">
      <c r="A770">
        <v>87012568</v>
      </c>
      <c r="B770" t="s">
        <v>29</v>
      </c>
      <c r="C770" s="8">
        <v>0.92700000000000005</v>
      </c>
      <c r="D770">
        <v>19.7</v>
      </c>
      <c r="E770" s="7">
        <v>0.92500000000000004</v>
      </c>
      <c r="F770" t="s">
        <v>22</v>
      </c>
    </row>
    <row r="771" spans="1:6" x14ac:dyDescent="0.25">
      <c r="A771">
        <v>87012568</v>
      </c>
      <c r="B771" t="s">
        <v>29</v>
      </c>
      <c r="C771" s="8">
        <v>0.92900000000000005</v>
      </c>
      <c r="D771">
        <v>20</v>
      </c>
      <c r="E771" s="7">
        <v>0.92700000000000005</v>
      </c>
      <c r="F771" t="s">
        <v>22</v>
      </c>
    </row>
    <row r="772" spans="1:6" x14ac:dyDescent="0.25">
      <c r="A772">
        <v>87012568</v>
      </c>
      <c r="B772" t="s">
        <v>29</v>
      </c>
      <c r="C772" s="8">
        <v>0.93101</v>
      </c>
      <c r="D772">
        <v>20.100000000000001</v>
      </c>
      <c r="E772" s="7">
        <v>0.92900000000000005</v>
      </c>
      <c r="F772" t="s">
        <v>22</v>
      </c>
    </row>
    <row r="773" spans="1:6" x14ac:dyDescent="0.25">
      <c r="A773">
        <v>87012568</v>
      </c>
      <c r="B773" t="s">
        <v>29</v>
      </c>
      <c r="C773" s="8">
        <v>0.93301000000000001</v>
      </c>
      <c r="D773">
        <v>20</v>
      </c>
      <c r="E773" s="7">
        <v>0.93100000000000005</v>
      </c>
      <c r="F773" t="s">
        <v>22</v>
      </c>
    </row>
    <row r="774" spans="1:6" x14ac:dyDescent="0.25">
      <c r="A774">
        <v>87012568</v>
      </c>
      <c r="B774" t="s">
        <v>29</v>
      </c>
      <c r="C774" s="8">
        <v>0.93500000000000005</v>
      </c>
      <c r="D774">
        <v>19.899999999999999</v>
      </c>
      <c r="E774" s="7">
        <v>0.93300000000000005</v>
      </c>
      <c r="F774" t="s">
        <v>22</v>
      </c>
    </row>
    <row r="775" spans="1:6" x14ac:dyDescent="0.25">
      <c r="A775">
        <v>87012568</v>
      </c>
      <c r="B775" t="s">
        <v>29</v>
      </c>
      <c r="C775" s="8">
        <v>0.93700000000000006</v>
      </c>
      <c r="D775">
        <v>20</v>
      </c>
      <c r="E775" s="7">
        <v>0.93500000000000005</v>
      </c>
      <c r="F775" t="s">
        <v>22</v>
      </c>
    </row>
    <row r="776" spans="1:6" x14ac:dyDescent="0.25">
      <c r="A776">
        <v>87012568</v>
      </c>
      <c r="B776" t="s">
        <v>29</v>
      </c>
      <c r="C776" s="8">
        <v>0.93899999999999995</v>
      </c>
      <c r="D776">
        <v>20</v>
      </c>
      <c r="E776" s="7">
        <v>0.93700000000000006</v>
      </c>
      <c r="F776" t="s">
        <v>22</v>
      </c>
    </row>
    <row r="777" spans="1:6" x14ac:dyDescent="0.25">
      <c r="A777">
        <v>87012568</v>
      </c>
      <c r="B777" t="s">
        <v>29</v>
      </c>
      <c r="C777" s="8">
        <v>0.94099999999999995</v>
      </c>
      <c r="D777">
        <v>20</v>
      </c>
      <c r="E777" s="7">
        <v>0.93899999999999995</v>
      </c>
      <c r="F777" t="s">
        <v>22</v>
      </c>
    </row>
    <row r="778" spans="1:6" x14ac:dyDescent="0.25">
      <c r="A778">
        <v>87012568</v>
      </c>
      <c r="B778" t="s">
        <v>29</v>
      </c>
      <c r="C778" s="8">
        <v>0.94299999999999995</v>
      </c>
      <c r="D778">
        <v>20</v>
      </c>
      <c r="E778" s="7">
        <v>0.94099999999999995</v>
      </c>
      <c r="F778" t="s">
        <v>22</v>
      </c>
    </row>
    <row r="779" spans="1:6" x14ac:dyDescent="0.25">
      <c r="A779">
        <v>87012568</v>
      </c>
      <c r="B779" t="s">
        <v>29</v>
      </c>
      <c r="C779" s="8">
        <v>0.94499999999999995</v>
      </c>
      <c r="D779">
        <v>20</v>
      </c>
      <c r="E779" s="7">
        <v>0.94299999999999995</v>
      </c>
      <c r="F779" t="s">
        <v>22</v>
      </c>
    </row>
    <row r="780" spans="1:6" x14ac:dyDescent="0.25">
      <c r="A780">
        <v>87012568</v>
      </c>
      <c r="B780" t="s">
        <v>29</v>
      </c>
      <c r="C780" s="8">
        <v>0.94699999999999995</v>
      </c>
      <c r="D780">
        <v>20</v>
      </c>
      <c r="E780" s="7">
        <v>0.94499999999999995</v>
      </c>
      <c r="F780" t="s">
        <v>22</v>
      </c>
    </row>
    <row r="781" spans="1:6" x14ac:dyDescent="0.25">
      <c r="A781">
        <v>87012568</v>
      </c>
      <c r="B781" t="s">
        <v>29</v>
      </c>
      <c r="C781" s="8">
        <v>0.94899999999999995</v>
      </c>
      <c r="D781">
        <v>20</v>
      </c>
      <c r="E781" s="7">
        <v>0.94699999999999995</v>
      </c>
      <c r="F781" t="s">
        <v>22</v>
      </c>
    </row>
    <row r="782" spans="1:6" x14ac:dyDescent="0.25">
      <c r="A782">
        <v>87012568</v>
      </c>
      <c r="B782" t="s">
        <v>29</v>
      </c>
      <c r="C782" s="8">
        <v>0.95299999999999996</v>
      </c>
      <c r="D782">
        <v>40</v>
      </c>
      <c r="E782" s="7">
        <v>0.95499999999999996</v>
      </c>
      <c r="F782" t="s">
        <v>23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5"/>
  <sheetViews>
    <sheetView workbookViewId="0">
      <selection activeCell="G15" sqref="G15"/>
    </sheetView>
  </sheetViews>
  <sheetFormatPr defaultRowHeight="15" x14ac:dyDescent="0.25"/>
  <cols>
    <col min="1" max="9" width="11.85546875" customWidth="1"/>
  </cols>
  <sheetData>
    <row r="1" spans="1:9" s="24" customFormat="1" ht="30" x14ac:dyDescent="0.25">
      <c r="A1" s="24" t="s">
        <v>14</v>
      </c>
      <c r="B1" s="24" t="s">
        <v>62</v>
      </c>
      <c r="C1" s="24" t="s">
        <v>63</v>
      </c>
      <c r="D1" s="24" t="s">
        <v>64</v>
      </c>
      <c r="E1" s="24" t="s">
        <v>65</v>
      </c>
      <c r="F1" s="24" t="s">
        <v>66</v>
      </c>
      <c r="G1" s="24" t="s">
        <v>67</v>
      </c>
      <c r="H1" s="24" t="s">
        <v>68</v>
      </c>
      <c r="I1" s="24" t="s">
        <v>69</v>
      </c>
    </row>
    <row r="2" spans="1:9" x14ac:dyDescent="0.25">
      <c r="A2" t="s">
        <v>70</v>
      </c>
      <c r="B2" s="25">
        <v>41313</v>
      </c>
      <c r="C2" s="25">
        <v>41670</v>
      </c>
      <c r="D2" s="17">
        <f t="shared" ref="D2:D15" si="0">(C2-B2)/30</f>
        <v>11.9</v>
      </c>
      <c r="E2" s="16">
        <v>7108.13</v>
      </c>
      <c r="F2" s="16">
        <v>16264.97</v>
      </c>
      <c r="G2" s="16">
        <f t="shared" ref="G2:G15" si="1">+F2-E2</f>
        <v>9156.84</v>
      </c>
      <c r="H2" s="5">
        <f t="shared" ref="H2:H15" si="2">+G2/E2</f>
        <v>1.2882206712595297</v>
      </c>
      <c r="I2" s="5">
        <f t="shared" ref="I2:I15" si="3">+H2*365/(C2-B2)</f>
        <v>1.3170883613717881</v>
      </c>
    </row>
    <row r="3" spans="1:9" x14ac:dyDescent="0.25">
      <c r="A3" t="s">
        <v>51</v>
      </c>
      <c r="B3" s="25">
        <v>41593</v>
      </c>
      <c r="C3" s="25">
        <v>41691</v>
      </c>
      <c r="D3" s="17">
        <f t="shared" si="0"/>
        <v>3.2666666666666666</v>
      </c>
      <c r="E3" s="16">
        <v>40000</v>
      </c>
      <c r="F3" s="16">
        <v>49564</v>
      </c>
      <c r="G3" s="16">
        <f t="shared" si="1"/>
        <v>9564</v>
      </c>
      <c r="H3" s="5">
        <f t="shared" si="2"/>
        <v>0.23910000000000001</v>
      </c>
      <c r="I3" s="5">
        <f t="shared" si="3"/>
        <v>0.89052551020408166</v>
      </c>
    </row>
    <row r="4" spans="1:9" x14ac:dyDescent="0.25">
      <c r="A4" t="s">
        <v>47</v>
      </c>
      <c r="B4" s="25">
        <v>41379</v>
      </c>
      <c r="C4" s="25">
        <v>41732</v>
      </c>
      <c r="D4" s="17">
        <f t="shared" si="0"/>
        <v>11.766666666666667</v>
      </c>
      <c r="E4" s="16">
        <v>18000</v>
      </c>
      <c r="F4" s="16">
        <v>22875.54</v>
      </c>
      <c r="G4" s="16">
        <f t="shared" si="1"/>
        <v>4875.5400000000009</v>
      </c>
      <c r="H4" s="5">
        <f t="shared" si="2"/>
        <v>0.2708633333333334</v>
      </c>
      <c r="I4" s="5">
        <f t="shared" si="3"/>
        <v>0.28007115203021726</v>
      </c>
    </row>
    <row r="5" spans="1:9" x14ac:dyDescent="0.25">
      <c r="A5" t="s">
        <v>50</v>
      </c>
      <c r="B5" s="25">
        <v>41704</v>
      </c>
      <c r="C5" s="25">
        <v>41742</v>
      </c>
      <c r="D5" s="17">
        <f t="shared" si="0"/>
        <v>1.2666666666666666</v>
      </c>
      <c r="E5" s="16">
        <v>100000</v>
      </c>
      <c r="F5" s="16">
        <v>102414.81</v>
      </c>
      <c r="G5" s="16">
        <f t="shared" si="1"/>
        <v>2414.8099999999977</v>
      </c>
      <c r="H5" s="5">
        <f t="shared" si="2"/>
        <v>2.4148099999999978E-2</v>
      </c>
      <c r="I5" s="5">
        <f t="shared" si="3"/>
        <v>0.2319488552631577</v>
      </c>
    </row>
    <row r="6" spans="1:9" x14ac:dyDescent="0.25">
      <c r="A6" t="s">
        <v>57</v>
      </c>
      <c r="B6" s="25">
        <v>41554</v>
      </c>
      <c r="C6" s="25">
        <v>41787</v>
      </c>
      <c r="D6" s="17">
        <f t="shared" si="0"/>
        <v>7.7666666666666666</v>
      </c>
      <c r="E6" s="16">
        <v>40000</v>
      </c>
      <c r="F6" s="16">
        <v>65793.679999999993</v>
      </c>
      <c r="G6" s="16">
        <f t="shared" si="1"/>
        <v>25793.679999999993</v>
      </c>
      <c r="H6" s="5">
        <f t="shared" si="2"/>
        <v>0.6448419999999998</v>
      </c>
      <c r="I6" s="5">
        <f t="shared" si="3"/>
        <v>1.0101602145922743</v>
      </c>
    </row>
    <row r="7" spans="1:9" x14ac:dyDescent="0.25">
      <c r="A7" t="s">
        <v>54</v>
      </c>
      <c r="B7" s="25">
        <v>41654</v>
      </c>
      <c r="C7" s="25">
        <v>41787</v>
      </c>
      <c r="D7" s="17">
        <f t="shared" si="0"/>
        <v>4.4333333333333336</v>
      </c>
      <c r="E7" s="16">
        <v>50000</v>
      </c>
      <c r="F7" s="16">
        <v>60037.3</v>
      </c>
      <c r="G7" s="16">
        <f t="shared" si="1"/>
        <v>10037.300000000003</v>
      </c>
      <c r="H7" s="5">
        <f t="shared" si="2"/>
        <v>0.20074600000000006</v>
      </c>
      <c r="I7" s="5">
        <f t="shared" si="3"/>
        <v>0.55091947368421068</v>
      </c>
    </row>
    <row r="8" spans="1:9" x14ac:dyDescent="0.25">
      <c r="A8" t="s">
        <v>71</v>
      </c>
      <c r="B8" s="25">
        <v>41682</v>
      </c>
      <c r="C8" s="25">
        <v>41911</v>
      </c>
      <c r="D8" s="17">
        <f t="shared" si="0"/>
        <v>7.6333333333333337</v>
      </c>
      <c r="E8" s="16">
        <v>25000</v>
      </c>
      <c r="F8" s="16">
        <v>13016.68</v>
      </c>
      <c r="G8" s="16">
        <f t="shared" si="1"/>
        <v>-11983.32</v>
      </c>
      <c r="H8" s="5">
        <f t="shared" si="2"/>
        <v>-0.4793328</v>
      </c>
      <c r="I8" s="5">
        <f t="shared" si="3"/>
        <v>-0.76400206113537117</v>
      </c>
    </row>
    <row r="9" spans="1:9" x14ac:dyDescent="0.25">
      <c r="A9" t="s">
        <v>72</v>
      </c>
      <c r="B9" s="25">
        <v>41819</v>
      </c>
      <c r="C9" s="25">
        <v>41977</v>
      </c>
      <c r="D9" s="17">
        <f t="shared" si="0"/>
        <v>5.2666666666666666</v>
      </c>
      <c r="E9" s="16">
        <v>16000</v>
      </c>
      <c r="F9" s="16">
        <v>456.57</v>
      </c>
      <c r="G9" s="16">
        <f t="shared" si="1"/>
        <v>-15543.43</v>
      </c>
      <c r="H9" s="5">
        <f t="shared" si="2"/>
        <v>-0.97146437500000005</v>
      </c>
      <c r="I9" s="5">
        <f t="shared" si="3"/>
        <v>-2.2442056764240506</v>
      </c>
    </row>
    <row r="10" spans="1:9" x14ac:dyDescent="0.25">
      <c r="A10" t="s">
        <v>47</v>
      </c>
      <c r="B10" s="25">
        <v>41875</v>
      </c>
      <c r="C10" s="25">
        <v>41977</v>
      </c>
      <c r="D10" s="17">
        <f t="shared" si="0"/>
        <v>3.4</v>
      </c>
      <c r="E10" s="16">
        <v>17380.560000000001</v>
      </c>
      <c r="F10" s="16">
        <v>625.42999999999995</v>
      </c>
      <c r="G10" s="16">
        <f t="shared" si="1"/>
        <v>-16755.13</v>
      </c>
      <c r="H10" s="5">
        <f t="shared" si="2"/>
        <v>-0.96401554380296151</v>
      </c>
      <c r="I10" s="5">
        <f t="shared" si="3"/>
        <v>-3.4496634655694214</v>
      </c>
    </row>
    <row r="11" spans="1:9" x14ac:dyDescent="0.25">
      <c r="A11" t="s">
        <v>58</v>
      </c>
      <c r="B11" s="25">
        <v>41704</v>
      </c>
      <c r="C11" s="25">
        <v>41977</v>
      </c>
      <c r="D11" s="17">
        <f t="shared" si="0"/>
        <v>9.1</v>
      </c>
      <c r="E11" s="16">
        <v>50000</v>
      </c>
      <c r="F11" s="16">
        <v>52515.76</v>
      </c>
      <c r="G11" s="16">
        <f t="shared" si="1"/>
        <v>2515.760000000002</v>
      </c>
      <c r="H11" s="5">
        <f t="shared" si="2"/>
        <v>5.0315200000000039E-2</v>
      </c>
      <c r="I11" s="5">
        <f t="shared" si="3"/>
        <v>6.7271238095238148E-2</v>
      </c>
    </row>
    <row r="12" spans="1:9" x14ac:dyDescent="0.25">
      <c r="A12" t="s">
        <v>60</v>
      </c>
      <c r="B12" s="25">
        <v>41781</v>
      </c>
      <c r="C12" s="25">
        <v>41982</v>
      </c>
      <c r="D12" s="17">
        <f t="shared" si="0"/>
        <v>6.7</v>
      </c>
      <c r="E12" s="16">
        <v>10000</v>
      </c>
      <c r="F12" s="16">
        <v>11314.44</v>
      </c>
      <c r="G12" s="16">
        <f t="shared" si="1"/>
        <v>1314.4400000000005</v>
      </c>
      <c r="H12" s="5">
        <f t="shared" si="2"/>
        <v>0.13144400000000006</v>
      </c>
      <c r="I12" s="5">
        <f t="shared" si="3"/>
        <v>0.23869184079602002</v>
      </c>
    </row>
    <row r="13" spans="1:9" x14ac:dyDescent="0.25">
      <c r="A13" t="s">
        <v>55</v>
      </c>
      <c r="B13" s="25">
        <v>41707</v>
      </c>
      <c r="C13" s="25">
        <v>41984</v>
      </c>
      <c r="D13" s="17">
        <f t="shared" si="0"/>
        <v>9.2333333333333325</v>
      </c>
      <c r="E13" s="16">
        <v>7500</v>
      </c>
      <c r="F13" s="16">
        <v>7985.66</v>
      </c>
      <c r="G13" s="16">
        <f t="shared" si="1"/>
        <v>485.65999999999985</v>
      </c>
      <c r="H13" s="5">
        <f t="shared" si="2"/>
        <v>6.4754666666666641E-2</v>
      </c>
      <c r="I13" s="5">
        <f t="shared" si="3"/>
        <v>8.5326546329723196E-2</v>
      </c>
    </row>
    <row r="14" spans="1:9" x14ac:dyDescent="0.25">
      <c r="A14" t="s">
        <v>56</v>
      </c>
      <c r="B14" s="25">
        <v>41563</v>
      </c>
      <c r="C14" s="25">
        <v>41988</v>
      </c>
      <c r="D14" s="17">
        <f t="shared" si="0"/>
        <v>14.166666666666666</v>
      </c>
      <c r="E14" s="16">
        <v>15000</v>
      </c>
      <c r="F14" s="16">
        <v>13060.84</v>
      </c>
      <c r="G14" s="16">
        <f t="shared" si="1"/>
        <v>-1939.1599999999999</v>
      </c>
      <c r="H14" s="5">
        <f t="shared" si="2"/>
        <v>-0.12927733333333333</v>
      </c>
      <c r="I14" s="5">
        <f t="shared" si="3"/>
        <v>-0.1110264156862745</v>
      </c>
    </row>
    <row r="15" spans="1:9" x14ac:dyDescent="0.25">
      <c r="A15" t="s">
        <v>48</v>
      </c>
      <c r="B15" s="25">
        <v>41758</v>
      </c>
      <c r="C15" s="25">
        <v>42003</v>
      </c>
      <c r="D15" s="17">
        <f t="shared" si="0"/>
        <v>8.1666666666666661</v>
      </c>
      <c r="E15" s="16">
        <v>20000</v>
      </c>
      <c r="F15" s="16">
        <v>32.35</v>
      </c>
      <c r="G15" s="16">
        <f t="shared" si="1"/>
        <v>-19967.650000000001</v>
      </c>
      <c r="H15" s="5">
        <f t="shared" si="2"/>
        <v>-0.99838250000000006</v>
      </c>
      <c r="I15" s="5">
        <f t="shared" si="3"/>
        <v>-1.4873861734693878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Account Overview</vt:lpstr>
      <vt:lpstr>PL by Pair</vt:lpstr>
      <vt:lpstr>Closed_Profits</vt:lpstr>
      <vt:lpstr>Open_Trades</vt:lpstr>
      <vt:lpstr>Closed_vs_Open</vt:lpstr>
      <vt:lpstr>Equity</vt:lpstr>
      <vt:lpstr>Channel Status</vt:lpstr>
      <vt:lpstr>Balancing</vt:lpstr>
      <vt:lpstr>Summary</vt:lpstr>
      <vt:lpstr>Step_Check</vt:lpstr>
      <vt:lpstr>Closed Accounts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cp:lastPrinted>2014-11-29T16:22:24Z</cp:lastPrinted>
  <dcterms:created xsi:type="dcterms:W3CDTF">2014-11-11T08:31:55Z</dcterms:created>
  <dcterms:modified xsi:type="dcterms:W3CDTF">2015-06-26T12:45:11Z</dcterms:modified>
</cp:coreProperties>
</file>